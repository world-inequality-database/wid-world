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\Downloads\"/>
    </mc:Choice>
  </mc:AlternateContent>
  <xr:revisionPtr revIDLastSave="0" documentId="13_ncr:1_{E14750BD-8534-4F84-8926-12009D5F9505}" xr6:coauthVersionLast="47" xr6:coauthVersionMax="47" xr10:uidLastSave="{00000000-0000-0000-0000-000000000000}"/>
  <bookViews>
    <workbookView xWindow="-110" yWindow="-110" windowWidth="19420" windowHeight="10300" firstSheet="2" activeTab="4" xr2:uid="{D9F245EE-608A-4A48-A7D9-98499A613404}"/>
  </bookViews>
  <sheets>
    <sheet name="GDP, CFC, NDP, NNI" sheetId="1" r:id="rId1"/>
    <sheet name="Comparison Wage Share" sheetId="2" r:id="rId2"/>
    <sheet name="Comparison Mixed Income Share" sheetId="3" r:id="rId3"/>
    <sheet name="Comparison Domestic Capital" sheetId="4" r:id="rId4"/>
    <sheet name="nwnf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5" l="1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G49" i="5"/>
  <c r="E49" i="5"/>
  <c r="D49" i="5"/>
  <c r="C4" i="5"/>
  <c r="E4" i="5"/>
  <c r="F4" i="5"/>
  <c r="C5" i="5"/>
  <c r="E5" i="5"/>
  <c r="F5" i="5"/>
  <c r="C6" i="5"/>
  <c r="E6" i="5"/>
  <c r="F6" i="5" s="1"/>
  <c r="C7" i="5"/>
  <c r="E7" i="5"/>
  <c r="F7" i="5" s="1"/>
  <c r="C8" i="5"/>
  <c r="E8" i="5"/>
  <c r="F8" i="5"/>
  <c r="C9" i="5"/>
  <c r="E9" i="5"/>
  <c r="F9" i="5" s="1"/>
  <c r="C10" i="5"/>
  <c r="E10" i="5"/>
  <c r="F10" i="5" s="1"/>
  <c r="C11" i="5"/>
  <c r="E11" i="5"/>
  <c r="F11" i="5"/>
  <c r="C12" i="5"/>
  <c r="E12" i="5"/>
  <c r="F12" i="5" s="1"/>
  <c r="C13" i="5"/>
  <c r="E13" i="5"/>
  <c r="F13" i="5" s="1"/>
  <c r="C14" i="5"/>
  <c r="E14" i="5"/>
  <c r="F14" i="5" s="1"/>
  <c r="C15" i="5"/>
  <c r="E15" i="5"/>
  <c r="F15" i="5"/>
  <c r="C16" i="5"/>
  <c r="E16" i="5"/>
  <c r="F16" i="5"/>
  <c r="C17" i="5"/>
  <c r="E17" i="5"/>
  <c r="F17" i="5" s="1"/>
  <c r="C18" i="5"/>
  <c r="E18" i="5"/>
  <c r="F18" i="5" s="1"/>
  <c r="C19" i="5"/>
  <c r="E19" i="5"/>
  <c r="F19" i="5"/>
  <c r="C20" i="5"/>
  <c r="E20" i="5"/>
  <c r="F20" i="5" s="1"/>
  <c r="C21" i="5"/>
  <c r="E21" i="5"/>
  <c r="F21" i="5" s="1"/>
  <c r="C22" i="5"/>
  <c r="E22" i="5"/>
  <c r="F22" i="5" s="1"/>
  <c r="C23" i="5"/>
  <c r="E23" i="5"/>
  <c r="F23" i="5"/>
  <c r="C24" i="5"/>
  <c r="E24" i="5"/>
  <c r="F24" i="5"/>
  <c r="C25" i="5"/>
  <c r="F25" i="5" s="1"/>
  <c r="E25" i="5"/>
  <c r="C26" i="5"/>
  <c r="E26" i="5"/>
  <c r="F26" i="5" s="1"/>
  <c r="C27" i="5"/>
  <c r="E27" i="5"/>
  <c r="F27" i="5"/>
  <c r="C28" i="5"/>
  <c r="E28" i="5"/>
  <c r="F28" i="5" s="1"/>
  <c r="C29" i="5"/>
  <c r="E29" i="5"/>
  <c r="F29" i="5"/>
  <c r="C30" i="5"/>
  <c r="E30" i="5"/>
  <c r="F30" i="5" s="1"/>
  <c r="C31" i="5"/>
  <c r="E31" i="5"/>
  <c r="F31" i="5" s="1"/>
  <c r="C32" i="5"/>
  <c r="E32" i="5"/>
  <c r="F32" i="5"/>
  <c r="C33" i="5"/>
  <c r="F33" i="5" s="1"/>
  <c r="E33" i="5"/>
  <c r="C34" i="5"/>
  <c r="E34" i="5"/>
  <c r="F34" i="5" s="1"/>
  <c r="C35" i="5"/>
  <c r="E35" i="5"/>
  <c r="F35" i="5"/>
  <c r="C36" i="5"/>
  <c r="E36" i="5"/>
  <c r="F36" i="5" s="1"/>
  <c r="C37" i="5"/>
  <c r="E37" i="5"/>
  <c r="F37" i="5"/>
  <c r="C38" i="5"/>
  <c r="E38" i="5"/>
  <c r="F38" i="5" s="1"/>
  <c r="C39" i="5"/>
  <c r="E39" i="5"/>
  <c r="F39" i="5" s="1"/>
  <c r="C40" i="5"/>
  <c r="E40" i="5"/>
  <c r="F40" i="5"/>
  <c r="C41" i="5"/>
  <c r="F41" i="5" s="1"/>
  <c r="E41" i="5"/>
  <c r="C42" i="5"/>
  <c r="E42" i="5"/>
  <c r="F42" i="5" s="1"/>
  <c r="C43" i="5"/>
  <c r="E43" i="5"/>
  <c r="F43" i="5"/>
  <c r="C44" i="5"/>
  <c r="E44" i="5"/>
  <c r="F44" i="5"/>
  <c r="C45" i="5"/>
  <c r="E45" i="5"/>
  <c r="F45" i="5"/>
  <c r="C46" i="5"/>
  <c r="E46" i="5"/>
  <c r="C47" i="5"/>
  <c r="E47" i="5"/>
  <c r="C48" i="5"/>
  <c r="E48" i="5"/>
  <c r="F3" i="5"/>
  <c r="E3" i="5"/>
  <c r="C3" i="5"/>
  <c r="Y87" i="4"/>
  <c r="Y81" i="4"/>
  <c r="Y82" i="4"/>
  <c r="Y83" i="4"/>
  <c r="Y84" i="4"/>
  <c r="Y85" i="4"/>
  <c r="Y86" i="4"/>
  <c r="Y78" i="4"/>
  <c r="Y79" i="4"/>
  <c r="Y80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D29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H130" i="4"/>
  <c r="V49" i="4"/>
  <c r="D28" i="4"/>
  <c r="D49" i="4"/>
  <c r="N85" i="4" l="1"/>
  <c r="N84" i="4" s="1"/>
  <c r="N83" i="4" s="1"/>
  <c r="N82" i="4" s="1"/>
  <c r="N81" i="4" s="1"/>
  <c r="N80" i="4" s="1"/>
  <c r="N79" i="4" s="1"/>
  <c r="N78" i="4" s="1"/>
  <c r="N77" i="4" s="1"/>
  <c r="N76" i="4" s="1"/>
  <c r="N75" i="4" s="1"/>
  <c r="N74" i="4" s="1"/>
  <c r="N73" i="4" s="1"/>
  <c r="N72" i="4" s="1"/>
  <c r="N71" i="4" s="1"/>
  <c r="N70" i="4" s="1"/>
  <c r="N69" i="4" s="1"/>
  <c r="N68" i="4" s="1"/>
  <c r="N67" i="4" s="1"/>
  <c r="N66" i="4" s="1"/>
  <c r="N65" i="4" s="1"/>
  <c r="N64" i="4" s="1"/>
  <c r="N63" i="4" s="1"/>
  <c r="N62" i="4" s="1"/>
  <c r="N61" i="4" s="1"/>
  <c r="N60" i="4" s="1"/>
  <c r="N59" i="4" s="1"/>
  <c r="N58" i="4" s="1"/>
  <c r="N57" i="4" s="1"/>
  <c r="N56" i="4" s="1"/>
  <c r="N55" i="4" s="1"/>
  <c r="N54" i="4" s="1"/>
  <c r="N53" i="4" s="1"/>
  <c r="N52" i="4" s="1"/>
  <c r="N51" i="4" s="1"/>
  <c r="N50" i="4" s="1"/>
  <c r="N49" i="4" s="1"/>
  <c r="N48" i="4" s="1"/>
  <c r="N47" i="4" s="1"/>
  <c r="N46" i="4" s="1"/>
  <c r="N45" i="4" s="1"/>
  <c r="N44" i="4" s="1"/>
  <c r="N43" i="4" s="1"/>
  <c r="N42" i="4" s="1"/>
  <c r="N41" i="4" s="1"/>
  <c r="N40" i="4" s="1"/>
  <c r="N39" i="4" s="1"/>
  <c r="N38" i="4" s="1"/>
  <c r="N37" i="4" s="1"/>
  <c r="N36" i="4" s="1"/>
  <c r="N35" i="4" s="1"/>
  <c r="N34" i="4" s="1"/>
  <c r="N33" i="4" s="1"/>
  <c r="N32" i="4" s="1"/>
  <c r="N31" i="4" s="1"/>
  <c r="N30" i="4" s="1"/>
  <c r="N86" i="4"/>
  <c r="N28" i="4" l="1"/>
  <c r="N27" i="4" s="1"/>
  <c r="N26" i="4" s="1"/>
  <c r="N25" i="4" s="1"/>
  <c r="N24" i="4" s="1"/>
  <c r="N23" i="4" s="1"/>
  <c r="N22" i="4" s="1"/>
  <c r="N21" i="4" s="1"/>
  <c r="N20" i="4" s="1"/>
  <c r="N19" i="4" s="1"/>
  <c r="N18" i="4" s="1"/>
  <c r="N17" i="4" s="1"/>
  <c r="N16" i="4" s="1"/>
  <c r="N15" i="4" s="1"/>
  <c r="N14" i="4" s="1"/>
  <c r="N13" i="4" s="1"/>
  <c r="N12" i="4" s="1"/>
  <c r="N11" i="4" s="1"/>
  <c r="N10" i="4" s="1"/>
  <c r="N9" i="4" s="1"/>
  <c r="N8" i="4" s="1"/>
  <c r="N7" i="4" s="1"/>
  <c r="N6" i="4" s="1"/>
  <c r="N5" i="4" s="1"/>
  <c r="N4" i="4" s="1"/>
  <c r="N3" i="4" s="1"/>
  <c r="N29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J88" i="4"/>
  <c r="X88" i="4" s="1"/>
  <c r="J89" i="4"/>
  <c r="X89" i="4" s="1"/>
  <c r="J90" i="4"/>
  <c r="X90" i="4" s="1"/>
  <c r="J91" i="4"/>
  <c r="X91" i="4" s="1"/>
  <c r="J92" i="4"/>
  <c r="X92" i="4" s="1"/>
  <c r="J93" i="4"/>
  <c r="X93" i="4" s="1"/>
  <c r="J94" i="4"/>
  <c r="X94" i="4" s="1"/>
  <c r="J95" i="4"/>
  <c r="X95" i="4" s="1"/>
  <c r="J96" i="4"/>
  <c r="X96" i="4" s="1"/>
  <c r="J97" i="4"/>
  <c r="X97" i="4" s="1"/>
  <c r="J98" i="4"/>
  <c r="X98" i="4" s="1"/>
  <c r="J99" i="4"/>
  <c r="X99" i="4" s="1"/>
  <c r="J100" i="4"/>
  <c r="X100" i="4" s="1"/>
  <c r="J101" i="4"/>
  <c r="X101" i="4" s="1"/>
  <c r="J102" i="4"/>
  <c r="X102" i="4" s="1"/>
  <c r="J103" i="4"/>
  <c r="X103" i="4" s="1"/>
  <c r="J104" i="4"/>
  <c r="X104" i="4" s="1"/>
  <c r="J105" i="4"/>
  <c r="X105" i="4" s="1"/>
  <c r="J106" i="4"/>
  <c r="X106" i="4" s="1"/>
  <c r="J107" i="4"/>
  <c r="X107" i="4" s="1"/>
  <c r="J108" i="4"/>
  <c r="X108" i="4" s="1"/>
  <c r="J109" i="4"/>
  <c r="X109" i="4" s="1"/>
  <c r="J110" i="4"/>
  <c r="X110" i="4" s="1"/>
  <c r="J111" i="4"/>
  <c r="X111" i="4" s="1"/>
  <c r="J112" i="4"/>
  <c r="X112" i="4" s="1"/>
  <c r="J113" i="4"/>
  <c r="X113" i="4" s="1"/>
  <c r="J114" i="4"/>
  <c r="X114" i="4" s="1"/>
  <c r="J115" i="4"/>
  <c r="X115" i="4" s="1"/>
  <c r="J116" i="4"/>
  <c r="X116" i="4" s="1"/>
  <c r="J117" i="4"/>
  <c r="X117" i="4" s="1"/>
  <c r="J118" i="4"/>
  <c r="X118" i="4" s="1"/>
  <c r="J119" i="4"/>
  <c r="X119" i="4" s="1"/>
  <c r="J120" i="4"/>
  <c r="X120" i="4" s="1"/>
  <c r="J121" i="4"/>
  <c r="X121" i="4" s="1"/>
  <c r="J122" i="4"/>
  <c r="X122" i="4" s="1"/>
  <c r="J123" i="4"/>
  <c r="X123" i="4" s="1"/>
  <c r="J124" i="4"/>
  <c r="X124" i="4" s="1"/>
  <c r="J125" i="4"/>
  <c r="X125" i="4" s="1"/>
  <c r="J126" i="4"/>
  <c r="X126" i="4" s="1"/>
  <c r="J127" i="4"/>
  <c r="X127" i="4" s="1"/>
  <c r="J128" i="4"/>
  <c r="X128" i="4" s="1"/>
  <c r="J129" i="4"/>
  <c r="X129" i="4" s="1"/>
  <c r="J130" i="4"/>
  <c r="X130" i="4" s="1"/>
  <c r="J87" i="4"/>
  <c r="W57" i="4"/>
  <c r="V87" i="4"/>
  <c r="U87" i="4"/>
  <c r="V130" i="4"/>
  <c r="U130" i="4"/>
  <c r="W130" i="4"/>
  <c r="C130" i="4"/>
  <c r="B130" i="4" s="1"/>
  <c r="B129" i="4"/>
  <c r="D12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49" i="4"/>
  <c r="O8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87" i="4"/>
  <c r="X87" i="4" l="1"/>
  <c r="J86" i="4"/>
  <c r="Q116" i="4"/>
  <c r="Q104" i="4"/>
  <c r="Q122" i="4"/>
  <c r="Q92" i="4"/>
  <c r="Q126" i="4"/>
  <c r="Q114" i="4"/>
  <c r="Q102" i="4"/>
  <c r="Q90" i="4"/>
  <c r="Q113" i="4"/>
  <c r="Q101" i="4"/>
  <c r="Q89" i="4"/>
  <c r="Q103" i="4"/>
  <c r="R87" i="4"/>
  <c r="Q127" i="4"/>
  <c r="R130" i="4"/>
  <c r="Q91" i="4"/>
  <c r="Q115" i="4"/>
  <c r="Q97" i="4"/>
  <c r="Q125" i="4"/>
  <c r="Q118" i="4"/>
  <c r="Q106" i="4"/>
  <c r="Q94" i="4"/>
  <c r="Q117" i="4"/>
  <c r="Q105" i="4"/>
  <c r="Q93" i="4"/>
  <c r="D130" i="4"/>
  <c r="Q130" i="4" s="1"/>
  <c r="Q121" i="4"/>
  <c r="Q120" i="4"/>
  <c r="Q108" i="4"/>
  <c r="Q96" i="4"/>
  <c r="Q109" i="4"/>
  <c r="Q119" i="4"/>
  <c r="Q107" i="4"/>
  <c r="Q95" i="4"/>
  <c r="Q129" i="4"/>
  <c r="Q124" i="4"/>
  <c r="Q88" i="4"/>
  <c r="Q99" i="4"/>
  <c r="Q98" i="4"/>
  <c r="Q87" i="4"/>
  <c r="Q112" i="4"/>
  <c r="Q123" i="4"/>
  <c r="Q110" i="4"/>
  <c r="Q128" i="4"/>
  <c r="Q100" i="4"/>
  <c r="Q111" i="4"/>
  <c r="S87" i="4"/>
  <c r="S130" i="4"/>
  <c r="P130" i="4"/>
  <c r="O130" i="4"/>
  <c r="S129" i="4"/>
  <c r="R129" i="4"/>
  <c r="P129" i="4"/>
  <c r="O129" i="4"/>
  <c r="S128" i="4"/>
  <c r="R128" i="4"/>
  <c r="P128" i="4"/>
  <c r="O128" i="4"/>
  <c r="S127" i="4"/>
  <c r="R127" i="4"/>
  <c r="P127" i="4"/>
  <c r="O127" i="4"/>
  <c r="S126" i="4"/>
  <c r="R126" i="4"/>
  <c r="P126" i="4"/>
  <c r="O126" i="4"/>
  <c r="S125" i="4"/>
  <c r="R125" i="4"/>
  <c r="P125" i="4"/>
  <c r="O125" i="4"/>
  <c r="S124" i="4"/>
  <c r="R124" i="4"/>
  <c r="P124" i="4"/>
  <c r="O124" i="4"/>
  <c r="S123" i="4"/>
  <c r="R123" i="4"/>
  <c r="P123" i="4"/>
  <c r="O123" i="4"/>
  <c r="S122" i="4"/>
  <c r="R122" i="4"/>
  <c r="P122" i="4"/>
  <c r="O122" i="4"/>
  <c r="S121" i="4"/>
  <c r="R121" i="4"/>
  <c r="P121" i="4"/>
  <c r="O121" i="4"/>
  <c r="S120" i="4"/>
  <c r="R120" i="4"/>
  <c r="P120" i="4"/>
  <c r="O120" i="4"/>
  <c r="S119" i="4"/>
  <c r="R119" i="4"/>
  <c r="P119" i="4"/>
  <c r="O119" i="4"/>
  <c r="S118" i="4"/>
  <c r="R118" i="4"/>
  <c r="P118" i="4"/>
  <c r="O118" i="4"/>
  <c r="S117" i="4"/>
  <c r="R117" i="4"/>
  <c r="P117" i="4"/>
  <c r="O117" i="4"/>
  <c r="S116" i="4"/>
  <c r="R116" i="4"/>
  <c r="P116" i="4"/>
  <c r="O116" i="4"/>
  <c r="S115" i="4"/>
  <c r="R115" i="4"/>
  <c r="P115" i="4"/>
  <c r="O115" i="4"/>
  <c r="S114" i="4"/>
  <c r="R114" i="4"/>
  <c r="P114" i="4"/>
  <c r="O114" i="4"/>
  <c r="S113" i="4"/>
  <c r="R113" i="4"/>
  <c r="P113" i="4"/>
  <c r="O113" i="4"/>
  <c r="S112" i="4"/>
  <c r="R112" i="4"/>
  <c r="P112" i="4"/>
  <c r="O112" i="4"/>
  <c r="S111" i="4"/>
  <c r="R111" i="4"/>
  <c r="P111" i="4"/>
  <c r="O111" i="4"/>
  <c r="S110" i="4"/>
  <c r="R110" i="4"/>
  <c r="P110" i="4"/>
  <c r="O110" i="4"/>
  <c r="S109" i="4"/>
  <c r="R109" i="4"/>
  <c r="P109" i="4"/>
  <c r="O109" i="4"/>
  <c r="S108" i="4"/>
  <c r="R108" i="4"/>
  <c r="P108" i="4"/>
  <c r="O108" i="4"/>
  <c r="S107" i="4"/>
  <c r="R107" i="4"/>
  <c r="P107" i="4"/>
  <c r="O107" i="4"/>
  <c r="S106" i="4"/>
  <c r="R106" i="4"/>
  <c r="P106" i="4"/>
  <c r="O106" i="4"/>
  <c r="S105" i="4"/>
  <c r="R105" i="4"/>
  <c r="P105" i="4"/>
  <c r="O105" i="4"/>
  <c r="S104" i="4"/>
  <c r="R104" i="4"/>
  <c r="P104" i="4"/>
  <c r="O104" i="4"/>
  <c r="S103" i="4"/>
  <c r="R103" i="4"/>
  <c r="P103" i="4"/>
  <c r="O103" i="4"/>
  <c r="S102" i="4"/>
  <c r="R102" i="4"/>
  <c r="P102" i="4"/>
  <c r="O102" i="4"/>
  <c r="S101" i="4"/>
  <c r="R101" i="4"/>
  <c r="P101" i="4"/>
  <c r="O101" i="4"/>
  <c r="S100" i="4"/>
  <c r="R100" i="4"/>
  <c r="P100" i="4"/>
  <c r="O100" i="4"/>
  <c r="S99" i="4"/>
  <c r="R99" i="4"/>
  <c r="P99" i="4"/>
  <c r="O99" i="4"/>
  <c r="S98" i="4"/>
  <c r="R98" i="4"/>
  <c r="P98" i="4"/>
  <c r="O98" i="4"/>
  <c r="S97" i="4"/>
  <c r="R97" i="4"/>
  <c r="P97" i="4"/>
  <c r="O97" i="4"/>
  <c r="S96" i="4"/>
  <c r="R96" i="4"/>
  <c r="P96" i="4"/>
  <c r="O96" i="4"/>
  <c r="S95" i="4"/>
  <c r="R95" i="4"/>
  <c r="P95" i="4"/>
  <c r="O95" i="4"/>
  <c r="S94" i="4"/>
  <c r="R94" i="4"/>
  <c r="P94" i="4"/>
  <c r="O94" i="4"/>
  <c r="S93" i="4"/>
  <c r="R93" i="4"/>
  <c r="P93" i="4"/>
  <c r="O93" i="4"/>
  <c r="S92" i="4"/>
  <c r="R92" i="4"/>
  <c r="P92" i="4"/>
  <c r="O92" i="4"/>
  <c r="S91" i="4"/>
  <c r="R91" i="4"/>
  <c r="P91" i="4"/>
  <c r="O91" i="4"/>
  <c r="S90" i="4"/>
  <c r="R90" i="4"/>
  <c r="P90" i="4"/>
  <c r="O90" i="4"/>
  <c r="S89" i="4"/>
  <c r="R89" i="4"/>
  <c r="P89" i="4"/>
  <c r="O89" i="4"/>
  <c r="S88" i="4"/>
  <c r="R88" i="4"/>
  <c r="P88" i="4"/>
  <c r="O88" i="4"/>
  <c r="P87" i="4"/>
  <c r="O31" i="2"/>
  <c r="K3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3" i="3"/>
  <c r="K85" i="2"/>
  <c r="M85" i="2" s="1"/>
  <c r="O85" i="2" s="1"/>
  <c r="K84" i="2"/>
  <c r="M84" i="2" s="1"/>
  <c r="O84" i="2" s="1"/>
  <c r="C84" i="2" s="1"/>
  <c r="K83" i="2"/>
  <c r="M83" i="2" s="1"/>
  <c r="O83" i="2" s="1"/>
  <c r="C83" i="2" s="1"/>
  <c r="K82" i="2"/>
  <c r="M82" i="2" s="1"/>
  <c r="O82" i="2" s="1"/>
  <c r="C82" i="2" s="1"/>
  <c r="K81" i="2"/>
  <c r="M81" i="2" s="1"/>
  <c r="O81" i="2" s="1"/>
  <c r="C81" i="2" s="1"/>
  <c r="K80" i="2"/>
  <c r="M80" i="2" s="1"/>
  <c r="O80" i="2" s="1"/>
  <c r="C80" i="2" s="1"/>
  <c r="K79" i="2"/>
  <c r="M79" i="2" s="1"/>
  <c r="O79" i="2" s="1"/>
  <c r="C79" i="2" s="1"/>
  <c r="K78" i="2"/>
  <c r="M78" i="2" s="1"/>
  <c r="O78" i="2" s="1"/>
  <c r="C78" i="2" s="1"/>
  <c r="K77" i="2"/>
  <c r="M77" i="2" s="1"/>
  <c r="O77" i="2" s="1"/>
  <c r="C77" i="2" s="1"/>
  <c r="K76" i="2"/>
  <c r="M76" i="2" s="1"/>
  <c r="O76" i="2" s="1"/>
  <c r="C76" i="2" s="1"/>
  <c r="K75" i="2"/>
  <c r="M75" i="2" s="1"/>
  <c r="O75" i="2" s="1"/>
  <c r="C75" i="2" s="1"/>
  <c r="K74" i="2"/>
  <c r="M74" i="2" s="1"/>
  <c r="O74" i="2" s="1"/>
  <c r="C74" i="2" s="1"/>
  <c r="K73" i="2"/>
  <c r="M73" i="2" s="1"/>
  <c r="O73" i="2" s="1"/>
  <c r="C73" i="2" s="1"/>
  <c r="K72" i="2"/>
  <c r="M72" i="2" s="1"/>
  <c r="O72" i="2" s="1"/>
  <c r="C72" i="2" s="1"/>
  <c r="K71" i="2"/>
  <c r="M71" i="2" s="1"/>
  <c r="O71" i="2" s="1"/>
  <c r="C71" i="2" s="1"/>
  <c r="K70" i="2"/>
  <c r="M70" i="2" s="1"/>
  <c r="O70" i="2" s="1"/>
  <c r="C70" i="2" s="1"/>
  <c r="K69" i="2"/>
  <c r="M69" i="2" s="1"/>
  <c r="O69" i="2" s="1"/>
  <c r="C69" i="2" s="1"/>
  <c r="K68" i="2"/>
  <c r="M68" i="2" s="1"/>
  <c r="O68" i="2" s="1"/>
  <c r="C68" i="2" s="1"/>
  <c r="K67" i="2"/>
  <c r="M67" i="2" s="1"/>
  <c r="O67" i="2" s="1"/>
  <c r="C67" i="2" s="1"/>
  <c r="K66" i="2"/>
  <c r="M66" i="2" s="1"/>
  <c r="O66" i="2" s="1"/>
  <c r="C66" i="2" s="1"/>
  <c r="K65" i="2"/>
  <c r="M65" i="2" s="1"/>
  <c r="O65" i="2" s="1"/>
  <c r="C65" i="2" s="1"/>
  <c r="K64" i="2"/>
  <c r="M64" i="2" s="1"/>
  <c r="O64" i="2" s="1"/>
  <c r="C64" i="2" s="1"/>
  <c r="K63" i="2"/>
  <c r="M63" i="2" s="1"/>
  <c r="O63" i="2" s="1"/>
  <c r="C63" i="2" s="1"/>
  <c r="K62" i="2"/>
  <c r="M62" i="2" s="1"/>
  <c r="O62" i="2" s="1"/>
  <c r="C62" i="2" s="1"/>
  <c r="K61" i="2"/>
  <c r="M61" i="2" s="1"/>
  <c r="O61" i="2" s="1"/>
  <c r="C61" i="2" s="1"/>
  <c r="K60" i="2"/>
  <c r="M60" i="2" s="1"/>
  <c r="O60" i="2" s="1"/>
  <c r="C60" i="2" s="1"/>
  <c r="K59" i="2"/>
  <c r="M59" i="2" s="1"/>
  <c r="O59" i="2" s="1"/>
  <c r="C59" i="2" s="1"/>
  <c r="K58" i="2"/>
  <c r="M58" i="2" s="1"/>
  <c r="O58" i="2" s="1"/>
  <c r="C58" i="2" s="1"/>
  <c r="K57" i="2"/>
  <c r="M57" i="2" s="1"/>
  <c r="O57" i="2" s="1"/>
  <c r="C57" i="2" s="1"/>
  <c r="K56" i="2"/>
  <c r="M56" i="2" s="1"/>
  <c r="O56" i="2" s="1"/>
  <c r="C56" i="2" s="1"/>
  <c r="K55" i="2"/>
  <c r="M55" i="2" s="1"/>
  <c r="O55" i="2" s="1"/>
  <c r="C55" i="2" s="1"/>
  <c r="K54" i="2"/>
  <c r="M54" i="2" s="1"/>
  <c r="O54" i="2" s="1"/>
  <c r="C54" i="2" s="1"/>
  <c r="K53" i="2"/>
  <c r="M53" i="2" s="1"/>
  <c r="O53" i="2" s="1"/>
  <c r="C53" i="2"/>
  <c r="AG52" i="2"/>
  <c r="K52" i="2"/>
  <c r="M52" i="2" s="1"/>
  <c r="O52" i="2" s="1"/>
  <c r="C52" i="2" s="1"/>
  <c r="AG51" i="2"/>
  <c r="K51" i="2"/>
  <c r="M51" i="2" s="1"/>
  <c r="O51" i="2" s="1"/>
  <c r="C51" i="2" s="1"/>
  <c r="AG50" i="2"/>
  <c r="K50" i="2"/>
  <c r="M50" i="2" s="1"/>
  <c r="O50" i="2" s="1"/>
  <c r="C50" i="2" s="1"/>
  <c r="AG49" i="2"/>
  <c r="K49" i="2"/>
  <c r="M49" i="2" s="1"/>
  <c r="O49" i="2" s="1"/>
  <c r="C49" i="2" s="1"/>
  <c r="AG48" i="2"/>
  <c r="K48" i="2"/>
  <c r="M48" i="2" s="1"/>
  <c r="O48" i="2" s="1"/>
  <c r="C48" i="2" s="1"/>
  <c r="AG47" i="2"/>
  <c r="K47" i="2"/>
  <c r="M47" i="2" s="1"/>
  <c r="O47" i="2" s="1"/>
  <c r="C47" i="2" s="1"/>
  <c r="AG46" i="2"/>
  <c r="K46" i="2"/>
  <c r="M46" i="2" s="1"/>
  <c r="O46" i="2" s="1"/>
  <c r="C46" i="2" s="1"/>
  <c r="AG45" i="2"/>
  <c r="K45" i="2"/>
  <c r="M45" i="2" s="1"/>
  <c r="O45" i="2" s="1"/>
  <c r="C45" i="2" s="1"/>
  <c r="AG44" i="2"/>
  <c r="K44" i="2"/>
  <c r="M44" i="2" s="1"/>
  <c r="O44" i="2" s="1"/>
  <c r="C44" i="2" s="1"/>
  <c r="AG43" i="2"/>
  <c r="K43" i="2"/>
  <c r="M43" i="2" s="1"/>
  <c r="O43" i="2" s="1"/>
  <c r="C43" i="2" s="1"/>
  <c r="AG42" i="2"/>
  <c r="K42" i="2"/>
  <c r="M42" i="2" s="1"/>
  <c r="O42" i="2" s="1"/>
  <c r="C42" i="2" s="1"/>
  <c r="AG41" i="2"/>
  <c r="K41" i="2"/>
  <c r="M41" i="2" s="1"/>
  <c r="O41" i="2" s="1"/>
  <c r="C41" i="2"/>
  <c r="AG40" i="2"/>
  <c r="K40" i="2"/>
  <c r="M40" i="2" s="1"/>
  <c r="O40" i="2" s="1"/>
  <c r="C40" i="2" s="1"/>
  <c r="AG39" i="2"/>
  <c r="K39" i="2"/>
  <c r="M39" i="2" s="1"/>
  <c r="O39" i="2" s="1"/>
  <c r="C39" i="2" s="1"/>
  <c r="AG38" i="2"/>
  <c r="K38" i="2"/>
  <c r="M38" i="2" s="1"/>
  <c r="O38" i="2" s="1"/>
  <c r="C38" i="2" s="1"/>
  <c r="AG37" i="2"/>
  <c r="K37" i="2"/>
  <c r="M37" i="2" s="1"/>
  <c r="O37" i="2" s="1"/>
  <c r="C37" i="2" s="1"/>
  <c r="AG36" i="2"/>
  <c r="K36" i="2"/>
  <c r="M36" i="2" s="1"/>
  <c r="O36" i="2" s="1"/>
  <c r="C36" i="2" s="1"/>
  <c r="AG35" i="2"/>
  <c r="K35" i="2"/>
  <c r="M35" i="2" s="1"/>
  <c r="O35" i="2" s="1"/>
  <c r="C35" i="2"/>
  <c r="AG34" i="2"/>
  <c r="K34" i="2"/>
  <c r="M34" i="2" s="1"/>
  <c r="O34" i="2" s="1"/>
  <c r="C34" i="2" s="1"/>
  <c r="AG33" i="2"/>
  <c r="K33" i="2"/>
  <c r="M33" i="2" s="1"/>
  <c r="O33" i="2" s="1"/>
  <c r="C33" i="2" s="1"/>
  <c r="AG32" i="2"/>
  <c r="K32" i="2"/>
  <c r="M32" i="2" s="1"/>
  <c r="O32" i="2" s="1"/>
  <c r="C32" i="2"/>
  <c r="AG31" i="2"/>
  <c r="M31" i="2"/>
  <c r="C31" i="2" s="1"/>
  <c r="J85" i="4" l="1"/>
  <c r="J84" i="4" l="1"/>
  <c r="J83" i="4" l="1"/>
  <c r="J82" i="4" l="1"/>
  <c r="J81" i="4" l="1"/>
  <c r="J80" i="4" l="1"/>
  <c r="J79" i="4" l="1"/>
  <c r="J78" i="4" l="1"/>
  <c r="J77" i="4" l="1"/>
  <c r="J76" i="4" l="1"/>
  <c r="J75" i="4" l="1"/>
  <c r="J74" i="4" l="1"/>
  <c r="J73" i="4" l="1"/>
  <c r="J72" i="4" l="1"/>
  <c r="J71" i="4" l="1"/>
  <c r="J70" i="4" l="1"/>
  <c r="J69" i="4" l="1"/>
  <c r="J68" i="4" l="1"/>
  <c r="J67" i="4" l="1"/>
  <c r="J66" i="4" l="1"/>
  <c r="J65" i="4" l="1"/>
  <c r="J64" i="4" l="1"/>
  <c r="J63" i="4" l="1"/>
  <c r="J62" i="4" l="1"/>
  <c r="J61" i="4" l="1"/>
  <c r="J60" i="4" l="1"/>
  <c r="J59" i="4" l="1"/>
  <c r="J58" i="4" l="1"/>
  <c r="J57" i="4" l="1"/>
  <c r="J56" i="4" l="1"/>
  <c r="J55" i="4" l="1"/>
  <c r="J54" i="4" l="1"/>
  <c r="J53" i="4" l="1"/>
  <c r="J52" i="4" l="1"/>
  <c r="J51" i="4" l="1"/>
  <c r="J50" i="4" l="1"/>
  <c r="J49" i="4" l="1"/>
  <c r="J48" i="4" l="1"/>
  <c r="J47" i="4" l="1"/>
  <c r="J46" i="4" l="1"/>
  <c r="J45" i="4" l="1"/>
  <c r="J44" i="4" l="1"/>
  <c r="J43" i="4" l="1"/>
  <c r="J42" i="4" l="1"/>
  <c r="J41" i="4" l="1"/>
  <c r="J40" i="4" l="1"/>
  <c r="J39" i="4" l="1"/>
  <c r="J38" i="4" l="1"/>
  <c r="J37" i="4" l="1"/>
  <c r="J36" i="4" l="1"/>
  <c r="J35" i="4" l="1"/>
  <c r="J34" i="4" l="1"/>
  <c r="J33" i="4" l="1"/>
  <c r="J32" i="4" l="1"/>
  <c r="J31" i="4" l="1"/>
  <c r="J30" i="4" l="1"/>
  <c r="J29" i="4" l="1"/>
  <c r="J28" i="4" l="1"/>
  <c r="J27" i="4" l="1"/>
  <c r="Y28" i="4"/>
  <c r="J26" i="4" l="1"/>
  <c r="Y27" i="4"/>
  <c r="J25" i="4" l="1"/>
  <c r="Y26" i="4"/>
  <c r="J24" i="4" l="1"/>
  <c r="Y25" i="4"/>
  <c r="J23" i="4" l="1"/>
  <c r="Y24" i="4"/>
  <c r="J22" i="4" l="1"/>
  <c r="Y23" i="4"/>
  <c r="J21" i="4" l="1"/>
  <c r="Y22" i="4"/>
  <c r="J20" i="4" l="1"/>
  <c r="Y21" i="4"/>
  <c r="J19" i="4" l="1"/>
  <c r="Y20" i="4"/>
  <c r="J18" i="4" l="1"/>
  <c r="Y19" i="4"/>
  <c r="J17" i="4" l="1"/>
  <c r="Y18" i="4"/>
  <c r="J16" i="4" l="1"/>
  <c r="Y17" i="4"/>
  <c r="J15" i="4" l="1"/>
  <c r="Y16" i="4"/>
  <c r="J14" i="4" l="1"/>
  <c r="Y15" i="4"/>
  <c r="J13" i="4" l="1"/>
  <c r="Y14" i="4"/>
  <c r="J12" i="4" l="1"/>
  <c r="Y13" i="4"/>
  <c r="J11" i="4" l="1"/>
  <c r="Y12" i="4"/>
  <c r="J10" i="4" l="1"/>
  <c r="Y11" i="4"/>
  <c r="J9" i="4" l="1"/>
  <c r="Y10" i="4"/>
  <c r="J8" i="4" l="1"/>
  <c r="Y9" i="4"/>
  <c r="J7" i="4" l="1"/>
  <c r="Y8" i="4"/>
  <c r="J6" i="4" l="1"/>
  <c r="Y7" i="4"/>
  <c r="J5" i="4" l="1"/>
  <c r="Y6" i="4"/>
  <c r="J4" i="4" l="1"/>
  <c r="Y5" i="4"/>
  <c r="J3" i="4" l="1"/>
  <c r="Y3" i="4" s="1"/>
  <c r="Y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tc={D7701BA8-F7A3-487E-A135-12E4507F9666}</author>
  </authors>
  <commentList>
    <comment ref="C2" authorId="0" shapeId="0" xr:uid="{D7701BA8-F7A3-487E-A135-12E4507F96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Includes CFC</t>
      </text>
    </comment>
  </commentList>
</comments>
</file>

<file path=xl/sharedStrings.xml><?xml version="1.0" encoding="utf-8"?>
<sst xmlns="http://schemas.openxmlformats.org/spreadsheetml/2006/main" count="189" uniqueCount="76">
  <si>
    <t>Year</t>
  </si>
  <si>
    <t>Labor income (current soles)</t>
  </si>
  <si>
    <t>Profit income (current soles)</t>
  </si>
  <si>
    <t>Mixed income (current soles)</t>
  </si>
  <si>
    <t>T_production (current soles)</t>
  </si>
  <si>
    <t>Gross Domestic Product  (current soles)</t>
  </si>
  <si>
    <t>Gross Domestic Product  (constant soles, 2007)</t>
  </si>
  <si>
    <t>CFC (current soles)</t>
  </si>
  <si>
    <t>Net Foreign Income</t>
  </si>
  <si>
    <t>Net Domestic Product</t>
  </si>
  <si>
    <t>Net National Income</t>
  </si>
  <si>
    <t>Wage Share = [ceugo + ceuco + ceuhn]/market-price GDP</t>
  </si>
  <si>
    <t>Gross Mixed Income Share</t>
  </si>
  <si>
    <t>Castillo-García (2026)</t>
  </si>
  <si>
    <t>Dietrich et al (2025)</t>
  </si>
  <si>
    <t>INE (1981)</t>
  </si>
  <si>
    <t>INEI (2013)</t>
  </si>
  <si>
    <t>INEI (2025)</t>
  </si>
  <si>
    <t xml:space="preserve">Year </t>
  </si>
  <si>
    <t>Labor Share in Total Economy (% GDP factor price) (WID)</t>
  </si>
  <si>
    <t>GDP factor price (gvato) (billion soles)</t>
  </si>
  <si>
    <t>Gross Mixed Income (gmxhn) (billion soles)</t>
  </si>
  <si>
    <t>ceugo + ceuco + ceuhn (billion soles)</t>
  </si>
  <si>
    <t>GDP market price</t>
  </si>
  <si>
    <t>WID (2025) data</t>
  </si>
  <si>
    <t>ceugo + ceuco + ceuhn +0.6*gmxhn (billion soles)</t>
  </si>
  <si>
    <t>Wage Share on market price GDP</t>
  </si>
  <si>
    <t>Capital stock at current PPPs (in bil.  2021US$)</t>
  </si>
  <si>
    <t>PWT 11.0</t>
  </si>
  <si>
    <t>WID - Bauluz et al (2025)</t>
  </si>
  <si>
    <t>WID - Dietrich et al (2025)</t>
  </si>
  <si>
    <t>2011=100</t>
  </si>
  <si>
    <t>K - Castillo-García (2026)</t>
  </si>
  <si>
    <t>K - Bauluz et al (2025) - WID</t>
  </si>
  <si>
    <t>GDP - Dietrich et al (2025) - WID</t>
  </si>
  <si>
    <t>K - PWT 11.0</t>
  </si>
  <si>
    <t>K-Y</t>
  </si>
  <si>
    <t>WID</t>
  </si>
  <si>
    <t>Capital Stock (mill. soles 2007)</t>
  </si>
  <si>
    <t>Market Price GDP (soles 2007)</t>
  </si>
  <si>
    <t>Adjusted Capital Stock (mill. soles 2007)</t>
  </si>
  <si>
    <t>Output-side real GDP at current PPPs (in mil. 2021US$)</t>
  </si>
  <si>
    <t>Capital Stock (soles)</t>
  </si>
  <si>
    <t>Adjusted K - Castillo-García (2026)</t>
  </si>
  <si>
    <t>Adjusted Capital Stock (soles)</t>
  </si>
  <si>
    <t>Adjusted K-Y</t>
  </si>
  <si>
    <t>WID - Bauluz et al (2025) and Castillo-García (2026)</t>
  </si>
  <si>
    <t>GDP deflator (2007=100)</t>
  </si>
  <si>
    <t>WID-Castillo-García (2026)</t>
  </si>
  <si>
    <t>Market Price GDP (soles)</t>
  </si>
  <si>
    <t>Market Price GDP (nominal) - Spliced</t>
  </si>
  <si>
    <t>Non-Financial Assets Spliced Series (soles)</t>
  </si>
  <si>
    <t>Domestic Capital (soles)</t>
  </si>
  <si>
    <t>Market Price GDP (nominal soles)</t>
  </si>
  <si>
    <t>K-Y France</t>
  </si>
  <si>
    <t>K-Y USA</t>
  </si>
  <si>
    <t>K-Y Mexico</t>
  </si>
  <si>
    <t>K-Y Colombia</t>
  </si>
  <si>
    <t>K-Y spliced</t>
  </si>
  <si>
    <t>Non-Financial Assets (soles) - Spliced WID and Castillo-García (2026)</t>
  </si>
  <si>
    <t>Non-Financial Assets (soles) (Castillo-García 2026)</t>
  </si>
  <si>
    <t>Gross Domestic Product, Factor Shares, Real Gross Domestic Product, Non-Financial Assets 1896-2023 (nuevos soles)</t>
  </si>
  <si>
    <t>PE</t>
  </si>
  <si>
    <t>country</t>
  </si>
  <si>
    <t>year</t>
  </si>
  <si>
    <t>mnwnfa</t>
  </si>
  <si>
    <t>soles</t>
  </si>
  <si>
    <t>ynwnfa</t>
  </si>
  <si>
    <t>wnwnfa</t>
  </si>
  <si>
    <t>% GDP</t>
  </si>
  <si>
    <t>% NNI</t>
  </si>
  <si>
    <t>gdpro</t>
  </si>
  <si>
    <t>nninc</t>
  </si>
  <si>
    <t>notes:</t>
  </si>
  <si>
    <t>market-price GDP in current soles</t>
  </si>
  <si>
    <t>current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</si>
</sst>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_ * #,##0.000_ ;_ * \-#,##0.000_ ;_ * &quot;-&quot;??_ ;_ @_ "/>
    <numFmt numFmtId="166" formatCode="_-* #,##0.000_-;\-* #,##0.0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0" borderId="1" xfId="1" applyNumberFormat="1" applyFont="1" applyBorder="1"/>
    <xf numFmtId="165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2" applyFill="1" applyBorder="1" applyAlignment="1" applyProtection="1"/>
    <xf numFmtId="3" fontId="0" fillId="0" borderId="0" xfId="0" applyNumberFormat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/>
    <xf numFmtId="4" fontId="0" fillId="0" borderId="0" xfId="0" applyNumberFormat="1"/>
    <xf numFmtId="43" fontId="0" fillId="0" borderId="1" xfId="0" applyNumberFormat="1" applyBorder="1" applyAlignment="1">
      <alignment horizontal="center" vertical="center"/>
    </xf>
    <xf numFmtId="166" fontId="0" fillId="0" borderId="1" xfId="0" applyNumberFormat="1" applyBorder="1"/>
    <xf numFmtId="0" fontId="5" fillId="0" borderId="0" xfId="3"/>
    <xf numFmtId="43" fontId="0" fillId="2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3" borderId="1" xfId="0" applyNumberFormat="1" applyFill="1" applyBorder="1" applyAlignment="1">
      <alignment horizontal="center" vertical="center"/>
    </xf>
    <xf numFmtId="9" fontId="0" fillId="0" borderId="0" xfId="4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1" fillId="0" borderId="0" xfId="4" applyFont="1"/>
    <xf numFmtId="0" fontId="0" fillId="0" borderId="0" xfId="0" quotePrefix="1"/>
    <xf numFmtId="43" fontId="0" fillId="0" borderId="0" xfId="0" quotePrefix="1" applyNumberFormat="1"/>
    <xf numFmtId="43" fontId="0" fillId="0" borderId="0" xfId="0" applyNumberFormat="1"/>
  </cellXfs>
  <cellStyles count="5">
    <cellStyle name="Milliers" xfId="1" builtinId="3"/>
    <cellStyle name="Normal" xfId="0" builtinId="0"/>
    <cellStyle name="Normal 2" xfId="2" xr:uid="{1BF14BBC-B04E-49DA-8D24-FA94D84B1BB8}"/>
    <cellStyle name="Normal 3" xfId="3" xr:uid="{2BC85329-C5A3-46F9-A8E6-D5D135B8BA6C}"/>
    <cellStyle name="Pourcentage" xfId="4" builtinId="5"/>
  </cellStyles>
  <dxfs count="0"/>
  <tableStyles count="0" defaultTableStyle="TableStyleMedium2" defaultPivotStyle="PivotStyleLight16"/>
  <colors>
    <mruColors>
      <color rgb="FF0000CC"/>
      <color rgb="FFCC99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Castillo-García (2026)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val>
            <c:numRef>
              <c:f>[1]Comparisons!$B$31:$B$84</c:f>
              <c:numCache>
                <c:formatCode>General</c:formatCode>
                <c:ptCount val="54"/>
                <c:pt idx="0">
                  <c:v>36.784205634944186</c:v>
                </c:pt>
                <c:pt idx="1">
                  <c:v>38.635159566176746</c:v>
                </c:pt>
                <c:pt idx="2">
                  <c:v>39.820421290232915</c:v>
                </c:pt>
                <c:pt idx="3">
                  <c:v>38.545798211224295</c:v>
                </c:pt>
                <c:pt idx="4">
                  <c:v>36.834338221199978</c:v>
                </c:pt>
                <c:pt idx="5">
                  <c:v>37.353461470395402</c:v>
                </c:pt>
                <c:pt idx="6">
                  <c:v>38.049664230087807</c:v>
                </c:pt>
                <c:pt idx="7">
                  <c:v>36.832365225857608</c:v>
                </c:pt>
                <c:pt idx="8">
                  <c:v>32.572751933660541</c:v>
                </c:pt>
                <c:pt idx="9">
                  <c:v>28.108882521489971</c:v>
                </c:pt>
                <c:pt idx="10">
                  <c:v>30.54431506080401</c:v>
                </c:pt>
                <c:pt idx="11">
                  <c:v>32.624907135979818</c:v>
                </c:pt>
                <c:pt idx="12">
                  <c:v>34.668473603915494</c:v>
                </c:pt>
                <c:pt idx="13">
                  <c:v>36.800575659487073</c:v>
                </c:pt>
                <c:pt idx="14">
                  <c:v>34.497689764798636</c:v>
                </c:pt>
                <c:pt idx="15">
                  <c:v>32.532351873963883</c:v>
                </c:pt>
                <c:pt idx="16">
                  <c:v>37.326400970017801</c:v>
                </c:pt>
                <c:pt idx="17">
                  <c:v>41.157624141056267</c:v>
                </c:pt>
                <c:pt idx="18">
                  <c:v>35.039391424571981</c:v>
                </c:pt>
                <c:pt idx="19">
                  <c:v>36.157093200704438</c:v>
                </c:pt>
                <c:pt idx="20">
                  <c:v>34.840323534406721</c:v>
                </c:pt>
                <c:pt idx="21">
                  <c:v>30.064453271378248</c:v>
                </c:pt>
                <c:pt idx="22">
                  <c:v>26.447623072987341</c:v>
                </c:pt>
                <c:pt idx="23">
                  <c:v>24.99350293090006</c:v>
                </c:pt>
                <c:pt idx="24">
                  <c:v>25.123507511894257</c:v>
                </c:pt>
                <c:pt idx="25">
                  <c:v>25.853043744582592</c:v>
                </c:pt>
                <c:pt idx="26">
                  <c:v>26.284679044342436</c:v>
                </c:pt>
                <c:pt idx="27">
                  <c:v>26.187606625699733</c:v>
                </c:pt>
                <c:pt idx="28">
                  <c:v>27.303387633009756</c:v>
                </c:pt>
                <c:pt idx="29">
                  <c:v>28.418597685018952</c:v>
                </c:pt>
                <c:pt idx="30">
                  <c:v>28.655983221763577</c:v>
                </c:pt>
                <c:pt idx="31">
                  <c:v>30.322535552747027</c:v>
                </c:pt>
                <c:pt idx="32">
                  <c:v>30.988151383258305</c:v>
                </c:pt>
                <c:pt idx="33">
                  <c:v>31.800830928570317</c:v>
                </c:pt>
                <c:pt idx="34">
                  <c:v>31.319242104643379</c:v>
                </c:pt>
                <c:pt idx="35">
                  <c:v>30.968854882955021</c:v>
                </c:pt>
                <c:pt idx="36">
                  <c:v>30.274901150407068</c:v>
                </c:pt>
                <c:pt idx="37">
                  <c:v>30.694134685463876</c:v>
                </c:pt>
                <c:pt idx="38">
                  <c:v>30.605382755111005</c:v>
                </c:pt>
                <c:pt idx="39">
                  <c:v>31.301055385046556</c:v>
                </c:pt>
                <c:pt idx="40">
                  <c:v>30.283792084149102</c:v>
                </c:pt>
                <c:pt idx="41">
                  <c:v>29.763935659942202</c:v>
                </c:pt>
                <c:pt idx="42">
                  <c:v>30.721998854626076</c:v>
                </c:pt>
                <c:pt idx="43">
                  <c:v>31.207640059165936</c:v>
                </c:pt>
                <c:pt idx="44">
                  <c:v>31.666318738476708</c:v>
                </c:pt>
                <c:pt idx="45">
                  <c:v>31.824107899195258</c:v>
                </c:pt>
                <c:pt idx="46">
                  <c:v>31.524947967168366</c:v>
                </c:pt>
                <c:pt idx="47">
                  <c:v>31.236691284308328</c:v>
                </c:pt>
                <c:pt idx="48">
                  <c:v>31.193261466236759</c:v>
                </c:pt>
                <c:pt idx="49">
                  <c:v>31.206530547045148</c:v>
                </c:pt>
                <c:pt idx="50">
                  <c:v>30.905720150870479</c:v>
                </c:pt>
                <c:pt idx="51">
                  <c:v>28.222067897720809</c:v>
                </c:pt>
                <c:pt idx="52">
                  <c:v>28.718784677080674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[1]Comparisons!$A$31:$A$84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1970</c:v>
                      </c:pt>
                      <c:pt idx="1">
                        <c:v>1971</c:v>
                      </c:pt>
                      <c:pt idx="2">
                        <c:v>1972</c:v>
                      </c:pt>
                      <c:pt idx="3">
                        <c:v>1973</c:v>
                      </c:pt>
                      <c:pt idx="4">
                        <c:v>1974</c:v>
                      </c:pt>
                      <c:pt idx="5">
                        <c:v>1975</c:v>
                      </c:pt>
                      <c:pt idx="6">
                        <c:v>1976</c:v>
                      </c:pt>
                      <c:pt idx="7">
                        <c:v>1977</c:v>
                      </c:pt>
                      <c:pt idx="8">
                        <c:v>1978</c:v>
                      </c:pt>
                      <c:pt idx="9">
                        <c:v>1979</c:v>
                      </c:pt>
                      <c:pt idx="10">
                        <c:v>1980</c:v>
                      </c:pt>
                      <c:pt idx="11">
                        <c:v>1981</c:v>
                      </c:pt>
                      <c:pt idx="12">
                        <c:v>1982</c:v>
                      </c:pt>
                      <c:pt idx="13">
                        <c:v>1983</c:v>
                      </c:pt>
                      <c:pt idx="14">
                        <c:v>1984</c:v>
                      </c:pt>
                      <c:pt idx="15">
                        <c:v>1985</c:v>
                      </c:pt>
                      <c:pt idx="16">
                        <c:v>1986</c:v>
                      </c:pt>
                      <c:pt idx="17">
                        <c:v>1987</c:v>
                      </c:pt>
                      <c:pt idx="18">
                        <c:v>1988</c:v>
                      </c:pt>
                      <c:pt idx="19">
                        <c:v>1989</c:v>
                      </c:pt>
                      <c:pt idx="20">
                        <c:v>1990</c:v>
                      </c:pt>
                      <c:pt idx="21">
                        <c:v>1991</c:v>
                      </c:pt>
                      <c:pt idx="22">
                        <c:v>1992</c:v>
                      </c:pt>
                      <c:pt idx="23">
                        <c:v>1993</c:v>
                      </c:pt>
                      <c:pt idx="24">
                        <c:v>1994</c:v>
                      </c:pt>
                      <c:pt idx="25">
                        <c:v>1995</c:v>
                      </c:pt>
                      <c:pt idx="26">
                        <c:v>1996</c:v>
                      </c:pt>
                      <c:pt idx="27">
                        <c:v>1997</c:v>
                      </c:pt>
                      <c:pt idx="28">
                        <c:v>1998</c:v>
                      </c:pt>
                      <c:pt idx="29">
                        <c:v>1999</c:v>
                      </c:pt>
                      <c:pt idx="30">
                        <c:v>2000</c:v>
                      </c:pt>
                      <c:pt idx="31">
                        <c:v>2001</c:v>
                      </c:pt>
                      <c:pt idx="32">
                        <c:v>2002</c:v>
                      </c:pt>
                      <c:pt idx="33">
                        <c:v>2003</c:v>
                      </c:pt>
                      <c:pt idx="34">
                        <c:v>2004</c:v>
                      </c:pt>
                      <c:pt idx="35">
                        <c:v>2005</c:v>
                      </c:pt>
                      <c:pt idx="36">
                        <c:v>2006</c:v>
                      </c:pt>
                      <c:pt idx="37">
                        <c:v>2007</c:v>
                      </c:pt>
                      <c:pt idx="38">
                        <c:v>2008</c:v>
                      </c:pt>
                      <c:pt idx="39">
                        <c:v>2009</c:v>
                      </c:pt>
                      <c:pt idx="40">
                        <c:v>2010</c:v>
                      </c:pt>
                      <c:pt idx="41">
                        <c:v>2011</c:v>
                      </c:pt>
                      <c:pt idx="42">
                        <c:v>2012</c:v>
                      </c:pt>
                      <c:pt idx="43">
                        <c:v>2013</c:v>
                      </c:pt>
                      <c:pt idx="44">
                        <c:v>2014</c:v>
                      </c:pt>
                      <c:pt idx="45">
                        <c:v>2015</c:v>
                      </c:pt>
                      <c:pt idx="46">
                        <c:v>2016</c:v>
                      </c:pt>
                      <c:pt idx="47">
                        <c:v>2017</c:v>
                      </c:pt>
                      <c:pt idx="48">
                        <c:v>2018</c:v>
                      </c:pt>
                      <c:pt idx="49">
                        <c:v>2019</c:v>
                      </c:pt>
                      <c:pt idx="50">
                        <c:v>2020</c:v>
                      </c:pt>
                      <c:pt idx="51">
                        <c:v>2021</c:v>
                      </c:pt>
                      <c:pt idx="52">
                        <c:v>2022</c:v>
                      </c:pt>
                      <c:pt idx="53">
                        <c:v>2023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966-4E48-95DC-CB2BB9774ED8}"/>
            </c:ext>
          </c:extLst>
        </c:ser>
        <c:ser>
          <c:idx val="1"/>
          <c:order val="1"/>
          <c:tx>
            <c:strRef>
              <c:f>[1]Comparisons!$C$2</c:f>
              <c:strCache>
                <c:ptCount val="1"/>
                <c:pt idx="0">
                  <c:v>Dietrich et al (2025)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[1]Comparisons!$C$31:$C$84</c:f>
              <c:numCache>
                <c:formatCode>General</c:formatCode>
                <c:ptCount val="54"/>
                <c:pt idx="0">
                  <c:v>36.032823896170889</c:v>
                </c:pt>
                <c:pt idx="1">
                  <c:v>37.188651726568224</c:v>
                </c:pt>
                <c:pt idx="2">
                  <c:v>39.617326360905764</c:v>
                </c:pt>
                <c:pt idx="3">
                  <c:v>39.851130365977127</c:v>
                </c:pt>
                <c:pt idx="4">
                  <c:v>37.983809589973603</c:v>
                </c:pt>
                <c:pt idx="5">
                  <c:v>37.414247457539915</c:v>
                </c:pt>
                <c:pt idx="6">
                  <c:v>37.379647612841794</c:v>
                </c:pt>
                <c:pt idx="7">
                  <c:v>36.956889505262346</c:v>
                </c:pt>
                <c:pt idx="8">
                  <c:v>31.557788318959592</c:v>
                </c:pt>
                <c:pt idx="9">
                  <c:v>26.284398058144646</c:v>
                </c:pt>
                <c:pt idx="10">
                  <c:v>27.854563569786073</c:v>
                </c:pt>
                <c:pt idx="11">
                  <c:v>29.004463656305312</c:v>
                </c:pt>
                <c:pt idx="12">
                  <c:v>29.989660061246052</c:v>
                </c:pt>
                <c:pt idx="13">
                  <c:v>30.905380446420246</c:v>
                </c:pt>
                <c:pt idx="14">
                  <c:v>27.938084038114518</c:v>
                </c:pt>
                <c:pt idx="15">
                  <c:v>25.727787002197889</c:v>
                </c:pt>
                <c:pt idx="16">
                  <c:v>28.672947064036499</c:v>
                </c:pt>
                <c:pt idx="17">
                  <c:v>30.901761395120015</c:v>
                </c:pt>
                <c:pt idx="18">
                  <c:v>24.993744773411162</c:v>
                </c:pt>
                <c:pt idx="19">
                  <c:v>26.675205195082185</c:v>
                </c:pt>
                <c:pt idx="20">
                  <c:v>25.454581365587135</c:v>
                </c:pt>
                <c:pt idx="21">
                  <c:v>21.02828457798347</c:v>
                </c:pt>
                <c:pt idx="22">
                  <c:v>21.848216486140785</c:v>
                </c:pt>
                <c:pt idx="23">
                  <c:v>21.043610379565049</c:v>
                </c:pt>
                <c:pt idx="24">
                  <c:v>21.7022823167821</c:v>
                </c:pt>
                <c:pt idx="25">
                  <c:v>22.5589691942298</c:v>
                </c:pt>
                <c:pt idx="26">
                  <c:v>23.021325392425421</c:v>
                </c:pt>
                <c:pt idx="27">
                  <c:v>23.454414968355181</c:v>
                </c:pt>
                <c:pt idx="28">
                  <c:v>24.145591114216991</c:v>
                </c:pt>
                <c:pt idx="29">
                  <c:v>24.848843728449204</c:v>
                </c:pt>
                <c:pt idx="30">
                  <c:v>25.561740958446102</c:v>
                </c:pt>
                <c:pt idx="31">
                  <c:v>26.203562947817328</c:v>
                </c:pt>
                <c:pt idx="32">
                  <c:v>26.917762187756523</c:v>
                </c:pt>
                <c:pt idx="33">
                  <c:v>27.605894910114881</c:v>
                </c:pt>
                <c:pt idx="34">
                  <c:v>28.235610191329883</c:v>
                </c:pt>
                <c:pt idx="35">
                  <c:v>29.023440012771459</c:v>
                </c:pt>
                <c:pt idx="36">
                  <c:v>29.710990468079125</c:v>
                </c:pt>
                <c:pt idx="37">
                  <c:v>30.57089269842853</c:v>
                </c:pt>
                <c:pt idx="38">
                  <c:v>30.469163436106946</c:v>
                </c:pt>
                <c:pt idx="39">
                  <c:v>31.145054721936276</c:v>
                </c:pt>
                <c:pt idx="40">
                  <c:v>30.126750799154586</c:v>
                </c:pt>
                <c:pt idx="41">
                  <c:v>29.599422644813817</c:v>
                </c:pt>
                <c:pt idx="42">
                  <c:v>30.548941769545536</c:v>
                </c:pt>
                <c:pt idx="43">
                  <c:v>31.046481267838978</c:v>
                </c:pt>
                <c:pt idx="44">
                  <c:v>31.483358798293906</c:v>
                </c:pt>
                <c:pt idx="45">
                  <c:v>31.641092089670948</c:v>
                </c:pt>
                <c:pt idx="46">
                  <c:v>31.351274893187281</c:v>
                </c:pt>
                <c:pt idx="47">
                  <c:v>31.095945069955132</c:v>
                </c:pt>
                <c:pt idx="48">
                  <c:v>30.935132175059454</c:v>
                </c:pt>
                <c:pt idx="49">
                  <c:v>31.437856807335329</c:v>
                </c:pt>
                <c:pt idx="50">
                  <c:v>30.735395815886701</c:v>
                </c:pt>
                <c:pt idx="51">
                  <c:v>28.071616899487573</c:v>
                </c:pt>
                <c:pt idx="52">
                  <c:v>28.552251706064816</c:v>
                </c:pt>
                <c:pt idx="53">
                  <c:v>28.534274247332018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[1]Comparisons!$A$31:$A$84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1970</c:v>
                      </c:pt>
                      <c:pt idx="1">
                        <c:v>1971</c:v>
                      </c:pt>
                      <c:pt idx="2">
                        <c:v>1972</c:v>
                      </c:pt>
                      <c:pt idx="3">
                        <c:v>1973</c:v>
                      </c:pt>
                      <c:pt idx="4">
                        <c:v>1974</c:v>
                      </c:pt>
                      <c:pt idx="5">
                        <c:v>1975</c:v>
                      </c:pt>
                      <c:pt idx="6">
                        <c:v>1976</c:v>
                      </c:pt>
                      <c:pt idx="7">
                        <c:v>1977</c:v>
                      </c:pt>
                      <c:pt idx="8">
                        <c:v>1978</c:v>
                      </c:pt>
                      <c:pt idx="9">
                        <c:v>1979</c:v>
                      </c:pt>
                      <c:pt idx="10">
                        <c:v>1980</c:v>
                      </c:pt>
                      <c:pt idx="11">
                        <c:v>1981</c:v>
                      </c:pt>
                      <c:pt idx="12">
                        <c:v>1982</c:v>
                      </c:pt>
                      <c:pt idx="13">
                        <c:v>1983</c:v>
                      </c:pt>
                      <c:pt idx="14">
                        <c:v>1984</c:v>
                      </c:pt>
                      <c:pt idx="15">
                        <c:v>1985</c:v>
                      </c:pt>
                      <c:pt idx="16">
                        <c:v>1986</c:v>
                      </c:pt>
                      <c:pt idx="17">
                        <c:v>1987</c:v>
                      </c:pt>
                      <c:pt idx="18">
                        <c:v>1988</c:v>
                      </c:pt>
                      <c:pt idx="19">
                        <c:v>1989</c:v>
                      </c:pt>
                      <c:pt idx="20">
                        <c:v>1990</c:v>
                      </c:pt>
                      <c:pt idx="21">
                        <c:v>1991</c:v>
                      </c:pt>
                      <c:pt idx="22">
                        <c:v>1992</c:v>
                      </c:pt>
                      <c:pt idx="23">
                        <c:v>1993</c:v>
                      </c:pt>
                      <c:pt idx="24">
                        <c:v>1994</c:v>
                      </c:pt>
                      <c:pt idx="25">
                        <c:v>1995</c:v>
                      </c:pt>
                      <c:pt idx="26">
                        <c:v>1996</c:v>
                      </c:pt>
                      <c:pt idx="27">
                        <c:v>1997</c:v>
                      </c:pt>
                      <c:pt idx="28">
                        <c:v>1998</c:v>
                      </c:pt>
                      <c:pt idx="29">
                        <c:v>1999</c:v>
                      </c:pt>
                      <c:pt idx="30">
                        <c:v>2000</c:v>
                      </c:pt>
                      <c:pt idx="31">
                        <c:v>2001</c:v>
                      </c:pt>
                      <c:pt idx="32">
                        <c:v>2002</c:v>
                      </c:pt>
                      <c:pt idx="33">
                        <c:v>2003</c:v>
                      </c:pt>
                      <c:pt idx="34">
                        <c:v>2004</c:v>
                      </c:pt>
                      <c:pt idx="35">
                        <c:v>2005</c:v>
                      </c:pt>
                      <c:pt idx="36">
                        <c:v>2006</c:v>
                      </c:pt>
                      <c:pt idx="37">
                        <c:v>2007</c:v>
                      </c:pt>
                      <c:pt idx="38">
                        <c:v>2008</c:v>
                      </c:pt>
                      <c:pt idx="39">
                        <c:v>2009</c:v>
                      </c:pt>
                      <c:pt idx="40">
                        <c:v>2010</c:v>
                      </c:pt>
                      <c:pt idx="41">
                        <c:v>2011</c:v>
                      </c:pt>
                      <c:pt idx="42">
                        <c:v>2012</c:v>
                      </c:pt>
                      <c:pt idx="43">
                        <c:v>2013</c:v>
                      </c:pt>
                      <c:pt idx="44">
                        <c:v>2014</c:v>
                      </c:pt>
                      <c:pt idx="45">
                        <c:v>2015</c:v>
                      </c:pt>
                      <c:pt idx="46">
                        <c:v>2016</c:v>
                      </c:pt>
                      <c:pt idx="47">
                        <c:v>2017</c:v>
                      </c:pt>
                      <c:pt idx="48">
                        <c:v>2018</c:v>
                      </c:pt>
                      <c:pt idx="49">
                        <c:v>2019</c:v>
                      </c:pt>
                      <c:pt idx="50">
                        <c:v>2020</c:v>
                      </c:pt>
                      <c:pt idx="51">
                        <c:v>2021</c:v>
                      </c:pt>
                      <c:pt idx="52">
                        <c:v>2022</c:v>
                      </c:pt>
                      <c:pt idx="53">
                        <c:v>2023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966-4E48-95DC-CB2BB9774ED8}"/>
            </c:ext>
          </c:extLst>
        </c:ser>
        <c:ser>
          <c:idx val="2"/>
          <c:order val="2"/>
          <c:tx>
            <c:strRef>
              <c:f>[1]Comparisons!$D$2</c:f>
              <c:strCache>
                <c:ptCount val="1"/>
                <c:pt idx="0">
                  <c:v>INE (1981)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[1]Comparisons!$D$31:$D$84</c:f>
              <c:numCache>
                <c:formatCode>General</c:formatCode>
                <c:ptCount val="54"/>
                <c:pt idx="0">
                  <c:v>34.820923850988876</c:v>
                </c:pt>
                <c:pt idx="1">
                  <c:v>36.137686730177222</c:v>
                </c:pt>
                <c:pt idx="2">
                  <c:v>38.224715736335327</c:v>
                </c:pt>
                <c:pt idx="3">
                  <c:v>38.545798211224295</c:v>
                </c:pt>
                <c:pt idx="4">
                  <c:v>36.495511785860209</c:v>
                </c:pt>
                <c:pt idx="5">
                  <c:v>36.669418800367232</c:v>
                </c:pt>
                <c:pt idx="6">
                  <c:v>46.600501417310696</c:v>
                </c:pt>
                <c:pt idx="7">
                  <c:v>36.732328375025801</c:v>
                </c:pt>
                <c:pt idx="8">
                  <c:v>31.348472026277118</c:v>
                </c:pt>
                <c:pt idx="9">
                  <c:v>27.261926415441913</c:v>
                </c:pt>
                <c:pt idx="10">
                  <c:v>30.135865880500905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[1]Comparisons!$A$31:$A$84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1970</c:v>
                      </c:pt>
                      <c:pt idx="1">
                        <c:v>1971</c:v>
                      </c:pt>
                      <c:pt idx="2">
                        <c:v>1972</c:v>
                      </c:pt>
                      <c:pt idx="3">
                        <c:v>1973</c:v>
                      </c:pt>
                      <c:pt idx="4">
                        <c:v>1974</c:v>
                      </c:pt>
                      <c:pt idx="5">
                        <c:v>1975</c:v>
                      </c:pt>
                      <c:pt idx="6">
                        <c:v>1976</c:v>
                      </c:pt>
                      <c:pt idx="7">
                        <c:v>1977</c:v>
                      </c:pt>
                      <c:pt idx="8">
                        <c:v>1978</c:v>
                      </c:pt>
                      <c:pt idx="9">
                        <c:v>1979</c:v>
                      </c:pt>
                      <c:pt idx="10">
                        <c:v>1980</c:v>
                      </c:pt>
                      <c:pt idx="11">
                        <c:v>1981</c:v>
                      </c:pt>
                      <c:pt idx="12">
                        <c:v>1982</c:v>
                      </c:pt>
                      <c:pt idx="13">
                        <c:v>1983</c:v>
                      </c:pt>
                      <c:pt idx="14">
                        <c:v>1984</c:v>
                      </c:pt>
                      <c:pt idx="15">
                        <c:v>1985</c:v>
                      </c:pt>
                      <c:pt idx="16">
                        <c:v>1986</c:v>
                      </c:pt>
                      <c:pt idx="17">
                        <c:v>1987</c:v>
                      </c:pt>
                      <c:pt idx="18">
                        <c:v>1988</c:v>
                      </c:pt>
                      <c:pt idx="19">
                        <c:v>1989</c:v>
                      </c:pt>
                      <c:pt idx="20">
                        <c:v>1990</c:v>
                      </c:pt>
                      <c:pt idx="21">
                        <c:v>1991</c:v>
                      </c:pt>
                      <c:pt idx="22">
                        <c:v>1992</c:v>
                      </c:pt>
                      <c:pt idx="23">
                        <c:v>1993</c:v>
                      </c:pt>
                      <c:pt idx="24">
                        <c:v>1994</c:v>
                      </c:pt>
                      <c:pt idx="25">
                        <c:v>1995</c:v>
                      </c:pt>
                      <c:pt idx="26">
                        <c:v>1996</c:v>
                      </c:pt>
                      <c:pt idx="27">
                        <c:v>1997</c:v>
                      </c:pt>
                      <c:pt idx="28">
                        <c:v>1998</c:v>
                      </c:pt>
                      <c:pt idx="29">
                        <c:v>1999</c:v>
                      </c:pt>
                      <c:pt idx="30">
                        <c:v>2000</c:v>
                      </c:pt>
                      <c:pt idx="31">
                        <c:v>2001</c:v>
                      </c:pt>
                      <c:pt idx="32">
                        <c:v>2002</c:v>
                      </c:pt>
                      <c:pt idx="33">
                        <c:v>2003</c:v>
                      </c:pt>
                      <c:pt idx="34">
                        <c:v>2004</c:v>
                      </c:pt>
                      <c:pt idx="35">
                        <c:v>2005</c:v>
                      </c:pt>
                      <c:pt idx="36">
                        <c:v>2006</c:v>
                      </c:pt>
                      <c:pt idx="37">
                        <c:v>2007</c:v>
                      </c:pt>
                      <c:pt idx="38">
                        <c:v>2008</c:v>
                      </c:pt>
                      <c:pt idx="39">
                        <c:v>2009</c:v>
                      </c:pt>
                      <c:pt idx="40">
                        <c:v>2010</c:v>
                      </c:pt>
                      <c:pt idx="41">
                        <c:v>2011</c:v>
                      </c:pt>
                      <c:pt idx="42">
                        <c:v>2012</c:v>
                      </c:pt>
                      <c:pt idx="43">
                        <c:v>2013</c:v>
                      </c:pt>
                      <c:pt idx="44">
                        <c:v>2014</c:v>
                      </c:pt>
                      <c:pt idx="45">
                        <c:v>2015</c:v>
                      </c:pt>
                      <c:pt idx="46">
                        <c:v>2016</c:v>
                      </c:pt>
                      <c:pt idx="47">
                        <c:v>2017</c:v>
                      </c:pt>
                      <c:pt idx="48">
                        <c:v>2018</c:v>
                      </c:pt>
                      <c:pt idx="49">
                        <c:v>2019</c:v>
                      </c:pt>
                      <c:pt idx="50">
                        <c:v>2020</c:v>
                      </c:pt>
                      <c:pt idx="51">
                        <c:v>2021</c:v>
                      </c:pt>
                      <c:pt idx="52">
                        <c:v>2022</c:v>
                      </c:pt>
                      <c:pt idx="53">
                        <c:v>2023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8966-4E48-95DC-CB2BB9774ED8}"/>
            </c:ext>
          </c:extLst>
        </c:ser>
        <c:ser>
          <c:idx val="3"/>
          <c:order val="3"/>
          <c:tx>
            <c:strRef>
              <c:f>[1]Comparisons!$E$2</c:f>
              <c:strCache>
                <c:ptCount val="1"/>
                <c:pt idx="0">
                  <c:v>INEI (2013)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[1]Comparisons!$E$31:$E$84</c:f>
              <c:numCache>
                <c:formatCode>General</c:formatCode>
                <c:ptCount val="54"/>
                <c:pt idx="21">
                  <c:v>30.064453271378248</c:v>
                </c:pt>
                <c:pt idx="22">
                  <c:v>26.447623072987341</c:v>
                </c:pt>
                <c:pt idx="23">
                  <c:v>24.99350293090006</c:v>
                </c:pt>
                <c:pt idx="24">
                  <c:v>25.123507511894257</c:v>
                </c:pt>
                <c:pt idx="25">
                  <c:v>25.16869542206933</c:v>
                </c:pt>
                <c:pt idx="26">
                  <c:v>24.91154864642073</c:v>
                </c:pt>
                <c:pt idx="27">
                  <c:v>24.162556416750778</c:v>
                </c:pt>
                <c:pt idx="28">
                  <c:v>24.525204171227191</c:v>
                </c:pt>
                <c:pt idx="29">
                  <c:v>24.851222896194287</c:v>
                </c:pt>
                <c:pt idx="30">
                  <c:v>24.395485142983006</c:v>
                </c:pt>
                <c:pt idx="31">
                  <c:v>25.130937092060275</c:v>
                </c:pt>
                <c:pt idx="32">
                  <c:v>25.002754820936641</c:v>
                </c:pt>
                <c:pt idx="33">
                  <c:v>24.979266721330674</c:v>
                </c:pt>
                <c:pt idx="34">
                  <c:v>23.949777639532243</c:v>
                </c:pt>
                <c:pt idx="35">
                  <c:v>23.05496210630109</c:v>
                </c:pt>
                <c:pt idx="36">
                  <c:v>21.94173793651056</c:v>
                </c:pt>
                <c:pt idx="37">
                  <c:v>21.65672134364436</c:v>
                </c:pt>
                <c:pt idx="38">
                  <c:v>20.943611219064685</c:v>
                </c:pt>
                <c:pt idx="39">
                  <c:v>21.821940885190667</c:v>
                </c:pt>
                <c:pt idx="40">
                  <c:v>21.128560500382488</c:v>
                </c:pt>
                <c:pt idx="41">
                  <c:v>21.18486078187151</c:v>
                </c:pt>
                <c:pt idx="42">
                  <c:v>21.660353230261375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[1]Comparisons!$A$31:$A$84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1970</c:v>
                      </c:pt>
                      <c:pt idx="1">
                        <c:v>1971</c:v>
                      </c:pt>
                      <c:pt idx="2">
                        <c:v>1972</c:v>
                      </c:pt>
                      <c:pt idx="3">
                        <c:v>1973</c:v>
                      </c:pt>
                      <c:pt idx="4">
                        <c:v>1974</c:v>
                      </c:pt>
                      <c:pt idx="5">
                        <c:v>1975</c:v>
                      </c:pt>
                      <c:pt idx="6">
                        <c:v>1976</c:v>
                      </c:pt>
                      <c:pt idx="7">
                        <c:v>1977</c:v>
                      </c:pt>
                      <c:pt idx="8">
                        <c:v>1978</c:v>
                      </c:pt>
                      <c:pt idx="9">
                        <c:v>1979</c:v>
                      </c:pt>
                      <c:pt idx="10">
                        <c:v>1980</c:v>
                      </c:pt>
                      <c:pt idx="11">
                        <c:v>1981</c:v>
                      </c:pt>
                      <c:pt idx="12">
                        <c:v>1982</c:v>
                      </c:pt>
                      <c:pt idx="13">
                        <c:v>1983</c:v>
                      </c:pt>
                      <c:pt idx="14">
                        <c:v>1984</c:v>
                      </c:pt>
                      <c:pt idx="15">
                        <c:v>1985</c:v>
                      </c:pt>
                      <c:pt idx="16">
                        <c:v>1986</c:v>
                      </c:pt>
                      <c:pt idx="17">
                        <c:v>1987</c:v>
                      </c:pt>
                      <c:pt idx="18">
                        <c:v>1988</c:v>
                      </c:pt>
                      <c:pt idx="19">
                        <c:v>1989</c:v>
                      </c:pt>
                      <c:pt idx="20">
                        <c:v>1990</c:v>
                      </c:pt>
                      <c:pt idx="21">
                        <c:v>1991</c:v>
                      </c:pt>
                      <c:pt idx="22">
                        <c:v>1992</c:v>
                      </c:pt>
                      <c:pt idx="23">
                        <c:v>1993</c:v>
                      </c:pt>
                      <c:pt idx="24">
                        <c:v>1994</c:v>
                      </c:pt>
                      <c:pt idx="25">
                        <c:v>1995</c:v>
                      </c:pt>
                      <c:pt idx="26">
                        <c:v>1996</c:v>
                      </c:pt>
                      <c:pt idx="27">
                        <c:v>1997</c:v>
                      </c:pt>
                      <c:pt idx="28">
                        <c:v>1998</c:v>
                      </c:pt>
                      <c:pt idx="29">
                        <c:v>1999</c:v>
                      </c:pt>
                      <c:pt idx="30">
                        <c:v>2000</c:v>
                      </c:pt>
                      <c:pt idx="31">
                        <c:v>2001</c:v>
                      </c:pt>
                      <c:pt idx="32">
                        <c:v>2002</c:v>
                      </c:pt>
                      <c:pt idx="33">
                        <c:v>2003</c:v>
                      </c:pt>
                      <c:pt idx="34">
                        <c:v>2004</c:v>
                      </c:pt>
                      <c:pt idx="35">
                        <c:v>2005</c:v>
                      </c:pt>
                      <c:pt idx="36">
                        <c:v>2006</c:v>
                      </c:pt>
                      <c:pt idx="37">
                        <c:v>2007</c:v>
                      </c:pt>
                      <c:pt idx="38">
                        <c:v>2008</c:v>
                      </c:pt>
                      <c:pt idx="39">
                        <c:v>2009</c:v>
                      </c:pt>
                      <c:pt idx="40">
                        <c:v>2010</c:v>
                      </c:pt>
                      <c:pt idx="41">
                        <c:v>2011</c:v>
                      </c:pt>
                      <c:pt idx="42">
                        <c:v>2012</c:v>
                      </c:pt>
                      <c:pt idx="43">
                        <c:v>2013</c:v>
                      </c:pt>
                      <c:pt idx="44">
                        <c:v>2014</c:v>
                      </c:pt>
                      <c:pt idx="45">
                        <c:v>2015</c:v>
                      </c:pt>
                      <c:pt idx="46">
                        <c:v>2016</c:v>
                      </c:pt>
                      <c:pt idx="47">
                        <c:v>2017</c:v>
                      </c:pt>
                      <c:pt idx="48">
                        <c:v>2018</c:v>
                      </c:pt>
                      <c:pt idx="49">
                        <c:v>2019</c:v>
                      </c:pt>
                      <c:pt idx="50">
                        <c:v>2020</c:v>
                      </c:pt>
                      <c:pt idx="51">
                        <c:v>2021</c:v>
                      </c:pt>
                      <c:pt idx="52">
                        <c:v>2022</c:v>
                      </c:pt>
                      <c:pt idx="53">
                        <c:v>2023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8966-4E48-95DC-CB2BB9774ED8}"/>
            </c:ext>
          </c:extLst>
        </c:ser>
        <c:ser>
          <c:idx val="4"/>
          <c:order val="4"/>
          <c:tx>
            <c:strRef>
              <c:f>[1]Comparisons!$F$2</c:f>
              <c:strCache>
                <c:ptCount val="1"/>
                <c:pt idx="0">
                  <c:v>INEI (2025)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[1]Comparisons!$F$31:$F$84</c:f>
              <c:numCache>
                <c:formatCode>General</c:formatCode>
                <c:ptCount val="54"/>
                <c:pt idx="24">
                  <c:v>34.426196248693941</c:v>
                </c:pt>
                <c:pt idx="25">
                  <c:v>34.679826713120413</c:v>
                </c:pt>
                <c:pt idx="26">
                  <c:v>34.508797545831307</c:v>
                </c:pt>
                <c:pt idx="27">
                  <c:v>33.672250734321032</c:v>
                </c:pt>
                <c:pt idx="28">
                  <c:v>34.371963145658299</c:v>
                </c:pt>
                <c:pt idx="29">
                  <c:v>34.969592426659759</c:v>
                </c:pt>
                <c:pt idx="30">
                  <c:v>34.458756035972179</c:v>
                </c:pt>
                <c:pt idx="31">
                  <c:v>35.699375982731318</c:v>
                </c:pt>
                <c:pt idx="32">
                  <c:v>35.453134811693332</c:v>
                </c:pt>
                <c:pt idx="33">
                  <c:v>35.554500653332482</c:v>
                </c:pt>
                <c:pt idx="34">
                  <c:v>34.082084804878583</c:v>
                </c:pt>
                <c:pt idx="35">
                  <c:v>32.605912685593964</c:v>
                </c:pt>
                <c:pt idx="36">
                  <c:v>30.880453093833005</c:v>
                </c:pt>
                <c:pt idx="37">
                  <c:v>30.694134685463865</c:v>
                </c:pt>
                <c:pt idx="38">
                  <c:v>30.605382755111009</c:v>
                </c:pt>
                <c:pt idx="39">
                  <c:v>31.30105538504656</c:v>
                </c:pt>
                <c:pt idx="40">
                  <c:v>30.283792084149102</c:v>
                </c:pt>
                <c:pt idx="41">
                  <c:v>29.763935659942206</c:v>
                </c:pt>
                <c:pt idx="42">
                  <c:v>30.721998854626072</c:v>
                </c:pt>
                <c:pt idx="43">
                  <c:v>31.207640059165936</c:v>
                </c:pt>
                <c:pt idx="44">
                  <c:v>31.666318738476708</c:v>
                </c:pt>
                <c:pt idx="45">
                  <c:v>31.824107899195255</c:v>
                </c:pt>
                <c:pt idx="46">
                  <c:v>31.524947967168362</c:v>
                </c:pt>
                <c:pt idx="47">
                  <c:v>31.264598707246773</c:v>
                </c:pt>
                <c:pt idx="48">
                  <c:v>31.110269714648137</c:v>
                </c:pt>
                <c:pt idx="49">
                  <c:v>31.616543129514529</c:v>
                </c:pt>
                <c:pt idx="50">
                  <c:v>30.90572015087049</c:v>
                </c:pt>
                <c:pt idx="51">
                  <c:v>28.225249094538082</c:v>
                </c:pt>
                <c:pt idx="52">
                  <c:v>28.661150824515261</c:v>
                </c:pt>
                <c:pt idx="53">
                  <c:v>28.334569016666215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[1]Comparisons!$A$31:$A$84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1970</c:v>
                      </c:pt>
                      <c:pt idx="1">
                        <c:v>1971</c:v>
                      </c:pt>
                      <c:pt idx="2">
                        <c:v>1972</c:v>
                      </c:pt>
                      <c:pt idx="3">
                        <c:v>1973</c:v>
                      </c:pt>
                      <c:pt idx="4">
                        <c:v>1974</c:v>
                      </c:pt>
                      <c:pt idx="5">
                        <c:v>1975</c:v>
                      </c:pt>
                      <c:pt idx="6">
                        <c:v>1976</c:v>
                      </c:pt>
                      <c:pt idx="7">
                        <c:v>1977</c:v>
                      </c:pt>
                      <c:pt idx="8">
                        <c:v>1978</c:v>
                      </c:pt>
                      <c:pt idx="9">
                        <c:v>1979</c:v>
                      </c:pt>
                      <c:pt idx="10">
                        <c:v>1980</c:v>
                      </c:pt>
                      <c:pt idx="11">
                        <c:v>1981</c:v>
                      </c:pt>
                      <c:pt idx="12">
                        <c:v>1982</c:v>
                      </c:pt>
                      <c:pt idx="13">
                        <c:v>1983</c:v>
                      </c:pt>
                      <c:pt idx="14">
                        <c:v>1984</c:v>
                      </c:pt>
                      <c:pt idx="15">
                        <c:v>1985</c:v>
                      </c:pt>
                      <c:pt idx="16">
                        <c:v>1986</c:v>
                      </c:pt>
                      <c:pt idx="17">
                        <c:v>1987</c:v>
                      </c:pt>
                      <c:pt idx="18">
                        <c:v>1988</c:v>
                      </c:pt>
                      <c:pt idx="19">
                        <c:v>1989</c:v>
                      </c:pt>
                      <c:pt idx="20">
                        <c:v>1990</c:v>
                      </c:pt>
                      <c:pt idx="21">
                        <c:v>1991</c:v>
                      </c:pt>
                      <c:pt idx="22">
                        <c:v>1992</c:v>
                      </c:pt>
                      <c:pt idx="23">
                        <c:v>1993</c:v>
                      </c:pt>
                      <c:pt idx="24">
                        <c:v>1994</c:v>
                      </c:pt>
                      <c:pt idx="25">
                        <c:v>1995</c:v>
                      </c:pt>
                      <c:pt idx="26">
                        <c:v>1996</c:v>
                      </c:pt>
                      <c:pt idx="27">
                        <c:v>1997</c:v>
                      </c:pt>
                      <c:pt idx="28">
                        <c:v>1998</c:v>
                      </c:pt>
                      <c:pt idx="29">
                        <c:v>1999</c:v>
                      </c:pt>
                      <c:pt idx="30">
                        <c:v>2000</c:v>
                      </c:pt>
                      <c:pt idx="31">
                        <c:v>2001</c:v>
                      </c:pt>
                      <c:pt idx="32">
                        <c:v>2002</c:v>
                      </c:pt>
                      <c:pt idx="33">
                        <c:v>2003</c:v>
                      </c:pt>
                      <c:pt idx="34">
                        <c:v>2004</c:v>
                      </c:pt>
                      <c:pt idx="35">
                        <c:v>2005</c:v>
                      </c:pt>
                      <c:pt idx="36">
                        <c:v>2006</c:v>
                      </c:pt>
                      <c:pt idx="37">
                        <c:v>2007</c:v>
                      </c:pt>
                      <c:pt idx="38">
                        <c:v>2008</c:v>
                      </c:pt>
                      <c:pt idx="39">
                        <c:v>2009</c:v>
                      </c:pt>
                      <c:pt idx="40">
                        <c:v>2010</c:v>
                      </c:pt>
                      <c:pt idx="41">
                        <c:v>2011</c:v>
                      </c:pt>
                      <c:pt idx="42">
                        <c:v>2012</c:v>
                      </c:pt>
                      <c:pt idx="43">
                        <c:v>2013</c:v>
                      </c:pt>
                      <c:pt idx="44">
                        <c:v>2014</c:v>
                      </c:pt>
                      <c:pt idx="45">
                        <c:v>2015</c:v>
                      </c:pt>
                      <c:pt idx="46">
                        <c:v>2016</c:v>
                      </c:pt>
                      <c:pt idx="47">
                        <c:v>2017</c:v>
                      </c:pt>
                      <c:pt idx="48">
                        <c:v>2018</c:v>
                      </c:pt>
                      <c:pt idx="49">
                        <c:v>2019</c:v>
                      </c:pt>
                      <c:pt idx="50">
                        <c:v>2020</c:v>
                      </c:pt>
                      <c:pt idx="51">
                        <c:v>2021</c:v>
                      </c:pt>
                      <c:pt idx="52">
                        <c:v>2022</c:v>
                      </c:pt>
                      <c:pt idx="53">
                        <c:v>2023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8966-4E48-95DC-CB2BB9774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318768"/>
        <c:axId val="721302448"/>
      </c:lineChart>
      <c:catAx>
        <c:axId val="7213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02448"/>
        <c:crosses val="autoZero"/>
        <c:auto val="1"/>
        <c:lblAlgn val="ctr"/>
        <c:lblOffset val="100"/>
        <c:noMultiLvlLbl val="0"/>
      </c:catAx>
      <c:valAx>
        <c:axId val="7213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Market Price GDP</a:t>
                </a:r>
              </a:p>
            </c:rich>
          </c:tx>
          <c:layout>
            <c:manualLayout>
              <c:xMode val="edge"/>
              <c:yMode val="edge"/>
              <c:x val="1.5048908954100828E-2"/>
              <c:y val="1.993752000512132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'Comparison Mixed Income Share'!$B$2</c:f>
              <c:strCache>
                <c:ptCount val="1"/>
                <c:pt idx="0">
                  <c:v>Castillo-García (2026)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'Comparison Mixed Income Share'!$A$3:$A$56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'Comparison Mixed Income Share'!$B$3:$B$56</c:f>
              <c:numCache>
                <c:formatCode>General</c:formatCode>
                <c:ptCount val="54"/>
                <c:pt idx="0">
                  <c:v>22.439455375419364</c:v>
                </c:pt>
                <c:pt idx="1">
                  <c:v>21.438443690509718</c:v>
                </c:pt>
                <c:pt idx="2">
                  <c:v>20.857538843799663</c:v>
                </c:pt>
                <c:pt idx="3">
                  <c:v>19.994378056907443</c:v>
                </c:pt>
                <c:pt idx="4">
                  <c:v>20.2372394104111</c:v>
                </c:pt>
                <c:pt idx="5">
                  <c:v>20.531147116788436</c:v>
                </c:pt>
                <c:pt idx="6">
                  <c:v>21.096692702866505</c:v>
                </c:pt>
                <c:pt idx="7">
                  <c:v>20.37924716637972</c:v>
                </c:pt>
                <c:pt idx="8">
                  <c:v>19.979370627637667</c:v>
                </c:pt>
                <c:pt idx="9">
                  <c:v>19.384944835116379</c:v>
                </c:pt>
                <c:pt idx="10">
                  <c:v>19.397319625929267</c:v>
                </c:pt>
                <c:pt idx="11">
                  <c:v>19.918159489045038</c:v>
                </c:pt>
                <c:pt idx="12">
                  <c:v>19.498598371983103</c:v>
                </c:pt>
                <c:pt idx="13">
                  <c:v>21.437531425716049</c:v>
                </c:pt>
                <c:pt idx="14">
                  <c:v>20.344193410653734</c:v>
                </c:pt>
                <c:pt idx="15">
                  <c:v>19.228413650556671</c:v>
                </c:pt>
                <c:pt idx="16">
                  <c:v>23.438337915755078</c:v>
                </c:pt>
                <c:pt idx="17">
                  <c:v>24.501042483667408</c:v>
                </c:pt>
                <c:pt idx="18">
                  <c:v>19.919842193872604</c:v>
                </c:pt>
                <c:pt idx="19">
                  <c:v>20.901980411294044</c:v>
                </c:pt>
                <c:pt idx="20">
                  <c:v>22.808437573172732</c:v>
                </c:pt>
                <c:pt idx="21">
                  <c:v>22.989359582385944</c:v>
                </c:pt>
                <c:pt idx="22">
                  <c:v>21.854100581229634</c:v>
                </c:pt>
                <c:pt idx="23">
                  <c:v>22.434852406400559</c:v>
                </c:pt>
                <c:pt idx="24">
                  <c:v>22.31077979493385</c:v>
                </c:pt>
                <c:pt idx="25">
                  <c:v>22.063461303622432</c:v>
                </c:pt>
                <c:pt idx="26">
                  <c:v>22.932996039920095</c:v>
                </c:pt>
                <c:pt idx="27">
                  <c:v>22.684580059083356</c:v>
                </c:pt>
                <c:pt idx="28">
                  <c:v>22.89950154331591</c:v>
                </c:pt>
                <c:pt idx="29">
                  <c:v>23.726688202126624</c:v>
                </c:pt>
                <c:pt idx="30">
                  <c:v>23.863949350554819</c:v>
                </c:pt>
                <c:pt idx="31">
                  <c:v>23.875521361495238</c:v>
                </c:pt>
                <c:pt idx="32">
                  <c:v>23.785008046230178</c:v>
                </c:pt>
                <c:pt idx="33">
                  <c:v>23.493875428214473</c:v>
                </c:pt>
                <c:pt idx="34">
                  <c:v>22.855604521600689</c:v>
                </c:pt>
                <c:pt idx="35">
                  <c:v>21.832623661399033</c:v>
                </c:pt>
                <c:pt idx="36">
                  <c:v>20.960571846482619</c:v>
                </c:pt>
                <c:pt idx="37">
                  <c:v>20.474955660586879</c:v>
                </c:pt>
                <c:pt idx="38">
                  <c:v>20.946986127767435</c:v>
                </c:pt>
                <c:pt idx="39">
                  <c:v>22.218863942980086</c:v>
                </c:pt>
                <c:pt idx="40">
                  <c:v>21.69948942377826</c:v>
                </c:pt>
                <c:pt idx="41">
                  <c:v>21.220846043433134</c:v>
                </c:pt>
                <c:pt idx="42">
                  <c:v>21.689091986121689</c:v>
                </c:pt>
                <c:pt idx="43">
                  <c:v>21.337267917197124</c:v>
                </c:pt>
                <c:pt idx="44">
                  <c:v>21.706157978110348</c:v>
                </c:pt>
                <c:pt idx="45">
                  <c:v>22.321215851334184</c:v>
                </c:pt>
                <c:pt idx="46">
                  <c:v>22.69943860125867</c:v>
                </c:pt>
                <c:pt idx="47">
                  <c:v>22.354717880663792</c:v>
                </c:pt>
                <c:pt idx="48">
                  <c:v>22.054489685451379</c:v>
                </c:pt>
                <c:pt idx="49">
                  <c:v>22.1624076096086</c:v>
                </c:pt>
                <c:pt idx="50">
                  <c:v>20.508015882599455</c:v>
                </c:pt>
                <c:pt idx="51">
                  <c:v>19.369976547735604</c:v>
                </c:pt>
                <c:pt idx="52">
                  <c:v>20.059365575371118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1-4DFC-A9B3-ABD99086B182}"/>
            </c:ext>
          </c:extLst>
        </c:ser>
        <c:ser>
          <c:idx val="1"/>
          <c:order val="1"/>
          <c:tx>
            <c:strRef>
              <c:f>'Comparison Mixed Income Share'!$C$2</c:f>
              <c:strCache>
                <c:ptCount val="1"/>
                <c:pt idx="0">
                  <c:v>Dietrich et al (2025)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'Comparison Mixed Income Share'!$A$3:$A$56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'Comparison Mixed Income Share'!$C$3:$C$56</c:f>
              <c:numCache>
                <c:formatCode>General</c:formatCode>
                <c:ptCount val="54"/>
                <c:pt idx="0">
                  <c:v>26.044465881164015</c:v>
                </c:pt>
                <c:pt idx="1">
                  <c:v>25.314034044471668</c:v>
                </c:pt>
                <c:pt idx="2">
                  <c:v>24.020964500070292</c:v>
                </c:pt>
                <c:pt idx="3">
                  <c:v>23.967879028925093</c:v>
                </c:pt>
                <c:pt idx="4">
                  <c:v>25.106431308148956</c:v>
                </c:pt>
                <c:pt idx="5">
                  <c:v>24.60416442957024</c:v>
                </c:pt>
                <c:pt idx="6">
                  <c:v>24.938033149452714</c:v>
                </c:pt>
                <c:pt idx="7">
                  <c:v>26.017310928915137</c:v>
                </c:pt>
                <c:pt idx="8">
                  <c:v>27.162434161434117</c:v>
                </c:pt>
                <c:pt idx="9">
                  <c:v>29.578525565304716</c:v>
                </c:pt>
                <c:pt idx="10">
                  <c:v>28.565504884788513</c:v>
                </c:pt>
                <c:pt idx="11">
                  <c:v>27.664542152047567</c:v>
                </c:pt>
                <c:pt idx="12">
                  <c:v>27.481678364715869</c:v>
                </c:pt>
                <c:pt idx="13">
                  <c:v>29.003986547181075</c:v>
                </c:pt>
                <c:pt idx="14">
                  <c:v>30.297821707011629</c:v>
                </c:pt>
                <c:pt idx="15">
                  <c:v>30.760747206798843</c:v>
                </c:pt>
                <c:pt idx="16">
                  <c:v>29.220512492052841</c:v>
                </c:pt>
                <c:pt idx="17">
                  <c:v>27.923801535878688</c:v>
                </c:pt>
                <c:pt idx="18">
                  <c:v>32.845780253950224</c:v>
                </c:pt>
                <c:pt idx="19">
                  <c:v>34.225326776560323</c:v>
                </c:pt>
                <c:pt idx="20">
                  <c:v>33.920326828880697</c:v>
                </c:pt>
                <c:pt idx="21">
                  <c:v>36.421167850417049</c:v>
                </c:pt>
                <c:pt idx="22">
                  <c:v>35.327836871151838</c:v>
                </c:pt>
                <c:pt idx="23">
                  <c:v>35.685083269974029</c:v>
                </c:pt>
                <c:pt idx="24">
                  <c:v>33.459749817783297</c:v>
                </c:pt>
                <c:pt idx="25">
                  <c:v>32.097953557825477</c:v>
                </c:pt>
                <c:pt idx="26">
                  <c:v>31.54402375234433</c:v>
                </c:pt>
                <c:pt idx="27">
                  <c:v>30.353429913599435</c:v>
                </c:pt>
                <c:pt idx="28">
                  <c:v>29.8971593379386</c:v>
                </c:pt>
                <c:pt idx="29">
                  <c:v>29.367032647054437</c:v>
                </c:pt>
                <c:pt idx="30">
                  <c:v>28.728273510850578</c:v>
                </c:pt>
                <c:pt idx="31">
                  <c:v>28.051158785798691</c:v>
                </c:pt>
                <c:pt idx="32">
                  <c:v>26.986411213831531</c:v>
                </c:pt>
                <c:pt idx="33">
                  <c:v>26.020216941952079</c:v>
                </c:pt>
                <c:pt idx="34">
                  <c:v>25.027701258624578</c:v>
                </c:pt>
                <c:pt idx="35">
                  <c:v>23.628076910983502</c:v>
                </c:pt>
                <c:pt idx="36">
                  <c:v>22.167158126850271</c:v>
                </c:pt>
                <c:pt idx="37">
                  <c:v>20.984666049427126</c:v>
                </c:pt>
                <c:pt idx="38">
                  <c:v>21.451519429691768</c:v>
                </c:pt>
                <c:pt idx="39">
                  <c:v>22.775514423838526</c:v>
                </c:pt>
                <c:pt idx="40">
                  <c:v>22.231870889608651</c:v>
                </c:pt>
                <c:pt idx="41">
                  <c:v>21.782059967568738</c:v>
                </c:pt>
                <c:pt idx="42">
                  <c:v>22.244490683090966</c:v>
                </c:pt>
                <c:pt idx="43">
                  <c:v>21.889778971606283</c:v>
                </c:pt>
                <c:pt idx="44">
                  <c:v>22.232426703003689</c:v>
                </c:pt>
                <c:pt idx="45">
                  <c:v>22.844599187393023</c:v>
                </c:pt>
                <c:pt idx="46">
                  <c:v>23.207573592611993</c:v>
                </c:pt>
                <c:pt idx="47">
                  <c:v>22.895245254014348</c:v>
                </c:pt>
                <c:pt idx="48">
                  <c:v>22.555939853219577</c:v>
                </c:pt>
                <c:pt idx="49">
                  <c:v>22.465933859334591</c:v>
                </c:pt>
                <c:pt idx="50">
                  <c:v>20.858328044429573</c:v>
                </c:pt>
                <c:pt idx="51">
                  <c:v>19.700546562626847</c:v>
                </c:pt>
                <c:pt idx="52">
                  <c:v>20.393429696602393</c:v>
                </c:pt>
                <c:pt idx="53">
                  <c:v>20.025311410404477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61-4DFC-A9B3-ABD99086B182}"/>
            </c:ext>
          </c:extLst>
        </c:ser>
        <c:ser>
          <c:idx val="4"/>
          <c:order val="2"/>
          <c:tx>
            <c:strRef>
              <c:f>'Comparison Mixed Income Share'!$D$2</c:f>
              <c:strCache>
                <c:ptCount val="1"/>
                <c:pt idx="0">
                  <c:v>INEI (2025)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'Comparison Mixed Income Share'!$A$3:$A$56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'Comparison Mixed Income Share'!$D$3:$D$56</c:f>
              <c:numCache>
                <c:formatCode>General</c:formatCode>
                <c:ptCount val="54"/>
                <c:pt idx="37">
                  <c:v>20.474955660586875</c:v>
                </c:pt>
                <c:pt idx="38">
                  <c:v>20.946986127767431</c:v>
                </c:pt>
                <c:pt idx="39">
                  <c:v>22.218863942980082</c:v>
                </c:pt>
                <c:pt idx="40">
                  <c:v>21.699489423778264</c:v>
                </c:pt>
                <c:pt idx="41">
                  <c:v>21.220846043433134</c:v>
                </c:pt>
                <c:pt idx="42">
                  <c:v>21.689091986121689</c:v>
                </c:pt>
                <c:pt idx="43">
                  <c:v>21.337267917197124</c:v>
                </c:pt>
                <c:pt idx="44">
                  <c:v>21.706157978110348</c:v>
                </c:pt>
                <c:pt idx="45">
                  <c:v>22.321215851334181</c:v>
                </c:pt>
                <c:pt idx="46">
                  <c:v>22.69943860125867</c:v>
                </c:pt>
                <c:pt idx="47">
                  <c:v>22.354717880663788</c:v>
                </c:pt>
                <c:pt idx="48">
                  <c:v>22.054489685451376</c:v>
                </c:pt>
                <c:pt idx="49">
                  <c:v>22.1624076096086</c:v>
                </c:pt>
                <c:pt idx="50">
                  <c:v>20.508015882599462</c:v>
                </c:pt>
                <c:pt idx="51">
                  <c:v>19.372387652698851</c:v>
                </c:pt>
                <c:pt idx="52">
                  <c:v>19.933326692847135</c:v>
                </c:pt>
                <c:pt idx="53">
                  <c:v>20.625806070757129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61-4DFC-A9B3-ABD99086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318768"/>
        <c:axId val="721302448"/>
      </c:lineChart>
      <c:catAx>
        <c:axId val="7213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02448"/>
        <c:crosses val="autoZero"/>
        <c:auto val="1"/>
        <c:lblAlgn val="ctr"/>
        <c:lblOffset val="100"/>
        <c:noMultiLvlLbl val="0"/>
      </c:catAx>
      <c:valAx>
        <c:axId val="7213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Market Price GDP</a:t>
                </a:r>
              </a:p>
            </c:rich>
          </c:tx>
          <c:layout>
            <c:manualLayout>
              <c:xMode val="edge"/>
              <c:yMode val="edge"/>
              <c:x val="1.5048908954100828E-2"/>
              <c:y val="1.993752000512132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3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813102119460498E-2"/>
          <c:y val="3.576548899129544E-2"/>
          <c:w val="0.92679511881824017"/>
          <c:h val="0.77484536610343058"/>
        </c:manualLayout>
      </c:layout>
      <c:lineChart>
        <c:grouping val="standard"/>
        <c:varyColors val="0"/>
        <c:ser>
          <c:idx val="4"/>
          <c:order val="0"/>
          <c:tx>
            <c:strRef>
              <c:f>'Comparison Domestic Capital'!$Q$2</c:f>
              <c:strCache>
                <c:ptCount val="1"/>
                <c:pt idx="0">
                  <c:v>K - Castillo-García (2026)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Capital'!$A$87:$A$130</c:f>
              <c:numCache>
                <c:formatCode>General</c:formatCode>
                <c:ptCount val="44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</c:numCache>
            </c:numRef>
          </c:cat>
          <c:val>
            <c:numRef>
              <c:f>'Comparison Domestic Capital'!$Q$87:$Q$130</c:f>
              <c:numCache>
                <c:formatCode>General</c:formatCode>
                <c:ptCount val="44"/>
                <c:pt idx="0">
                  <c:v>5.5089018406597535E-7</c:v>
                </c:pt>
                <c:pt idx="1">
                  <c:v>9.5879727894266414E-7</c:v>
                </c:pt>
                <c:pt idx="2">
                  <c:v>1.6729414183209757E-6</c:v>
                </c:pt>
                <c:pt idx="3">
                  <c:v>3.5514646948989741E-6</c:v>
                </c:pt>
                <c:pt idx="4">
                  <c:v>7.5379122259449373E-6</c:v>
                </c:pt>
                <c:pt idx="5">
                  <c:v>2.0263849701784769E-5</c:v>
                </c:pt>
                <c:pt idx="6">
                  <c:v>3.4727470279227298E-5</c:v>
                </c:pt>
                <c:pt idx="7">
                  <c:v>6.6178179987585372E-5</c:v>
                </c:pt>
                <c:pt idx="8">
                  <c:v>4.6189190752123007E-4</c:v>
                </c:pt>
                <c:pt idx="9">
                  <c:v>1.2433226261752356E-2</c:v>
                </c:pt>
                <c:pt idx="10">
                  <c:v>0.79498159841618332</c:v>
                </c:pt>
                <c:pt idx="11">
                  <c:v>3.8198139432771674</c:v>
                </c:pt>
                <c:pt idx="12">
                  <c:v>6.4413550091437672</c:v>
                </c:pt>
                <c:pt idx="13">
                  <c:v>9.3198262931593785</c:v>
                </c:pt>
                <c:pt idx="14">
                  <c:v>11.785138944372703</c:v>
                </c:pt>
                <c:pt idx="15">
                  <c:v>13.616827840611661</c:v>
                </c:pt>
                <c:pt idx="16">
                  <c:v>15.231442604637692</c:v>
                </c:pt>
                <c:pt idx="17">
                  <c:v>16.847815362120201</c:v>
                </c:pt>
                <c:pt idx="18">
                  <c:v>18.232897177893154</c:v>
                </c:pt>
                <c:pt idx="19">
                  <c:v>18.964506512547576</c:v>
                </c:pt>
                <c:pt idx="20">
                  <c:v>19.674144760125014</c:v>
                </c:pt>
                <c:pt idx="21">
                  <c:v>19.814809551853141</c:v>
                </c:pt>
                <c:pt idx="22">
                  <c:v>20.048919958587639</c:v>
                </c:pt>
                <c:pt idx="23">
                  <c:v>20.911793256193317</c:v>
                </c:pt>
                <c:pt idx="24">
                  <c:v>22.660188536071274</c:v>
                </c:pt>
                <c:pt idx="25">
                  <c:v>23.97363554747611</c:v>
                </c:pt>
                <c:pt idx="26">
                  <c:v>26.44928426646802</c:v>
                </c:pt>
                <c:pt idx="27">
                  <c:v>28.261119166049635</c:v>
                </c:pt>
                <c:pt idx="28">
                  <c:v>30.614758326195741</c:v>
                </c:pt>
                <c:pt idx="29">
                  <c:v>33.117741492762022</c:v>
                </c:pt>
                <c:pt idx="30">
                  <c:v>37.495636591927372</c:v>
                </c:pt>
                <c:pt idx="31">
                  <c:v>42.282014110793526</c:v>
                </c:pt>
                <c:pt idx="32">
                  <c:v>46.402397041790259</c:v>
                </c:pt>
                <c:pt idx="33">
                  <c:v>50.77819560386034</c:v>
                </c:pt>
                <c:pt idx="34">
                  <c:v>55.773895867335533</c:v>
                </c:pt>
                <c:pt idx="35">
                  <c:v>60.593882641362868</c:v>
                </c:pt>
                <c:pt idx="36">
                  <c:v>65.958818968702118</c:v>
                </c:pt>
                <c:pt idx="37">
                  <c:v>71.860051146146759</c:v>
                </c:pt>
                <c:pt idx="38">
                  <c:v>76.850849183865179</c:v>
                </c:pt>
                <c:pt idx="39">
                  <c:v>81.910190668433358</c:v>
                </c:pt>
                <c:pt idx="40">
                  <c:v>88.551023665994862</c:v>
                </c:pt>
                <c:pt idx="41">
                  <c:v>100</c:v>
                </c:pt>
                <c:pt idx="42">
                  <c:v>108.93521537838393</c:v>
                </c:pt>
                <c:pt idx="43">
                  <c:v>124.10555609266021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3-4E9A-9320-A5CE50332CD9}"/>
            </c:ext>
          </c:extLst>
        </c:ser>
        <c:ser>
          <c:idx val="1"/>
          <c:order val="1"/>
          <c:tx>
            <c:strRef>
              <c:f>'Comparison Domestic Capital'!$P$2</c:f>
              <c:strCache>
                <c:ptCount val="1"/>
                <c:pt idx="0">
                  <c:v>K - Bauluz et al (2025) - WID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Capital'!$A$87:$A$130</c:f>
              <c:numCache>
                <c:formatCode>General</c:formatCode>
                <c:ptCount val="44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</c:numCache>
            </c:numRef>
          </c:cat>
          <c:val>
            <c:numRef>
              <c:f>'Comparison Domestic Capital'!$P$87:$P$130</c:f>
              <c:numCache>
                <c:formatCode>General</c:formatCode>
                <c:ptCount val="44"/>
                <c:pt idx="0">
                  <c:v>5.5072138234846992E-7</c:v>
                </c:pt>
                <c:pt idx="1">
                  <c:v>9.5789309163780564E-7</c:v>
                </c:pt>
                <c:pt idx="2">
                  <c:v>1.6841290007329563E-6</c:v>
                </c:pt>
                <c:pt idx="3">
                  <c:v>3.2096687660872448E-6</c:v>
                </c:pt>
                <c:pt idx="4">
                  <c:v>7.1727381275818429E-6</c:v>
                </c:pt>
                <c:pt idx="5">
                  <c:v>2.0389963171511831E-5</c:v>
                </c:pt>
                <c:pt idx="6">
                  <c:v>3.8827263680577799E-5</c:v>
                </c:pt>
                <c:pt idx="7">
                  <c:v>7.5454936081612343E-5</c:v>
                </c:pt>
                <c:pt idx="8">
                  <c:v>5.1170495701286303E-4</c:v>
                </c:pt>
                <c:pt idx="9">
                  <c:v>1.2217954159101596E-2</c:v>
                </c:pt>
                <c:pt idx="10">
                  <c:v>0.74216640524224542</c:v>
                </c:pt>
                <c:pt idx="11">
                  <c:v>3.3357298847816228</c:v>
                </c:pt>
                <c:pt idx="12">
                  <c:v>5.8523804242987039</c:v>
                </c:pt>
                <c:pt idx="13">
                  <c:v>8.5982519507437551</c:v>
                </c:pt>
                <c:pt idx="14">
                  <c:v>11.629389823431245</c:v>
                </c:pt>
                <c:pt idx="15">
                  <c:v>13.890122696606934</c:v>
                </c:pt>
                <c:pt idx="16">
                  <c:v>15.923282680602894</c:v>
                </c:pt>
                <c:pt idx="17">
                  <c:v>17.945676404851984</c:v>
                </c:pt>
                <c:pt idx="18">
                  <c:v>19.497942152622521</c:v>
                </c:pt>
                <c:pt idx="19">
                  <c:v>21.208688391498022</c:v>
                </c:pt>
                <c:pt idx="20">
                  <c:v>22.985438702087581</c:v>
                </c:pt>
                <c:pt idx="21">
                  <c:v>23.412564440108625</c:v>
                </c:pt>
                <c:pt idx="22">
                  <c:v>24.310799920489977</c:v>
                </c:pt>
                <c:pt idx="23">
                  <c:v>25.48680513293705</c:v>
                </c:pt>
                <c:pt idx="24">
                  <c:v>27.439036070088829</c:v>
                </c:pt>
                <c:pt idx="25">
                  <c:v>29.480146400229732</c:v>
                </c:pt>
                <c:pt idx="26">
                  <c:v>33.317671544386286</c:v>
                </c:pt>
                <c:pt idx="27">
                  <c:v>36.497242741189098</c:v>
                </c:pt>
                <c:pt idx="28">
                  <c:v>38.606319092650978</c:v>
                </c:pt>
                <c:pt idx="29">
                  <c:v>40.918061211423847</c:v>
                </c:pt>
                <c:pt idx="30">
                  <c:v>45.987093494175539</c:v>
                </c:pt>
                <c:pt idx="31">
                  <c:v>50.303188512011751</c:v>
                </c:pt>
                <c:pt idx="32">
                  <c:v>55.328505235684098</c:v>
                </c:pt>
                <c:pt idx="33">
                  <c:v>60.657561455153413</c:v>
                </c:pt>
                <c:pt idx="34">
                  <c:v>66.540460710775264</c:v>
                </c:pt>
                <c:pt idx="35">
                  <c:v>74.234450343574267</c:v>
                </c:pt>
                <c:pt idx="36">
                  <c:v>80.220742780177702</c:v>
                </c:pt>
                <c:pt idx="37">
                  <c:v>85.000261897048802</c:v>
                </c:pt>
                <c:pt idx="38">
                  <c:v>91.020048847622519</c:v>
                </c:pt>
                <c:pt idx="39">
                  <c:v>95.888478483422546</c:v>
                </c:pt>
                <c:pt idx="40">
                  <c:v>88.671386157305591</c:v>
                </c:pt>
                <c:pt idx="41">
                  <c:v>100</c:v>
                </c:pt>
                <c:pt idx="42">
                  <c:v>112.41396920032575</c:v>
                </c:pt>
                <c:pt idx="43">
                  <c:v>119.57423881179692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4-46A6-BF70-402BB289200E}"/>
            </c:ext>
          </c:extLst>
        </c:ser>
        <c:ser>
          <c:idx val="3"/>
          <c:order val="2"/>
          <c:tx>
            <c:strRef>
              <c:f>'Comparison Domestic Capital'!$S$2</c:f>
              <c:strCache>
                <c:ptCount val="1"/>
                <c:pt idx="0">
                  <c:v>GDP - Dietrich et al (2025) - WID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Capital'!$A$87:$A$130</c:f>
              <c:numCache>
                <c:formatCode>General</c:formatCode>
                <c:ptCount val="44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</c:numCache>
            </c:numRef>
          </c:cat>
          <c:val>
            <c:numRef>
              <c:f>'Comparison Domestic Capital'!$S$87:$S$130</c:f>
              <c:numCache>
                <c:formatCode>General</c:formatCode>
                <c:ptCount val="44"/>
                <c:pt idx="0">
                  <c:v>5.4795099367354819E-7</c:v>
                </c:pt>
                <c:pt idx="1">
                  <c:v>9.778136336642896E-7</c:v>
                </c:pt>
                <c:pt idx="2">
                  <c:v>1.6455475766300296E-6</c:v>
                </c:pt>
                <c:pt idx="3">
                  <c:v>2.9818926183195469E-6</c:v>
                </c:pt>
                <c:pt idx="4">
                  <c:v>6.6581032465565252E-6</c:v>
                </c:pt>
                <c:pt idx="5">
                  <c:v>1.8180447345709465E-5</c:v>
                </c:pt>
                <c:pt idx="6">
                  <c:v>3.4434529711835304E-5</c:v>
                </c:pt>
                <c:pt idx="7">
                  <c:v>6.8134832092219856E-5</c:v>
                </c:pt>
                <c:pt idx="8">
                  <c:v>4.5585709508603361E-4</c:v>
                </c:pt>
                <c:pt idx="9">
                  <c:v>1.0601902439615649E-2</c:v>
                </c:pt>
                <c:pt idx="10">
                  <c:v>0.62514663262625603</c:v>
                </c:pt>
                <c:pt idx="11">
                  <c:v>3.0351909954982625</c:v>
                </c:pt>
                <c:pt idx="12">
                  <c:v>5.1134627121192873</c:v>
                </c:pt>
                <c:pt idx="13">
                  <c:v>7.8747461701573878</c:v>
                </c:pt>
                <c:pt idx="14">
                  <c:v>11.204943404567146</c:v>
                </c:pt>
                <c:pt idx="15">
                  <c:v>13.740970049571875</c:v>
                </c:pt>
                <c:pt idx="16">
                  <c:v>15.491135156001631</c:v>
                </c:pt>
                <c:pt idx="17">
                  <c:v>17.702090401425558</c:v>
                </c:pt>
                <c:pt idx="18">
                  <c:v>18.589013603948203</c:v>
                </c:pt>
                <c:pt idx="19">
                  <c:v>19.416343194918714</c:v>
                </c:pt>
                <c:pt idx="20">
                  <c:v>20.64504583023901</c:v>
                </c:pt>
                <c:pt idx="21">
                  <c:v>20.887291972813241</c:v>
                </c:pt>
                <c:pt idx="22">
                  <c:v>22.060091064759582</c:v>
                </c:pt>
                <c:pt idx="23">
                  <c:v>23.387811809247598</c:v>
                </c:pt>
                <c:pt idx="24">
                  <c:v>26.078574831417331</c:v>
                </c:pt>
                <c:pt idx="25">
                  <c:v>28.66918217734105</c:v>
                </c:pt>
                <c:pt idx="26">
                  <c:v>33.172598404947891</c:v>
                </c:pt>
                <c:pt idx="27">
                  <c:v>36.524038559353173</c:v>
                </c:pt>
                <c:pt idx="28">
                  <c:v>40.255895408073123</c:v>
                </c:pt>
                <c:pt idx="29">
                  <c:v>41.604287048136165</c:v>
                </c:pt>
                <c:pt idx="30">
                  <c:v>47.581547855709474</c:v>
                </c:pt>
                <c:pt idx="31">
                  <c:v>53.95356582302734</c:v>
                </c:pt>
                <c:pt idx="32">
                  <c:v>57.952850055854775</c:v>
                </c:pt>
                <c:pt idx="33">
                  <c:v>61.925027970680866</c:v>
                </c:pt>
                <c:pt idx="34">
                  <c:v>64.968298766409603</c:v>
                </c:pt>
                <c:pt idx="35">
                  <c:v>69.040836658938105</c:v>
                </c:pt>
                <c:pt idx="36">
                  <c:v>74.00174511560806</c:v>
                </c:pt>
                <c:pt idx="37">
                  <c:v>78.476822318788734</c:v>
                </c:pt>
                <c:pt idx="38">
                  <c:v>83.501052171360655</c:v>
                </c:pt>
                <c:pt idx="39">
                  <c:v>86.99184830410411</c:v>
                </c:pt>
                <c:pt idx="40">
                  <c:v>80.573675211530713</c:v>
                </c:pt>
                <c:pt idx="41">
                  <c:v>100</c:v>
                </c:pt>
                <c:pt idx="42">
                  <c:v>107.6170690099672</c:v>
                </c:pt>
                <c:pt idx="43">
                  <c:v>114.2171974218702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74-46A6-BF70-402BB289200E}"/>
            </c:ext>
          </c:extLst>
        </c:ser>
        <c:ser>
          <c:idx val="0"/>
          <c:order val="3"/>
          <c:tx>
            <c:strRef>
              <c:f>'Comparison Domestic Capital'!$O$2</c:f>
              <c:strCache>
                <c:ptCount val="1"/>
                <c:pt idx="0">
                  <c:v>K - PWT 11.0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Capital'!$A$87:$A$130</c:f>
              <c:numCache>
                <c:formatCode>General</c:formatCode>
                <c:ptCount val="44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</c:numCache>
            </c:numRef>
          </c:cat>
          <c:val>
            <c:numRef>
              <c:f>'Comparison Domestic Capital'!$O$87:$O$130</c:f>
              <c:numCache>
                <c:formatCode>General</c:formatCode>
                <c:ptCount val="44"/>
                <c:pt idx="0">
                  <c:v>4.9827043177384205</c:v>
                </c:pt>
                <c:pt idx="1">
                  <c:v>5.4510935714535824</c:v>
                </c:pt>
                <c:pt idx="2">
                  <c:v>5.9372244099777944</c:v>
                </c:pt>
                <c:pt idx="3">
                  <c:v>6.2319188807222243</c:v>
                </c:pt>
                <c:pt idx="4">
                  <c:v>6.583578437958808</c:v>
                </c:pt>
                <c:pt idx="5">
                  <c:v>6.9766699250342787</c:v>
                </c:pt>
                <c:pt idx="6">
                  <c:v>7.568625369038342</c:v>
                </c:pt>
                <c:pt idx="7">
                  <c:v>8.4297494895786329</c:v>
                </c:pt>
                <c:pt idx="8">
                  <c:v>9.3620108071712931</c:v>
                </c:pt>
                <c:pt idx="9">
                  <c:v>10.231376817941705</c:v>
                </c:pt>
                <c:pt idx="10">
                  <c:v>11.387657452384616</c:v>
                </c:pt>
                <c:pt idx="11">
                  <c:v>12.86981483607712</c:v>
                </c:pt>
                <c:pt idx="12">
                  <c:v>14.282388738262577</c:v>
                </c:pt>
                <c:pt idx="13">
                  <c:v>16.055908865284238</c:v>
                </c:pt>
                <c:pt idx="14">
                  <c:v>18.266474561408714</c:v>
                </c:pt>
                <c:pt idx="15">
                  <c:v>20.583633723185791</c:v>
                </c:pt>
                <c:pt idx="16">
                  <c:v>22.344058143889097</c:v>
                </c:pt>
                <c:pt idx="17">
                  <c:v>23.953610023534466</c:v>
                </c:pt>
                <c:pt idx="18">
                  <c:v>25.446449292482871</c:v>
                </c:pt>
                <c:pt idx="19">
                  <c:v>26.425593994831981</c:v>
                </c:pt>
                <c:pt idx="20">
                  <c:v>27.262564636602438</c:v>
                </c:pt>
                <c:pt idx="21">
                  <c:v>28.080384661871364</c:v>
                </c:pt>
                <c:pt idx="22">
                  <c:v>28.958995171078261</c:v>
                </c:pt>
                <c:pt idx="23">
                  <c:v>29.912992511105614</c:v>
                </c:pt>
                <c:pt idx="24">
                  <c:v>30.996690564076829</c:v>
                </c:pt>
                <c:pt idx="25">
                  <c:v>32.282986726078072</c:v>
                </c:pt>
                <c:pt idx="26">
                  <c:v>33.701886002734426</c:v>
                </c:pt>
                <c:pt idx="27">
                  <c:v>35.210649220149669</c:v>
                </c:pt>
                <c:pt idx="28">
                  <c:v>37.32309163597624</c:v>
                </c:pt>
                <c:pt idx="29">
                  <c:v>38.898732237912256</c:v>
                </c:pt>
                <c:pt idx="30">
                  <c:v>41.207432847207222</c:v>
                </c:pt>
                <c:pt idx="31">
                  <c:v>44.132419780583085</c:v>
                </c:pt>
                <c:pt idx="32">
                  <c:v>48.330825286002899</c:v>
                </c:pt>
                <c:pt idx="33">
                  <c:v>52.689665553749748</c:v>
                </c:pt>
                <c:pt idx="34">
                  <c:v>57.283882457267516</c:v>
                </c:pt>
                <c:pt idx="35">
                  <c:v>62.41126881020957</c:v>
                </c:pt>
                <c:pt idx="36">
                  <c:v>67.103451950245272</c:v>
                </c:pt>
                <c:pt idx="37">
                  <c:v>72.467596342578332</c:v>
                </c:pt>
                <c:pt idx="38">
                  <c:v>78.164231499283005</c:v>
                </c:pt>
                <c:pt idx="39">
                  <c:v>85.153645236239797</c:v>
                </c:pt>
                <c:pt idx="40">
                  <c:v>91.915519985333276</c:v>
                </c:pt>
                <c:pt idx="41">
                  <c:v>100</c:v>
                </c:pt>
                <c:pt idx="42">
                  <c:v>105.14706917336459</c:v>
                </c:pt>
                <c:pt idx="43">
                  <c:v>108.9322314211101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4-46A6-BF70-402BB289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471952"/>
        <c:axId val="1146478192"/>
      </c:lineChart>
      <c:catAx>
        <c:axId val="11464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78192"/>
        <c:crosses val="autoZero"/>
        <c:auto val="1"/>
        <c:lblAlgn val="ctr"/>
        <c:lblOffset val="100"/>
        <c:noMultiLvlLbl val="0"/>
      </c:catAx>
      <c:valAx>
        <c:axId val="1146478192"/>
        <c:scaling>
          <c:orientation val="minMax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11245401996847E-2"/>
          <c:y val="0.90611520737327189"/>
          <c:w val="0.94008057453144156"/>
          <c:h val="6.787352790578594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89203075801858E-2"/>
          <c:y val="2.8236157764326919E-2"/>
          <c:w val="0.9468646480482793"/>
          <c:h val="0.89553925414747126"/>
        </c:manualLayout>
      </c:layout>
      <c:lineChart>
        <c:grouping val="standard"/>
        <c:varyColors val="0"/>
        <c:ser>
          <c:idx val="2"/>
          <c:order val="0"/>
          <c:tx>
            <c:v>K-Y (Castillo-García 2026)</c:v>
          </c:tx>
          <c:spPr>
            <a:ln w="28575" cap="rnd">
              <a:solidFill>
                <a:sysClr val="windowText" lastClr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Capital'!$U$49:$U$130</c:f>
              <c:numCache>
                <c:formatCode>General</c:formatCode>
                <c:ptCount val="82"/>
                <c:pt idx="38">
                  <c:v>3.8634102862884534</c:v>
                </c:pt>
                <c:pt idx="39">
                  <c:v>3.853123369153816</c:v>
                </c:pt>
                <c:pt idx="40">
                  <c:v>4.042918049233311</c:v>
                </c:pt>
                <c:pt idx="41">
                  <c:v>4.619031641899717</c:v>
                </c:pt>
                <c:pt idx="42">
                  <c:v>4.5387971415740029</c:v>
                </c:pt>
                <c:pt idx="43">
                  <c:v>4.4988598004474376</c:v>
                </c:pt>
                <c:pt idx="44">
                  <c:v>4.1849016245938335</c:v>
                </c:pt>
                <c:pt idx="45">
                  <c:v>3.9149173302094282</c:v>
                </c:pt>
                <c:pt idx="46">
                  <c:v>4.3966054409175053</c:v>
                </c:pt>
                <c:pt idx="47">
                  <c:v>5.050460962241516</c:v>
                </c:pt>
                <c:pt idx="48">
                  <c:v>5.3426839085070599</c:v>
                </c:pt>
                <c:pt idx="49">
                  <c:v>5.2590416149339418</c:v>
                </c:pt>
                <c:pt idx="50">
                  <c:v>5.2646127920856083</c:v>
                </c:pt>
                <c:pt idx="51">
                  <c:v>4.9437974511514264</c:v>
                </c:pt>
                <c:pt idx="52">
                  <c:v>4.3924516476115691</c:v>
                </c:pt>
                <c:pt idx="53">
                  <c:v>4.1532938209777113</c:v>
                </c:pt>
                <c:pt idx="54">
                  <c:v>4.1143672467740435</c:v>
                </c:pt>
                <c:pt idx="55">
                  <c:v>3.9756398078921298</c:v>
                </c:pt>
                <c:pt idx="56">
                  <c:v>4.0920518056993478</c:v>
                </c:pt>
                <c:pt idx="57">
                  <c:v>4.0734900906124398</c:v>
                </c:pt>
                <c:pt idx="58">
                  <c:v>3.9753548412384028</c:v>
                </c:pt>
                <c:pt idx="59">
                  <c:v>3.9541825134690467</c:v>
                </c:pt>
                <c:pt idx="60">
                  <c:v>3.8065816337647886</c:v>
                </c:pt>
                <c:pt idx="61">
                  <c:v>3.7286804615635125</c:v>
                </c:pt>
                <c:pt idx="62">
                  <c:v>3.6389015541725449</c:v>
                </c:pt>
                <c:pt idx="63">
                  <c:v>3.5140566705273373</c:v>
                </c:pt>
                <c:pt idx="64">
                  <c:v>3.3692769532353659</c:v>
                </c:pt>
                <c:pt idx="65">
                  <c:v>3.2479109146019334</c:v>
                </c:pt>
                <c:pt idx="66">
                  <c:v>3.1700156022553205</c:v>
                </c:pt>
                <c:pt idx="67">
                  <c:v>3.3149730062232377</c:v>
                </c:pt>
                <c:pt idx="68">
                  <c:v>3.2677323964236291</c:v>
                </c:pt>
                <c:pt idx="69">
                  <c:v>3.2913559741778253</c:v>
                </c:pt>
                <c:pt idx="70">
                  <c:v>3.3444451142493383</c:v>
                </c:pt>
                <c:pt idx="71">
                  <c:v>3.4001097958993203</c:v>
                </c:pt>
                <c:pt idx="72">
                  <c:v>3.5422611154430506</c:v>
                </c:pt>
                <c:pt idx="73">
                  <c:v>3.624354922787262</c:v>
                </c:pt>
                <c:pt idx="74">
                  <c:v>3.6563339489450177</c:v>
                </c:pt>
                <c:pt idx="75">
                  <c:v>3.7384144513819488</c:v>
                </c:pt>
                <c:pt idx="76">
                  <c:v>3.7743295217124921</c:v>
                </c:pt>
                <c:pt idx="77">
                  <c:v>3.8705417938839752</c:v>
                </c:pt>
                <c:pt idx="78">
                  <c:v>4.5080590866545931</c:v>
                </c:pt>
                <c:pt idx="79">
                  <c:v>4.1828190160704768</c:v>
                </c:pt>
                <c:pt idx="80">
                  <c:v>4.2731848198289955</c:v>
                </c:pt>
                <c:pt idx="81">
                  <c:v>4.4771555750430521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ED-407D-95F3-86FA4677114B}"/>
            </c:ext>
          </c:extLst>
        </c:ser>
        <c:ser>
          <c:idx val="0"/>
          <c:order val="1"/>
          <c:tx>
            <c:v>K-Y (WID)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Capital'!$T$49:$T$130</c:f>
              <c:numCache>
                <c:formatCode>General</c:formatCode>
                <c:ptCount val="82"/>
                <c:pt idx="38">
                  <c:v>4.2373077493953959</c:v>
                </c:pt>
                <c:pt idx="39">
                  <c:v>4.1301016455340314</c:v>
                </c:pt>
                <c:pt idx="40">
                  <c:v>4.3148400243713896</c:v>
                </c:pt>
                <c:pt idx="41">
                  <c:v>4.5380366973139292</c:v>
                </c:pt>
                <c:pt idx="42">
                  <c:v>4.5418651663677734</c:v>
                </c:pt>
                <c:pt idx="43">
                  <c:v>4.7283722898614435</c:v>
                </c:pt>
                <c:pt idx="44">
                  <c:v>4.7538165302103179</c:v>
                </c:pt>
                <c:pt idx="45">
                  <c:v>4.6689395703198988</c:v>
                </c:pt>
                <c:pt idx="46">
                  <c:v>4.7325007649144997</c:v>
                </c:pt>
                <c:pt idx="47">
                  <c:v>4.8586372478233839</c:v>
                </c:pt>
                <c:pt idx="48">
                  <c:v>5.0051740354568679</c:v>
                </c:pt>
                <c:pt idx="49">
                  <c:v>4.633451677181375</c:v>
                </c:pt>
                <c:pt idx="50">
                  <c:v>4.8252213745703854</c:v>
                </c:pt>
                <c:pt idx="51">
                  <c:v>4.6033435781898584</c:v>
                </c:pt>
                <c:pt idx="52">
                  <c:v>4.3756950603848805</c:v>
                </c:pt>
                <c:pt idx="53">
                  <c:v>4.2617549712235085</c:v>
                </c:pt>
                <c:pt idx="54">
                  <c:v>4.3336032609878981</c:v>
                </c:pt>
                <c:pt idx="55">
                  <c:v>4.2740053890293623</c:v>
                </c:pt>
                <c:pt idx="56">
                  <c:v>4.4221372708832725</c:v>
                </c:pt>
                <c:pt idx="57">
                  <c:v>4.6051752176225076</c:v>
                </c:pt>
                <c:pt idx="58">
                  <c:v>4.6939313455786014</c:v>
                </c:pt>
                <c:pt idx="59">
                  <c:v>4.7257053051625713</c:v>
                </c:pt>
                <c:pt idx="60">
                  <c:v>4.6461340465811158</c:v>
                </c:pt>
                <c:pt idx="61">
                  <c:v>4.5943660619700522</c:v>
                </c:pt>
                <c:pt idx="62">
                  <c:v>4.4359310191174179</c:v>
                </c:pt>
                <c:pt idx="63">
                  <c:v>4.3352497210055656</c:v>
                </c:pt>
                <c:pt idx="64">
                  <c:v>4.2344298138493626</c:v>
                </c:pt>
                <c:pt idx="65">
                  <c:v>4.2128990323473161</c:v>
                </c:pt>
                <c:pt idx="66">
                  <c:v>4.0432322835991119</c:v>
                </c:pt>
                <c:pt idx="67">
                  <c:v>4.1464530375538224</c:v>
                </c:pt>
                <c:pt idx="68">
                  <c:v>4.0747144881046449</c:v>
                </c:pt>
                <c:pt idx="69">
                  <c:v>3.9307475165715284</c:v>
                </c:pt>
                <c:pt idx="70">
                  <c:v>4.0250745252568789</c:v>
                </c:pt>
                <c:pt idx="71">
                  <c:v>4.1297001822178583</c:v>
                </c:pt>
                <c:pt idx="72">
                  <c:v>4.3180144985949962</c:v>
                </c:pt>
                <c:pt idx="73">
                  <c:v>4.533141117640386</c:v>
                </c:pt>
                <c:pt idx="74">
                  <c:v>4.5702978556489953</c:v>
                </c:pt>
                <c:pt idx="75">
                  <c:v>4.5664493186434836</c:v>
                </c:pt>
                <c:pt idx="76">
                  <c:v>4.5956283902459951</c:v>
                </c:pt>
                <c:pt idx="77">
                  <c:v>4.6471603338764718</c:v>
                </c:pt>
                <c:pt idx="78">
                  <c:v>4.6397022559563554</c:v>
                </c:pt>
                <c:pt idx="79">
                  <c:v>4.2159920900123806</c:v>
                </c:pt>
                <c:pt idx="80">
                  <c:v>4.4039148186759682</c:v>
                </c:pt>
                <c:pt idx="81">
                  <c:v>4.4137315253653568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D-407D-95F3-86FA4677114B}"/>
            </c:ext>
          </c:extLst>
        </c:ser>
        <c:ser>
          <c:idx val="3"/>
          <c:order val="2"/>
          <c:tx>
            <c:v>K-Y (PWT 11.0)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Capital'!$W$49:$W$130</c:f>
              <c:numCache>
                <c:formatCode>General</c:formatCode>
                <c:ptCount val="82"/>
                <c:pt idx="8">
                  <c:v>1.288519546738365</c:v>
                </c:pt>
                <c:pt idx="9">
                  <c:v>1.3012210831326676</c:v>
                </c:pt>
                <c:pt idx="10">
                  <c:v>1.3329733949925668</c:v>
                </c:pt>
                <c:pt idx="11">
                  <c:v>1.3629534411566318</c:v>
                </c:pt>
                <c:pt idx="12">
                  <c:v>1.3474291075289382</c:v>
                </c:pt>
                <c:pt idx="13">
                  <c:v>1.3689125761288368</c:v>
                </c:pt>
                <c:pt idx="14">
                  <c:v>1.4278294806495972</c:v>
                </c:pt>
                <c:pt idx="15">
                  <c:v>1.4256632367281452</c:v>
                </c:pt>
                <c:pt idx="16">
                  <c:v>1.507538938564092</c:v>
                </c:pt>
                <c:pt idx="17">
                  <c:v>1.5220533025132703</c:v>
                </c:pt>
                <c:pt idx="18">
                  <c:v>1.4481372120165015</c:v>
                </c:pt>
                <c:pt idx="19">
                  <c:v>1.4096608806900102</c:v>
                </c:pt>
                <c:pt idx="20">
                  <c:v>1.3542469327021243</c:v>
                </c:pt>
                <c:pt idx="21">
                  <c:v>1.328393063627058</c:v>
                </c:pt>
                <c:pt idx="22">
                  <c:v>1.2959122262002378</c:v>
                </c:pt>
                <c:pt idx="23">
                  <c:v>1.2681974075628599</c:v>
                </c:pt>
                <c:pt idx="24">
                  <c:v>1.2399749257087682</c:v>
                </c:pt>
                <c:pt idx="25">
                  <c:v>1.2344665064301021</c:v>
                </c:pt>
                <c:pt idx="26">
                  <c:v>1.2550917334674285</c:v>
                </c:pt>
                <c:pt idx="27">
                  <c:v>1.2273528241220766</c:v>
                </c:pt>
                <c:pt idx="28">
                  <c:v>1.1760405827138014</c:v>
                </c:pt>
                <c:pt idx="29">
                  <c:v>1.1483913125255798</c:v>
                </c:pt>
                <c:pt idx="30">
                  <c:v>1.1531830965546539</c:v>
                </c:pt>
                <c:pt idx="31">
                  <c:v>1.1343113139392269</c:v>
                </c:pt>
                <c:pt idx="32">
                  <c:v>1.1328935985342172</c:v>
                </c:pt>
                <c:pt idx="33">
                  <c:v>1.1556404179964459</c:v>
                </c:pt>
                <c:pt idx="34">
                  <c:v>1.1984844184044809</c:v>
                </c:pt>
                <c:pt idx="35">
                  <c:v>1.2560110557287425</c:v>
                </c:pt>
                <c:pt idx="36">
                  <c:v>1.325335253521662</c:v>
                </c:pt>
                <c:pt idx="37">
                  <c:v>1.3452505665802983</c:v>
                </c:pt>
                <c:pt idx="38">
                  <c:v>1.2972674429389872</c:v>
                </c:pt>
                <c:pt idx="39">
                  <c:v>1.3093752540488233</c:v>
                </c:pt>
                <c:pt idx="40">
                  <c:v>1.4126338885952436</c:v>
                </c:pt>
                <c:pt idx="41">
                  <c:v>1.5954974800738717</c:v>
                </c:pt>
                <c:pt idx="42">
                  <c:v>1.6198950152174805</c:v>
                </c:pt>
                <c:pt idx="43">
                  <c:v>1.7047852949077094</c:v>
                </c:pt>
                <c:pt idx="44">
                  <c:v>1.6064953444352477</c:v>
                </c:pt>
                <c:pt idx="45">
                  <c:v>1.5974867628548544</c:v>
                </c:pt>
                <c:pt idx="46">
                  <c:v>1.8720080552317209</c:v>
                </c:pt>
                <c:pt idx="47">
                  <c:v>2.4551144594151597</c:v>
                </c:pt>
                <c:pt idx="48">
                  <c:v>2.6988247596960924</c:v>
                </c:pt>
                <c:pt idx="49">
                  <c:v>2.9282453337841727</c:v>
                </c:pt>
                <c:pt idx="50">
                  <c:v>3.1606289343593001</c:v>
                </c:pt>
                <c:pt idx="51">
                  <c:v>3.3293273661181408</c:v>
                </c:pt>
                <c:pt idx="52">
                  <c:v>3.2571966339455307</c:v>
                </c:pt>
                <c:pt idx="53">
                  <c:v>3.2815718538841683</c:v>
                </c:pt>
                <c:pt idx="54">
                  <c:v>3.3950820840244784</c:v>
                </c:pt>
                <c:pt idx="55">
                  <c:v>3.4050590183669658</c:v>
                </c:pt>
                <c:pt idx="56">
                  <c:v>3.6886052710067228</c:v>
                </c:pt>
                <c:pt idx="57">
                  <c:v>3.8204078783905557</c:v>
                </c:pt>
                <c:pt idx="58">
                  <c:v>3.8289876442356787</c:v>
                </c:pt>
                <c:pt idx="59">
                  <c:v>3.9164207376400446</c:v>
                </c:pt>
                <c:pt idx="60">
                  <c:v>3.7913480444043053</c:v>
                </c:pt>
                <c:pt idx="61">
                  <c:v>3.6973927278491865</c:v>
                </c:pt>
                <c:pt idx="62">
                  <c:v>3.558520866263287</c:v>
                </c:pt>
                <c:pt idx="63">
                  <c:v>3.3393348829807619</c:v>
                </c:pt>
                <c:pt idx="64">
                  <c:v>3.0841754202117486</c:v>
                </c:pt>
                <c:pt idx="65">
                  <c:v>2.9183684697526697</c:v>
                </c:pt>
                <c:pt idx="66">
                  <c:v>2.826113276518905</c:v>
                </c:pt>
                <c:pt idx="67">
                  <c:v>2.9359433920952149</c:v>
                </c:pt>
                <c:pt idx="68">
                  <c:v>2.740080572370339</c:v>
                </c:pt>
                <c:pt idx="69">
                  <c:v>2.6691084569266863</c:v>
                </c:pt>
                <c:pt idx="70">
                  <c:v>2.7714420533013788</c:v>
                </c:pt>
                <c:pt idx="71">
                  <c:v>2.9911090591643341</c:v>
                </c:pt>
                <c:pt idx="72">
                  <c:v>3.2021494143392157</c:v>
                </c:pt>
                <c:pt idx="73">
                  <c:v>3.4547626656020269</c:v>
                </c:pt>
                <c:pt idx="74">
                  <c:v>3.6225135359132068</c:v>
                </c:pt>
                <c:pt idx="75">
                  <c:v>3.7857742213120047</c:v>
                </c:pt>
                <c:pt idx="76">
                  <c:v>3.9203774598794991</c:v>
                </c:pt>
                <c:pt idx="77">
                  <c:v>4.0617664103007831</c:v>
                </c:pt>
                <c:pt idx="78">
                  <c:v>4.7859264083059685</c:v>
                </c:pt>
                <c:pt idx="79">
                  <c:v>4.4933185940073388</c:v>
                </c:pt>
                <c:pt idx="80">
                  <c:v>4.6134633834121583</c:v>
                </c:pt>
                <c:pt idx="81">
                  <c:v>4.8416027870240823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ED-407D-95F3-86FA4677114B}"/>
            </c:ext>
          </c:extLst>
        </c:ser>
        <c:ser>
          <c:idx val="1"/>
          <c:order val="3"/>
          <c:tx>
            <c:v>K-Y Spliced Data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Capital'!$X$49:$X$130</c:f>
              <c:numCache>
                <c:formatCode>General</c:formatCode>
                <c:ptCount val="82"/>
                <c:pt idx="38">
                  <c:v>4.2373077493953959</c:v>
                </c:pt>
                <c:pt idx="39">
                  <c:v>4.1301016455340314</c:v>
                </c:pt>
                <c:pt idx="40">
                  <c:v>4.3148400243713896</c:v>
                </c:pt>
                <c:pt idx="41">
                  <c:v>4.5380366973139292</c:v>
                </c:pt>
                <c:pt idx="42">
                  <c:v>4.5418651663677734</c:v>
                </c:pt>
                <c:pt idx="43">
                  <c:v>4.7283722898614435</c:v>
                </c:pt>
                <c:pt idx="44">
                  <c:v>4.7538165302103179</c:v>
                </c:pt>
                <c:pt idx="45">
                  <c:v>4.6689395703198988</c:v>
                </c:pt>
                <c:pt idx="46">
                  <c:v>4.7325007649144997</c:v>
                </c:pt>
                <c:pt idx="47">
                  <c:v>4.8586372478233839</c:v>
                </c:pt>
                <c:pt idx="48">
                  <c:v>5.0051740354568679</c:v>
                </c:pt>
                <c:pt idx="49">
                  <c:v>4.633451677181375</c:v>
                </c:pt>
                <c:pt idx="50">
                  <c:v>4.8252213745703854</c:v>
                </c:pt>
                <c:pt idx="51">
                  <c:v>4.6033435781898584</c:v>
                </c:pt>
                <c:pt idx="52">
                  <c:v>4.3756950603848805</c:v>
                </c:pt>
                <c:pt idx="53">
                  <c:v>4.2617549712235085</c:v>
                </c:pt>
                <c:pt idx="54">
                  <c:v>4.3336032609878981</c:v>
                </c:pt>
                <c:pt idx="55">
                  <c:v>4.2740053890293623</c:v>
                </c:pt>
                <c:pt idx="56">
                  <c:v>4.4221372708832725</c:v>
                </c:pt>
                <c:pt idx="57">
                  <c:v>4.6051752176225076</c:v>
                </c:pt>
                <c:pt idx="58">
                  <c:v>4.6939313455786014</c:v>
                </c:pt>
                <c:pt idx="59">
                  <c:v>4.7257053051625713</c:v>
                </c:pt>
                <c:pt idx="60">
                  <c:v>4.6461340465811158</c:v>
                </c:pt>
                <c:pt idx="61">
                  <c:v>4.5943660619700522</c:v>
                </c:pt>
                <c:pt idx="62">
                  <c:v>4.4359310191174179</c:v>
                </c:pt>
                <c:pt idx="63">
                  <c:v>4.3352497210055656</c:v>
                </c:pt>
                <c:pt idx="64">
                  <c:v>4.2344298138493626</c:v>
                </c:pt>
                <c:pt idx="65">
                  <c:v>4.2128990323473161</c:v>
                </c:pt>
                <c:pt idx="66">
                  <c:v>4.0432322835991119</c:v>
                </c:pt>
                <c:pt idx="67">
                  <c:v>4.1464530375538224</c:v>
                </c:pt>
                <c:pt idx="68">
                  <c:v>4.0747144881046449</c:v>
                </c:pt>
                <c:pt idx="69">
                  <c:v>3.9307475165715284</c:v>
                </c:pt>
                <c:pt idx="70">
                  <c:v>4.0250745252568789</c:v>
                </c:pt>
                <c:pt idx="71">
                  <c:v>4.1297001822178583</c:v>
                </c:pt>
                <c:pt idx="72">
                  <c:v>4.3180144985949962</c:v>
                </c:pt>
                <c:pt idx="73">
                  <c:v>4.533141117640386</c:v>
                </c:pt>
                <c:pt idx="74">
                  <c:v>4.5702978556489953</c:v>
                </c:pt>
                <c:pt idx="75">
                  <c:v>4.5664493186434836</c:v>
                </c:pt>
                <c:pt idx="76">
                  <c:v>4.5956283902459951</c:v>
                </c:pt>
                <c:pt idx="77">
                  <c:v>4.6471603338764718</c:v>
                </c:pt>
                <c:pt idx="78">
                  <c:v>4.6397022559563554</c:v>
                </c:pt>
                <c:pt idx="79">
                  <c:v>4.2159920900123806</c:v>
                </c:pt>
                <c:pt idx="80">
                  <c:v>4.4039148186759682</c:v>
                </c:pt>
                <c:pt idx="81">
                  <c:v>4.4137315253653568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C-4259-8C18-819FE041B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81120"/>
        <c:axId val="902979680"/>
      </c:lineChart>
      <c:catAx>
        <c:axId val="9029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79680"/>
        <c:crosses val="autoZero"/>
        <c:auto val="1"/>
        <c:lblAlgn val="ctr"/>
        <c:lblOffset val="100"/>
        <c:noMultiLvlLbl val="0"/>
      </c:catAx>
      <c:valAx>
        <c:axId val="9029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418666433117301E-2"/>
          <c:y val="0.95841786671017659"/>
          <c:w val="0.96358131463075314"/>
          <c:h val="2.876577911225491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9759088409913E-2"/>
          <c:y val="2.8236157764326919E-2"/>
          <c:w val="0.9282189642214006"/>
          <c:h val="0.84396936966507219"/>
        </c:manualLayout>
      </c:layout>
      <c:lineChart>
        <c:grouping val="standard"/>
        <c:varyColors val="0"/>
        <c:ser>
          <c:idx val="2"/>
          <c:order val="0"/>
          <c:tx>
            <c:v>Peru-WID</c:v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'Comparison Domestic Capital'!$A$3:$A$130</c:f>
              <c:numCache>
                <c:formatCode>General</c:formatCode>
                <c:ptCount val="12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</c:numCache>
            </c:numRef>
          </c:cat>
          <c:val>
            <c:numRef>
              <c:f>'Comparison Domestic Capital'!$X$3:$X$130</c:f>
              <c:numCache>
                <c:formatCode>General</c:formatCode>
                <c:ptCount val="128"/>
                <c:pt idx="84">
                  <c:v>4.2373077493953959</c:v>
                </c:pt>
                <c:pt idx="85">
                  <c:v>4.1301016455340314</c:v>
                </c:pt>
                <c:pt idx="86">
                  <c:v>4.3148400243713896</c:v>
                </c:pt>
                <c:pt idx="87">
                  <c:v>4.5380366973139292</c:v>
                </c:pt>
                <c:pt idx="88">
                  <c:v>4.5418651663677734</c:v>
                </c:pt>
                <c:pt idx="89">
                  <c:v>4.7283722898614435</c:v>
                </c:pt>
                <c:pt idx="90">
                  <c:v>4.7538165302103179</c:v>
                </c:pt>
                <c:pt idx="91">
                  <c:v>4.6689395703198988</c:v>
                </c:pt>
                <c:pt idx="92">
                  <c:v>4.7325007649144997</c:v>
                </c:pt>
                <c:pt idx="93">
                  <c:v>4.8586372478233839</c:v>
                </c:pt>
                <c:pt idx="94">
                  <c:v>5.0051740354568679</c:v>
                </c:pt>
                <c:pt idx="95">
                  <c:v>4.633451677181375</c:v>
                </c:pt>
                <c:pt idx="96">
                  <c:v>4.8252213745703854</c:v>
                </c:pt>
                <c:pt idx="97">
                  <c:v>4.6033435781898584</c:v>
                </c:pt>
                <c:pt idx="98">
                  <c:v>4.3756950603848805</c:v>
                </c:pt>
                <c:pt idx="99">
                  <c:v>4.2617549712235085</c:v>
                </c:pt>
                <c:pt idx="100">
                  <c:v>4.3336032609878981</c:v>
                </c:pt>
                <c:pt idx="101">
                  <c:v>4.2740053890293623</c:v>
                </c:pt>
                <c:pt idx="102">
                  <c:v>4.4221372708832725</c:v>
                </c:pt>
                <c:pt idx="103">
                  <c:v>4.6051752176225076</c:v>
                </c:pt>
                <c:pt idx="104">
                  <c:v>4.6939313455786014</c:v>
                </c:pt>
                <c:pt idx="105">
                  <c:v>4.7257053051625713</c:v>
                </c:pt>
                <c:pt idx="106">
                  <c:v>4.6461340465811158</c:v>
                </c:pt>
                <c:pt idx="107">
                  <c:v>4.5943660619700522</c:v>
                </c:pt>
                <c:pt idx="108">
                  <c:v>4.4359310191174179</c:v>
                </c:pt>
                <c:pt idx="109">
                  <c:v>4.3352497210055656</c:v>
                </c:pt>
                <c:pt idx="110">
                  <c:v>4.2344298138493626</c:v>
                </c:pt>
                <c:pt idx="111">
                  <c:v>4.2128990323473161</c:v>
                </c:pt>
                <c:pt idx="112">
                  <c:v>4.0432322835991119</c:v>
                </c:pt>
                <c:pt idx="113">
                  <c:v>4.1464530375538224</c:v>
                </c:pt>
                <c:pt idx="114">
                  <c:v>4.0747144881046449</c:v>
                </c:pt>
                <c:pt idx="115">
                  <c:v>3.9307475165715284</c:v>
                </c:pt>
                <c:pt idx="116">
                  <c:v>4.0250745252568789</c:v>
                </c:pt>
                <c:pt idx="117">
                  <c:v>4.1297001822178583</c:v>
                </c:pt>
                <c:pt idx="118">
                  <c:v>4.3180144985949962</c:v>
                </c:pt>
                <c:pt idx="119">
                  <c:v>4.533141117640386</c:v>
                </c:pt>
                <c:pt idx="120">
                  <c:v>4.5702978556489953</c:v>
                </c:pt>
                <c:pt idx="121">
                  <c:v>4.5664493186434836</c:v>
                </c:pt>
                <c:pt idx="122">
                  <c:v>4.5956283902459951</c:v>
                </c:pt>
                <c:pt idx="123">
                  <c:v>4.6471603338764718</c:v>
                </c:pt>
                <c:pt idx="124">
                  <c:v>4.6397022559563554</c:v>
                </c:pt>
                <c:pt idx="125">
                  <c:v>4.2159920900123806</c:v>
                </c:pt>
                <c:pt idx="126">
                  <c:v>4.4039148186759682</c:v>
                </c:pt>
                <c:pt idx="127">
                  <c:v>4.4137315253653568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3-43C8-A9F1-523791958702}"/>
            </c:ext>
          </c:extLst>
        </c:ser>
        <c:ser>
          <c:idx val="0"/>
          <c:order val="1"/>
          <c:tx>
            <c:v>Peru-Spliced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'Comparison Domestic Capital'!$A$3:$A$130</c:f>
              <c:numCache>
                <c:formatCode>General</c:formatCode>
                <c:ptCount val="12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</c:numCache>
            </c:numRef>
          </c:cat>
          <c:val>
            <c:numRef>
              <c:f>'Comparison Domestic Capital'!$Y$3:$Y$130</c:f>
              <c:numCache>
                <c:formatCode>General</c:formatCode>
                <c:ptCount val="128"/>
                <c:pt idx="0">
                  <c:v>3.7505016488208329</c:v>
                </c:pt>
                <c:pt idx="1">
                  <c:v>3.4329564293264045</c:v>
                </c:pt>
                <c:pt idx="2">
                  <c:v>3.308756301826592</c:v>
                </c:pt>
                <c:pt idx="3">
                  <c:v>3.2385717645025438</c:v>
                </c:pt>
                <c:pt idx="4">
                  <c:v>3.183538896419905</c:v>
                </c:pt>
                <c:pt idx="5">
                  <c:v>3.0861145173944764</c:v>
                </c:pt>
                <c:pt idx="6">
                  <c:v>3.0805760961244619</c:v>
                </c:pt>
                <c:pt idx="7">
                  <c:v>3.0600064542084935</c:v>
                </c:pt>
                <c:pt idx="8">
                  <c:v>3.157546479585212</c:v>
                </c:pt>
                <c:pt idx="9">
                  <c:v>3.117574764325993</c:v>
                </c:pt>
                <c:pt idx="10">
                  <c:v>3.0910328322928216</c:v>
                </c:pt>
                <c:pt idx="11">
                  <c:v>3.1241888360513346</c:v>
                </c:pt>
                <c:pt idx="12">
                  <c:v>3.2530603915224039</c:v>
                </c:pt>
                <c:pt idx="13">
                  <c:v>3.3463854328456923</c:v>
                </c:pt>
                <c:pt idx="14">
                  <c:v>3.4256664878065548</c:v>
                </c:pt>
                <c:pt idx="15">
                  <c:v>3.4733562357750611</c:v>
                </c:pt>
                <c:pt idx="16">
                  <c:v>3.4953229281931373</c:v>
                </c:pt>
                <c:pt idx="17">
                  <c:v>3.6204967407333739</c:v>
                </c:pt>
                <c:pt idx="18">
                  <c:v>3.8270381959227175</c:v>
                </c:pt>
                <c:pt idx="19">
                  <c:v>3.6034781370199584</c:v>
                </c:pt>
                <c:pt idx="20">
                  <c:v>3.4355739745764065</c:v>
                </c:pt>
                <c:pt idx="21">
                  <c:v>3.4713840895350225</c:v>
                </c:pt>
                <c:pt idx="22">
                  <c:v>3.5684793569838544</c:v>
                </c:pt>
                <c:pt idx="23">
                  <c:v>3.6235006621929657</c:v>
                </c:pt>
                <c:pt idx="24">
                  <c:v>3.7150435849468555</c:v>
                </c:pt>
                <c:pt idx="25">
                  <c:v>3.7206935950536555</c:v>
                </c:pt>
                <c:pt idx="26">
                  <c:v>3.4918425579101351</c:v>
                </c:pt>
                <c:pt idx="27">
                  <c:v>3.4364379507255545</c:v>
                </c:pt>
                <c:pt idx="28">
                  <c:v>3.2750484313658981</c:v>
                </c:pt>
                <c:pt idx="29">
                  <c:v>3.3042315389427377</c:v>
                </c:pt>
                <c:pt idx="30">
                  <c:v>3.1366115980777587</c:v>
                </c:pt>
                <c:pt idx="31">
                  <c:v>3.1758944800197599</c:v>
                </c:pt>
                <c:pt idx="32">
                  <c:v>3.1575005735883668</c:v>
                </c:pt>
                <c:pt idx="33">
                  <c:v>2.9841050445289348</c:v>
                </c:pt>
                <c:pt idx="34">
                  <c:v>3.3899691120884925</c:v>
                </c:pt>
                <c:pt idx="35">
                  <c:v>3.6333114444259484</c:v>
                </c:pt>
                <c:pt idx="36">
                  <c:v>3.6645508539100082</c:v>
                </c:pt>
                <c:pt idx="37">
                  <c:v>3.2878340718028567</c:v>
                </c:pt>
                <c:pt idx="38">
                  <c:v>3.0285879054617735</c:v>
                </c:pt>
                <c:pt idx="39">
                  <c:v>2.8860447949960681</c:v>
                </c:pt>
                <c:pt idx="40">
                  <c:v>2.8559211463857359</c:v>
                </c:pt>
                <c:pt idx="41">
                  <c:v>2.9513198416671078</c:v>
                </c:pt>
                <c:pt idx="42">
                  <c:v>3.0110828805597185</c:v>
                </c:pt>
                <c:pt idx="43">
                  <c:v>3.1002408504190049</c:v>
                </c:pt>
                <c:pt idx="44">
                  <c:v>3.0971493799397605</c:v>
                </c:pt>
                <c:pt idx="45">
                  <c:v>3.1868833566688206</c:v>
                </c:pt>
                <c:pt idx="46">
                  <c:v>3.2861251107706186</c:v>
                </c:pt>
                <c:pt idx="47">
                  <c:v>3.2786225409405918</c:v>
                </c:pt>
                <c:pt idx="48">
                  <c:v>3.1292801658050573</c:v>
                </c:pt>
                <c:pt idx="49">
                  <c:v>3.1071071404695463</c:v>
                </c:pt>
                <c:pt idx="50">
                  <c:v>3.0923573147978916</c:v>
                </c:pt>
                <c:pt idx="51">
                  <c:v>3.1468524241642317</c:v>
                </c:pt>
                <c:pt idx="52">
                  <c:v>3.1434682413351172</c:v>
                </c:pt>
                <c:pt idx="53">
                  <c:v>3.0204896845559119</c:v>
                </c:pt>
                <c:pt idx="54">
                  <c:v>2.9591506801116569</c:v>
                </c:pt>
                <c:pt idx="55">
                  <c:v>2.9147478327475911</c:v>
                </c:pt>
                <c:pt idx="56">
                  <c:v>2.9639250562404507</c:v>
                </c:pt>
                <c:pt idx="57">
                  <c:v>3.0083156229967192</c:v>
                </c:pt>
                <c:pt idx="58">
                  <c:v>3.0168247960532941</c:v>
                </c:pt>
                <c:pt idx="59">
                  <c:v>3.0308756298756863</c:v>
                </c:pt>
                <c:pt idx="60">
                  <c:v>3.1249874991342952</c:v>
                </c:pt>
                <c:pt idx="61">
                  <c:v>3.1720216981401399</c:v>
                </c:pt>
                <c:pt idx="62">
                  <c:v>3.4227807552109528</c:v>
                </c:pt>
                <c:pt idx="63">
                  <c:v>3.4760592027440138</c:v>
                </c:pt>
                <c:pt idx="64">
                  <c:v>3.3198910505778421</c:v>
                </c:pt>
                <c:pt idx="65">
                  <c:v>3.2999333519775078</c:v>
                </c:pt>
                <c:pt idx="66">
                  <c:v>3.215355673485127</c:v>
                </c:pt>
                <c:pt idx="67">
                  <c:v>3.2762685906539448</c:v>
                </c:pt>
                <c:pt idx="68">
                  <c:v>3.2453661758220442</c:v>
                </c:pt>
                <c:pt idx="69">
                  <c:v>3.2506849315044901</c:v>
                </c:pt>
                <c:pt idx="70">
                  <c:v>3.2070044645138447</c:v>
                </c:pt>
                <c:pt idx="71">
                  <c:v>3.2710301245204567</c:v>
                </c:pt>
                <c:pt idx="72">
                  <c:v>3.4157430784171243</c:v>
                </c:pt>
                <c:pt idx="73">
                  <c:v>3.4424615759486645</c:v>
                </c:pt>
                <c:pt idx="74">
                  <c:v>3.4804501298612247</c:v>
                </c:pt>
                <c:pt idx="75">
                  <c:v>3.4937432552240333</c:v>
                </c:pt>
                <c:pt idx="76">
                  <c:v>3.5391815529121811</c:v>
                </c:pt>
                <c:pt idx="77">
                  <c:v>3.5722325280858631</c:v>
                </c:pt>
                <c:pt idx="78">
                  <c:v>3.5600720526656651</c:v>
                </c:pt>
                <c:pt idx="79">
                  <c:v>3.6896180133936229</c:v>
                </c:pt>
                <c:pt idx="80">
                  <c:v>3.8491816253730136</c:v>
                </c:pt>
                <c:pt idx="81">
                  <c:v>4.019334559662977</c:v>
                </c:pt>
                <c:pt idx="82">
                  <c:v>4.2882222850196516</c:v>
                </c:pt>
                <c:pt idx="83">
                  <c:v>4.2830791693768351</c:v>
                </c:pt>
                <c:pt idx="84">
                  <c:v>4.2373077493953959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E3-43C8-A9F1-523791958702}"/>
            </c:ext>
          </c:extLst>
        </c:ser>
        <c:ser>
          <c:idx val="1"/>
          <c:order val="2"/>
          <c:tx>
            <c:v>France</c:v>
          </c:tx>
          <c:spPr>
            <a:ln w="28575" cap="rnd">
              <a:solidFill>
                <a:srgbClr val="0000CC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Capital'!$A$3:$A$130</c:f>
              <c:numCache>
                <c:formatCode>General</c:formatCode>
                <c:ptCount val="12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</c:numCache>
            </c:numRef>
          </c:cat>
          <c:val>
            <c:numRef>
              <c:f>'Comparison Domestic Capital'!$Z$3:$Z$130</c:f>
              <c:numCache>
                <c:formatCode>General</c:formatCode>
                <c:ptCount val="128"/>
                <c:pt idx="0">
                  <c:v>6.3639037123711271</c:v>
                </c:pt>
                <c:pt idx="1">
                  <c:v>6.7253263329344373</c:v>
                </c:pt>
                <c:pt idx="2">
                  <c:v>6.2542068289291004</c:v>
                </c:pt>
                <c:pt idx="3">
                  <c:v>6.1910665415714359</c:v>
                </c:pt>
                <c:pt idx="4">
                  <c:v>6.2986958967454623</c:v>
                </c:pt>
                <c:pt idx="5">
                  <c:v>6.619966829572494</c:v>
                </c:pt>
                <c:pt idx="6">
                  <c:v>6.718825868449505</c:v>
                </c:pt>
                <c:pt idx="7">
                  <c:v>6.7208581252828736</c:v>
                </c:pt>
                <c:pt idx="8">
                  <c:v>6.7543846995006573</c:v>
                </c:pt>
                <c:pt idx="9">
                  <c:v>6.6409226435106827</c:v>
                </c:pt>
                <c:pt idx="10">
                  <c:v>6.9059257306022577</c:v>
                </c:pt>
                <c:pt idx="11">
                  <c:v>6.374080814383233</c:v>
                </c:pt>
                <c:pt idx="12">
                  <c:v>6.5576536163205201</c:v>
                </c:pt>
                <c:pt idx="13">
                  <c:v>6.4927907634516453</c:v>
                </c:pt>
                <c:pt idx="14">
                  <c:v>6.9309891358438831</c:v>
                </c:pt>
                <c:pt idx="15">
                  <c:v>6.5004023353813736</c:v>
                </c:pt>
                <c:pt idx="16">
                  <c:v>5.9791958661512998</c:v>
                </c:pt>
                <c:pt idx="17">
                  <c:v>6.2481332229167634</c:v>
                </c:pt>
                <c:pt idx="18">
                  <c:v>6.2024759541389551</c:v>
                </c:pt>
                <c:pt idx="19">
                  <c:v>6.3347981071185009</c:v>
                </c:pt>
                <c:pt idx="20">
                  <c:v>4.9794889275534944</c:v>
                </c:pt>
                <c:pt idx="21">
                  <c:v>4.4677173619882424</c:v>
                </c:pt>
                <c:pt idx="22">
                  <c:v>4.551619928395497</c:v>
                </c:pt>
                <c:pt idx="23">
                  <c:v>3.7478070910239154</c:v>
                </c:pt>
                <c:pt idx="24">
                  <c:v>3.5491781679960273</c:v>
                </c:pt>
                <c:pt idx="25">
                  <c:v>3.0603281326376299</c:v>
                </c:pt>
                <c:pt idx="26">
                  <c:v>2.6113640038153911</c:v>
                </c:pt>
                <c:pt idx="27">
                  <c:v>2.2359271682348196</c:v>
                </c:pt>
                <c:pt idx="28">
                  <c:v>2.2467448756568587</c:v>
                </c:pt>
                <c:pt idx="29">
                  <c:v>2.0485759837359958</c:v>
                </c:pt>
                <c:pt idx="30">
                  <c:v>2.3502803725929589</c:v>
                </c:pt>
                <c:pt idx="31">
                  <c:v>2.7094555168926036</c:v>
                </c:pt>
                <c:pt idx="32">
                  <c:v>2.8240549742353633</c:v>
                </c:pt>
                <c:pt idx="33">
                  <c:v>3.0415351490135145</c:v>
                </c:pt>
                <c:pt idx="34">
                  <c:v>3.3197424883357267</c:v>
                </c:pt>
                <c:pt idx="35">
                  <c:v>3.333488497684197</c:v>
                </c:pt>
                <c:pt idx="36">
                  <c:v>3.6371125626249259</c:v>
                </c:pt>
                <c:pt idx="37">
                  <c:v>3.6677843369183236</c:v>
                </c:pt>
                <c:pt idx="38">
                  <c:v>3.7913484896328251</c:v>
                </c:pt>
                <c:pt idx="39">
                  <c:v>3.4998651287962526</c:v>
                </c:pt>
                <c:pt idx="40">
                  <c:v>3.3745047715619814</c:v>
                </c:pt>
                <c:pt idx="41">
                  <c:v>3.7962701971506934</c:v>
                </c:pt>
                <c:pt idx="42">
                  <c:v>3.8640645901584452</c:v>
                </c:pt>
                <c:pt idx="43">
                  <c:v>3.4442317969346061</c:v>
                </c:pt>
                <c:pt idx="44">
                  <c:v>3.1777581895278439</c:v>
                </c:pt>
                <c:pt idx="45">
                  <c:v>3.3516941834992156</c:v>
                </c:pt>
                <c:pt idx="46">
                  <c:v>3.1163478192821614</c:v>
                </c:pt>
                <c:pt idx="47">
                  <c:v>3.3983143721744908</c:v>
                </c:pt>
                <c:pt idx="48">
                  <c:v>3.1649218380677278</c:v>
                </c:pt>
                <c:pt idx="49">
                  <c:v>2.6595109806358668</c:v>
                </c:pt>
                <c:pt idx="50">
                  <c:v>2.3149329997472439</c:v>
                </c:pt>
                <c:pt idx="51">
                  <c:v>2.50308693179973</c:v>
                </c:pt>
                <c:pt idx="52">
                  <c:v>2.4464146935273954</c:v>
                </c:pt>
                <c:pt idx="53">
                  <c:v>2.253329538192006</c:v>
                </c:pt>
                <c:pt idx="54">
                  <c:v>2.2842125592749842</c:v>
                </c:pt>
                <c:pt idx="55">
                  <c:v>2.3990797003035054</c:v>
                </c:pt>
                <c:pt idx="56">
                  <c:v>2.5052685304607922</c:v>
                </c:pt>
                <c:pt idx="57">
                  <c:v>2.5373774587015414</c:v>
                </c:pt>
                <c:pt idx="58">
                  <c:v>2.543696433658349</c:v>
                </c:pt>
                <c:pt idx="59">
                  <c:v>2.5838719491161015</c:v>
                </c:pt>
                <c:pt idx="60">
                  <c:v>2.6598378949542236</c:v>
                </c:pt>
                <c:pt idx="61">
                  <c:v>2.6904329724338623</c:v>
                </c:pt>
                <c:pt idx="62">
                  <c:v>2.8392579686839836</c:v>
                </c:pt>
                <c:pt idx="63">
                  <c:v>2.9643218349394846</c:v>
                </c:pt>
                <c:pt idx="64">
                  <c:v>2.8920586074543659</c:v>
                </c:pt>
                <c:pt idx="65">
                  <c:v>2.9536247476496831</c:v>
                </c:pt>
                <c:pt idx="66">
                  <c:v>2.9597328333534931</c:v>
                </c:pt>
                <c:pt idx="67">
                  <c:v>2.9925287218147316</c:v>
                </c:pt>
                <c:pt idx="68">
                  <c:v>3.0097456262382711</c:v>
                </c:pt>
                <c:pt idx="69">
                  <c:v>3.0820829174923277</c:v>
                </c:pt>
                <c:pt idx="70">
                  <c:v>3.1512164823926234</c:v>
                </c:pt>
                <c:pt idx="71">
                  <c:v>3.2173076942286785</c:v>
                </c:pt>
                <c:pt idx="72">
                  <c:v>3.2878705655253935</c:v>
                </c:pt>
                <c:pt idx="73">
                  <c:v>3.2885919644728903</c:v>
                </c:pt>
                <c:pt idx="74">
                  <c:v>2.9011777718072849</c:v>
                </c:pt>
                <c:pt idx="75">
                  <c:v>2.887951290503437</c:v>
                </c:pt>
                <c:pt idx="76">
                  <c:v>2.9326879249541862</c:v>
                </c:pt>
                <c:pt idx="77">
                  <c:v>2.9148702469876073</c:v>
                </c:pt>
                <c:pt idx="78">
                  <c:v>2.9226304919579187</c:v>
                </c:pt>
                <c:pt idx="79">
                  <c:v>3.0488513582639944</c:v>
                </c:pt>
                <c:pt idx="80">
                  <c:v>3.0400497766138406</c:v>
                </c:pt>
                <c:pt idx="81">
                  <c:v>3.0546988378620044</c:v>
                </c:pt>
                <c:pt idx="82">
                  <c:v>3.0894017492160839</c:v>
                </c:pt>
                <c:pt idx="83">
                  <c:v>3.1409816496539773</c:v>
                </c:pt>
                <c:pt idx="84">
                  <c:v>3.1962568325423062</c:v>
                </c:pt>
                <c:pt idx="85">
                  <c:v>3.2085023170047839</c:v>
                </c:pt>
                <c:pt idx="86">
                  <c:v>3.1282055069081269</c:v>
                </c:pt>
                <c:pt idx="87">
                  <c:v>3.1381365618591546</c:v>
                </c:pt>
                <c:pt idx="88">
                  <c:v>3.1257683029852839</c:v>
                </c:pt>
                <c:pt idx="89">
                  <c:v>3.0763147475740782</c:v>
                </c:pt>
                <c:pt idx="90">
                  <c:v>3.0833014595939048</c:v>
                </c:pt>
                <c:pt idx="91">
                  <c:v>3.1128139388877467</c:v>
                </c:pt>
                <c:pt idx="92">
                  <c:v>3.0799139329055092</c:v>
                </c:pt>
                <c:pt idx="93">
                  <c:v>3.1419743111496108</c:v>
                </c:pt>
                <c:pt idx="94">
                  <c:v>3.1719972460222778</c:v>
                </c:pt>
                <c:pt idx="95">
                  <c:v>3.1448549524746223</c:v>
                </c:pt>
                <c:pt idx="96">
                  <c:v>3.0871017183101688</c:v>
                </c:pt>
                <c:pt idx="97">
                  <c:v>3.0768496658025328</c:v>
                </c:pt>
                <c:pt idx="98">
                  <c:v>2.9968601961227548</c:v>
                </c:pt>
                <c:pt idx="99">
                  <c:v>2.9934809199441954</c:v>
                </c:pt>
                <c:pt idx="100">
                  <c:v>3.095624575174464</c:v>
                </c:pt>
                <c:pt idx="101">
                  <c:v>3.0954196679826143</c:v>
                </c:pt>
                <c:pt idx="102">
                  <c:v>3.0990589334714542</c:v>
                </c:pt>
                <c:pt idx="103">
                  <c:v>3.2902309867364519</c:v>
                </c:pt>
                <c:pt idx="104">
                  <c:v>3.4397947173794319</c:v>
                </c:pt>
                <c:pt idx="105">
                  <c:v>3.4689181914210279</c:v>
                </c:pt>
                <c:pt idx="106">
                  <c:v>3.519207488729303</c:v>
                </c:pt>
                <c:pt idx="107">
                  <c:v>3.7560134158632765</c:v>
                </c:pt>
                <c:pt idx="108">
                  <c:v>4.0816854714430404</c:v>
                </c:pt>
                <c:pt idx="109">
                  <c:v>4.5048942993415375</c:v>
                </c:pt>
                <c:pt idx="110">
                  <c:v>4.8805824075732964</c:v>
                </c:pt>
                <c:pt idx="111">
                  <c:v>5.0795340758844469</c:v>
                </c:pt>
                <c:pt idx="112">
                  <c:v>4.9093978635174524</c:v>
                </c:pt>
                <c:pt idx="113">
                  <c:v>4.8508513819039543</c:v>
                </c:pt>
                <c:pt idx="114">
                  <c:v>4.9046866627410042</c:v>
                </c:pt>
                <c:pt idx="115">
                  <c:v>5.0197862149902894</c:v>
                </c:pt>
                <c:pt idx="116">
                  <c:v>5.003079138753793</c:v>
                </c:pt>
                <c:pt idx="117">
                  <c:v>4.9529374699767086</c:v>
                </c:pt>
                <c:pt idx="118">
                  <c:v>4.8572451288962171</c:v>
                </c:pt>
                <c:pt idx="119">
                  <c:v>4.7526877843153787</c:v>
                </c:pt>
                <c:pt idx="120">
                  <c:v>4.8176715312840157</c:v>
                </c:pt>
                <c:pt idx="121">
                  <c:v>4.9071391959264554</c:v>
                </c:pt>
                <c:pt idx="122">
                  <c:v>4.9415279480926104</c:v>
                </c:pt>
                <c:pt idx="123">
                  <c:v>5.027560844745925</c:v>
                </c:pt>
                <c:pt idx="124">
                  <c:v>5.6039768277929189</c:v>
                </c:pt>
                <c:pt idx="125">
                  <c:v>5.5767223084026378</c:v>
                </c:pt>
                <c:pt idx="126">
                  <c:v>5.5283440355207851</c:v>
                </c:pt>
                <c:pt idx="127">
                  <c:v>5.2432317156575134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E3-43C8-A9F1-523791958702}"/>
            </c:ext>
          </c:extLst>
        </c:ser>
        <c:ser>
          <c:idx val="3"/>
          <c:order val="3"/>
          <c:tx>
            <c:v>USA</c:v>
          </c:tx>
          <c:spPr>
            <a:ln w="28575" cap="rnd">
              <a:solidFill>
                <a:srgbClr val="FF0066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Capital'!$A$3:$A$130</c:f>
              <c:numCache>
                <c:formatCode>General</c:formatCode>
                <c:ptCount val="12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</c:numCache>
            </c:numRef>
          </c:cat>
          <c:val>
            <c:numRef>
              <c:f>'Comparison Domestic Capital'!$AA$3:$AA$130</c:f>
              <c:numCache>
                <c:formatCode>General</c:formatCode>
                <c:ptCount val="128"/>
                <c:pt idx="0">
                  <c:v>4.3332439293153628</c:v>
                </c:pt>
                <c:pt idx="1">
                  <c:v>4.2498582666629545</c:v>
                </c:pt>
                <c:pt idx="2">
                  <c:v>3.9870938425600411</c:v>
                </c:pt>
                <c:pt idx="3">
                  <c:v>3.9096201134242117</c:v>
                </c:pt>
                <c:pt idx="4">
                  <c:v>4.804504349032948</c:v>
                </c:pt>
                <c:pt idx="5">
                  <c:v>3.8132331195371303</c:v>
                </c:pt>
                <c:pt idx="6">
                  <c:v>3.7342098077421348</c:v>
                </c:pt>
                <c:pt idx="7">
                  <c:v>3.7044364600716846</c:v>
                </c:pt>
                <c:pt idx="8">
                  <c:v>3.9301834876698094</c:v>
                </c:pt>
                <c:pt idx="9">
                  <c:v>3.6553582529729218</c:v>
                </c:pt>
                <c:pt idx="10">
                  <c:v>3.6418160486352589</c:v>
                </c:pt>
                <c:pt idx="11">
                  <c:v>3.6236752956073497</c:v>
                </c:pt>
                <c:pt idx="12">
                  <c:v>4.1154723753629652</c:v>
                </c:pt>
                <c:pt idx="13">
                  <c:v>4.0402444892330269</c:v>
                </c:pt>
                <c:pt idx="14">
                  <c:v>4.6934007111725293</c:v>
                </c:pt>
                <c:pt idx="15">
                  <c:v>4.3084473812925017</c:v>
                </c:pt>
                <c:pt idx="16">
                  <c:v>4.2420941206311378</c:v>
                </c:pt>
                <c:pt idx="17">
                  <c:v>4.4696679651798323</c:v>
                </c:pt>
                <c:pt idx="18">
                  <c:v>4.9495193631254404</c:v>
                </c:pt>
                <c:pt idx="19">
                  <c:v>5.2074081549743694</c:v>
                </c:pt>
                <c:pt idx="20">
                  <c:v>4.7459297720807641</c:v>
                </c:pt>
                <c:pt idx="21">
                  <c:v>4.0654314709638433</c:v>
                </c:pt>
                <c:pt idx="22">
                  <c:v>3.4117681021252122</c:v>
                </c:pt>
                <c:pt idx="23">
                  <c:v>3.4522150715187379</c:v>
                </c:pt>
                <c:pt idx="24">
                  <c:v>3.1227647034064883</c:v>
                </c:pt>
                <c:pt idx="25">
                  <c:v>4.0327196904620255</c:v>
                </c:pt>
                <c:pt idx="26">
                  <c:v>4.2242444261564884</c:v>
                </c:pt>
                <c:pt idx="27">
                  <c:v>3.7414712063962874</c:v>
                </c:pt>
                <c:pt idx="28">
                  <c:v>3.8806107296898165</c:v>
                </c:pt>
                <c:pt idx="29">
                  <c:v>4.01156876649413</c:v>
                </c:pt>
                <c:pt idx="30">
                  <c:v>3.938467928161292</c:v>
                </c:pt>
                <c:pt idx="31">
                  <c:v>4.2825960863134824</c:v>
                </c:pt>
                <c:pt idx="32">
                  <c:v>4.8089400333341077</c:v>
                </c:pt>
                <c:pt idx="33">
                  <c:v>4.683351875144953</c:v>
                </c:pt>
                <c:pt idx="34">
                  <c:v>4.7442149320694513</c:v>
                </c:pt>
                <c:pt idx="35">
                  <c:v>4.5628611644323316</c:v>
                </c:pt>
                <c:pt idx="36">
                  <c:v>4.77096017016415</c:v>
                </c:pt>
                <c:pt idx="37">
                  <c:v>5.1861083317018108</c:v>
                </c:pt>
                <c:pt idx="38">
                  <c:v>4.833807190273065</c:v>
                </c:pt>
                <c:pt idx="39">
                  <c:v>4.6655098840435354</c:v>
                </c:pt>
                <c:pt idx="40">
                  <c:v>4.859559792106471</c:v>
                </c:pt>
                <c:pt idx="41">
                  <c:v>4.424747858580262</c:v>
                </c:pt>
                <c:pt idx="42">
                  <c:v>4.5536450501262307</c:v>
                </c:pt>
                <c:pt idx="43">
                  <c:v>4.4136482509101533</c:v>
                </c:pt>
                <c:pt idx="44">
                  <c:v>4.0976886799584884</c:v>
                </c:pt>
                <c:pt idx="45">
                  <c:v>3.2992594054722759</c:v>
                </c:pt>
                <c:pt idx="46">
                  <c:v>2.6003296791974444</c:v>
                </c:pt>
                <c:pt idx="47">
                  <c:v>2.2752624190405513</c:v>
                </c:pt>
                <c:pt idx="48">
                  <c:v>2.3830980433822631</c:v>
                </c:pt>
                <c:pt idx="49">
                  <c:v>2.2740774654079976</c:v>
                </c:pt>
                <c:pt idx="50">
                  <c:v>2.2608782989675094</c:v>
                </c:pt>
                <c:pt idx="51">
                  <c:v>2.4055280866393307</c:v>
                </c:pt>
                <c:pt idx="52">
                  <c:v>2.4148059554079797</c:v>
                </c:pt>
                <c:pt idx="53">
                  <c:v>2.5675558219383103</c:v>
                </c:pt>
                <c:pt idx="54">
                  <c:v>2.4864617929353905</c:v>
                </c:pt>
                <c:pt idx="55">
                  <c:v>2.3965290464500515</c:v>
                </c:pt>
                <c:pt idx="56">
                  <c:v>2.3980842862124825</c:v>
                </c:pt>
                <c:pt idx="57">
                  <c:v>2.3066741274413327</c:v>
                </c:pt>
                <c:pt idx="58">
                  <c:v>2.3947607777944016</c:v>
                </c:pt>
                <c:pt idx="59">
                  <c:v>2.3803186220984442</c:v>
                </c:pt>
                <c:pt idx="60">
                  <c:v>2.4279284006863069</c:v>
                </c:pt>
                <c:pt idx="61">
                  <c:v>2.4201735298388951</c:v>
                </c:pt>
                <c:pt idx="62">
                  <c:v>2.5233352828683837</c:v>
                </c:pt>
                <c:pt idx="63">
                  <c:v>2.4896597152304878</c:v>
                </c:pt>
                <c:pt idx="64">
                  <c:v>2.874892952587623</c:v>
                </c:pt>
                <c:pt idx="65">
                  <c:v>3.2952470519859163</c:v>
                </c:pt>
                <c:pt idx="66">
                  <c:v>3.254445192505083</c:v>
                </c:pt>
                <c:pt idx="67">
                  <c:v>3.2127299734469381</c:v>
                </c:pt>
                <c:pt idx="68">
                  <c:v>3.1858504076426089</c:v>
                </c:pt>
                <c:pt idx="69">
                  <c:v>3.1818529627615035</c:v>
                </c:pt>
                <c:pt idx="70">
                  <c:v>3.0715726500250216</c:v>
                </c:pt>
                <c:pt idx="71">
                  <c:v>3.1143311597860937</c:v>
                </c:pt>
                <c:pt idx="72">
                  <c:v>3.1817954996563729</c:v>
                </c:pt>
                <c:pt idx="73">
                  <c:v>3.1290453941554124</c:v>
                </c:pt>
                <c:pt idx="74">
                  <c:v>3.0577785187835196</c:v>
                </c:pt>
                <c:pt idx="75">
                  <c:v>3.0505116420250999</c:v>
                </c:pt>
                <c:pt idx="76">
                  <c:v>3.1294953313851144</c:v>
                </c:pt>
                <c:pt idx="77">
                  <c:v>3.0883080144848134</c:v>
                </c:pt>
                <c:pt idx="78">
                  <c:v>2.9834959014508557</c:v>
                </c:pt>
                <c:pt idx="79">
                  <c:v>2.9498485318948564</c:v>
                </c:pt>
                <c:pt idx="80">
                  <c:v>2.9586294737716297</c:v>
                </c:pt>
                <c:pt idx="81">
                  <c:v>2.9413386926036558</c:v>
                </c:pt>
                <c:pt idx="82">
                  <c:v>2.9027091002698557</c:v>
                </c:pt>
                <c:pt idx="83">
                  <c:v>2.9916157991440029</c:v>
                </c:pt>
                <c:pt idx="84">
                  <c:v>3.2295621169841944</c:v>
                </c:pt>
                <c:pt idx="85">
                  <c:v>3.2268124806450973</c:v>
                </c:pt>
                <c:pt idx="86">
                  <c:v>3.337344099638194</c:v>
                </c:pt>
                <c:pt idx="87">
                  <c:v>3.262243187565891</c:v>
                </c:pt>
                <c:pt idx="88">
                  <c:v>3.1316819405633067</c:v>
                </c:pt>
                <c:pt idx="89">
                  <c:v>3.1716668812849766</c:v>
                </c:pt>
                <c:pt idx="90">
                  <c:v>3.2951726196925057</c:v>
                </c:pt>
                <c:pt idx="91">
                  <c:v>3.3315134321606945</c:v>
                </c:pt>
                <c:pt idx="92">
                  <c:v>3.3086646979122598</c:v>
                </c:pt>
                <c:pt idx="93">
                  <c:v>3.3297750511963038</c:v>
                </c:pt>
                <c:pt idx="94">
                  <c:v>3.288029360886263</c:v>
                </c:pt>
                <c:pt idx="95">
                  <c:v>3.3208332823165319</c:v>
                </c:pt>
                <c:pt idx="96">
                  <c:v>3.2545276568199881</c:v>
                </c:pt>
                <c:pt idx="97">
                  <c:v>3.203675877582568</c:v>
                </c:pt>
                <c:pt idx="98">
                  <c:v>3.1472125821736987</c:v>
                </c:pt>
                <c:pt idx="99">
                  <c:v>3.2147991358320054</c:v>
                </c:pt>
                <c:pt idx="100">
                  <c:v>3.3458314930861301</c:v>
                </c:pt>
                <c:pt idx="101">
                  <c:v>3.5286347610713165</c:v>
                </c:pt>
                <c:pt idx="102">
                  <c:v>3.797185330527685</c:v>
                </c:pt>
                <c:pt idx="103">
                  <c:v>4.0316298346367274</c:v>
                </c:pt>
                <c:pt idx="104">
                  <c:v>4.0727118325815184</c:v>
                </c:pt>
                <c:pt idx="105">
                  <c:v>4.0399018794593431</c:v>
                </c:pt>
                <c:pt idx="106">
                  <c:v>3.9027893405322813</c:v>
                </c:pt>
                <c:pt idx="107">
                  <c:v>3.9099080118665799</c:v>
                </c:pt>
                <c:pt idx="108">
                  <c:v>4.1454552980538368</c:v>
                </c:pt>
                <c:pt idx="109">
                  <c:v>4.3502251942773906</c:v>
                </c:pt>
                <c:pt idx="110">
                  <c:v>4.5268408104977782</c:v>
                </c:pt>
                <c:pt idx="111">
                  <c:v>4.553175426015275</c:v>
                </c:pt>
                <c:pt idx="112">
                  <c:v>4.0577869982404167</c:v>
                </c:pt>
                <c:pt idx="113">
                  <c:v>3.6321939225949835</c:v>
                </c:pt>
                <c:pt idx="114">
                  <c:v>3.5498070932324621</c:v>
                </c:pt>
                <c:pt idx="115">
                  <c:v>3.5103811632791633</c:v>
                </c:pt>
                <c:pt idx="116">
                  <c:v>3.5081646841638099</c:v>
                </c:pt>
                <c:pt idx="117">
                  <c:v>3.7384250308691063</c:v>
                </c:pt>
                <c:pt idx="118">
                  <c:v>3.9666726699059658</c:v>
                </c:pt>
                <c:pt idx="119">
                  <c:v>4.0218433299095215</c:v>
                </c:pt>
                <c:pt idx="120">
                  <c:v>4.0682070332220972</c:v>
                </c:pt>
                <c:pt idx="121">
                  <c:v>4.2751613516256244</c:v>
                </c:pt>
                <c:pt idx="122">
                  <c:v>4.2743264312673848</c:v>
                </c:pt>
                <c:pt idx="123">
                  <c:v>4.378519949305292</c:v>
                </c:pt>
                <c:pt idx="124">
                  <c:v>5.0310809262044573</c:v>
                </c:pt>
                <c:pt idx="125">
                  <c:v>5.2208636336479541</c:v>
                </c:pt>
                <c:pt idx="126">
                  <c:v>5.0347336718804909</c:v>
                </c:pt>
                <c:pt idx="127">
                  <c:v>4.8210564112535517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E3-43C8-A9F1-523791958702}"/>
            </c:ext>
          </c:extLst>
        </c:ser>
        <c:ser>
          <c:idx val="4"/>
          <c:order val="4"/>
          <c:tx>
            <c:v>Mexico</c:v>
          </c:tx>
          <c:spPr>
            <a:ln w="28575" cap="rnd">
              <a:solidFill>
                <a:srgbClr val="CC9900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Capital'!$A$3:$A$130</c:f>
              <c:numCache>
                <c:formatCode>General</c:formatCode>
                <c:ptCount val="12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</c:numCache>
            </c:numRef>
          </c:cat>
          <c:val>
            <c:numRef>
              <c:f>'Comparison Domestic Capital'!$AB$3:$AB$130</c:f>
              <c:numCache>
                <c:formatCode>General</c:formatCode>
                <c:ptCount val="128"/>
                <c:pt idx="0">
                  <c:v>3.8817315068353726</c:v>
                </c:pt>
                <c:pt idx="1">
                  <c:v>3.9434808915396418</c:v>
                </c:pt>
                <c:pt idx="2">
                  <c:v>3.9464994222155805</c:v>
                </c:pt>
                <c:pt idx="3">
                  <c:v>3.9743830204097303</c:v>
                </c:pt>
                <c:pt idx="4">
                  <c:v>3.9982249661482947</c:v>
                </c:pt>
                <c:pt idx="5">
                  <c:v>4.0393882628729072</c:v>
                </c:pt>
                <c:pt idx="6">
                  <c:v>4.0081019695991325</c:v>
                </c:pt>
                <c:pt idx="7">
                  <c:v>4.0241046620202754</c:v>
                </c:pt>
                <c:pt idx="8">
                  <c:v>4.0545919355028657</c:v>
                </c:pt>
                <c:pt idx="9">
                  <c:v>4.0732606892286842</c:v>
                </c:pt>
                <c:pt idx="10">
                  <c:v>4.0810357129724002</c:v>
                </c:pt>
                <c:pt idx="11">
                  <c:v>4.0870793321011156</c:v>
                </c:pt>
                <c:pt idx="12">
                  <c:v>4.0852439756933956</c:v>
                </c:pt>
                <c:pt idx="13">
                  <c:v>4.1134755874784821</c:v>
                </c:pt>
                <c:pt idx="14">
                  <c:v>4.1437194750964581</c:v>
                </c:pt>
                <c:pt idx="15">
                  <c:v>4.0738855166361132</c:v>
                </c:pt>
                <c:pt idx="16">
                  <c:v>4.0074952992161688</c:v>
                </c:pt>
                <c:pt idx="17">
                  <c:v>3.9342572368468485</c:v>
                </c:pt>
                <c:pt idx="18">
                  <c:v>3.7142722689270427</c:v>
                </c:pt>
                <c:pt idx="19">
                  <c:v>2.6933203299529378</c:v>
                </c:pt>
                <c:pt idx="20">
                  <c:v>1.5524104805585661</c:v>
                </c:pt>
                <c:pt idx="21">
                  <c:v>3.8551478571310911</c:v>
                </c:pt>
                <c:pt idx="22">
                  <c:v>3.7986761132317843</c:v>
                </c:pt>
                <c:pt idx="23">
                  <c:v>3.7260639204628059</c:v>
                </c:pt>
                <c:pt idx="24">
                  <c:v>3.6577627423215344</c:v>
                </c:pt>
                <c:pt idx="25">
                  <c:v>3.582655862024581</c:v>
                </c:pt>
                <c:pt idx="26">
                  <c:v>3.4051319550236765</c:v>
                </c:pt>
                <c:pt idx="27">
                  <c:v>3.3758452939822674</c:v>
                </c:pt>
                <c:pt idx="28">
                  <c:v>3.2541398635208303</c:v>
                </c:pt>
                <c:pt idx="29">
                  <c:v>3.2589826323836486</c:v>
                </c:pt>
                <c:pt idx="30">
                  <c:v>3.2235580266379622</c:v>
                </c:pt>
                <c:pt idx="31">
                  <c:v>3.0925131356233586</c:v>
                </c:pt>
                <c:pt idx="32">
                  <c:v>3.0349897772679491</c:v>
                </c:pt>
                <c:pt idx="33">
                  <c:v>2.9315237493900765</c:v>
                </c:pt>
                <c:pt idx="34">
                  <c:v>2.7920932028760626</c:v>
                </c:pt>
                <c:pt idx="35">
                  <c:v>2.4710544350972588</c:v>
                </c:pt>
                <c:pt idx="36">
                  <c:v>1.6101978804968269</c:v>
                </c:pt>
                <c:pt idx="37">
                  <c:v>1.6151271539657373</c:v>
                </c:pt>
                <c:pt idx="38">
                  <c:v>1.6271663672315562</c:v>
                </c:pt>
                <c:pt idx="39">
                  <c:v>1.6792365401317668</c:v>
                </c:pt>
                <c:pt idx="40">
                  <c:v>1.8311637904297549</c:v>
                </c:pt>
                <c:pt idx="41">
                  <c:v>2.0405638924479095</c:v>
                </c:pt>
                <c:pt idx="42">
                  <c:v>1.6881122863562334</c:v>
                </c:pt>
                <c:pt idx="43">
                  <c:v>1.4369201403176581</c:v>
                </c:pt>
                <c:pt idx="44">
                  <c:v>1.3385553128910346</c:v>
                </c:pt>
                <c:pt idx="45">
                  <c:v>1.6218210263015789</c:v>
                </c:pt>
                <c:pt idx="46">
                  <c:v>1.7579109012516521</c:v>
                </c:pt>
                <c:pt idx="47">
                  <c:v>1.9223186124921328</c:v>
                </c:pt>
                <c:pt idx="48">
                  <c:v>2.1871292464670868</c:v>
                </c:pt>
                <c:pt idx="49">
                  <c:v>2.1869954082088294</c:v>
                </c:pt>
                <c:pt idx="50">
                  <c:v>2.3211734765771626</c:v>
                </c:pt>
                <c:pt idx="51">
                  <c:v>2.3124646970136551</c:v>
                </c:pt>
                <c:pt idx="52">
                  <c:v>2.1932843046240711</c:v>
                </c:pt>
                <c:pt idx="53">
                  <c:v>1.9761488920186576</c:v>
                </c:pt>
                <c:pt idx="54">
                  <c:v>1.9826625022845612</c:v>
                </c:pt>
                <c:pt idx="55">
                  <c:v>2.1113965688148766</c:v>
                </c:pt>
                <c:pt idx="56">
                  <c:v>2.1238790851042459</c:v>
                </c:pt>
                <c:pt idx="57">
                  <c:v>2.0989967408088175</c:v>
                </c:pt>
                <c:pt idx="58">
                  <c:v>2.0046043245826368</c:v>
                </c:pt>
                <c:pt idx="59">
                  <c:v>2.0200815361503039</c:v>
                </c:pt>
                <c:pt idx="60">
                  <c:v>2.0620612233205748</c:v>
                </c:pt>
                <c:pt idx="61">
                  <c:v>2.0916426523015197</c:v>
                </c:pt>
                <c:pt idx="62">
                  <c:v>2.0831998552405904</c:v>
                </c:pt>
                <c:pt idx="63">
                  <c:v>2.0773508004604544</c:v>
                </c:pt>
                <c:pt idx="64">
                  <c:v>2.1021874025760803</c:v>
                </c:pt>
                <c:pt idx="65">
                  <c:v>2.098007460352012</c:v>
                </c:pt>
                <c:pt idx="66">
                  <c:v>2.1042564314556085</c:v>
                </c:pt>
                <c:pt idx="67">
                  <c:v>2.1414888477581902</c:v>
                </c:pt>
                <c:pt idx="68">
                  <c:v>2.1874941796186058</c:v>
                </c:pt>
                <c:pt idx="69">
                  <c:v>2.1869478378055187</c:v>
                </c:pt>
                <c:pt idx="70">
                  <c:v>2.1976938807426718</c:v>
                </c:pt>
                <c:pt idx="71">
                  <c:v>2.2141340068225368</c:v>
                </c:pt>
                <c:pt idx="72">
                  <c:v>2.2172941644664164</c:v>
                </c:pt>
                <c:pt idx="73">
                  <c:v>2.2278957031626927</c:v>
                </c:pt>
                <c:pt idx="74">
                  <c:v>2.4044922378143259</c:v>
                </c:pt>
                <c:pt idx="75">
                  <c:v>2.3955491271304319</c:v>
                </c:pt>
                <c:pt idx="76">
                  <c:v>2.4023226982056611</c:v>
                </c:pt>
                <c:pt idx="77">
                  <c:v>2.3837102959978331</c:v>
                </c:pt>
                <c:pt idx="78">
                  <c:v>2.3589335446231403</c:v>
                </c:pt>
                <c:pt idx="79">
                  <c:v>2.3329973271075288</c:v>
                </c:pt>
                <c:pt idx="80">
                  <c:v>2.2718447197926417</c:v>
                </c:pt>
                <c:pt idx="81">
                  <c:v>2.1955525493494448</c:v>
                </c:pt>
                <c:pt idx="82">
                  <c:v>2.2066139890694556</c:v>
                </c:pt>
                <c:pt idx="83">
                  <c:v>2.2280648630639375</c:v>
                </c:pt>
                <c:pt idx="84">
                  <c:v>2.2818368491856349</c:v>
                </c:pt>
                <c:pt idx="85">
                  <c:v>2.2977977758039008</c:v>
                </c:pt>
                <c:pt idx="86">
                  <c:v>2.1488664789985745</c:v>
                </c:pt>
                <c:pt idx="87">
                  <c:v>2.1161231945333396</c:v>
                </c:pt>
                <c:pt idx="88">
                  <c:v>2.1910756952782942</c:v>
                </c:pt>
                <c:pt idx="89">
                  <c:v>2.2256217877632452</c:v>
                </c:pt>
                <c:pt idx="90">
                  <c:v>2.0891451395595584</c:v>
                </c:pt>
                <c:pt idx="91">
                  <c:v>2.1034619820155527</c:v>
                </c:pt>
                <c:pt idx="92">
                  <c:v>2.4141384673879229</c:v>
                </c:pt>
                <c:pt idx="93">
                  <c:v>2.5363937363669886</c:v>
                </c:pt>
                <c:pt idx="94">
                  <c:v>2.6041301784854958</c:v>
                </c:pt>
                <c:pt idx="95">
                  <c:v>2.6616880973154706</c:v>
                </c:pt>
                <c:pt idx="96">
                  <c:v>2.9618110780356686</c:v>
                </c:pt>
                <c:pt idx="97">
                  <c:v>2.7678671135182915</c:v>
                </c:pt>
                <c:pt idx="98">
                  <c:v>2.7548046449690129</c:v>
                </c:pt>
                <c:pt idx="99">
                  <c:v>2.6821292261272243</c:v>
                </c:pt>
                <c:pt idx="100">
                  <c:v>2.76844344461629</c:v>
                </c:pt>
                <c:pt idx="101">
                  <c:v>2.8535126488025253</c:v>
                </c:pt>
                <c:pt idx="102">
                  <c:v>2.8893100018175311</c:v>
                </c:pt>
                <c:pt idx="103">
                  <c:v>3.0787080519140333</c:v>
                </c:pt>
                <c:pt idx="104">
                  <c:v>3.2025606742743831</c:v>
                </c:pt>
                <c:pt idx="105">
                  <c:v>3.3042860830709677</c:v>
                </c:pt>
                <c:pt idx="106">
                  <c:v>3.3144283749373549</c:v>
                </c:pt>
                <c:pt idx="107">
                  <c:v>3.3774516463825632</c:v>
                </c:pt>
                <c:pt idx="108">
                  <c:v>3.3518091701367836</c:v>
                </c:pt>
                <c:pt idx="109">
                  <c:v>3.3883474709897539</c:v>
                </c:pt>
                <c:pt idx="110">
                  <c:v>3.3078464628639872</c:v>
                </c:pt>
                <c:pt idx="111">
                  <c:v>3.3150887970379834</c:v>
                </c:pt>
                <c:pt idx="112">
                  <c:v>3.5011929734490841</c:v>
                </c:pt>
                <c:pt idx="113">
                  <c:v>3.8281055470011234</c:v>
                </c:pt>
                <c:pt idx="114">
                  <c:v>3.6169302945737321</c:v>
                </c:pt>
                <c:pt idx="115">
                  <c:v>3.7851875289830721</c:v>
                </c:pt>
                <c:pt idx="116">
                  <c:v>3.8597539779216947</c:v>
                </c:pt>
                <c:pt idx="117">
                  <c:v>3.8251898333249574</c:v>
                </c:pt>
                <c:pt idx="118">
                  <c:v>3.5654083631297318</c:v>
                </c:pt>
                <c:pt idx="119">
                  <c:v>3.2061751847340916</c:v>
                </c:pt>
                <c:pt idx="120">
                  <c:v>2.9236615414436908</c:v>
                </c:pt>
                <c:pt idx="121">
                  <c:v>2.9448322322018687</c:v>
                </c:pt>
                <c:pt idx="122">
                  <c:v>3.017090269068484</c:v>
                </c:pt>
                <c:pt idx="123">
                  <c:v>3.0756659576798158</c:v>
                </c:pt>
                <c:pt idx="124">
                  <c:v>3.3544740135098698</c:v>
                </c:pt>
                <c:pt idx="125">
                  <c:v>3.4712871591918031</c:v>
                </c:pt>
                <c:pt idx="126">
                  <c:v>3.5372870900026863</c:v>
                </c:pt>
                <c:pt idx="127">
                  <c:v>3.666829713730432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E3-43C8-A9F1-523791958702}"/>
            </c:ext>
          </c:extLst>
        </c:ser>
        <c:ser>
          <c:idx val="5"/>
          <c:order val="5"/>
          <c:tx>
            <c:v>Colombia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'Comparison Domestic Capital'!$A$3:$A$130</c:f>
              <c:numCache>
                <c:formatCode>General</c:formatCode>
                <c:ptCount val="12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</c:numCache>
            </c:numRef>
          </c:cat>
          <c:val>
            <c:numRef>
              <c:f>'Comparison Domestic Capital'!$AC$3:$AC$130</c:f>
              <c:numCache>
                <c:formatCode>General</c:formatCode>
                <c:ptCount val="128"/>
                <c:pt idx="0">
                  <c:v>3.7974601409205482</c:v>
                </c:pt>
                <c:pt idx="1">
                  <c:v>3.8609350980458745</c:v>
                </c:pt>
                <c:pt idx="2">
                  <c:v>3.817364492457926</c:v>
                </c:pt>
                <c:pt idx="3">
                  <c:v>3.8407514894259407</c:v>
                </c:pt>
                <c:pt idx="4">
                  <c:v>3.8714773782251486</c:v>
                </c:pt>
                <c:pt idx="5">
                  <c:v>3.8926306837067202</c:v>
                </c:pt>
                <c:pt idx="6">
                  <c:v>3.9201834820277002</c:v>
                </c:pt>
                <c:pt idx="7">
                  <c:v>3.9631198731476753</c:v>
                </c:pt>
                <c:pt idx="8">
                  <c:v>3.9928934101204305</c:v>
                </c:pt>
                <c:pt idx="9">
                  <c:v>3.9952625720628001</c:v>
                </c:pt>
                <c:pt idx="10">
                  <c:v>4.0972308609720578</c:v>
                </c:pt>
                <c:pt idx="11">
                  <c:v>3.9216737485213677</c:v>
                </c:pt>
                <c:pt idx="12">
                  <c:v>3.9734146835929667</c:v>
                </c:pt>
                <c:pt idx="13">
                  <c:v>4.134284846483923</c:v>
                </c:pt>
                <c:pt idx="14">
                  <c:v>3.9923460861752673</c:v>
                </c:pt>
                <c:pt idx="15">
                  <c:v>3.97823955222866</c:v>
                </c:pt>
                <c:pt idx="16">
                  <c:v>3.9879858252655915</c:v>
                </c:pt>
                <c:pt idx="17">
                  <c:v>3.946990283373303</c:v>
                </c:pt>
                <c:pt idx="18">
                  <c:v>3.891201302457143</c:v>
                </c:pt>
                <c:pt idx="19">
                  <c:v>3.9056064197581564</c:v>
                </c:pt>
                <c:pt idx="20">
                  <c:v>3.8893554202431155</c:v>
                </c:pt>
                <c:pt idx="21">
                  <c:v>3.8582168860881003</c:v>
                </c:pt>
                <c:pt idx="22">
                  <c:v>3.8433733995778798</c:v>
                </c:pt>
                <c:pt idx="23">
                  <c:v>3.8563018017651358</c:v>
                </c:pt>
                <c:pt idx="24">
                  <c:v>3.8464573731408023</c:v>
                </c:pt>
                <c:pt idx="25">
                  <c:v>3.7453116367167993</c:v>
                </c:pt>
                <c:pt idx="26">
                  <c:v>3.7604005716491495</c:v>
                </c:pt>
                <c:pt idx="27">
                  <c:v>3.7264494675687541</c:v>
                </c:pt>
                <c:pt idx="28">
                  <c:v>3.6791039438071014</c:v>
                </c:pt>
                <c:pt idx="29">
                  <c:v>3.6607821824734725</c:v>
                </c:pt>
                <c:pt idx="30">
                  <c:v>3.6182635783857946</c:v>
                </c:pt>
                <c:pt idx="31">
                  <c:v>3.5652216741844813</c:v>
                </c:pt>
                <c:pt idx="32">
                  <c:v>3.516346979869283</c:v>
                </c:pt>
                <c:pt idx="33">
                  <c:v>3.4367186827349303</c:v>
                </c:pt>
                <c:pt idx="34">
                  <c:v>3.3143754943649948</c:v>
                </c:pt>
                <c:pt idx="35">
                  <c:v>3.2268750167371962</c:v>
                </c:pt>
                <c:pt idx="36">
                  <c:v>3.175907236205636</c:v>
                </c:pt>
                <c:pt idx="37">
                  <c:v>3.1344992842505377</c:v>
                </c:pt>
                <c:pt idx="38">
                  <c:v>3.1297425092941866</c:v>
                </c:pt>
                <c:pt idx="39">
                  <c:v>3.0970357964441879</c:v>
                </c:pt>
                <c:pt idx="40">
                  <c:v>3.0795701648406846</c:v>
                </c:pt>
                <c:pt idx="41">
                  <c:v>3.0372597632487173</c:v>
                </c:pt>
                <c:pt idx="42">
                  <c:v>3.0088992295606207</c:v>
                </c:pt>
                <c:pt idx="43">
                  <c:v>2.9701506409908824</c:v>
                </c:pt>
                <c:pt idx="44">
                  <c:v>2.9191859803015143</c:v>
                </c:pt>
                <c:pt idx="45">
                  <c:v>2.8605597156564713</c:v>
                </c:pt>
                <c:pt idx="46">
                  <c:v>2.8305132482127986</c:v>
                </c:pt>
                <c:pt idx="47">
                  <c:v>2.8118087279180473</c:v>
                </c:pt>
                <c:pt idx="48">
                  <c:v>2.7953683018699587</c:v>
                </c:pt>
                <c:pt idx="49">
                  <c:v>2.7772270443804215</c:v>
                </c:pt>
                <c:pt idx="50">
                  <c:v>2.7533602701678674</c:v>
                </c:pt>
                <c:pt idx="51">
                  <c:v>2.7210714819277442</c:v>
                </c:pt>
                <c:pt idx="52">
                  <c:v>2.6835308554600936</c:v>
                </c:pt>
                <c:pt idx="53">
                  <c:v>2.635133557263674</c:v>
                </c:pt>
                <c:pt idx="54">
                  <c:v>2.6114080044111909</c:v>
                </c:pt>
                <c:pt idx="55">
                  <c:v>2.5724083521762164</c:v>
                </c:pt>
                <c:pt idx="56">
                  <c:v>2.5535491084835336</c:v>
                </c:pt>
                <c:pt idx="57">
                  <c:v>2.554150976175793</c:v>
                </c:pt>
                <c:pt idx="58">
                  <c:v>2.54722773633504</c:v>
                </c:pt>
                <c:pt idx="59">
                  <c:v>2.517214274436367</c:v>
                </c:pt>
                <c:pt idx="60">
                  <c:v>2.4887124654103383</c:v>
                </c:pt>
                <c:pt idx="61">
                  <c:v>2.3987317416053946</c:v>
                </c:pt>
                <c:pt idx="62">
                  <c:v>2.2925573789910776</c:v>
                </c:pt>
                <c:pt idx="63">
                  <c:v>2.315258206570729</c:v>
                </c:pt>
                <c:pt idx="64">
                  <c:v>2.34528687810114</c:v>
                </c:pt>
                <c:pt idx="65">
                  <c:v>2.3370564496958677</c:v>
                </c:pt>
                <c:pt idx="66">
                  <c:v>2.3064345152495367</c:v>
                </c:pt>
                <c:pt idx="67">
                  <c:v>2.2977019720825815</c:v>
                </c:pt>
                <c:pt idx="68">
                  <c:v>2.305852779909118</c:v>
                </c:pt>
                <c:pt idx="69">
                  <c:v>2.2463374054499909</c:v>
                </c:pt>
                <c:pt idx="70">
                  <c:v>2.2121904125945702</c:v>
                </c:pt>
                <c:pt idx="71">
                  <c:v>2.1845485657771513</c:v>
                </c:pt>
                <c:pt idx="72">
                  <c:v>2.1695405717103751</c:v>
                </c:pt>
                <c:pt idx="73">
                  <c:v>2.1437004455179109</c:v>
                </c:pt>
                <c:pt idx="74">
                  <c:v>2.1939347170137742</c:v>
                </c:pt>
                <c:pt idx="75">
                  <c:v>2.1670526681137487</c:v>
                </c:pt>
                <c:pt idx="76">
                  <c:v>2.1592910021056659</c:v>
                </c:pt>
                <c:pt idx="77">
                  <c:v>2.1757364193696112</c:v>
                </c:pt>
                <c:pt idx="78">
                  <c:v>2.1729621128344521</c:v>
                </c:pt>
                <c:pt idx="79">
                  <c:v>2.1502917643395767</c:v>
                </c:pt>
                <c:pt idx="80">
                  <c:v>2.18299332056842</c:v>
                </c:pt>
                <c:pt idx="81">
                  <c:v>2.1894782004867164</c:v>
                </c:pt>
                <c:pt idx="82">
                  <c:v>2.2190526104153494</c:v>
                </c:pt>
                <c:pt idx="83">
                  <c:v>2.2426259134023501</c:v>
                </c:pt>
                <c:pt idx="84">
                  <c:v>2.2285687205251734</c:v>
                </c:pt>
                <c:pt idx="85">
                  <c:v>2.1898269047343653</c:v>
                </c:pt>
                <c:pt idx="86">
                  <c:v>2.2370703934410643</c:v>
                </c:pt>
                <c:pt idx="87">
                  <c:v>2.202816086819511</c:v>
                </c:pt>
                <c:pt idx="88">
                  <c:v>2.1691165087394264</c:v>
                </c:pt>
                <c:pt idx="89">
                  <c:v>2.016942841212042</c:v>
                </c:pt>
                <c:pt idx="90">
                  <c:v>2.1047440241093027</c:v>
                </c:pt>
                <c:pt idx="91">
                  <c:v>2.1388742652444579</c:v>
                </c:pt>
                <c:pt idx="92">
                  <c:v>2.120918093756107</c:v>
                </c:pt>
                <c:pt idx="93">
                  <c:v>2.180460018210217</c:v>
                </c:pt>
                <c:pt idx="94">
                  <c:v>2.2185044974308865</c:v>
                </c:pt>
                <c:pt idx="95">
                  <c:v>2.1522353237013374</c:v>
                </c:pt>
                <c:pt idx="96">
                  <c:v>2.301461136095174</c:v>
                </c:pt>
                <c:pt idx="97">
                  <c:v>2.2486054577698744</c:v>
                </c:pt>
                <c:pt idx="98">
                  <c:v>2.2973787864607007</c:v>
                </c:pt>
                <c:pt idx="99">
                  <c:v>2.2857233283839422</c:v>
                </c:pt>
                <c:pt idx="100">
                  <c:v>2.1415795279932319</c:v>
                </c:pt>
                <c:pt idx="101">
                  <c:v>2.1443896599327972</c:v>
                </c:pt>
                <c:pt idx="102">
                  <c:v>2.1687937746868875</c:v>
                </c:pt>
                <c:pt idx="103">
                  <c:v>2.176046063226682</c:v>
                </c:pt>
                <c:pt idx="104">
                  <c:v>2.1752971042830178</c:v>
                </c:pt>
                <c:pt idx="105">
                  <c:v>2.1661199841371701</c:v>
                </c:pt>
                <c:pt idx="106">
                  <c:v>2.2071001777242434</c:v>
                </c:pt>
                <c:pt idx="107">
                  <c:v>2.2306319256202207</c:v>
                </c:pt>
                <c:pt idx="108">
                  <c:v>2.2718308870129764</c:v>
                </c:pt>
                <c:pt idx="109">
                  <c:v>2.3245312345048759</c:v>
                </c:pt>
                <c:pt idx="110">
                  <c:v>2.4290757851919325</c:v>
                </c:pt>
                <c:pt idx="111">
                  <c:v>2.5347132126965417</c:v>
                </c:pt>
                <c:pt idx="112">
                  <c:v>2.599201453067566</c:v>
                </c:pt>
                <c:pt idx="113">
                  <c:v>2.7122604613514696</c:v>
                </c:pt>
                <c:pt idx="114">
                  <c:v>2.6880931704710531</c:v>
                </c:pt>
                <c:pt idx="115">
                  <c:v>2.5535751470468409</c:v>
                </c:pt>
                <c:pt idx="116">
                  <c:v>2.6245275840429638</c:v>
                </c:pt>
                <c:pt idx="117">
                  <c:v>2.5867522680630182</c:v>
                </c:pt>
                <c:pt idx="118">
                  <c:v>2.625294102754907</c:v>
                </c:pt>
                <c:pt idx="119">
                  <c:v>2.8883895003852396</c:v>
                </c:pt>
                <c:pt idx="120">
                  <c:v>3.0723592917037581</c:v>
                </c:pt>
                <c:pt idx="121">
                  <c:v>3.1906520046565854</c:v>
                </c:pt>
                <c:pt idx="122">
                  <c:v>3.2339132867070397</c:v>
                </c:pt>
                <c:pt idx="123">
                  <c:v>3.2430596705427237</c:v>
                </c:pt>
                <c:pt idx="124">
                  <c:v>3.1886469982784655</c:v>
                </c:pt>
                <c:pt idx="125">
                  <c:v>2.870733415355649</c:v>
                </c:pt>
                <c:pt idx="126">
                  <c:v>2.9430709169996172</c:v>
                </c:pt>
                <c:pt idx="127">
                  <c:v>3.0671788993780025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E3-43C8-A9F1-52379195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81120"/>
        <c:axId val="902979680"/>
      </c:lineChart>
      <c:catAx>
        <c:axId val="9029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 (Body)"/>
                <a:ea typeface="+mn-ea"/>
                <a:cs typeface="+mn-cs"/>
              </a:defRPr>
            </a:pPr>
            <a:endParaRPr lang="en-US"/>
          </a:p>
        </c:txPr>
        <c:crossAx val="902979680"/>
        <c:crosses val="autoZero"/>
        <c:auto val="1"/>
        <c:lblAlgn val="ctr"/>
        <c:lblOffset val="100"/>
        <c:noMultiLvlLbl val="0"/>
      </c:catAx>
      <c:valAx>
        <c:axId val="902979680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 (Body)"/>
                <a:ea typeface="+mn-ea"/>
                <a:cs typeface="+mn-cs"/>
              </a:defRPr>
            </a:pPr>
            <a:endParaRPr lang="en-US"/>
          </a:p>
        </c:txPr>
        <c:crossAx val="9029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 (Body)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latin typeface="Aptos Narrow (Body)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89203075801858E-2"/>
          <c:y val="2.8236157764326919E-2"/>
          <c:w val="0.9468646480482793"/>
          <c:h val="0.86729339903189173"/>
        </c:manualLayout>
      </c:layout>
      <c:lineChart>
        <c:grouping val="standard"/>
        <c:varyColors val="0"/>
        <c:ser>
          <c:idx val="2"/>
          <c:order val="0"/>
          <c:tx>
            <c:v>K-Y (Castillo-García 2026)</c:v>
          </c:tx>
          <c:spPr>
            <a:ln w="28575" cap="rnd">
              <a:solidFill>
                <a:sysClr val="windowText" lastClr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Capital'!$U$49:$U$130</c:f>
              <c:numCache>
                <c:formatCode>General</c:formatCode>
                <c:ptCount val="82"/>
                <c:pt idx="38">
                  <c:v>3.8634102862884534</c:v>
                </c:pt>
                <c:pt idx="39">
                  <c:v>3.853123369153816</c:v>
                </c:pt>
                <c:pt idx="40">
                  <c:v>4.042918049233311</c:v>
                </c:pt>
                <c:pt idx="41">
                  <c:v>4.619031641899717</c:v>
                </c:pt>
                <c:pt idx="42">
                  <c:v>4.5387971415740029</c:v>
                </c:pt>
                <c:pt idx="43">
                  <c:v>4.4988598004474376</c:v>
                </c:pt>
                <c:pt idx="44">
                  <c:v>4.1849016245938335</c:v>
                </c:pt>
                <c:pt idx="45">
                  <c:v>3.9149173302094282</c:v>
                </c:pt>
                <c:pt idx="46">
                  <c:v>4.3966054409175053</c:v>
                </c:pt>
                <c:pt idx="47">
                  <c:v>5.050460962241516</c:v>
                </c:pt>
                <c:pt idx="48">
                  <c:v>5.3426839085070599</c:v>
                </c:pt>
                <c:pt idx="49">
                  <c:v>5.2590416149339418</c:v>
                </c:pt>
                <c:pt idx="50">
                  <c:v>5.2646127920856083</c:v>
                </c:pt>
                <c:pt idx="51">
                  <c:v>4.9437974511514264</c:v>
                </c:pt>
                <c:pt idx="52">
                  <c:v>4.3924516476115691</c:v>
                </c:pt>
                <c:pt idx="53">
                  <c:v>4.1532938209777113</c:v>
                </c:pt>
                <c:pt idx="54">
                  <c:v>4.1143672467740435</c:v>
                </c:pt>
                <c:pt idx="55">
                  <c:v>3.9756398078921298</c:v>
                </c:pt>
                <c:pt idx="56">
                  <c:v>4.0920518056993478</c:v>
                </c:pt>
                <c:pt idx="57">
                  <c:v>4.0734900906124398</c:v>
                </c:pt>
                <c:pt idx="58">
                  <c:v>3.9753548412384028</c:v>
                </c:pt>
                <c:pt idx="59">
                  <c:v>3.9541825134690467</c:v>
                </c:pt>
                <c:pt idx="60">
                  <c:v>3.8065816337647886</c:v>
                </c:pt>
                <c:pt idx="61">
                  <c:v>3.7286804615635125</c:v>
                </c:pt>
                <c:pt idx="62">
                  <c:v>3.6389015541725449</c:v>
                </c:pt>
                <c:pt idx="63">
                  <c:v>3.5140566705273373</c:v>
                </c:pt>
                <c:pt idx="64">
                  <c:v>3.3692769532353659</c:v>
                </c:pt>
                <c:pt idx="65">
                  <c:v>3.2479109146019334</c:v>
                </c:pt>
                <c:pt idx="66">
                  <c:v>3.1700156022553205</c:v>
                </c:pt>
                <c:pt idx="67">
                  <c:v>3.3149730062232377</c:v>
                </c:pt>
                <c:pt idx="68">
                  <c:v>3.2677323964236291</c:v>
                </c:pt>
                <c:pt idx="69">
                  <c:v>3.2913559741778253</c:v>
                </c:pt>
                <c:pt idx="70">
                  <c:v>3.3444451142493383</c:v>
                </c:pt>
                <c:pt idx="71">
                  <c:v>3.4001097958993203</c:v>
                </c:pt>
                <c:pt idx="72">
                  <c:v>3.5422611154430506</c:v>
                </c:pt>
                <c:pt idx="73">
                  <c:v>3.624354922787262</c:v>
                </c:pt>
                <c:pt idx="74">
                  <c:v>3.6563339489450177</c:v>
                </c:pt>
                <c:pt idx="75">
                  <c:v>3.7384144513819488</c:v>
                </c:pt>
                <c:pt idx="76">
                  <c:v>3.7743295217124921</c:v>
                </c:pt>
                <c:pt idx="77">
                  <c:v>3.8705417938839752</c:v>
                </c:pt>
                <c:pt idx="78">
                  <c:v>4.5080590866545931</c:v>
                </c:pt>
                <c:pt idx="79">
                  <c:v>4.1828190160704768</c:v>
                </c:pt>
                <c:pt idx="80">
                  <c:v>4.2731848198289955</c:v>
                </c:pt>
                <c:pt idx="81">
                  <c:v>4.4771555750430521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FB-49B8-AEE7-ADBC6CEF18E8}"/>
            </c:ext>
          </c:extLst>
        </c:ser>
        <c:ser>
          <c:idx val="4"/>
          <c:order val="1"/>
          <c:tx>
            <c:v>K-Y (WID)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Capital'!$T$49:$T$130</c:f>
              <c:numCache>
                <c:formatCode>General</c:formatCode>
                <c:ptCount val="82"/>
                <c:pt idx="38">
                  <c:v>4.2373077493953959</c:v>
                </c:pt>
                <c:pt idx="39">
                  <c:v>4.1301016455340314</c:v>
                </c:pt>
                <c:pt idx="40">
                  <c:v>4.3148400243713896</c:v>
                </c:pt>
                <c:pt idx="41">
                  <c:v>4.5380366973139292</c:v>
                </c:pt>
                <c:pt idx="42">
                  <c:v>4.5418651663677734</c:v>
                </c:pt>
                <c:pt idx="43">
                  <c:v>4.7283722898614435</c:v>
                </c:pt>
                <c:pt idx="44">
                  <c:v>4.7538165302103179</c:v>
                </c:pt>
                <c:pt idx="45">
                  <c:v>4.6689395703198988</c:v>
                </c:pt>
                <c:pt idx="46">
                  <c:v>4.7325007649144997</c:v>
                </c:pt>
                <c:pt idx="47">
                  <c:v>4.8586372478233839</c:v>
                </c:pt>
                <c:pt idx="48">
                  <c:v>5.0051740354568679</c:v>
                </c:pt>
                <c:pt idx="49">
                  <c:v>4.633451677181375</c:v>
                </c:pt>
                <c:pt idx="50">
                  <c:v>4.8252213745703854</c:v>
                </c:pt>
                <c:pt idx="51">
                  <c:v>4.6033435781898584</c:v>
                </c:pt>
                <c:pt idx="52">
                  <c:v>4.3756950603848805</c:v>
                </c:pt>
                <c:pt idx="53">
                  <c:v>4.2617549712235085</c:v>
                </c:pt>
                <c:pt idx="54">
                  <c:v>4.3336032609878981</c:v>
                </c:pt>
                <c:pt idx="55">
                  <c:v>4.2740053890293623</c:v>
                </c:pt>
                <c:pt idx="56">
                  <c:v>4.4221372708832725</c:v>
                </c:pt>
                <c:pt idx="57">
                  <c:v>4.6051752176225076</c:v>
                </c:pt>
                <c:pt idx="58">
                  <c:v>4.6939313455786014</c:v>
                </c:pt>
                <c:pt idx="59">
                  <c:v>4.7257053051625713</c:v>
                </c:pt>
                <c:pt idx="60">
                  <c:v>4.6461340465811158</c:v>
                </c:pt>
                <c:pt idx="61">
                  <c:v>4.5943660619700522</c:v>
                </c:pt>
                <c:pt idx="62">
                  <c:v>4.4359310191174179</c:v>
                </c:pt>
                <c:pt idx="63">
                  <c:v>4.3352497210055656</c:v>
                </c:pt>
                <c:pt idx="64">
                  <c:v>4.2344298138493626</c:v>
                </c:pt>
                <c:pt idx="65">
                  <c:v>4.2128990323473161</c:v>
                </c:pt>
                <c:pt idx="66">
                  <c:v>4.0432322835991119</c:v>
                </c:pt>
                <c:pt idx="67">
                  <c:v>4.1464530375538224</c:v>
                </c:pt>
                <c:pt idx="68">
                  <c:v>4.0747144881046449</c:v>
                </c:pt>
                <c:pt idx="69">
                  <c:v>3.9307475165715284</c:v>
                </c:pt>
                <c:pt idx="70">
                  <c:v>4.0250745252568789</c:v>
                </c:pt>
                <c:pt idx="71">
                  <c:v>4.1297001822178583</c:v>
                </c:pt>
                <c:pt idx="72">
                  <c:v>4.3180144985949962</c:v>
                </c:pt>
                <c:pt idx="73">
                  <c:v>4.533141117640386</c:v>
                </c:pt>
                <c:pt idx="74">
                  <c:v>4.5702978556489953</c:v>
                </c:pt>
                <c:pt idx="75">
                  <c:v>4.5664493186434836</c:v>
                </c:pt>
                <c:pt idx="76">
                  <c:v>4.5956283902459951</c:v>
                </c:pt>
                <c:pt idx="77">
                  <c:v>4.6471603338764718</c:v>
                </c:pt>
                <c:pt idx="78">
                  <c:v>4.6397022559563554</c:v>
                </c:pt>
                <c:pt idx="79">
                  <c:v>4.2159920900123806</c:v>
                </c:pt>
                <c:pt idx="80">
                  <c:v>4.4039148186759682</c:v>
                </c:pt>
                <c:pt idx="81">
                  <c:v>4.4137315253653568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FB-49B8-AEE7-ADBC6CEF18E8}"/>
            </c:ext>
          </c:extLst>
        </c:ser>
        <c:ser>
          <c:idx val="5"/>
          <c:order val="2"/>
          <c:tx>
            <c:v>K-Y (PWT 11.0)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Capital'!$W$49:$W$130</c:f>
              <c:numCache>
                <c:formatCode>General</c:formatCode>
                <c:ptCount val="82"/>
                <c:pt idx="8">
                  <c:v>1.288519546738365</c:v>
                </c:pt>
                <c:pt idx="9">
                  <c:v>1.3012210831326676</c:v>
                </c:pt>
                <c:pt idx="10">
                  <c:v>1.3329733949925668</c:v>
                </c:pt>
                <c:pt idx="11">
                  <c:v>1.3629534411566318</c:v>
                </c:pt>
                <c:pt idx="12">
                  <c:v>1.3474291075289382</c:v>
                </c:pt>
                <c:pt idx="13">
                  <c:v>1.3689125761288368</c:v>
                </c:pt>
                <c:pt idx="14">
                  <c:v>1.4278294806495972</c:v>
                </c:pt>
                <c:pt idx="15">
                  <c:v>1.4256632367281452</c:v>
                </c:pt>
                <c:pt idx="16">
                  <c:v>1.507538938564092</c:v>
                </c:pt>
                <c:pt idx="17">
                  <c:v>1.5220533025132703</c:v>
                </c:pt>
                <c:pt idx="18">
                  <c:v>1.4481372120165015</c:v>
                </c:pt>
                <c:pt idx="19">
                  <c:v>1.4096608806900102</c:v>
                </c:pt>
                <c:pt idx="20">
                  <c:v>1.3542469327021243</c:v>
                </c:pt>
                <c:pt idx="21">
                  <c:v>1.328393063627058</c:v>
                </c:pt>
                <c:pt idx="22">
                  <c:v>1.2959122262002378</c:v>
                </c:pt>
                <c:pt idx="23">
                  <c:v>1.2681974075628599</c:v>
                </c:pt>
                <c:pt idx="24">
                  <c:v>1.2399749257087682</c:v>
                </c:pt>
                <c:pt idx="25">
                  <c:v>1.2344665064301021</c:v>
                </c:pt>
                <c:pt idx="26">
                  <c:v>1.2550917334674285</c:v>
                </c:pt>
                <c:pt idx="27">
                  <c:v>1.2273528241220766</c:v>
                </c:pt>
                <c:pt idx="28">
                  <c:v>1.1760405827138014</c:v>
                </c:pt>
                <c:pt idx="29">
                  <c:v>1.1483913125255798</c:v>
                </c:pt>
                <c:pt idx="30">
                  <c:v>1.1531830965546539</c:v>
                </c:pt>
                <c:pt idx="31">
                  <c:v>1.1343113139392269</c:v>
                </c:pt>
                <c:pt idx="32">
                  <c:v>1.1328935985342172</c:v>
                </c:pt>
                <c:pt idx="33">
                  <c:v>1.1556404179964459</c:v>
                </c:pt>
                <c:pt idx="34">
                  <c:v>1.1984844184044809</c:v>
                </c:pt>
                <c:pt idx="35">
                  <c:v>1.2560110557287425</c:v>
                </c:pt>
                <c:pt idx="36">
                  <c:v>1.325335253521662</c:v>
                </c:pt>
                <c:pt idx="37">
                  <c:v>1.3452505665802983</c:v>
                </c:pt>
                <c:pt idx="38">
                  <c:v>1.2972674429389872</c:v>
                </c:pt>
                <c:pt idx="39">
                  <c:v>1.3093752540488233</c:v>
                </c:pt>
                <c:pt idx="40">
                  <c:v>1.4126338885952436</c:v>
                </c:pt>
                <c:pt idx="41">
                  <c:v>1.5954974800738717</c:v>
                </c:pt>
                <c:pt idx="42">
                  <c:v>1.6198950152174805</c:v>
                </c:pt>
                <c:pt idx="43">
                  <c:v>1.7047852949077094</c:v>
                </c:pt>
                <c:pt idx="44">
                  <c:v>1.6064953444352477</c:v>
                </c:pt>
                <c:pt idx="45">
                  <c:v>1.5974867628548544</c:v>
                </c:pt>
                <c:pt idx="46">
                  <c:v>1.8720080552317209</c:v>
                </c:pt>
                <c:pt idx="47">
                  <c:v>2.4551144594151597</c:v>
                </c:pt>
                <c:pt idx="48">
                  <c:v>2.6988247596960924</c:v>
                </c:pt>
                <c:pt idx="49">
                  <c:v>2.9282453337841727</c:v>
                </c:pt>
                <c:pt idx="50">
                  <c:v>3.1606289343593001</c:v>
                </c:pt>
                <c:pt idx="51">
                  <c:v>3.3293273661181408</c:v>
                </c:pt>
                <c:pt idx="52">
                  <c:v>3.2571966339455307</c:v>
                </c:pt>
                <c:pt idx="53">
                  <c:v>3.2815718538841683</c:v>
                </c:pt>
                <c:pt idx="54">
                  <c:v>3.3950820840244784</c:v>
                </c:pt>
                <c:pt idx="55">
                  <c:v>3.4050590183669658</c:v>
                </c:pt>
                <c:pt idx="56">
                  <c:v>3.6886052710067228</c:v>
                </c:pt>
                <c:pt idx="57">
                  <c:v>3.8204078783905557</c:v>
                </c:pt>
                <c:pt idx="58">
                  <c:v>3.8289876442356787</c:v>
                </c:pt>
                <c:pt idx="59">
                  <c:v>3.9164207376400446</c:v>
                </c:pt>
                <c:pt idx="60">
                  <c:v>3.7913480444043053</c:v>
                </c:pt>
                <c:pt idx="61">
                  <c:v>3.6973927278491865</c:v>
                </c:pt>
                <c:pt idx="62">
                  <c:v>3.558520866263287</c:v>
                </c:pt>
                <c:pt idx="63">
                  <c:v>3.3393348829807619</c:v>
                </c:pt>
                <c:pt idx="64">
                  <c:v>3.0841754202117486</c:v>
                </c:pt>
                <c:pt idx="65">
                  <c:v>2.9183684697526697</c:v>
                </c:pt>
                <c:pt idx="66">
                  <c:v>2.826113276518905</c:v>
                </c:pt>
                <c:pt idx="67">
                  <c:v>2.9359433920952149</c:v>
                </c:pt>
                <c:pt idx="68">
                  <c:v>2.740080572370339</c:v>
                </c:pt>
                <c:pt idx="69">
                  <c:v>2.6691084569266863</c:v>
                </c:pt>
                <c:pt idx="70">
                  <c:v>2.7714420533013788</c:v>
                </c:pt>
                <c:pt idx="71">
                  <c:v>2.9911090591643341</c:v>
                </c:pt>
                <c:pt idx="72">
                  <c:v>3.2021494143392157</c:v>
                </c:pt>
                <c:pt idx="73">
                  <c:v>3.4547626656020269</c:v>
                </c:pt>
                <c:pt idx="74">
                  <c:v>3.6225135359132068</c:v>
                </c:pt>
                <c:pt idx="75">
                  <c:v>3.7857742213120047</c:v>
                </c:pt>
                <c:pt idx="76">
                  <c:v>3.9203774598794991</c:v>
                </c:pt>
                <c:pt idx="77">
                  <c:v>4.0617664103007831</c:v>
                </c:pt>
                <c:pt idx="78">
                  <c:v>4.7859264083059685</c:v>
                </c:pt>
                <c:pt idx="79">
                  <c:v>4.4933185940073388</c:v>
                </c:pt>
                <c:pt idx="80">
                  <c:v>4.6134633834121583</c:v>
                </c:pt>
                <c:pt idx="81">
                  <c:v>4.8416027870240823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FB-49B8-AEE7-ADBC6CEF18E8}"/>
            </c:ext>
          </c:extLst>
        </c:ser>
        <c:ser>
          <c:idx val="6"/>
          <c:order val="3"/>
          <c:tx>
            <c:v>K-Y (Spliced series)</c:v>
          </c:tx>
          <c:spPr>
            <a:ln>
              <a:solidFill>
                <a:schemeClr val="accent1"/>
              </a:solidFill>
              <a:prstDash val="dash"/>
            </a:ln>
          </c:spPr>
          <c:marker>
            <c:symbol val="none"/>
          </c:marker>
          <c:cat>
            <c:numRef>
              <c:f>'Comparison Domestic Capital'!$A$49:$A$130</c:f>
              <c:numCache>
                <c:formatCode>General</c:formatCode>
                <c:ptCount val="82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1948</c:v>
                </c:pt>
                <c:pt idx="7">
                  <c:v>1949</c:v>
                </c:pt>
                <c:pt idx="8">
                  <c:v>1950</c:v>
                </c:pt>
                <c:pt idx="9">
                  <c:v>1951</c:v>
                </c:pt>
                <c:pt idx="10">
                  <c:v>1952</c:v>
                </c:pt>
                <c:pt idx="11">
                  <c:v>1953</c:v>
                </c:pt>
                <c:pt idx="12">
                  <c:v>1954</c:v>
                </c:pt>
                <c:pt idx="13">
                  <c:v>1955</c:v>
                </c:pt>
                <c:pt idx="14">
                  <c:v>1956</c:v>
                </c:pt>
                <c:pt idx="15">
                  <c:v>1957</c:v>
                </c:pt>
                <c:pt idx="16">
                  <c:v>1958</c:v>
                </c:pt>
                <c:pt idx="17">
                  <c:v>1959</c:v>
                </c:pt>
                <c:pt idx="18">
                  <c:v>1960</c:v>
                </c:pt>
                <c:pt idx="19">
                  <c:v>1961</c:v>
                </c:pt>
                <c:pt idx="20">
                  <c:v>1962</c:v>
                </c:pt>
                <c:pt idx="21">
                  <c:v>1963</c:v>
                </c:pt>
                <c:pt idx="22">
                  <c:v>1964</c:v>
                </c:pt>
                <c:pt idx="23">
                  <c:v>1965</c:v>
                </c:pt>
                <c:pt idx="24">
                  <c:v>1966</c:v>
                </c:pt>
                <c:pt idx="25">
                  <c:v>1967</c:v>
                </c:pt>
                <c:pt idx="26">
                  <c:v>1968</c:v>
                </c:pt>
                <c:pt idx="27">
                  <c:v>1969</c:v>
                </c:pt>
                <c:pt idx="28">
                  <c:v>1970</c:v>
                </c:pt>
                <c:pt idx="29">
                  <c:v>1971</c:v>
                </c:pt>
                <c:pt idx="30">
                  <c:v>1972</c:v>
                </c:pt>
                <c:pt idx="31">
                  <c:v>1973</c:v>
                </c:pt>
                <c:pt idx="32">
                  <c:v>1974</c:v>
                </c:pt>
                <c:pt idx="33">
                  <c:v>1975</c:v>
                </c:pt>
                <c:pt idx="34">
                  <c:v>1976</c:v>
                </c:pt>
                <c:pt idx="35">
                  <c:v>1977</c:v>
                </c:pt>
                <c:pt idx="36">
                  <c:v>1978</c:v>
                </c:pt>
                <c:pt idx="37">
                  <c:v>1979</c:v>
                </c:pt>
                <c:pt idx="38">
                  <c:v>1980</c:v>
                </c:pt>
                <c:pt idx="39">
                  <c:v>1981</c:v>
                </c:pt>
                <c:pt idx="40">
                  <c:v>1982</c:v>
                </c:pt>
                <c:pt idx="41">
                  <c:v>1983</c:v>
                </c:pt>
                <c:pt idx="42">
                  <c:v>1984</c:v>
                </c:pt>
                <c:pt idx="43">
                  <c:v>1985</c:v>
                </c:pt>
                <c:pt idx="44">
                  <c:v>1986</c:v>
                </c:pt>
                <c:pt idx="45">
                  <c:v>1987</c:v>
                </c:pt>
                <c:pt idx="46">
                  <c:v>1988</c:v>
                </c:pt>
                <c:pt idx="47">
                  <c:v>1989</c:v>
                </c:pt>
                <c:pt idx="48">
                  <c:v>1990</c:v>
                </c:pt>
                <c:pt idx="49">
                  <c:v>1991</c:v>
                </c:pt>
                <c:pt idx="50">
                  <c:v>1992</c:v>
                </c:pt>
                <c:pt idx="51">
                  <c:v>1993</c:v>
                </c:pt>
                <c:pt idx="52">
                  <c:v>1994</c:v>
                </c:pt>
                <c:pt idx="53">
                  <c:v>1995</c:v>
                </c:pt>
                <c:pt idx="54">
                  <c:v>1996</c:v>
                </c:pt>
                <c:pt idx="55">
                  <c:v>1997</c:v>
                </c:pt>
                <c:pt idx="56">
                  <c:v>1998</c:v>
                </c:pt>
                <c:pt idx="57">
                  <c:v>1999</c:v>
                </c:pt>
                <c:pt idx="58">
                  <c:v>2000</c:v>
                </c:pt>
                <c:pt idx="59">
                  <c:v>2001</c:v>
                </c:pt>
                <c:pt idx="60">
                  <c:v>2002</c:v>
                </c:pt>
                <c:pt idx="61">
                  <c:v>2003</c:v>
                </c:pt>
                <c:pt idx="62">
                  <c:v>2004</c:v>
                </c:pt>
                <c:pt idx="63">
                  <c:v>2005</c:v>
                </c:pt>
                <c:pt idx="64">
                  <c:v>2006</c:v>
                </c:pt>
                <c:pt idx="65">
                  <c:v>2007</c:v>
                </c:pt>
                <c:pt idx="66">
                  <c:v>2008</c:v>
                </c:pt>
                <c:pt idx="67">
                  <c:v>2009</c:v>
                </c:pt>
                <c:pt idx="68">
                  <c:v>2010</c:v>
                </c:pt>
                <c:pt idx="69">
                  <c:v>2011</c:v>
                </c:pt>
                <c:pt idx="70">
                  <c:v>2012</c:v>
                </c:pt>
                <c:pt idx="71">
                  <c:v>2013</c:v>
                </c:pt>
                <c:pt idx="72">
                  <c:v>2014</c:v>
                </c:pt>
                <c:pt idx="73">
                  <c:v>2015</c:v>
                </c:pt>
                <c:pt idx="74">
                  <c:v>2016</c:v>
                </c:pt>
                <c:pt idx="75">
                  <c:v>2017</c:v>
                </c:pt>
                <c:pt idx="76">
                  <c:v>2018</c:v>
                </c:pt>
                <c:pt idx="77">
                  <c:v>2019</c:v>
                </c:pt>
                <c:pt idx="78">
                  <c:v>2020</c:v>
                </c:pt>
                <c:pt idx="79">
                  <c:v>2021</c:v>
                </c:pt>
                <c:pt idx="80">
                  <c:v>2022</c:v>
                </c:pt>
                <c:pt idx="81">
                  <c:v>2023</c:v>
                </c:pt>
              </c:numCache>
            </c:numRef>
          </c:cat>
          <c:val>
            <c:numRef>
              <c:f>'Comparison Domestic Capital'!$Y$49:$Y$130</c:f>
              <c:numCache>
                <c:formatCode>General</c:formatCode>
                <c:ptCount val="82"/>
                <c:pt idx="0">
                  <c:v>3.2861251107706186</c:v>
                </c:pt>
                <c:pt idx="1">
                  <c:v>3.2786225409405918</c:v>
                </c:pt>
                <c:pt idx="2">
                  <c:v>3.1292801658050573</c:v>
                </c:pt>
                <c:pt idx="3">
                  <c:v>3.1071071404695463</c:v>
                </c:pt>
                <c:pt idx="4">
                  <c:v>3.0923573147978916</c:v>
                </c:pt>
                <c:pt idx="5">
                  <c:v>3.1468524241642317</c:v>
                </c:pt>
                <c:pt idx="6">
                  <c:v>3.1434682413351172</c:v>
                </c:pt>
                <c:pt idx="7">
                  <c:v>3.0204896845559119</c:v>
                </c:pt>
                <c:pt idx="8">
                  <c:v>2.9591506801116569</c:v>
                </c:pt>
                <c:pt idx="9">
                  <c:v>2.9147478327475911</c:v>
                </c:pt>
                <c:pt idx="10">
                  <c:v>2.9639250562404507</c:v>
                </c:pt>
                <c:pt idx="11">
                  <c:v>3.0083156229967192</c:v>
                </c:pt>
                <c:pt idx="12">
                  <c:v>3.0168247960532941</c:v>
                </c:pt>
                <c:pt idx="13">
                  <c:v>3.0308756298756863</c:v>
                </c:pt>
                <c:pt idx="14">
                  <c:v>3.1249874991342952</c:v>
                </c:pt>
                <c:pt idx="15">
                  <c:v>3.1720216981401399</c:v>
                </c:pt>
                <c:pt idx="16">
                  <c:v>3.4227807552109528</c:v>
                </c:pt>
                <c:pt idx="17">
                  <c:v>3.4760592027440138</c:v>
                </c:pt>
                <c:pt idx="18">
                  <c:v>3.3198910505778421</c:v>
                </c:pt>
                <c:pt idx="19">
                  <c:v>3.2999333519775078</c:v>
                </c:pt>
                <c:pt idx="20">
                  <c:v>3.215355673485127</c:v>
                </c:pt>
                <c:pt idx="21">
                  <c:v>3.2762685906539448</c:v>
                </c:pt>
                <c:pt idx="22">
                  <c:v>3.2453661758220442</c:v>
                </c:pt>
                <c:pt idx="23">
                  <c:v>3.2506849315044901</c:v>
                </c:pt>
                <c:pt idx="24">
                  <c:v>3.2070044645138447</c:v>
                </c:pt>
                <c:pt idx="25">
                  <c:v>3.2710301245204567</c:v>
                </c:pt>
                <c:pt idx="26">
                  <c:v>3.4157430784171243</c:v>
                </c:pt>
                <c:pt idx="27">
                  <c:v>3.4424615759486645</c:v>
                </c:pt>
                <c:pt idx="28">
                  <c:v>3.4804501298612247</c:v>
                </c:pt>
                <c:pt idx="29">
                  <c:v>3.4937432552240333</c:v>
                </c:pt>
                <c:pt idx="30">
                  <c:v>3.5391815529121811</c:v>
                </c:pt>
                <c:pt idx="31">
                  <c:v>3.5722325280858631</c:v>
                </c:pt>
                <c:pt idx="32">
                  <c:v>3.5600720526656651</c:v>
                </c:pt>
                <c:pt idx="33">
                  <c:v>3.6896180133936229</c:v>
                </c:pt>
                <c:pt idx="34">
                  <c:v>3.8491816253730136</c:v>
                </c:pt>
                <c:pt idx="35">
                  <c:v>4.019334559662977</c:v>
                </c:pt>
                <c:pt idx="36">
                  <c:v>4.2882222850196516</c:v>
                </c:pt>
                <c:pt idx="37">
                  <c:v>4.2830791693768351</c:v>
                </c:pt>
                <c:pt idx="38">
                  <c:v>4.2373077493953959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FB-49B8-AEE7-ADBC6CEF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981120"/>
        <c:axId val="902979680"/>
      </c:lineChart>
      <c:catAx>
        <c:axId val="9029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 sz="2000"/>
            </a:pPr>
            <a:endParaRPr lang="en-US"/>
          </a:p>
        </c:txPr>
        <c:crossAx val="902979680"/>
        <c:crosses val="autoZero"/>
        <c:auto val="1"/>
        <c:lblAlgn val="ctr"/>
        <c:lblOffset val="100"/>
        <c:noMultiLvlLbl val="0"/>
      </c:catAx>
      <c:valAx>
        <c:axId val="9029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2000"/>
            </a:pPr>
            <a:endParaRPr lang="en-US"/>
          </a:p>
        </c:txPr>
        <c:crossAx val="9029811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1888923648544287E-2"/>
          <c:y val="0.95660347038256899"/>
          <c:w val="0.96358131463075314"/>
          <c:h val="2.876577911225491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vert="horz"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36</xdr:row>
      <xdr:rowOff>102870</xdr:rowOff>
    </xdr:from>
    <xdr:to>
      <xdr:col>13</xdr:col>
      <xdr:colOff>1013460</xdr:colOff>
      <xdr:row>57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7D176-E68D-4C82-9F6B-619723535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0.13995</cdr:x>
      <cdr:y>0.00488</cdr:y>
    </cdr:from>
    <cdr:to>
      <cdr:x>0.14221</cdr:x>
      <cdr:y>0.82634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7669C9C-A365-5AE1-9A93-1C166EAF8B8A}"/>
            </a:ext>
          </a:extLst>
        </cdr:cNvPr>
        <cdr:cNvCxnSpPr/>
      </cdr:nvCxnSpPr>
      <cdr:spPr>
        <a:xfrm xmlns:a="http://schemas.openxmlformats.org/drawingml/2006/main" flipH="1" flipV="1">
          <a:off x="944880" y="19050"/>
          <a:ext cx="15240" cy="320802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0.46915</cdr:x>
      <cdr:y>0.00911</cdr:y>
    </cdr:from>
    <cdr:to>
      <cdr:x>0.47141</cdr:x>
      <cdr:y>0.83057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DC0A7AD-DD93-308B-C174-1D36D90B7C29}"/>
            </a:ext>
          </a:extLst>
        </cdr:cNvPr>
        <cdr:cNvCxnSpPr/>
      </cdr:nvCxnSpPr>
      <cdr:spPr>
        <a:xfrm xmlns:a="http://schemas.openxmlformats.org/drawingml/2006/main" flipH="1" flipV="1">
          <a:off x="3167380" y="35560"/>
          <a:ext cx="15240" cy="320802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0.70391</cdr:x>
      <cdr:y>0.00715</cdr:y>
    </cdr:from>
    <cdr:to>
      <cdr:x>0.70617</cdr:x>
      <cdr:y>0.82862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4DC0A7AD-DD93-308B-C174-1D36D90B7C29}"/>
            </a:ext>
          </a:extLst>
        </cdr:cNvPr>
        <cdr:cNvCxnSpPr/>
      </cdr:nvCxnSpPr>
      <cdr:spPr>
        <a:xfrm xmlns:a="http://schemas.openxmlformats.org/drawingml/2006/main" flipH="1" flipV="1">
          <a:off x="4752340" y="27940"/>
          <a:ext cx="15240" cy="320802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1</xdr:row>
      <xdr:rowOff>22860</xdr:rowOff>
    </xdr:from>
    <xdr:to>
      <xdr:col>17</xdr:col>
      <xdr:colOff>434340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7FE29-B7D4-4E4B-A344-A369ED16D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0.25341</cdr:x>
      <cdr:y>0.00293</cdr:y>
    </cdr:from>
    <cdr:to>
      <cdr:x>0.25567</cdr:x>
      <cdr:y>0.82439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7669C9C-A365-5AE1-9A93-1C166EAF8B8A}"/>
            </a:ext>
          </a:extLst>
        </cdr:cNvPr>
        <cdr:cNvCxnSpPr/>
      </cdr:nvCxnSpPr>
      <cdr:spPr>
        <a:xfrm xmlns:a="http://schemas.openxmlformats.org/drawingml/2006/main" flipH="1" flipV="1">
          <a:off x="1735951" y="11438"/>
          <a:ext cx="15482" cy="320800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0.37238</cdr:x>
      <cdr:y>0.00521</cdr:y>
    </cdr:from>
    <cdr:to>
      <cdr:x>0.37464</cdr:x>
      <cdr:y>0.82667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DC0A7AD-DD93-308B-C174-1D36D90B7C29}"/>
            </a:ext>
          </a:extLst>
        </cdr:cNvPr>
        <cdr:cNvCxnSpPr/>
      </cdr:nvCxnSpPr>
      <cdr:spPr>
        <a:xfrm xmlns:a="http://schemas.openxmlformats.org/drawingml/2006/main" flipH="1" flipV="1">
          <a:off x="2550916" y="20337"/>
          <a:ext cx="15482" cy="320800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0.70391</cdr:x>
      <cdr:y>0.00715</cdr:y>
    </cdr:from>
    <cdr:to>
      <cdr:x>0.70617</cdr:x>
      <cdr:y>0.82862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4DC0A7AD-DD93-308B-C174-1D36D90B7C29}"/>
            </a:ext>
          </a:extLst>
        </cdr:cNvPr>
        <cdr:cNvCxnSpPr/>
      </cdr:nvCxnSpPr>
      <cdr:spPr>
        <a:xfrm xmlns:a="http://schemas.openxmlformats.org/drawingml/2006/main" flipH="1" flipV="1">
          <a:off x="4752340" y="27940"/>
          <a:ext cx="15240" cy="320802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76200</xdr:colOff>
      <xdr:row>0</xdr:row>
      <xdr:rowOff>60960</xdr:rowOff>
    </xdr:from>
    <xdr:to>
      <xdr:col>51</xdr:col>
      <xdr:colOff>152400</xdr:colOff>
      <xdr:row>67</xdr:row>
      <xdr:rowOff>126480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C60EE0-9A38-4C40-BE47-FC1C0DC74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431800</xdr:colOff>
      <xdr:row>0</xdr:row>
      <xdr:rowOff>0</xdr:rowOff>
    </xdr:from>
    <xdr:to>
      <xdr:col>75</xdr:col>
      <xdr:colOff>355600</xdr:colOff>
      <xdr:row>67</xdr:row>
      <xdr:rowOff>70962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31BF190-DBC5-48DF-EF7D-292BBDA7635A}"/>
            </a:ext>
          </a:extLst>
        </xdr:cNvPr>
        <xdr:cNvGrpSpPr/>
      </xdr:nvGrpSpPr>
      <xdr:grpSpPr>
        <a:xfrm>
          <a:off x="74853800" y="0"/>
          <a:ext cx="13944600" cy="12834462"/>
          <a:chOff x="43662600" y="91440"/>
          <a:chExt cx="6850800" cy="3911442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132CAFF-438B-86ED-B753-E719A90AA4B5}"/>
              </a:ext>
            </a:extLst>
          </xdr:cNvPr>
          <xdr:cNvGraphicFramePr/>
        </xdr:nvGraphicFramePr>
        <xdr:xfrm>
          <a:off x="43662600" y="96882"/>
          <a:ext cx="6850800" cy="390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2" name="Straight Connector 1">
            <a:extLst>
              <a:ext uri="{FF2B5EF4-FFF2-40B4-BE49-F238E27FC236}">
                <a16:creationId xmlns:a16="http://schemas.microsoft.com/office/drawing/2014/main" id="{B42A6B25-CC24-AE71-057E-2477ECB4EAEF}"/>
              </a:ext>
            </a:extLst>
          </xdr:cNvPr>
          <xdr:cNvCxnSpPr/>
        </xdr:nvCxnSpPr>
        <xdr:spPr>
          <a:xfrm flipH="1" flipV="1">
            <a:off x="46116240" y="121920"/>
            <a:ext cx="15813" cy="327660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EE01F69D-C354-42FC-88D9-9BC144166A79}"/>
              </a:ext>
            </a:extLst>
          </xdr:cNvPr>
          <xdr:cNvCxnSpPr/>
        </xdr:nvCxnSpPr>
        <xdr:spPr>
          <a:xfrm flipH="1" flipV="1">
            <a:off x="49697640" y="91440"/>
            <a:ext cx="16034" cy="332232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EF680E04-A8A2-4C08-8E6E-46F8A231665F}"/>
              </a:ext>
            </a:extLst>
          </xdr:cNvPr>
          <xdr:cNvCxnSpPr/>
        </xdr:nvCxnSpPr>
        <xdr:spPr>
          <a:xfrm flipH="1" flipV="1">
            <a:off x="44988406" y="121920"/>
            <a:ext cx="15887" cy="329184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79</xdr:col>
      <xdr:colOff>482600</xdr:colOff>
      <xdr:row>1</xdr:row>
      <xdr:rowOff>1</xdr:rowOff>
    </xdr:from>
    <xdr:to>
      <xdr:col>92</xdr:col>
      <xdr:colOff>487680</xdr:colOff>
      <xdr:row>38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2B3C8C-0D5E-409E-92D9-37450D365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576943</xdr:colOff>
      <xdr:row>68</xdr:row>
      <xdr:rowOff>6463</xdr:rowOff>
    </xdr:from>
    <xdr:to>
      <xdr:col>82</xdr:col>
      <xdr:colOff>167640</xdr:colOff>
      <xdr:row>137</xdr:row>
      <xdr:rowOff>76200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FC898819-F83E-4AA9-AA4A-4FC5FCAC8B3D}"/>
            </a:ext>
          </a:extLst>
        </xdr:cNvPr>
        <xdr:cNvGrpSpPr/>
      </xdr:nvGrpSpPr>
      <xdr:grpSpPr>
        <a:xfrm>
          <a:off x="76827743" y="12960463"/>
          <a:ext cx="16049897" cy="13214237"/>
          <a:chOff x="43662600" y="96882"/>
          <a:chExt cx="6850800" cy="3955351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F451F96B-9683-5D7F-4652-31DD3EB5C792}"/>
              </a:ext>
            </a:extLst>
          </xdr:cNvPr>
          <xdr:cNvGraphicFramePr/>
        </xdr:nvGraphicFramePr>
        <xdr:xfrm>
          <a:off x="43662600" y="96882"/>
          <a:ext cx="6850800" cy="39553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963511E2-F88B-825D-D45E-E3F2881879AE}"/>
              </a:ext>
            </a:extLst>
          </xdr:cNvPr>
          <xdr:cNvCxnSpPr/>
        </xdr:nvCxnSpPr>
        <xdr:spPr>
          <a:xfrm flipV="1">
            <a:off x="48171564" y="111185"/>
            <a:ext cx="6049" cy="353248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A2C1A223-70BA-4355-9428-656DBC46DB17}"/>
              </a:ext>
            </a:extLst>
          </xdr:cNvPr>
          <xdr:cNvCxnSpPr/>
        </xdr:nvCxnSpPr>
        <xdr:spPr>
          <a:xfrm flipH="1" flipV="1">
            <a:off x="50124725" y="106522"/>
            <a:ext cx="17884" cy="3537148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A62E1F62-5A95-80FD-0204-684C8674A5B1}"/>
              </a:ext>
            </a:extLst>
          </xdr:cNvPr>
          <xdr:cNvCxnSpPr/>
        </xdr:nvCxnSpPr>
        <xdr:spPr>
          <a:xfrm flipV="1">
            <a:off x="47625135" y="100260"/>
            <a:ext cx="2578" cy="354341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stillo-García" id="{4C5E4F3A-52D1-40D5-B59F-804586853AD3}" userId="S::ccastillogar@wesleyan.edu::85438caa-06de-4aeb-b211-0161b91227a9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12-04T23:04:53.93" personId="{4C5E4F3A-52D1-40D5-B59F-804586853AD3}" id="{D7701BA8-F7A3-487E-A135-12E4507F9666}">
    <text>Includes CFC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2678-FD67-4D04-BAEE-0D42593527FD}">
  <dimension ref="A1:M130"/>
  <sheetViews>
    <sheetView workbookViewId="0">
      <pane xSplit="1" ySplit="2" topLeftCell="F39" activePane="bottomRight" state="frozen"/>
      <selection pane="topRight" activeCell="B1" sqref="B1"/>
      <selection pane="bottomLeft" activeCell="A3" sqref="A3"/>
      <selection pane="bottomRight" activeCell="J2" sqref="J2"/>
    </sheetView>
  </sheetViews>
  <sheetFormatPr baseColWidth="10" defaultColWidth="8.7265625" defaultRowHeight="14.5" x14ac:dyDescent="0.35"/>
  <cols>
    <col min="1" max="1" width="5.90625" customWidth="1"/>
    <col min="2" max="2" width="24.08984375" bestFit="1" customWidth="1"/>
    <col min="3" max="3" width="23.90625" bestFit="1" customWidth="1"/>
    <col min="4" max="4" width="24.1796875" bestFit="1" customWidth="1"/>
    <col min="5" max="5" width="23.54296875" bestFit="1" customWidth="1"/>
    <col min="6" max="6" width="33.1796875" bestFit="1" customWidth="1"/>
    <col min="7" max="7" width="17" bestFit="1" customWidth="1"/>
    <col min="8" max="8" width="17.81640625" bestFit="1" customWidth="1"/>
    <col min="9" max="9" width="18.81640625" bestFit="1" customWidth="1"/>
    <col min="10" max="10" width="18.08984375" bestFit="1" customWidth="1"/>
    <col min="11" max="11" width="39.453125" bestFit="1" customWidth="1"/>
    <col min="12" max="12" width="42.453125" bestFit="1" customWidth="1"/>
    <col min="13" max="13" width="57" bestFit="1" customWidth="1"/>
  </cols>
  <sheetData>
    <row r="1" spans="1:13" x14ac:dyDescent="0.35">
      <c r="A1" t="s">
        <v>61</v>
      </c>
    </row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6</v>
      </c>
      <c r="L2" s="1" t="s">
        <v>60</v>
      </c>
      <c r="M2" s="1" t="s">
        <v>59</v>
      </c>
    </row>
    <row r="3" spans="1:13" x14ac:dyDescent="0.35">
      <c r="A3" s="2">
        <v>1896</v>
      </c>
      <c r="B3" s="1"/>
      <c r="C3" s="1"/>
      <c r="D3" s="1"/>
      <c r="E3" s="1"/>
      <c r="F3" s="1"/>
      <c r="G3" s="1"/>
      <c r="H3" s="1"/>
      <c r="I3" s="1"/>
      <c r="J3" s="1"/>
      <c r="K3" s="1"/>
      <c r="L3" s="1">
        <v>0.88902315959613665</v>
      </c>
      <c r="M3" s="1">
        <v>0.89455562470415528</v>
      </c>
    </row>
    <row r="4" spans="1:13" x14ac:dyDescent="0.35">
      <c r="A4" s="2">
        <v>1897</v>
      </c>
      <c r="B4" s="1"/>
      <c r="C4" s="1"/>
      <c r="D4" s="1"/>
      <c r="E4" s="1"/>
      <c r="F4" s="1"/>
      <c r="G4" s="1"/>
      <c r="H4" s="1"/>
      <c r="I4" s="1"/>
      <c r="J4" s="1"/>
      <c r="K4" s="1"/>
      <c r="L4" s="1">
        <v>0.88622487464833</v>
      </c>
      <c r="M4" s="1">
        <v>0.89173992579624084</v>
      </c>
    </row>
    <row r="5" spans="1:13" x14ac:dyDescent="0.35">
      <c r="A5" s="2">
        <v>1898</v>
      </c>
      <c r="B5" s="1"/>
      <c r="C5" s="1"/>
      <c r="D5" s="1"/>
      <c r="E5" s="1"/>
      <c r="F5" s="1"/>
      <c r="G5" s="1"/>
      <c r="H5" s="1"/>
      <c r="I5" s="1"/>
      <c r="J5" s="1"/>
      <c r="K5" s="1"/>
      <c r="L5" s="1">
        <v>0.92951344191506891</v>
      </c>
      <c r="M5" s="1">
        <v>0.93529788141962067</v>
      </c>
    </row>
    <row r="6" spans="1:13" x14ac:dyDescent="0.35">
      <c r="A6" s="2">
        <v>1899</v>
      </c>
      <c r="B6" s="1"/>
      <c r="C6" s="1"/>
      <c r="D6" s="1"/>
      <c r="E6" s="1"/>
      <c r="F6" s="1"/>
      <c r="G6" s="1"/>
      <c r="H6" s="1"/>
      <c r="I6" s="1"/>
      <c r="J6" s="1"/>
      <c r="K6" s="1"/>
      <c r="L6" s="1">
        <v>0.92056365427049669</v>
      </c>
      <c r="M6" s="1">
        <v>0.9262923985017214</v>
      </c>
    </row>
    <row r="7" spans="1:13" x14ac:dyDescent="0.35">
      <c r="A7" s="2">
        <v>1900</v>
      </c>
      <c r="B7" s="1"/>
      <c r="C7" s="1"/>
      <c r="D7" s="1"/>
      <c r="E7" s="1"/>
      <c r="F7" s="1"/>
      <c r="G7" s="1"/>
      <c r="H7" s="1"/>
      <c r="I7" s="1"/>
      <c r="J7" s="1"/>
      <c r="K7" s="1"/>
      <c r="L7" s="1">
        <v>1.0118176173316216</v>
      </c>
      <c r="M7" s="1">
        <v>1.0181142425692684</v>
      </c>
    </row>
    <row r="8" spans="1:13" x14ac:dyDescent="0.35">
      <c r="A8" s="2">
        <v>1901</v>
      </c>
      <c r="B8" s="1"/>
      <c r="C8" s="1"/>
      <c r="D8" s="1"/>
      <c r="E8" s="1"/>
      <c r="F8" s="1"/>
      <c r="G8" s="1"/>
      <c r="H8" s="1"/>
      <c r="I8" s="1"/>
      <c r="J8" s="1"/>
      <c r="K8" s="1"/>
      <c r="L8" s="1">
        <v>1.0188153278289067</v>
      </c>
      <c r="M8" s="1">
        <v>1.0251555004013382</v>
      </c>
    </row>
    <row r="9" spans="1:13" x14ac:dyDescent="0.35">
      <c r="A9" s="2">
        <v>1902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1.0471995381928039</v>
      </c>
      <c r="M9" s="1">
        <v>1.0537163480685068</v>
      </c>
    </row>
    <row r="10" spans="1:13" x14ac:dyDescent="0.35">
      <c r="A10" s="2">
        <v>1903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>
        <v>1.1241358668484238</v>
      </c>
      <c r="M10" s="1">
        <v>1.1311314579001084</v>
      </c>
    </row>
    <row r="11" spans="1:13" x14ac:dyDescent="0.35">
      <c r="A11" s="2">
        <v>1904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1.2512963903287206</v>
      </c>
      <c r="M11" s="1">
        <v>1.259083311900514</v>
      </c>
    </row>
    <row r="12" spans="1:13" x14ac:dyDescent="0.35">
      <c r="A12" s="2">
        <v>1905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1.3334012320073807</v>
      </c>
      <c r="M12" s="1">
        <v>1.3416990988418296</v>
      </c>
    </row>
    <row r="13" spans="1:13" x14ac:dyDescent="0.35">
      <c r="A13" s="2">
        <v>1906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>
        <v>1.3970662917433312</v>
      </c>
      <c r="M13" s="1">
        <v>1.4057603515428194</v>
      </c>
    </row>
    <row r="14" spans="1:13" x14ac:dyDescent="0.35">
      <c r="A14" s="2">
        <v>1907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>
        <v>1.4645040363573347</v>
      </c>
      <c r="M14" s="1">
        <v>1.4736177668538268</v>
      </c>
    </row>
    <row r="15" spans="1:13" x14ac:dyDescent="0.35">
      <c r="A15" s="2">
        <v>1908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1.5108547563165093</v>
      </c>
      <c r="M15" s="1">
        <v>1.5202569312006844</v>
      </c>
    </row>
    <row r="16" spans="1:13" x14ac:dyDescent="0.35">
      <c r="A16" s="2">
        <v>1909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>
        <v>1.7127336819049319</v>
      </c>
      <c r="M16" s="1">
        <v>1.7233921661437133</v>
      </c>
    </row>
    <row r="17" spans="1:13" x14ac:dyDescent="0.35">
      <c r="A17" s="2">
        <v>1910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>
        <v>1.8131023746743771</v>
      </c>
      <c r="M17" s="1">
        <v>1.8243854616410971</v>
      </c>
    </row>
    <row r="18" spans="1:13" x14ac:dyDescent="0.35">
      <c r="A18" s="2">
        <v>1911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>
        <v>1.8712531629231559</v>
      </c>
      <c r="M18" s="1">
        <v>1.8828981270845444</v>
      </c>
    </row>
    <row r="19" spans="1:13" x14ac:dyDescent="0.35">
      <c r="A19" s="2">
        <v>1912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>
        <v>2.0353149922485909</v>
      </c>
      <c r="M19" s="1">
        <v>2.047980926827345</v>
      </c>
    </row>
    <row r="20" spans="1:13" x14ac:dyDescent="0.35">
      <c r="A20" s="2">
        <v>1913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>
        <v>1.9685792065739438</v>
      </c>
      <c r="M20" s="1">
        <v>1.9808298388045917</v>
      </c>
    </row>
    <row r="21" spans="1:13" x14ac:dyDescent="0.35">
      <c r="A21" s="2">
        <v>1914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>
        <v>2.103147995737221</v>
      </c>
      <c r="M21" s="1">
        <v>2.1162360607418504</v>
      </c>
    </row>
    <row r="22" spans="1:13" x14ac:dyDescent="0.35">
      <c r="A22" s="2">
        <v>1915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>
        <v>2.1893412573495143</v>
      </c>
      <c r="M22" s="1">
        <v>2.2029657101942908</v>
      </c>
    </row>
    <row r="23" spans="1:13" x14ac:dyDescent="0.35">
      <c r="A23" s="2">
        <v>1916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>
        <v>2.7817725819648644</v>
      </c>
      <c r="M23" s="1">
        <v>2.7990837842457532</v>
      </c>
    </row>
    <row r="24" spans="1:13" x14ac:dyDescent="0.35">
      <c r="A24" s="2">
        <v>1917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>
        <v>3.7196078732909497</v>
      </c>
      <c r="M24" s="1">
        <v>3.7427553026378324</v>
      </c>
    </row>
    <row r="25" spans="1:13" x14ac:dyDescent="0.35">
      <c r="A25" s="2">
        <v>1918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>
        <v>4.9459448346948713</v>
      </c>
      <c r="M25" s="1">
        <v>4.9767238610101874</v>
      </c>
    </row>
    <row r="26" spans="1:13" x14ac:dyDescent="0.35">
      <c r="A26" s="2">
        <v>1919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>
        <v>5.2209728665209907</v>
      </c>
      <c r="M26" s="1">
        <v>5.2534634151666086</v>
      </c>
    </row>
    <row r="27" spans="1:13" x14ac:dyDescent="0.35">
      <c r="A27" s="2">
        <v>1920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>
        <v>6.0871339450576478</v>
      </c>
      <c r="M27" s="1">
        <v>6.1250146861782344</v>
      </c>
    </row>
    <row r="28" spans="1:13" x14ac:dyDescent="0.35">
      <c r="A28" s="2">
        <v>1921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>
        <v>4.1772373400069052</v>
      </c>
      <c r="M28" s="1">
        <v>4.2032326356097771</v>
      </c>
    </row>
    <row r="29" spans="1:13" x14ac:dyDescent="0.35">
      <c r="A29" s="2">
        <v>1922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>
        <v>4.1402929043720249</v>
      </c>
      <c r="M29" s="1">
        <v>4.166058291677369</v>
      </c>
    </row>
    <row r="30" spans="1:13" x14ac:dyDescent="0.35">
      <c r="A30" s="2">
        <v>1923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>
        <v>4.4771588330553618</v>
      </c>
      <c r="M30" s="1">
        <v>4.5050205650693949</v>
      </c>
    </row>
    <row r="31" spans="1:13" x14ac:dyDescent="0.35">
      <c r="A31" s="2">
        <v>1924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>
        <v>4.8036680746594032</v>
      </c>
      <c r="M31" s="1">
        <v>4.8335617008565306</v>
      </c>
    </row>
    <row r="32" spans="1:13" x14ac:dyDescent="0.35">
      <c r="A32" s="2">
        <v>1925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>
        <v>5.3020202168398107</v>
      </c>
      <c r="M32" s="1">
        <v>5.335015129891346</v>
      </c>
    </row>
    <row r="33" spans="1:13" x14ac:dyDescent="0.35">
      <c r="A33" s="2">
        <v>1926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>
        <v>5.0270525568462707</v>
      </c>
      <c r="M33" s="1">
        <v>5.0583363232664418</v>
      </c>
    </row>
    <row r="34" spans="1:13" x14ac:dyDescent="0.35">
      <c r="A34" s="2">
        <v>1927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>
        <v>4.8535003386756674</v>
      </c>
      <c r="M34" s="1">
        <v>4.8837040751988852</v>
      </c>
    </row>
    <row r="35" spans="1:13" x14ac:dyDescent="0.35">
      <c r="A35" s="2">
        <v>1928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>
        <v>5.1837948195280994</v>
      </c>
      <c r="M35" s="1">
        <v>5.2160540060932679</v>
      </c>
    </row>
    <row r="36" spans="1:13" x14ac:dyDescent="0.35">
      <c r="A36" s="2">
        <v>1929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>
        <v>5.6557993152012571</v>
      </c>
      <c r="M36" s="1">
        <v>5.6909958250239274</v>
      </c>
    </row>
    <row r="37" spans="1:13" x14ac:dyDescent="0.35">
      <c r="A37" s="2">
        <v>1930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>
        <v>4.7923816247208588</v>
      </c>
      <c r="M37" s="1">
        <v>4.8222050144007431</v>
      </c>
    </row>
    <row r="38" spans="1:13" x14ac:dyDescent="0.35">
      <c r="A38" s="2">
        <v>1931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>
        <v>4.0572368113831567</v>
      </c>
      <c r="M38" s="1">
        <v>4.0824853337097773</v>
      </c>
    </row>
    <row r="39" spans="1:13" x14ac:dyDescent="0.35">
      <c r="A39" s="2">
        <v>1932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>
        <v>3.690640258722083</v>
      </c>
      <c r="M39" s="1">
        <v>3.713607420192774</v>
      </c>
    </row>
    <row r="40" spans="1:13" x14ac:dyDescent="0.35">
      <c r="A40" s="2">
        <v>1933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>
        <v>3.5731746844421948</v>
      </c>
      <c r="M40" s="1">
        <v>3.5954108478684796</v>
      </c>
    </row>
    <row r="41" spans="1:13" x14ac:dyDescent="0.35">
      <c r="A41" s="2">
        <v>1934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>
        <v>3.9018902548992394</v>
      </c>
      <c r="M41" s="1">
        <v>3.9261720426766855</v>
      </c>
    </row>
    <row r="42" spans="1:13" x14ac:dyDescent="0.35">
      <c r="A42" s="2">
        <v>1935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>
        <v>4.1598231934268961</v>
      </c>
      <c r="M42" s="1">
        <v>4.1857101193463695</v>
      </c>
    </row>
    <row r="43" spans="1:13" x14ac:dyDescent="0.35">
      <c r="A43" s="2">
        <v>1936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>
        <v>4.537885289919048</v>
      </c>
      <c r="M43" s="1">
        <v>4.5661249277278912</v>
      </c>
    </row>
    <row r="44" spans="1:13" x14ac:dyDescent="0.35">
      <c r="A44" s="2">
        <v>1937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>
        <v>5.3549583689085019</v>
      </c>
      <c r="M44" s="1">
        <v>5.3882827204859538</v>
      </c>
    </row>
    <row r="45" spans="1:13" x14ac:dyDescent="0.35">
      <c r="A45" s="2">
        <v>1938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>
        <v>5.4468810415510864</v>
      </c>
      <c r="M45" s="1">
        <v>5.4807774355703369</v>
      </c>
    </row>
    <row r="46" spans="1:13" x14ac:dyDescent="0.35">
      <c r="A46" s="2">
        <v>1939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>
        <v>5.6221497223255934</v>
      </c>
      <c r="M46" s="1">
        <v>5.6571368279314287</v>
      </c>
    </row>
    <row r="47" spans="1:13" x14ac:dyDescent="0.35">
      <c r="A47" s="2">
        <v>1940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>
        <v>6.2723140175588536</v>
      </c>
      <c r="M47" s="1">
        <v>6.3113471496815823</v>
      </c>
    </row>
    <row r="48" spans="1:13" x14ac:dyDescent="0.35">
      <c r="A48" s="2">
        <v>1941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>
        <v>6.68655746840939</v>
      </c>
      <c r="M48" s="1">
        <v>6.7281684720007284</v>
      </c>
    </row>
    <row r="49" spans="1:13" x14ac:dyDescent="0.35">
      <c r="A49" s="2">
        <v>1942</v>
      </c>
      <c r="B49" s="3">
        <v>0.95800000000000007</v>
      </c>
      <c r="C49" s="4">
        <v>0.78193651762334626</v>
      </c>
      <c r="D49" s="4">
        <v>1.0660634823766535</v>
      </c>
      <c r="E49" s="4">
        <v>0.154</v>
      </c>
      <c r="F49" s="3">
        <v>2.96</v>
      </c>
      <c r="G49" s="4">
        <v>0.26300000000000001</v>
      </c>
      <c r="H49" s="4">
        <v>-0.02</v>
      </c>
      <c r="I49" s="4">
        <v>2.7</v>
      </c>
      <c r="J49" s="4">
        <v>2.68</v>
      </c>
      <c r="K49" s="5">
        <v>26231389956.84</v>
      </c>
      <c r="L49" s="5">
        <v>8.8686319014965882</v>
      </c>
      <c r="M49" s="5">
        <v>8.9238221358805632</v>
      </c>
    </row>
    <row r="50" spans="1:13" x14ac:dyDescent="0.35">
      <c r="A50" s="2">
        <v>1943</v>
      </c>
      <c r="B50" s="3">
        <v>1.130530668267244</v>
      </c>
      <c r="C50" s="4">
        <v>0.82295661361244343</v>
      </c>
      <c r="D50" s="4">
        <v>1.12430370281284</v>
      </c>
      <c r="E50" s="4">
        <v>0.18991668277687884</v>
      </c>
      <c r="F50" s="3">
        <v>3.2677076674694101</v>
      </c>
      <c r="G50" s="4">
        <v>0.2617869110374712</v>
      </c>
      <c r="H50" s="4">
        <v>0</v>
      </c>
      <c r="I50" s="4">
        <v>3.01</v>
      </c>
      <c r="J50" s="4">
        <v>3.01</v>
      </c>
      <c r="K50" s="5">
        <v>26936652592.041</v>
      </c>
      <c r="L50" s="5">
        <v>9.7682202199745021</v>
      </c>
      <c r="M50" s="5">
        <v>9.8290086673294645</v>
      </c>
    </row>
    <row r="51" spans="1:13" x14ac:dyDescent="0.35">
      <c r="A51" s="2">
        <v>1944</v>
      </c>
      <c r="B51" s="3">
        <v>1.4771622265959086</v>
      </c>
      <c r="C51" s="4">
        <v>0.72132916283508097</v>
      </c>
      <c r="D51" s="4">
        <v>1.4575607976923133</v>
      </c>
      <c r="E51" s="4">
        <v>0.21514625080283545</v>
      </c>
      <c r="F51" s="3">
        <v>3.8711984379261377</v>
      </c>
      <c r="G51" s="4">
        <v>0.28864931155614881</v>
      </c>
      <c r="H51" s="4">
        <v>0.06</v>
      </c>
      <c r="I51" s="4">
        <v>3.58</v>
      </c>
      <c r="J51" s="4">
        <v>3.64</v>
      </c>
      <c r="K51" s="5">
        <v>29141654613.5401</v>
      </c>
      <c r="L51" s="5">
        <v>11.045126794233454</v>
      </c>
      <c r="M51" s="5">
        <v>11.113861537466125</v>
      </c>
    </row>
    <row r="52" spans="1:13" x14ac:dyDescent="0.35">
      <c r="A52" s="2">
        <v>1945</v>
      </c>
      <c r="B52" s="3">
        <v>1.7874428320201847</v>
      </c>
      <c r="C52" s="4">
        <v>0.86053315518656481</v>
      </c>
      <c r="D52" s="4">
        <v>1.6301646291552152</v>
      </c>
      <c r="E52" s="4">
        <v>0.24408496888541537</v>
      </c>
      <c r="F52" s="3">
        <v>4.5222255852473801</v>
      </c>
      <c r="G52" s="4">
        <v>0.25637149354357058</v>
      </c>
      <c r="H52" s="4">
        <v>0</v>
      </c>
      <c r="I52" s="4">
        <v>4.2699999999999996</v>
      </c>
      <c r="J52" s="4">
        <v>4.26</v>
      </c>
      <c r="K52" s="5">
        <v>30538584029.7612</v>
      </c>
      <c r="L52" s="5">
        <v>12.811184220635099</v>
      </c>
      <c r="M52" s="5">
        <v>12.890909286206236</v>
      </c>
    </row>
    <row r="53" spans="1:13" x14ac:dyDescent="0.35">
      <c r="A53" s="2">
        <v>1946</v>
      </c>
      <c r="B53" s="3">
        <v>2.0332642370235083</v>
      </c>
      <c r="C53" s="4">
        <v>1.2401413614906158</v>
      </c>
      <c r="D53" s="4">
        <v>1.8834099234001209</v>
      </c>
      <c r="E53" s="4">
        <v>0.26631195144366698</v>
      </c>
      <c r="F53" s="3">
        <v>5.423127473357912</v>
      </c>
      <c r="G53" s="4">
        <v>0.32613636936757789</v>
      </c>
      <c r="H53" s="4">
        <v>0</v>
      </c>
      <c r="I53" s="4">
        <v>5.0999999999999996</v>
      </c>
      <c r="J53" s="4">
        <v>5.0999999999999996</v>
      </c>
      <c r="K53" s="5">
        <v>32494985621.825901</v>
      </c>
      <c r="L53" s="5">
        <v>15.290451417753381</v>
      </c>
      <c r="M53" s="5">
        <v>15.385605169420552</v>
      </c>
    </row>
    <row r="54" spans="1:13" x14ac:dyDescent="0.35">
      <c r="A54" s="2">
        <v>1947</v>
      </c>
      <c r="B54" s="3">
        <v>2.6448508091649647</v>
      </c>
      <c r="C54" s="4">
        <v>1.6461839150616264</v>
      </c>
      <c r="D54" s="4">
        <v>2.4099042821154835</v>
      </c>
      <c r="E54" s="4">
        <v>0.34238115191724439</v>
      </c>
      <c r="F54" s="3">
        <v>7.0433201582593181</v>
      </c>
      <c r="G54" s="4">
        <v>0.25659715525076732</v>
      </c>
      <c r="H54" s="4">
        <v>0</v>
      </c>
      <c r="I54" s="4">
        <v>6.79</v>
      </c>
      <c r="J54" s="4">
        <v>6.78</v>
      </c>
      <c r="K54" s="5">
        <v>33554217902.029202</v>
      </c>
      <c r="L54" s="5">
        <v>20.208525699891528</v>
      </c>
      <c r="M54" s="5">
        <v>20.334285037106024</v>
      </c>
    </row>
    <row r="55" spans="1:13" x14ac:dyDescent="0.35">
      <c r="A55" s="2">
        <v>1948</v>
      </c>
      <c r="B55" s="3">
        <v>3.196357243466379</v>
      </c>
      <c r="C55" s="4">
        <v>2.2595182771633926</v>
      </c>
      <c r="D55" s="4">
        <v>3.1066891654630018</v>
      </c>
      <c r="E55" s="4">
        <v>0.3947494587378142</v>
      </c>
      <c r="F55" s="3">
        <v>8.9573141448305869</v>
      </c>
      <c r="G55" s="4">
        <v>0.40617481208376627</v>
      </c>
      <c r="H55" s="4">
        <v>-0.16</v>
      </c>
      <c r="I55" s="4">
        <v>8.5500000000000007</v>
      </c>
      <c r="J55" s="4">
        <v>8.39</v>
      </c>
      <c r="K55" s="5">
        <v>34837692974.3265</v>
      </c>
      <c r="L55" s="5">
        <v>25.672473086100251</v>
      </c>
      <c r="M55" s="5">
        <v>25.832235022617091</v>
      </c>
    </row>
    <row r="56" spans="1:13" x14ac:dyDescent="0.35">
      <c r="A56" s="2">
        <v>1949</v>
      </c>
      <c r="B56" s="3">
        <v>4.3376048527670186</v>
      </c>
      <c r="C56" s="4">
        <v>3.8487538113811981</v>
      </c>
      <c r="D56" s="4">
        <v>3.8519278681878415</v>
      </c>
      <c r="E56" s="4">
        <v>0.65161073825503335</v>
      </c>
      <c r="F56" s="3">
        <v>12.689897270591091</v>
      </c>
      <c r="G56" s="4">
        <v>0.70561919289664576</v>
      </c>
      <c r="H56" s="4">
        <v>-0.05</v>
      </c>
      <c r="I56" s="4">
        <v>11.98</v>
      </c>
      <c r="J56" s="4">
        <v>11.94</v>
      </c>
      <c r="K56" s="5">
        <v>37699140545.513298</v>
      </c>
      <c r="L56" s="5">
        <v>34.947514012284245</v>
      </c>
      <c r="M56" s="5">
        <v>35.164995300367664</v>
      </c>
    </row>
    <row r="57" spans="1:13" x14ac:dyDescent="0.35">
      <c r="A57" s="2">
        <v>1950</v>
      </c>
      <c r="B57" s="3">
        <v>5.5179999999999998</v>
      </c>
      <c r="C57" s="4">
        <v>4.5370000000000008</v>
      </c>
      <c r="D57" s="4">
        <v>5.0749999999999993</v>
      </c>
      <c r="E57" s="4">
        <v>0.73</v>
      </c>
      <c r="F57" s="3">
        <v>15.86</v>
      </c>
      <c r="G57" s="4">
        <v>0.65199999999999991</v>
      </c>
      <c r="H57" s="4">
        <v>-0.32</v>
      </c>
      <c r="I57" s="4">
        <v>15.21</v>
      </c>
      <c r="J57" s="4">
        <v>14.89</v>
      </c>
      <c r="K57" s="5">
        <v>40920000000</v>
      </c>
      <c r="L57" s="5">
        <v>42.790867149249266</v>
      </c>
      <c r="M57" s="5">
        <v>43.057158276639733</v>
      </c>
    </row>
    <row r="58" spans="1:13" x14ac:dyDescent="0.35">
      <c r="A58" s="2">
        <v>1951</v>
      </c>
      <c r="B58" s="3">
        <v>6.6390000000000011</v>
      </c>
      <c r="C58" s="4">
        <v>5.8010000000000002</v>
      </c>
      <c r="D58" s="4">
        <v>6.3689999999999998</v>
      </c>
      <c r="E58" s="4">
        <v>1.1200000000000001</v>
      </c>
      <c r="F58" s="3">
        <v>19.928999999999998</v>
      </c>
      <c r="G58" s="4">
        <v>0.84299999999999997</v>
      </c>
      <c r="H58" s="4">
        <v>-0.21</v>
      </c>
      <c r="I58" s="4">
        <v>19.09</v>
      </c>
      <c r="J58" s="4">
        <v>18.88</v>
      </c>
      <c r="K58" s="5">
        <v>44711000000</v>
      </c>
      <c r="L58" s="5">
        <v>52.962358863741883</v>
      </c>
      <c r="M58" s="5">
        <v>53.291948030558558</v>
      </c>
    </row>
    <row r="59" spans="1:13" x14ac:dyDescent="0.35">
      <c r="A59" s="2">
        <v>1952</v>
      </c>
      <c r="B59" s="3">
        <v>7.2899999999999991</v>
      </c>
      <c r="C59" s="4">
        <v>5.952</v>
      </c>
      <c r="D59" s="4">
        <v>6.5839999999999996</v>
      </c>
      <c r="E59" s="4">
        <v>1.3360000000000001</v>
      </c>
      <c r="F59" s="3">
        <v>21.161999999999999</v>
      </c>
      <c r="G59" s="4">
        <v>0.96200000000000008</v>
      </c>
      <c r="H59" s="4">
        <v>-0.16</v>
      </c>
      <c r="I59" s="4">
        <v>20.2</v>
      </c>
      <c r="J59" s="4">
        <v>20.04</v>
      </c>
      <c r="K59" s="5">
        <v>47347000000</v>
      </c>
      <c r="L59" s="5">
        <v>57.187979483223387</v>
      </c>
      <c r="M59" s="5">
        <v>57.543865038817636</v>
      </c>
    </row>
    <row r="60" spans="1:13" x14ac:dyDescent="0.35">
      <c r="A60" s="2">
        <v>1953</v>
      </c>
      <c r="B60" s="3">
        <v>8.2569999999999997</v>
      </c>
      <c r="C60" s="4">
        <v>5.8129999999999997</v>
      </c>
      <c r="D60" s="4">
        <v>7.1820000000000004</v>
      </c>
      <c r="E60" s="4">
        <v>1.6</v>
      </c>
      <c r="F60" s="3">
        <v>22.852</v>
      </c>
      <c r="G60" s="4">
        <v>0.99600000000000011</v>
      </c>
      <c r="H60" s="4">
        <v>-0.2</v>
      </c>
      <c r="I60" s="4">
        <v>21.86</v>
      </c>
      <c r="J60" s="4">
        <v>21.65</v>
      </c>
      <c r="K60" s="5">
        <v>50085000000</v>
      </c>
      <c r="L60" s="5">
        <v>62.679920791029915</v>
      </c>
      <c r="M60" s="5">
        <v>63.069983154430304</v>
      </c>
    </row>
    <row r="61" spans="1:13" x14ac:dyDescent="0.35">
      <c r="A61" s="2">
        <v>1954</v>
      </c>
      <c r="B61" s="3">
        <v>9.8720000000000017</v>
      </c>
      <c r="C61" s="4">
        <v>7.044999999999999</v>
      </c>
      <c r="D61" s="4">
        <v>8.1039999999999992</v>
      </c>
      <c r="E61" s="4">
        <v>1.7070000000000001</v>
      </c>
      <c r="F61" s="3">
        <v>26.728000000000002</v>
      </c>
      <c r="G61" s="4">
        <v>1.278</v>
      </c>
      <c r="H61" s="4">
        <v>-0.48</v>
      </c>
      <c r="I61" s="4">
        <v>25.45</v>
      </c>
      <c r="J61" s="4">
        <v>24.97</v>
      </c>
      <c r="K61" s="5">
        <v>52762000000</v>
      </c>
      <c r="L61" s="5">
        <v>73.518625022547667</v>
      </c>
      <c r="M61" s="5">
        <v>73.976137544394149</v>
      </c>
    </row>
    <row r="62" spans="1:13" x14ac:dyDescent="0.35">
      <c r="A62" s="2">
        <v>1955</v>
      </c>
      <c r="B62" s="3">
        <v>11.153</v>
      </c>
      <c r="C62" s="4">
        <v>7.7860000000000031</v>
      </c>
      <c r="D62" s="4">
        <v>8.7409999999999979</v>
      </c>
      <c r="E62" s="4">
        <v>1.93</v>
      </c>
      <c r="F62" s="3">
        <v>29.61</v>
      </c>
      <c r="G62" s="4">
        <v>1.41</v>
      </c>
      <c r="H62" s="4">
        <v>-0.75</v>
      </c>
      <c r="I62" s="4">
        <v>28.2</v>
      </c>
      <c r="J62" s="4">
        <v>27.45</v>
      </c>
      <c r="K62" s="5">
        <v>55858000000</v>
      </c>
      <c r="L62" s="5">
        <v>81.825251263383919</v>
      </c>
      <c r="M62" s="5">
        <v>82.334456611617128</v>
      </c>
    </row>
    <row r="63" spans="1:13" x14ac:dyDescent="0.35">
      <c r="A63" s="2">
        <v>1956</v>
      </c>
      <c r="B63" s="3">
        <v>12.846</v>
      </c>
      <c r="C63" s="4">
        <v>8.9019999999999975</v>
      </c>
      <c r="D63" s="4">
        <v>8.9870000000000001</v>
      </c>
      <c r="E63" s="4">
        <v>2.2719999999999998</v>
      </c>
      <c r="F63" s="3">
        <v>33.006999999999998</v>
      </c>
      <c r="G63" s="4">
        <v>1.552</v>
      </c>
      <c r="H63" s="4">
        <v>-0.71</v>
      </c>
      <c r="I63" s="4">
        <v>31.46</v>
      </c>
      <c r="J63" s="4">
        <v>30.75</v>
      </c>
      <c r="K63" s="5">
        <v>58484000000</v>
      </c>
      <c r="L63" s="5">
        <v>94.044881168988439</v>
      </c>
      <c r="M63" s="5">
        <v>94.630130291060311</v>
      </c>
    </row>
    <row r="64" spans="1:13" x14ac:dyDescent="0.35">
      <c r="A64" s="2">
        <v>1957</v>
      </c>
      <c r="B64" s="3">
        <v>14.560000000000002</v>
      </c>
      <c r="C64" s="4">
        <v>9.4889999999999972</v>
      </c>
      <c r="D64" s="4">
        <v>9.5909999999999993</v>
      </c>
      <c r="E64" s="4">
        <v>2.4740000000000002</v>
      </c>
      <c r="F64" s="3">
        <v>36.113999999999997</v>
      </c>
      <c r="G64" s="4">
        <v>1.7510000000000003</v>
      </c>
      <c r="H64" s="4">
        <v>-0.66</v>
      </c>
      <c r="I64" s="4">
        <v>34.36</v>
      </c>
      <c r="J64" s="4">
        <v>33.700000000000003</v>
      </c>
      <c r="K64" s="5">
        <v>62371000000</v>
      </c>
      <c r="L64" s="5">
        <v>104.44618164345759</v>
      </c>
      <c r="M64" s="5">
        <v>105.09615892399404</v>
      </c>
    </row>
    <row r="65" spans="1:13" x14ac:dyDescent="0.35">
      <c r="A65" s="2">
        <v>1958</v>
      </c>
      <c r="B65" s="3">
        <v>16.8</v>
      </c>
      <c r="C65" s="4">
        <v>9.6769999999999978</v>
      </c>
      <c r="D65" s="4">
        <v>11.405000000000001</v>
      </c>
      <c r="E65" s="4">
        <v>2.42</v>
      </c>
      <c r="F65" s="3">
        <v>40.302</v>
      </c>
      <c r="G65" s="4">
        <v>2.0430000000000001</v>
      </c>
      <c r="H65" s="4">
        <v>-0.86</v>
      </c>
      <c r="I65" s="4">
        <v>38.26</v>
      </c>
      <c r="J65" s="4">
        <v>37.4</v>
      </c>
      <c r="K65" s="5">
        <v>61706000000</v>
      </c>
      <c r="L65" s="5">
        <v>125.77273489226782</v>
      </c>
      <c r="M65" s="5">
        <v>126.55542908849962</v>
      </c>
    </row>
    <row r="66" spans="1:13" x14ac:dyDescent="0.35">
      <c r="A66" s="2">
        <v>1959</v>
      </c>
      <c r="B66" s="3">
        <v>19.506</v>
      </c>
      <c r="C66" s="4">
        <v>11.462999999999999</v>
      </c>
      <c r="D66" s="4">
        <v>13.201000000000001</v>
      </c>
      <c r="E66" s="4">
        <v>3.1829999999999998</v>
      </c>
      <c r="F66" s="3">
        <v>47.353000000000002</v>
      </c>
      <c r="G66" s="4">
        <v>2.3769999999999998</v>
      </c>
      <c r="H66" s="4">
        <v>-1.24</v>
      </c>
      <c r="I66" s="4">
        <v>44.98</v>
      </c>
      <c r="J66" s="4">
        <v>43.73</v>
      </c>
      <c r="K66" s="5">
        <v>63653000000</v>
      </c>
      <c r="L66" s="5">
        <v>150.07746576108465</v>
      </c>
      <c r="M66" s="5">
        <v>151.01141032018955</v>
      </c>
    </row>
    <row r="67" spans="1:13" x14ac:dyDescent="0.35">
      <c r="A67" s="2">
        <v>1960</v>
      </c>
      <c r="B67" s="3">
        <v>22.259999999999994</v>
      </c>
      <c r="C67" s="4">
        <v>16.428000000000008</v>
      </c>
      <c r="D67" s="4">
        <v>14.151</v>
      </c>
      <c r="E67" s="4">
        <v>4.07</v>
      </c>
      <c r="F67" s="3">
        <v>56.908999999999999</v>
      </c>
      <c r="G67" s="4">
        <v>3.282</v>
      </c>
      <c r="H67" s="4">
        <v>-1.58</v>
      </c>
      <c r="I67" s="4">
        <v>53.63</v>
      </c>
      <c r="J67" s="4">
        <v>52.04</v>
      </c>
      <c r="K67" s="5">
        <v>69946000000</v>
      </c>
      <c r="L67" s="5">
        <v>172.26046308270344</v>
      </c>
      <c r="M67" s="5">
        <v>173.33245428024335</v>
      </c>
    </row>
    <row r="68" spans="1:13" x14ac:dyDescent="0.35">
      <c r="A68" s="2">
        <v>1961</v>
      </c>
      <c r="B68" s="3">
        <v>25.338000000000001</v>
      </c>
      <c r="C68" s="4">
        <v>17.684999999999995</v>
      </c>
      <c r="D68" s="4">
        <v>15.829000000000002</v>
      </c>
      <c r="E68" s="4">
        <v>5.0330000000000004</v>
      </c>
      <c r="F68" s="3">
        <v>63.884999999999998</v>
      </c>
      <c r="G68" s="4">
        <v>3.5739999999999998</v>
      </c>
      <c r="H68" s="4">
        <v>-1.81</v>
      </c>
      <c r="I68" s="4">
        <v>60.31</v>
      </c>
      <c r="J68" s="4">
        <v>58.5</v>
      </c>
      <c r="K68" s="5">
        <v>75085000000</v>
      </c>
      <c r="L68" s="5">
        <v>192.21394497813438</v>
      </c>
      <c r="M68" s="5">
        <v>193.41010835406848</v>
      </c>
    </row>
    <row r="69" spans="1:13" x14ac:dyDescent="0.35">
      <c r="A69" s="2">
        <v>1962</v>
      </c>
      <c r="B69" s="3">
        <v>28.780999999999999</v>
      </c>
      <c r="C69" s="4">
        <v>20.724000000000004</v>
      </c>
      <c r="D69" s="4">
        <v>18.323</v>
      </c>
      <c r="E69" s="4">
        <v>5.548</v>
      </c>
      <c r="F69" s="3">
        <v>73.376000000000005</v>
      </c>
      <c r="G69" s="4">
        <v>4.1210000000000004</v>
      </c>
      <c r="H69" s="4">
        <v>-1.91</v>
      </c>
      <c r="I69" s="4">
        <v>69.260000000000005</v>
      </c>
      <c r="J69" s="4">
        <v>67.349999999999994</v>
      </c>
      <c r="K69" s="5">
        <v>82620000000</v>
      </c>
      <c r="L69" s="5">
        <v>215.11162342343789</v>
      </c>
      <c r="M69" s="5">
        <v>216.45028095791653</v>
      </c>
    </row>
    <row r="70" spans="1:13" x14ac:dyDescent="0.35">
      <c r="A70" s="2">
        <v>1963</v>
      </c>
      <c r="B70" s="3">
        <v>32.319000000000003</v>
      </c>
      <c r="C70" s="4">
        <v>22.675000000000001</v>
      </c>
      <c r="D70" s="4">
        <v>18.995999999999999</v>
      </c>
      <c r="E70" s="4">
        <v>6.528999999999999</v>
      </c>
      <c r="F70" s="3">
        <v>80.519000000000005</v>
      </c>
      <c r="G70" s="4">
        <v>4.7240000000000002</v>
      </c>
      <c r="H70" s="4">
        <v>-2.06</v>
      </c>
      <c r="I70" s="4">
        <v>75.8</v>
      </c>
      <c r="J70" s="4">
        <v>73.739999999999995</v>
      </c>
      <c r="K70" s="5">
        <v>86196000000</v>
      </c>
      <c r="L70" s="5">
        <v>240.52415375307842</v>
      </c>
      <c r="M70" s="5">
        <v>242.02095557866764</v>
      </c>
    </row>
    <row r="71" spans="1:13" x14ac:dyDescent="0.35">
      <c r="A71" s="2">
        <v>1964</v>
      </c>
      <c r="B71" s="3">
        <v>38.749014281479781</v>
      </c>
      <c r="C71" s="4">
        <v>26.623694641592675</v>
      </c>
      <c r="D71" s="4">
        <v>23.598312236907578</v>
      </c>
      <c r="E71" s="4">
        <v>8.6325573345515956</v>
      </c>
      <c r="F71" s="3">
        <v>97.603578494531632</v>
      </c>
      <c r="G71" s="4">
        <v>5.2591532857077201</v>
      </c>
      <c r="H71" s="4">
        <v>-1.99</v>
      </c>
      <c r="I71" s="4">
        <v>92.34</v>
      </c>
      <c r="J71" s="4">
        <v>90.36</v>
      </c>
      <c r="K71" s="5">
        <v>91840000000</v>
      </c>
      <c r="L71" s="5">
        <v>288.80869936149554</v>
      </c>
      <c r="M71" s="5">
        <v>290.60597993271887</v>
      </c>
    </row>
    <row r="72" spans="1:13" x14ac:dyDescent="0.35">
      <c r="A72" s="2">
        <v>1965</v>
      </c>
      <c r="B72" s="3">
        <v>46.32217321640087</v>
      </c>
      <c r="C72" s="4">
        <v>32.964459846867271</v>
      </c>
      <c r="D72" s="4">
        <v>26.875650214662635</v>
      </c>
      <c r="E72" s="4">
        <v>10.797868979249497</v>
      </c>
      <c r="F72" s="3">
        <v>116.96015225718028</v>
      </c>
      <c r="G72" s="4">
        <v>6.578856027817606</v>
      </c>
      <c r="H72" s="4">
        <v>-2.16</v>
      </c>
      <c r="I72" s="4">
        <v>110.38</v>
      </c>
      <c r="J72" s="4">
        <v>108.22</v>
      </c>
      <c r="K72" s="5">
        <v>97003000000</v>
      </c>
      <c r="L72" s="5">
        <v>346.65193402569781</v>
      </c>
      <c r="M72" s="5">
        <v>348.80917786003795</v>
      </c>
    </row>
    <row r="73" spans="1:13" x14ac:dyDescent="0.35">
      <c r="A73" s="2">
        <v>1966</v>
      </c>
      <c r="B73" s="3">
        <v>54.033919289883457</v>
      </c>
      <c r="C73" s="4">
        <v>41.413182666938141</v>
      </c>
      <c r="D73" s="4">
        <v>31.651724562228555</v>
      </c>
      <c r="E73" s="4">
        <v>13.375717138897707</v>
      </c>
      <c r="F73" s="3">
        <v>140.47454365794783</v>
      </c>
      <c r="G73" s="4">
        <v>8.2350213384219852</v>
      </c>
      <c r="H73" s="4">
        <v>-3.15</v>
      </c>
      <c r="I73" s="4">
        <v>132.24</v>
      </c>
      <c r="J73" s="4">
        <v>129.09</v>
      </c>
      <c r="K73" s="5">
        <v>104995000000</v>
      </c>
      <c r="L73" s="5">
        <v>410.75042258661819</v>
      </c>
      <c r="M73" s="5">
        <v>413.30655664964615</v>
      </c>
    </row>
    <row r="74" spans="1:13" x14ac:dyDescent="0.35">
      <c r="A74" s="2">
        <v>1967</v>
      </c>
      <c r="B74" s="3">
        <v>64.260471992193658</v>
      </c>
      <c r="C74" s="4">
        <v>46.874732444566995</v>
      </c>
      <c r="D74" s="4">
        <v>37.750128034519136</v>
      </c>
      <c r="E74" s="4">
        <v>13.647532325989074</v>
      </c>
      <c r="F74" s="3">
        <v>162.53286479726887</v>
      </c>
      <c r="G74" s="4">
        <v>10.305971407006798</v>
      </c>
      <c r="H74" s="4">
        <v>-4.66</v>
      </c>
      <c r="I74" s="4">
        <v>152.22999999999999</v>
      </c>
      <c r="J74" s="4">
        <v>147.56</v>
      </c>
      <c r="K74" s="5">
        <v>109040000000</v>
      </c>
      <c r="L74" s="5">
        <v>484.7374328608048</v>
      </c>
      <c r="M74" s="5">
        <v>487.75399424607997</v>
      </c>
    </row>
    <row r="75" spans="1:13" x14ac:dyDescent="0.35">
      <c r="A75" s="2">
        <v>1968</v>
      </c>
      <c r="B75" s="3">
        <v>75.373103119557541</v>
      </c>
      <c r="C75" s="4">
        <v>58.149938562088181</v>
      </c>
      <c r="D75" s="4">
        <v>44.025138950410621</v>
      </c>
      <c r="E75" s="4">
        <v>16.665346661274913</v>
      </c>
      <c r="F75" s="3">
        <v>194.21352729333123</v>
      </c>
      <c r="G75" s="4">
        <v>14.182993717966012</v>
      </c>
      <c r="H75" s="4">
        <v>-5.16</v>
      </c>
      <c r="I75" s="4">
        <v>180.03</v>
      </c>
      <c r="J75" s="4">
        <v>174.87</v>
      </c>
      <c r="K75" s="5">
        <v>109206000000</v>
      </c>
      <c r="L75" s="5">
        <v>604.84695330088482</v>
      </c>
      <c r="M75" s="5">
        <v>608.61096622755463</v>
      </c>
    </row>
    <row r="76" spans="1:13" x14ac:dyDescent="0.35">
      <c r="A76" s="2">
        <v>1969</v>
      </c>
      <c r="B76" s="3">
        <v>82.815813269764007</v>
      </c>
      <c r="C76" s="4">
        <v>67.895190197407359</v>
      </c>
      <c r="D76" s="4">
        <v>48.528830031401945</v>
      </c>
      <c r="E76" s="4">
        <v>21.190350243805202</v>
      </c>
      <c r="F76" s="3">
        <v>220.43018374237852</v>
      </c>
      <c r="G76" s="4">
        <v>15.416107130205898</v>
      </c>
      <c r="H76" s="4">
        <v>-5.62</v>
      </c>
      <c r="I76" s="4">
        <v>205.01</v>
      </c>
      <c r="J76" s="4">
        <v>199.4</v>
      </c>
      <c r="K76" s="5">
        <v>113044000000</v>
      </c>
      <c r="L76" s="5">
        <v>691.86440653101806</v>
      </c>
      <c r="M76" s="5">
        <v>696.16993631086302</v>
      </c>
    </row>
    <row r="77" spans="1:13" x14ac:dyDescent="0.35">
      <c r="A77" s="2">
        <v>1970</v>
      </c>
      <c r="B77" s="3">
        <v>94.202472233111166</v>
      </c>
      <c r="C77" s="4">
        <v>82.491726498514268</v>
      </c>
      <c r="D77" s="4">
        <v>57.46629933802258</v>
      </c>
      <c r="E77" s="4">
        <v>21.934395396315203</v>
      </c>
      <c r="F77" s="3">
        <v>256.09489346596325</v>
      </c>
      <c r="G77" s="4">
        <v>17.055021702038811</v>
      </c>
      <c r="H77" s="4">
        <v>-3.81</v>
      </c>
      <c r="I77" s="4">
        <v>239.04</v>
      </c>
      <c r="J77" s="4">
        <v>235.23</v>
      </c>
      <c r="K77" s="5">
        <v>116849000000</v>
      </c>
      <c r="L77" s="5">
        <v>812.67548381189147</v>
      </c>
      <c r="M77" s="5">
        <v>817.73283097973581</v>
      </c>
    </row>
    <row r="78" spans="1:13" x14ac:dyDescent="0.35">
      <c r="A78" s="2">
        <v>1971</v>
      </c>
      <c r="B78" s="3">
        <v>109.68475741649898</v>
      </c>
      <c r="C78" s="4">
        <v>88.463945647262491</v>
      </c>
      <c r="D78" s="4">
        <v>60.863486057384705</v>
      </c>
      <c r="E78" s="4">
        <v>24.886618721549482</v>
      </c>
      <c r="F78" s="3">
        <v>283.8988078426957</v>
      </c>
      <c r="G78" s="4">
        <v>20.251808050937054</v>
      </c>
      <c r="H78" s="4">
        <v>-3.53</v>
      </c>
      <c r="I78" s="4">
        <v>263.64999999999998</v>
      </c>
      <c r="J78" s="4">
        <v>260.12</v>
      </c>
      <c r="K78" s="5">
        <v>122213000000</v>
      </c>
      <c r="L78" s="5">
        <v>904.3475786277686</v>
      </c>
      <c r="M78" s="5">
        <v>909.97540887074263</v>
      </c>
    </row>
    <row r="79" spans="1:13" x14ac:dyDescent="0.35">
      <c r="A79" s="2">
        <v>1972</v>
      </c>
      <c r="B79" s="3">
        <v>127.10348213829104</v>
      </c>
      <c r="C79" s="4">
        <v>97.983948727305446</v>
      </c>
      <c r="D79" s="4">
        <v>66.575534109978165</v>
      </c>
      <c r="E79" s="4">
        <v>27.528741239414014</v>
      </c>
      <c r="F79" s="3">
        <v>319.19170621498864</v>
      </c>
      <c r="G79" s="4">
        <v>21.936250209408588</v>
      </c>
      <c r="H79" s="4">
        <v>-3.34</v>
      </c>
      <c r="I79" s="4">
        <v>297.26</v>
      </c>
      <c r="J79" s="4">
        <v>293.92</v>
      </c>
      <c r="K79" s="5">
        <v>126463000000</v>
      </c>
      <c r="L79" s="5">
        <v>1029.9953507254095</v>
      </c>
      <c r="M79" s="5">
        <v>1036.4050975107448</v>
      </c>
    </row>
    <row r="80" spans="1:13" x14ac:dyDescent="0.35">
      <c r="A80" s="2">
        <v>1973</v>
      </c>
      <c r="B80" s="3">
        <v>151.315</v>
      </c>
      <c r="C80" s="4">
        <v>132.72326944358471</v>
      </c>
      <c r="D80" s="4">
        <v>78.489730556415296</v>
      </c>
      <c r="E80" s="4">
        <v>30.030999999999999</v>
      </c>
      <c r="F80" s="3">
        <v>392.55900000000003</v>
      </c>
      <c r="G80" s="4">
        <v>22.507999999999999</v>
      </c>
      <c r="H80" s="4">
        <v>-3.29</v>
      </c>
      <c r="I80" s="4">
        <v>370.05</v>
      </c>
      <c r="J80" s="4">
        <v>366.76</v>
      </c>
      <c r="K80" s="5">
        <v>134401000000</v>
      </c>
      <c r="L80" s="5">
        <v>1278.5728669743362</v>
      </c>
      <c r="M80" s="5">
        <v>1286.5295323302855</v>
      </c>
    </row>
    <row r="81" spans="1:13" x14ac:dyDescent="0.35">
      <c r="A81" s="2">
        <v>1974</v>
      </c>
      <c r="B81" s="3">
        <v>197.55065943470413</v>
      </c>
      <c r="C81" s="4">
        <v>197.99633916684408</v>
      </c>
      <c r="D81" s="4">
        <v>108.536767150705</v>
      </c>
      <c r="E81" s="4">
        <v>32.23823424774676</v>
      </c>
      <c r="F81" s="3">
        <v>536.322</v>
      </c>
      <c r="G81" s="4">
        <v>39.345100000000009</v>
      </c>
      <c r="H81" s="4">
        <v>-2.8</v>
      </c>
      <c r="I81" s="4">
        <v>496.98</v>
      </c>
      <c r="J81" s="4">
        <v>494.18</v>
      </c>
      <c r="K81" s="5">
        <v>147017000000</v>
      </c>
      <c r="L81" s="5">
        <v>1740.8655231237578</v>
      </c>
      <c r="M81" s="5">
        <v>1751.6990741516192</v>
      </c>
    </row>
    <row r="82" spans="1:13" x14ac:dyDescent="0.35">
      <c r="A82" s="2">
        <v>1975</v>
      </c>
      <c r="B82" s="3">
        <v>255.32047163628903</v>
      </c>
      <c r="C82" s="4">
        <v>237.94624150301755</v>
      </c>
      <c r="D82" s="4">
        <v>140.33564651691086</v>
      </c>
      <c r="E82" s="4">
        <v>49.923240343782517</v>
      </c>
      <c r="F82" s="3">
        <v>683.52560000000005</v>
      </c>
      <c r="G82" s="4">
        <v>50.384300000000003</v>
      </c>
      <c r="H82" s="4">
        <v>-7.95</v>
      </c>
      <c r="I82" s="4">
        <v>633.14</v>
      </c>
      <c r="J82" s="4">
        <v>625.19000000000005</v>
      </c>
      <c r="K82" s="5">
        <v>153340000000</v>
      </c>
      <c r="L82" s="5">
        <v>2299.4131737385414</v>
      </c>
      <c r="M82" s="5">
        <v>2313.7226132793589</v>
      </c>
    </row>
    <row r="83" spans="1:13" x14ac:dyDescent="0.35">
      <c r="A83" s="2">
        <v>1976</v>
      </c>
      <c r="B83" s="3">
        <v>342.23819956315975</v>
      </c>
      <c r="C83" s="4">
        <v>305.28610161059066</v>
      </c>
      <c r="D83" s="4">
        <v>189.75447677293792</v>
      </c>
      <c r="E83" s="4">
        <v>62.172522053311731</v>
      </c>
      <c r="F83" s="3">
        <v>899.45129999999995</v>
      </c>
      <c r="G83" s="4">
        <v>68.345000000000013</v>
      </c>
      <c r="H83" s="4">
        <v>-18.87</v>
      </c>
      <c r="I83" s="4">
        <v>831.11</v>
      </c>
      <c r="J83" s="4">
        <v>812.24</v>
      </c>
      <c r="K83" s="5">
        <v>155559000000</v>
      </c>
      <c r="L83" s="5">
        <v>3156.6532779127579</v>
      </c>
      <c r="M83" s="5">
        <v>3176.29739396267</v>
      </c>
    </row>
    <row r="84" spans="1:13" x14ac:dyDescent="0.35">
      <c r="A84" s="2">
        <v>1977</v>
      </c>
      <c r="B84" s="3">
        <v>451.26608718703261</v>
      </c>
      <c r="C84" s="4">
        <v>468.87930102582914</v>
      </c>
      <c r="D84" s="4">
        <v>249.68429456529603</v>
      </c>
      <c r="E84" s="4">
        <v>55.35931722184214</v>
      </c>
      <c r="F84" s="3">
        <v>1225.1890000000001</v>
      </c>
      <c r="G84" s="4">
        <v>108.22899999999998</v>
      </c>
      <c r="H84" s="4">
        <v>-43.23</v>
      </c>
      <c r="I84" s="4">
        <v>1116.96</v>
      </c>
      <c r="J84" s="4">
        <v>1073.73</v>
      </c>
      <c r="K84" s="5">
        <v>156102000000</v>
      </c>
      <c r="L84" s="5">
        <v>4489.9144979350494</v>
      </c>
      <c r="M84" s="5">
        <v>4517.8556095131762</v>
      </c>
    </row>
    <row r="85" spans="1:13" x14ac:dyDescent="0.35">
      <c r="A85" s="2">
        <v>1978</v>
      </c>
      <c r="B85" s="3">
        <v>636.17548646864998</v>
      </c>
      <c r="C85" s="4">
        <v>734.97134968907858</v>
      </c>
      <c r="D85" s="4">
        <v>390.21528958503478</v>
      </c>
      <c r="E85" s="4">
        <v>191.72887425723658</v>
      </c>
      <c r="F85" s="3">
        <v>1953.0909999999999</v>
      </c>
      <c r="G85" s="4">
        <v>171.49680000000006</v>
      </c>
      <c r="H85" s="4">
        <v>-110.43</v>
      </c>
      <c r="I85" s="4">
        <v>1781.59</v>
      </c>
      <c r="J85" s="4">
        <v>1671.16</v>
      </c>
      <c r="K85" s="5">
        <v>151977000000</v>
      </c>
      <c r="L85" s="5">
        <v>7636.2579918829397</v>
      </c>
      <c r="M85" s="5">
        <v>7683.7790608673695</v>
      </c>
    </row>
    <row r="86" spans="1:13" x14ac:dyDescent="0.35">
      <c r="A86" s="2">
        <v>1979</v>
      </c>
      <c r="B86" s="3">
        <v>1007.7508861891116</v>
      </c>
      <c r="C86" s="4">
        <v>1511.5908117194683</v>
      </c>
      <c r="D86" s="4">
        <v>694.98299412580388</v>
      </c>
      <c r="E86" s="4">
        <v>370.84410796561599</v>
      </c>
      <c r="F86" s="3">
        <v>3585.1687999999999</v>
      </c>
      <c r="G86" s="4">
        <v>244.57570000000001</v>
      </c>
      <c r="H86" s="4">
        <v>-269.11</v>
      </c>
      <c r="I86" s="4">
        <v>3340.59</v>
      </c>
      <c r="J86" s="4">
        <v>3071.48</v>
      </c>
      <c r="K86" s="5">
        <v>158194000000</v>
      </c>
      <c r="L86" s="5">
        <v>14000.596355415786</v>
      </c>
      <c r="M86" s="5">
        <v>14087.723231686346</v>
      </c>
    </row>
    <row r="87" spans="1:13" x14ac:dyDescent="0.35">
      <c r="A87" s="2">
        <v>1980</v>
      </c>
      <c r="B87" s="3">
        <v>1600.1933912674456</v>
      </c>
      <c r="C87" s="4">
        <v>2109.9919627737863</v>
      </c>
      <c r="D87" s="4">
        <v>1016.2107944448793</v>
      </c>
      <c r="E87" s="4">
        <v>512.52765151388815</v>
      </c>
      <c r="F87" s="3">
        <v>5238.9237999999996</v>
      </c>
      <c r="G87" s="4">
        <v>344.95769999999999</v>
      </c>
      <c r="H87" s="4">
        <v>-268.91000000000003</v>
      </c>
      <c r="I87" s="4">
        <v>4893.97</v>
      </c>
      <c r="J87" s="4">
        <v>4625.0600000000004</v>
      </c>
      <c r="K87" s="5">
        <v>167596000000</v>
      </c>
      <c r="L87" s="5">
        <v>20240.112098001391</v>
      </c>
      <c r="M87" s="5">
        <v>20366.067999999999</v>
      </c>
    </row>
    <row r="88" spans="1:13" x14ac:dyDescent="0.35">
      <c r="A88" s="2">
        <v>1981</v>
      </c>
      <c r="B88" s="3">
        <v>2982.7100804697311</v>
      </c>
      <c r="C88" s="4">
        <v>3425.0335896051847</v>
      </c>
      <c r="D88" s="4">
        <v>1821.0042666101281</v>
      </c>
      <c r="E88" s="4">
        <v>913.68446331495647</v>
      </c>
      <c r="F88" s="3">
        <v>9142.4323999999997</v>
      </c>
      <c r="G88" s="4">
        <v>584.60540000000015</v>
      </c>
      <c r="H88" s="4">
        <v>-425.16</v>
      </c>
      <c r="I88" s="4">
        <v>8557.83</v>
      </c>
      <c r="J88" s="4">
        <v>8132.67</v>
      </c>
      <c r="K88" s="5">
        <v>176901000000</v>
      </c>
      <c r="L88" s="5">
        <v>35226.91993134901</v>
      </c>
      <c r="M88" s="5">
        <v>35423.5671</v>
      </c>
    </row>
    <row r="89" spans="1:13" x14ac:dyDescent="0.35">
      <c r="A89" s="2">
        <v>1982</v>
      </c>
      <c r="B89" s="3">
        <v>5270.7011887733079</v>
      </c>
      <c r="C89" s="4">
        <v>5430.0626649638725</v>
      </c>
      <c r="D89" s="4">
        <v>2964.4018018438956</v>
      </c>
      <c r="E89" s="4">
        <v>1537.9876444189272</v>
      </c>
      <c r="F89" s="3">
        <v>15203.1533</v>
      </c>
      <c r="G89" s="4">
        <v>985.54510000000028</v>
      </c>
      <c r="H89" s="4">
        <v>-698.79</v>
      </c>
      <c r="I89" s="4">
        <v>14217.61</v>
      </c>
      <c r="J89" s="4">
        <v>13518.82</v>
      </c>
      <c r="K89" s="5">
        <v>176507000000</v>
      </c>
      <c r="L89" s="5">
        <v>61465.102881830986</v>
      </c>
      <c r="M89" s="5">
        <v>62280.286999999997</v>
      </c>
    </row>
    <row r="90" spans="1:13" x14ac:dyDescent="0.35">
      <c r="A90" s="2">
        <v>1983</v>
      </c>
      <c r="B90" s="3">
        <v>10395.827296959689</v>
      </c>
      <c r="C90" s="4">
        <v>9224.1781620848014</v>
      </c>
      <c r="D90" s="4">
        <v>6055.9072889784329</v>
      </c>
      <c r="E90" s="4">
        <v>2573.1760519770773</v>
      </c>
      <c r="F90" s="3">
        <v>28249.088800000001</v>
      </c>
      <c r="G90" s="4">
        <v>1982.5787</v>
      </c>
      <c r="H90" s="4">
        <v>-1887.75</v>
      </c>
      <c r="I90" s="4">
        <v>26266.51</v>
      </c>
      <c r="J90" s="4">
        <v>24378.76</v>
      </c>
      <c r="K90" s="5">
        <v>158136000000</v>
      </c>
      <c r="L90" s="5">
        <v>130483.43502203492</v>
      </c>
      <c r="M90" s="5">
        <v>118695.8314</v>
      </c>
    </row>
    <row r="91" spans="1:13" x14ac:dyDescent="0.35">
      <c r="A91" s="2">
        <v>1984</v>
      </c>
      <c r="B91" s="3">
        <v>21049.810724489449</v>
      </c>
      <c r="C91" s="4">
        <v>21807.21790014434</v>
      </c>
      <c r="D91" s="4">
        <v>12413.626058914913</v>
      </c>
      <c r="E91" s="4">
        <v>5747.3754164512948</v>
      </c>
      <c r="F91" s="3">
        <v>61018.030100000004</v>
      </c>
      <c r="G91" s="4">
        <v>4319.6652000000013</v>
      </c>
      <c r="H91" s="4">
        <v>-4005.21</v>
      </c>
      <c r="I91" s="4">
        <v>56698.36</v>
      </c>
      <c r="J91" s="4">
        <v>52693.15</v>
      </c>
      <c r="K91" s="5">
        <v>163842000000</v>
      </c>
      <c r="L91" s="5">
        <v>276948.46060235653</v>
      </c>
      <c r="M91" s="5">
        <v>265252.95209999999</v>
      </c>
    </row>
    <row r="92" spans="1:13" x14ac:dyDescent="0.35">
      <c r="A92" s="2">
        <v>1985</v>
      </c>
      <c r="B92" s="3">
        <v>53837.246118737705</v>
      </c>
      <c r="C92" s="4">
        <v>61218.108103976796</v>
      </c>
      <c r="D92" s="4">
        <v>31820.780808853997</v>
      </c>
      <c r="E92" s="4">
        <v>18612.195868431514</v>
      </c>
      <c r="F92" s="3">
        <v>165488.3309</v>
      </c>
      <c r="G92" s="4">
        <v>11197.986700000001</v>
      </c>
      <c r="H92" s="4">
        <v>-9980.18</v>
      </c>
      <c r="I92" s="4">
        <v>154290.34</v>
      </c>
      <c r="J92" s="4">
        <v>144310.16</v>
      </c>
      <c r="K92" s="5">
        <v>167219000000</v>
      </c>
      <c r="L92" s="5">
        <v>744508.79932915361</v>
      </c>
      <c r="M92" s="5">
        <v>754035.32490000001</v>
      </c>
    </row>
    <row r="93" spans="1:13" x14ac:dyDescent="0.35">
      <c r="A93" s="2">
        <v>1986</v>
      </c>
      <c r="B93" s="3">
        <v>113802.52324324804</v>
      </c>
      <c r="C93" s="4">
        <v>91191.583876172284</v>
      </c>
      <c r="D93" s="4">
        <v>71459.929865280748</v>
      </c>
      <c r="E93" s="4">
        <v>28430.763815298931</v>
      </c>
      <c r="F93" s="3">
        <v>304884.80080000003</v>
      </c>
      <c r="G93" s="4">
        <v>21240.981500000005</v>
      </c>
      <c r="H93" s="4">
        <v>-13850.79</v>
      </c>
      <c r="I93" s="4">
        <v>283643.82</v>
      </c>
      <c r="J93" s="4">
        <v>269793.02</v>
      </c>
      <c r="K93" s="5">
        <v>182981000000</v>
      </c>
      <c r="L93" s="5">
        <v>1275912.8981818876</v>
      </c>
      <c r="M93" s="5">
        <v>1435859.7971999999</v>
      </c>
    </row>
    <row r="94" spans="1:13" x14ac:dyDescent="0.35">
      <c r="A94" s="2">
        <v>1987</v>
      </c>
      <c r="B94" s="3">
        <v>255617.39210322645</v>
      </c>
      <c r="C94" s="4">
        <v>164242.0617702069</v>
      </c>
      <c r="D94" s="4">
        <v>152168.46730562253</v>
      </c>
      <c r="E94" s="4">
        <v>49041.43702094422</v>
      </c>
      <c r="F94" s="3">
        <v>621069.35820000002</v>
      </c>
      <c r="G94" s="4">
        <v>40122.425800000005</v>
      </c>
      <c r="H94" s="4">
        <v>-20402.68</v>
      </c>
      <c r="I94" s="4">
        <v>580946.93000000005</v>
      </c>
      <c r="J94" s="4">
        <v>560544.25</v>
      </c>
      <c r="K94" s="5">
        <v>200778000000</v>
      </c>
      <c r="L94" s="5">
        <v>2431435.193679228</v>
      </c>
      <c r="M94" s="5">
        <v>2790377.1461</v>
      </c>
    </row>
    <row r="95" spans="1:13" x14ac:dyDescent="0.35">
      <c r="A95" s="2">
        <v>1988</v>
      </c>
      <c r="B95" s="3">
        <v>1352468.9219641385</v>
      </c>
      <c r="C95" s="4">
        <v>1515197.1299856785</v>
      </c>
      <c r="D95" s="4">
        <v>768876.58153645392</v>
      </c>
      <c r="E95" s="4">
        <v>223310.14071372888</v>
      </c>
      <c r="F95" s="3">
        <v>3859852.7741999999</v>
      </c>
      <c r="G95" s="4">
        <v>326782.36029999994</v>
      </c>
      <c r="H95" s="4">
        <v>-172834.48</v>
      </c>
      <c r="I95" s="4">
        <v>3533070.41</v>
      </c>
      <c r="J95" s="4">
        <v>3360235.93</v>
      </c>
      <c r="K95" s="5">
        <v>181822000000</v>
      </c>
      <c r="L95" s="5">
        <v>16970249.708188247</v>
      </c>
      <c r="M95" s="5">
        <v>18923212.8704</v>
      </c>
    </row>
    <row r="96" spans="1:13" x14ac:dyDescent="0.35">
      <c r="A96" s="2">
        <v>1989</v>
      </c>
      <c r="B96" s="3">
        <v>32703497.91869336</v>
      </c>
      <c r="C96" s="4">
        <v>33700959.813565217</v>
      </c>
      <c r="D96" s="4">
        <v>18905498.544446222</v>
      </c>
      <c r="E96" s="4">
        <v>5138403.9859951958</v>
      </c>
      <c r="F96" s="3">
        <v>90448360.262700006</v>
      </c>
      <c r="G96" s="4">
        <v>7382710.7532999991</v>
      </c>
      <c r="H96" s="4">
        <v>-4126175.2</v>
      </c>
      <c r="I96" s="4">
        <v>83065649.510000005</v>
      </c>
      <c r="J96" s="4">
        <v>78939474.310000002</v>
      </c>
      <c r="K96" s="5">
        <v>159436000000</v>
      </c>
      <c r="L96" s="5">
        <v>456805912.60552311</v>
      </c>
      <c r="M96" s="5">
        <v>451828625.50940001</v>
      </c>
    </row>
    <row r="97" spans="1:13" x14ac:dyDescent="0.35">
      <c r="A97" s="2">
        <v>1990</v>
      </c>
      <c r="B97" s="3">
        <v>1904704703.36429</v>
      </c>
      <c r="C97" s="4">
        <v>1797325139.7375901</v>
      </c>
      <c r="D97" s="4">
        <v>1246926948.8588483</v>
      </c>
      <c r="E97" s="4">
        <v>517997903.46077162</v>
      </c>
      <c r="F97" s="3">
        <v>5466954695.4215002</v>
      </c>
      <c r="G97" s="4">
        <v>412940784.16070002</v>
      </c>
      <c r="H97" s="4">
        <v>-283057856.60000002</v>
      </c>
      <c r="I97" s="4">
        <v>5054013911.2600002</v>
      </c>
      <c r="J97" s="4">
        <v>4770956054.6599998</v>
      </c>
      <c r="K97" s="5">
        <v>151492000000</v>
      </c>
      <c r="L97" s="5">
        <v>29208210879.76556</v>
      </c>
      <c r="M97" s="5">
        <v>27445840965.940701</v>
      </c>
    </row>
    <row r="98" spans="1:13" x14ac:dyDescent="0.35">
      <c r="A98" s="2">
        <v>1991</v>
      </c>
      <c r="B98" s="3">
        <v>8022999999.999999</v>
      </c>
      <c r="C98" s="4">
        <v>9882059501.8444843</v>
      </c>
      <c r="D98" s="4">
        <v>6134940498.1555128</v>
      </c>
      <c r="E98" s="4">
        <v>2646000000</v>
      </c>
      <c r="F98" s="3">
        <v>26686000000</v>
      </c>
      <c r="G98" s="4">
        <v>1952000000</v>
      </c>
      <c r="H98" s="4">
        <v>-899225817.65999997</v>
      </c>
      <c r="I98" s="4">
        <v>24734000000</v>
      </c>
      <c r="J98" s="4">
        <v>23834774182.34</v>
      </c>
      <c r="K98" s="5">
        <v>154854000000</v>
      </c>
      <c r="L98" s="5">
        <v>140342784536.12714</v>
      </c>
      <c r="M98" s="5">
        <v>123357661134.189</v>
      </c>
    </row>
    <row r="99" spans="1:13" x14ac:dyDescent="0.35">
      <c r="A99" s="2">
        <v>1992</v>
      </c>
      <c r="B99" s="3">
        <v>11889000000</v>
      </c>
      <c r="C99" s="4">
        <v>18458926165.719841</v>
      </c>
      <c r="D99" s="4">
        <v>9824073834.2801571</v>
      </c>
      <c r="E99" s="4">
        <v>4781000000</v>
      </c>
      <c r="F99" s="3">
        <v>44953000000</v>
      </c>
      <c r="G99" s="4">
        <v>2931000000</v>
      </c>
      <c r="H99" s="4">
        <v>-1582027887.73</v>
      </c>
      <c r="I99" s="4">
        <v>42022000000</v>
      </c>
      <c r="J99" s="4">
        <v>40439972112.269997</v>
      </c>
      <c r="K99" s="5">
        <v>154017000000</v>
      </c>
      <c r="L99" s="5">
        <v>236660138842.62436</v>
      </c>
      <c r="M99" s="5">
        <v>216425186134.71701</v>
      </c>
    </row>
    <row r="100" spans="1:13" x14ac:dyDescent="0.35">
      <c r="A100" s="2">
        <v>1993</v>
      </c>
      <c r="B100" s="3">
        <v>17311000000</v>
      </c>
      <c r="C100" s="4">
        <v>29248172526.278843</v>
      </c>
      <c r="D100" s="4">
        <v>15538827473.721155</v>
      </c>
      <c r="E100" s="4">
        <v>7164000000</v>
      </c>
      <c r="F100" s="3">
        <v>69262000000</v>
      </c>
      <c r="G100" s="4">
        <v>4336000000</v>
      </c>
      <c r="H100" s="4">
        <v>-3075585608.1500001</v>
      </c>
      <c r="I100" s="4">
        <v>64926000000</v>
      </c>
      <c r="J100" s="4">
        <v>61850414391.849998</v>
      </c>
      <c r="K100" s="5">
        <v>162093000000</v>
      </c>
      <c r="L100" s="5">
        <v>342417299061.65015</v>
      </c>
      <c r="M100" s="5">
        <v>317969466090.52698</v>
      </c>
    </row>
    <row r="101" spans="1:13" x14ac:dyDescent="0.35">
      <c r="A101" s="2">
        <v>1994</v>
      </c>
      <c r="B101" s="3">
        <v>24766000000</v>
      </c>
      <c r="C101" s="4">
        <v>41079702601.548058</v>
      </c>
      <c r="D101" s="4">
        <v>21993297398.451942</v>
      </c>
      <c r="E101" s="4">
        <v>10738000000</v>
      </c>
      <c r="F101" s="3">
        <v>98577000000</v>
      </c>
      <c r="G101" s="4">
        <v>5773119171.6389999</v>
      </c>
      <c r="H101" s="4">
        <v>-4026708661.25</v>
      </c>
      <c r="I101" s="4">
        <v>92803880828.360001</v>
      </c>
      <c r="J101" s="4">
        <v>88777172167.110001</v>
      </c>
      <c r="K101" s="5">
        <v>182043671320.207</v>
      </c>
      <c r="L101" s="5">
        <v>432994706066.60565</v>
      </c>
      <c r="M101" s="5">
        <v>430063098208.60498</v>
      </c>
    </row>
    <row r="102" spans="1:13" x14ac:dyDescent="0.35">
      <c r="A102" s="2">
        <v>1995</v>
      </c>
      <c r="B102" s="3">
        <v>31141738326.459686</v>
      </c>
      <c r="C102" s="4">
        <v>49478057527.204185</v>
      </c>
      <c r="D102" s="4">
        <v>26576930178.186733</v>
      </c>
      <c r="E102" s="4">
        <v>13260031919.465357</v>
      </c>
      <c r="F102" s="3">
        <v>120456757951.31596</v>
      </c>
      <c r="G102" s="4">
        <v>7888346470.6507235</v>
      </c>
      <c r="H102" s="4">
        <v>-5147524883.7200003</v>
      </c>
      <c r="I102" s="4">
        <v>112568411480.67</v>
      </c>
      <c r="J102" s="4">
        <v>107420886596.95</v>
      </c>
      <c r="K102" s="5">
        <v>195535991436.94</v>
      </c>
      <c r="L102" s="5">
        <v>500292308494.20844</v>
      </c>
      <c r="M102" s="5">
        <v>513666606081.48102</v>
      </c>
    </row>
    <row r="103" spans="1:13" x14ac:dyDescent="0.35">
      <c r="A103" s="2">
        <v>1996</v>
      </c>
      <c r="B103" s="3">
        <v>35751028643.298653</v>
      </c>
      <c r="C103" s="4">
        <v>54718955244.311111</v>
      </c>
      <c r="D103" s="4">
        <v>31192246894.72897</v>
      </c>
      <c r="E103" s="4">
        <v>14352474145.145531</v>
      </c>
      <c r="F103" s="3">
        <v>136014704927.48427</v>
      </c>
      <c r="G103" s="4">
        <v>9191296726.8676453</v>
      </c>
      <c r="H103" s="4">
        <v>-4294325533.1500001</v>
      </c>
      <c r="I103" s="4">
        <v>126823408200.62</v>
      </c>
      <c r="J103" s="4">
        <v>122529082667.47</v>
      </c>
      <c r="K103" s="5">
        <v>201009289724.01602</v>
      </c>
      <c r="L103" s="5">
        <v>559614447033.27734</v>
      </c>
      <c r="M103" s="5">
        <v>588854306824.75806</v>
      </c>
    </row>
    <row r="104" spans="1:13" x14ac:dyDescent="0.35">
      <c r="A104" s="2">
        <v>1997</v>
      </c>
      <c r="B104" s="3">
        <v>40773712080.172585</v>
      </c>
      <c r="C104" s="4">
        <v>63460590774.590065</v>
      </c>
      <c r="D104" s="4">
        <v>35319552077.011345</v>
      </c>
      <c r="E104" s="4">
        <v>16144650330.476618</v>
      </c>
      <c r="F104" s="3">
        <v>155698505262.25058</v>
      </c>
      <c r="G104" s="4">
        <v>10563729683.307602</v>
      </c>
      <c r="H104" s="4">
        <v>-4511665449.0299997</v>
      </c>
      <c r="I104" s="4">
        <v>145134775578.94</v>
      </c>
      <c r="J104" s="4">
        <v>140623110129.92001</v>
      </c>
      <c r="K104" s="5">
        <v>214028291389.05701</v>
      </c>
      <c r="L104" s="5">
        <v>619001175549.90576</v>
      </c>
      <c r="M104" s="5">
        <v>663643863633.30103</v>
      </c>
    </row>
    <row r="105" spans="1:13" x14ac:dyDescent="0.35">
      <c r="A105" s="2">
        <v>1998</v>
      </c>
      <c r="B105" s="3">
        <v>44697061650.82843</v>
      </c>
      <c r="C105" s="4">
        <v>64804052724.120354</v>
      </c>
      <c r="D105" s="4">
        <v>37487671713.577881</v>
      </c>
      <c r="E105" s="4">
        <v>16716400431.221346</v>
      </c>
      <c r="F105" s="3">
        <v>163705186519.74799</v>
      </c>
      <c r="G105" s="4">
        <v>11562903630.1318</v>
      </c>
      <c r="H105" s="4">
        <v>-3104795565.9099998</v>
      </c>
      <c r="I105" s="4">
        <v>152142282889.62</v>
      </c>
      <c r="J105" s="4">
        <v>149037487323.70999</v>
      </c>
      <c r="K105" s="5">
        <v>213189993392.58902</v>
      </c>
      <c r="L105" s="5">
        <v>669890104100.48328</v>
      </c>
      <c r="M105" s="5">
        <v>721047753851.53503</v>
      </c>
    </row>
    <row r="106" spans="1:13" x14ac:dyDescent="0.35">
      <c r="A106" s="2">
        <v>1999</v>
      </c>
      <c r="B106" s="3">
        <v>48609975845.398926</v>
      </c>
      <c r="C106" s="4">
        <v>65421741504.176018</v>
      </c>
      <c r="D106" s="4">
        <v>40584470535.106125</v>
      </c>
      <c r="E106" s="4">
        <v>16433687215.327757</v>
      </c>
      <c r="F106" s="3">
        <v>171049875100.00885</v>
      </c>
      <c r="G106" s="4">
        <v>12259328023.553497</v>
      </c>
      <c r="H106" s="4">
        <v>-3140781892.25</v>
      </c>
      <c r="I106" s="4">
        <v>158790547076.45999</v>
      </c>
      <c r="J106" s="4">
        <v>155649765184.20999</v>
      </c>
      <c r="K106" s="5">
        <v>216376740630.51398</v>
      </c>
      <c r="L106" s="5">
        <v>696769971220.38159</v>
      </c>
      <c r="M106" s="5">
        <v>784312365229.26599</v>
      </c>
    </row>
    <row r="107" spans="1:13" x14ac:dyDescent="0.35">
      <c r="A107" s="2">
        <v>2000</v>
      </c>
      <c r="B107" s="3">
        <v>52105450633.473808</v>
      </c>
      <c r="C107" s="4">
        <v>69346129011.716721</v>
      </c>
      <c r="D107" s="4">
        <v>43392049233.916611</v>
      </c>
      <c r="E107" s="4">
        <v>16987335461.704197</v>
      </c>
      <c r="F107" s="3">
        <v>181830964340.81134</v>
      </c>
      <c r="G107" s="4">
        <v>13050829908.5474</v>
      </c>
      <c r="H107" s="4">
        <v>-4406783925.6999998</v>
      </c>
      <c r="I107" s="4">
        <v>168780134432.26001</v>
      </c>
      <c r="J107" s="4">
        <v>164373350506.56</v>
      </c>
      <c r="K107" s="5">
        <v>222206707348.694</v>
      </c>
      <c r="L107" s="5">
        <v>722842604379.29163</v>
      </c>
      <c r="M107" s="5">
        <v>850017854074.06201</v>
      </c>
    </row>
    <row r="108" spans="1:13" x14ac:dyDescent="0.35">
      <c r="A108" s="2">
        <v>2001</v>
      </c>
      <c r="B108" s="3">
        <v>55827294894.418381</v>
      </c>
      <c r="C108" s="4">
        <v>67970579309.91053</v>
      </c>
      <c r="D108" s="4">
        <v>43957596141.244446</v>
      </c>
      <c r="E108" s="4">
        <v>16356095118.023893</v>
      </c>
      <c r="F108" s="3">
        <v>184111565463.59723</v>
      </c>
      <c r="G108" s="4">
        <v>13536561212.4426</v>
      </c>
      <c r="H108" s="4">
        <v>-3328864946.0999999</v>
      </c>
      <c r="I108" s="4">
        <v>170575004251.16</v>
      </c>
      <c r="J108" s="4">
        <v>167246139305.04999</v>
      </c>
      <c r="K108" s="5">
        <v>223579575750.61801</v>
      </c>
      <c r="L108" s="5">
        <v>728010732683.56787</v>
      </c>
      <c r="M108" s="5">
        <v>865813267333.65198</v>
      </c>
    </row>
    <row r="109" spans="1:13" x14ac:dyDescent="0.35">
      <c r="A109" s="2">
        <v>2002</v>
      </c>
      <c r="B109" s="3">
        <v>59965213253.211388</v>
      </c>
      <c r="C109" s="4">
        <v>70743963021.465515</v>
      </c>
      <c r="D109" s="4">
        <v>46026400932.457733</v>
      </c>
      <c r="E109" s="4">
        <v>16774556752.028439</v>
      </c>
      <c r="F109" s="3">
        <v>193510133959.16306</v>
      </c>
      <c r="G109" s="4">
        <v>14123208127.8269</v>
      </c>
      <c r="H109" s="4">
        <v>-4386694873.1800003</v>
      </c>
      <c r="I109" s="4">
        <v>179386925831.34</v>
      </c>
      <c r="J109" s="4">
        <v>175000230958.16</v>
      </c>
      <c r="K109" s="5">
        <v>235772947128.979</v>
      </c>
      <c r="L109" s="5">
        <v>736612121876.31396</v>
      </c>
      <c r="M109" s="5">
        <v>899030653583.39099</v>
      </c>
    </row>
    <row r="110" spans="1:13" x14ac:dyDescent="0.35">
      <c r="A110" s="2">
        <v>2003</v>
      </c>
      <c r="B110" s="3">
        <v>65527327661.538322</v>
      </c>
      <c r="C110" s="4">
        <v>73748586084.007339</v>
      </c>
      <c r="D110" s="4">
        <v>48410397724.572449</v>
      </c>
      <c r="E110" s="4">
        <v>18369083147.472301</v>
      </c>
      <c r="F110" s="3">
        <v>206055394617.59045</v>
      </c>
      <c r="G110" s="4">
        <v>15138996713.091797</v>
      </c>
      <c r="H110" s="4">
        <v>-6433265872.7600002</v>
      </c>
      <c r="I110" s="4">
        <v>190916397904.5</v>
      </c>
      <c r="J110" s="4">
        <v>184483132031.73999</v>
      </c>
      <c r="K110" s="5">
        <v>245592613752.98999</v>
      </c>
      <c r="L110" s="5">
        <v>768314723910.36902</v>
      </c>
      <c r="M110" s="5">
        <v>942520161876.89099</v>
      </c>
    </row>
    <row r="111" spans="1:13" x14ac:dyDescent="0.35">
      <c r="A111" s="2">
        <v>2004</v>
      </c>
      <c r="B111" s="3">
        <v>71655962826.897491</v>
      </c>
      <c r="C111" s="4">
        <v>84030205755.55275</v>
      </c>
      <c r="D111" s="4">
        <v>52291825661.492561</v>
      </c>
      <c r="E111" s="4">
        <v>20814141234.5648</v>
      </c>
      <c r="F111" s="3">
        <v>228792135478.50763</v>
      </c>
      <c r="G111" s="4">
        <v>17119535169.180901</v>
      </c>
      <c r="H111" s="4">
        <v>-11745335981.440001</v>
      </c>
      <c r="I111" s="4">
        <v>211672600309.32999</v>
      </c>
      <c r="J111" s="4">
        <v>199927264327.89001</v>
      </c>
      <c r="K111" s="5">
        <v>257769786233.073</v>
      </c>
      <c r="L111" s="5">
        <v>832552057375.19678</v>
      </c>
      <c r="M111" s="5">
        <v>1014715048968.78</v>
      </c>
    </row>
    <row r="112" spans="1:13" x14ac:dyDescent="0.35">
      <c r="A112" s="2">
        <v>2005</v>
      </c>
      <c r="B112" s="3">
        <v>77624383542.877228</v>
      </c>
      <c r="C112" s="4">
        <v>95120099823.573303</v>
      </c>
      <c r="D112" s="4">
        <v>54724140083.478096</v>
      </c>
      <c r="E112" s="4">
        <v>23184440204.681988</v>
      </c>
      <c r="F112" s="3">
        <v>250653063654.6106</v>
      </c>
      <c r="G112" s="4">
        <v>19036622445.9277</v>
      </c>
      <c r="H112" s="4">
        <v>-16135334016.77</v>
      </c>
      <c r="I112" s="4">
        <v>231616441208.67999</v>
      </c>
      <c r="J112" s="4">
        <v>215481107191.91</v>
      </c>
      <c r="K112" s="5">
        <v>273971153886.79102</v>
      </c>
      <c r="L112" s="5">
        <v>880809070323.59778</v>
      </c>
      <c r="M112" s="5">
        <v>1090196759161.12</v>
      </c>
    </row>
    <row r="113" spans="1:13" x14ac:dyDescent="0.35">
      <c r="A113" s="2">
        <v>2006</v>
      </c>
      <c r="B113" s="3">
        <v>87318813579.811615</v>
      </c>
      <c r="C113" s="4">
        <v>114833867096.66245</v>
      </c>
      <c r="D113" s="4">
        <v>60454442328.200783</v>
      </c>
      <c r="E113" s="4">
        <v>25812690972.612335</v>
      </c>
      <c r="F113" s="3">
        <v>288419813977.28711</v>
      </c>
      <c r="G113" s="4">
        <v>22173255340.754101</v>
      </c>
      <c r="H113" s="4">
        <v>-24650728065.290001</v>
      </c>
      <c r="I113" s="4">
        <v>266246558636.53</v>
      </c>
      <c r="J113" s="4">
        <v>241595830571.25</v>
      </c>
      <c r="K113" s="5">
        <v>294597830810.42902</v>
      </c>
      <c r="L113" s="5">
        <v>971766232090.10486</v>
      </c>
      <c r="M113" s="5">
        <v>1232111165506.3401</v>
      </c>
    </row>
    <row r="114" spans="1:13" x14ac:dyDescent="0.35">
      <c r="A114" s="2">
        <v>2007</v>
      </c>
      <c r="B114" s="3">
        <v>98127000000</v>
      </c>
      <c r="C114" s="4">
        <v>128089000000</v>
      </c>
      <c r="D114" s="4">
        <v>65457000000</v>
      </c>
      <c r="E114" s="4">
        <v>28020000000</v>
      </c>
      <c r="F114" s="3">
        <v>319692999999.99994</v>
      </c>
      <c r="G114" s="4">
        <v>24412856755.188</v>
      </c>
      <c r="H114" s="4">
        <v>-26495429391.759998</v>
      </c>
      <c r="I114" s="4">
        <v>295280143244.81</v>
      </c>
      <c r="J114" s="4">
        <v>268784713853.04999</v>
      </c>
      <c r="K114" s="5">
        <v>319693000000</v>
      </c>
      <c r="L114" s="5">
        <v>1038334384021.8357</v>
      </c>
      <c r="M114" s="5">
        <v>1349693967410.25</v>
      </c>
    </row>
    <row r="115" spans="1:13" x14ac:dyDescent="0.35">
      <c r="A115" s="2">
        <v>2008</v>
      </c>
      <c r="B115" s="3">
        <v>108596325444.19786</v>
      </c>
      <c r="C115" s="4">
        <v>141104502827.7261</v>
      </c>
      <c r="D115" s="4">
        <v>74325674696.103943</v>
      </c>
      <c r="E115" s="4">
        <v>30801032806.092121</v>
      </c>
      <c r="F115" s="3">
        <v>354827535774.12</v>
      </c>
      <c r="G115" s="4">
        <v>26718548190.292999</v>
      </c>
      <c r="H115" s="4">
        <v>-26157732155.419998</v>
      </c>
      <c r="I115" s="4">
        <v>328108987583.83002</v>
      </c>
      <c r="J115" s="4">
        <v>301951255428.40997</v>
      </c>
      <c r="K115" s="5">
        <v>348870000000</v>
      </c>
      <c r="L115" s="5">
        <v>1124808824513.7683</v>
      </c>
      <c r="M115" s="5">
        <v>1427689109360.0601</v>
      </c>
    </row>
    <row r="116" spans="1:13" x14ac:dyDescent="0.35">
      <c r="A116" s="2">
        <v>2009</v>
      </c>
      <c r="B116" s="3">
        <v>114891414403.41544</v>
      </c>
      <c r="C116" s="4">
        <v>138205946143.47192</v>
      </c>
      <c r="D116" s="4">
        <v>81554972298.65155</v>
      </c>
      <c r="E116" s="4">
        <v>32400512466.196083</v>
      </c>
      <c r="F116" s="3">
        <v>367052845311.73499</v>
      </c>
      <c r="G116" s="4">
        <v>29369736333.908195</v>
      </c>
      <c r="H116" s="4">
        <v>-26322628568.880001</v>
      </c>
      <c r="I116" s="4">
        <v>337683108977.83002</v>
      </c>
      <c r="J116" s="4">
        <v>311360480408.95001</v>
      </c>
      <c r="K116" s="5">
        <v>352693000000</v>
      </c>
      <c r="L116" s="5">
        <v>1216770274065.8352</v>
      </c>
      <c r="M116" s="5">
        <v>1513178975376.5601</v>
      </c>
    </row>
    <row r="117" spans="1:13" x14ac:dyDescent="0.35">
      <c r="A117" s="2">
        <v>2010</v>
      </c>
      <c r="B117" s="3">
        <v>127671036099.30928</v>
      </c>
      <c r="C117" s="4">
        <v>164852198413.22971</v>
      </c>
      <c r="D117" s="4">
        <v>91481155657.842209</v>
      </c>
      <c r="E117" s="4">
        <v>37577675062.901802</v>
      </c>
      <c r="F117" s="3">
        <v>421582065233.28302</v>
      </c>
      <c r="G117" s="4">
        <v>33360304672.816895</v>
      </c>
      <c r="H117" s="4">
        <v>-33275727856.09</v>
      </c>
      <c r="I117" s="4">
        <v>388221760560.46997</v>
      </c>
      <c r="J117" s="4">
        <v>354946032704.38</v>
      </c>
      <c r="K117" s="5">
        <v>382069032542.01501</v>
      </c>
      <c r="L117" s="5">
        <v>1377617372313.9785</v>
      </c>
      <c r="M117" s="5">
        <v>1700635390677.6699</v>
      </c>
    </row>
    <row r="118" spans="1:13" x14ac:dyDescent="0.35">
      <c r="A118" s="2">
        <v>2011</v>
      </c>
      <c r="B118" s="3">
        <v>140481471495.76389</v>
      </c>
      <c r="C118" s="4">
        <v>191699069588.72009</v>
      </c>
      <c r="D118" s="4">
        <v>100159324110.44376</v>
      </c>
      <c r="E118" s="4">
        <v>39645671599.626266</v>
      </c>
      <c r="F118" s="3">
        <v>471985536794.55402</v>
      </c>
      <c r="G118" s="4">
        <v>38124690663.349602</v>
      </c>
      <c r="H118" s="4">
        <v>-39504846448.190002</v>
      </c>
      <c r="I118" s="4">
        <v>433860846131.20001</v>
      </c>
      <c r="J118" s="4">
        <v>394355999683.01001</v>
      </c>
      <c r="K118" s="5">
        <v>406246751335.33698</v>
      </c>
      <c r="L118" s="5">
        <v>1553472416254.2832</v>
      </c>
      <c r="M118" s="5">
        <v>1860247650969.5601</v>
      </c>
    </row>
    <row r="119" spans="1:13" x14ac:dyDescent="0.35">
      <c r="A119" s="2">
        <v>2012</v>
      </c>
      <c r="B119" s="3">
        <v>156607908905.31177</v>
      </c>
      <c r="C119" s="4">
        <v>196112010148.51111</v>
      </c>
      <c r="D119" s="4">
        <v>110561925285.99112</v>
      </c>
      <c r="E119" s="4">
        <v>46476357417.719032</v>
      </c>
      <c r="F119" s="3">
        <v>509758201757.53302</v>
      </c>
      <c r="G119" s="4">
        <v>41079925962.363297</v>
      </c>
      <c r="H119" s="4">
        <v>-36931842010.389999</v>
      </c>
      <c r="I119" s="4">
        <v>468678275795.16998</v>
      </c>
      <c r="J119" s="4">
        <v>431746433784.78003</v>
      </c>
      <c r="K119" s="5">
        <v>431189436756.20898</v>
      </c>
      <c r="L119" s="5">
        <v>1704858327316.5098</v>
      </c>
      <c r="M119" s="5">
        <v>2046087433836.55</v>
      </c>
    </row>
    <row r="120" spans="1:13" x14ac:dyDescent="0.35">
      <c r="A120" s="2">
        <v>2013</v>
      </c>
      <c r="B120" s="3">
        <v>171235233566.75946</v>
      </c>
      <c r="C120" s="4">
        <v>208302501793.50699</v>
      </c>
      <c r="D120" s="4">
        <v>117076845559.31854</v>
      </c>
      <c r="E120" s="4">
        <v>52081934555.849968</v>
      </c>
      <c r="F120" s="3">
        <v>548696515475.43494</v>
      </c>
      <c r="G120" s="4">
        <v>43871850260.610397</v>
      </c>
      <c r="H120" s="4">
        <v>-34399433087.940002</v>
      </c>
      <c r="I120" s="4">
        <v>504824665214.83002</v>
      </c>
      <c r="J120" s="4">
        <v>470425232126.89001</v>
      </c>
      <c r="K120" s="5">
        <v>456423042921.17102</v>
      </c>
      <c r="L120" s="5">
        <v>1865628397243.8491</v>
      </c>
      <c r="M120" s="5">
        <v>2243159719061.2798</v>
      </c>
    </row>
    <row r="121" spans="1:13" x14ac:dyDescent="0.35">
      <c r="A121" s="2">
        <v>2014</v>
      </c>
      <c r="B121" s="3">
        <v>183187513596.00079</v>
      </c>
      <c r="C121" s="4">
        <v>213367466434.50632</v>
      </c>
      <c r="D121" s="4">
        <v>125568656798.13177</v>
      </c>
      <c r="E121" s="4">
        <v>56369604235.772125</v>
      </c>
      <c r="F121" s="3">
        <v>578493241064.41101</v>
      </c>
      <c r="G121" s="4">
        <v>47084172048.25</v>
      </c>
      <c r="H121" s="4">
        <v>-29968456622.59</v>
      </c>
      <c r="I121" s="4">
        <v>531409069016.15997</v>
      </c>
      <c r="J121" s="4">
        <v>501440612393.57001</v>
      </c>
      <c r="K121" s="5">
        <v>467302939529.39398</v>
      </c>
      <c r="L121" s="5">
        <v>2049174113369.0859</v>
      </c>
      <c r="M121" s="5">
        <v>2460713513261.5801</v>
      </c>
    </row>
    <row r="122" spans="1:13" x14ac:dyDescent="0.35">
      <c r="A122" s="2">
        <v>2015</v>
      </c>
      <c r="B122" s="3">
        <v>195479931786.36115</v>
      </c>
      <c r="C122" s="4">
        <v>225054465162.57587</v>
      </c>
      <c r="D122" s="4">
        <v>137108313163.9893</v>
      </c>
      <c r="E122" s="4">
        <v>56608386588.842674</v>
      </c>
      <c r="F122" s="3">
        <v>614251096701.76892</v>
      </c>
      <c r="G122" s="4">
        <v>50293804916.117203</v>
      </c>
      <c r="H122" s="4">
        <v>-26733438764.560001</v>
      </c>
      <c r="I122" s="4">
        <v>563957291785.65002</v>
      </c>
      <c r="J122" s="4">
        <v>537223853021.09998</v>
      </c>
      <c r="K122" s="5">
        <v>482495386529.31604</v>
      </c>
      <c r="L122" s="5">
        <v>2226263986158.5308</v>
      </c>
      <c r="M122" s="5">
        <v>2745242716367.2798</v>
      </c>
    </row>
    <row r="123" spans="1:13" x14ac:dyDescent="0.35">
      <c r="A123" s="2">
        <v>2016</v>
      </c>
      <c r="B123" s="3">
        <v>208943696507.94058</v>
      </c>
      <c r="C123" s="4">
        <v>244407748788.47504</v>
      </c>
      <c r="D123" s="4">
        <v>150449244672.55322</v>
      </c>
      <c r="E123" s="4">
        <v>58987704560.801208</v>
      </c>
      <c r="F123" s="3">
        <v>662788394529.77002</v>
      </c>
      <c r="G123" s="4">
        <v>53571473062.180206</v>
      </c>
      <c r="H123" s="4">
        <v>-33275251726.150002</v>
      </c>
      <c r="I123" s="4">
        <v>609216921467.58997</v>
      </c>
      <c r="J123" s="4">
        <v>575941669741.43994</v>
      </c>
      <c r="K123" s="5">
        <v>501571660908.32001</v>
      </c>
      <c r="L123" s="5">
        <v>2423375707885.9624</v>
      </c>
      <c r="M123" s="5">
        <v>2966620063859.8599</v>
      </c>
    </row>
    <row r="124" spans="1:13" x14ac:dyDescent="0.35">
      <c r="A124" s="2">
        <v>2017</v>
      </c>
      <c r="B124" s="3">
        <v>220603795375.7005</v>
      </c>
      <c r="C124" s="4">
        <v>266170917949.52304</v>
      </c>
      <c r="D124" s="4">
        <v>157876375706.43765</v>
      </c>
      <c r="E124" s="4">
        <v>61384734462.536987</v>
      </c>
      <c r="F124" s="3">
        <v>706232914900.69006</v>
      </c>
      <c r="G124" s="4">
        <v>56951686799.666</v>
      </c>
      <c r="H124" s="4">
        <v>-40770992495.75</v>
      </c>
      <c r="I124" s="4">
        <v>649281228101.02002</v>
      </c>
      <c r="J124" s="4">
        <v>608510235605.27002</v>
      </c>
      <c r="K124" s="5">
        <v>514205098529.06201</v>
      </c>
      <c r="L124" s="5">
        <v>2640191335106.3379</v>
      </c>
      <c r="M124" s="5">
        <v>3143370076591.1699</v>
      </c>
    </row>
    <row r="125" spans="1:13" x14ac:dyDescent="0.35">
      <c r="A125" s="2">
        <v>2018</v>
      </c>
      <c r="B125" s="3">
        <v>233355220794.83713</v>
      </c>
      <c r="C125" s="4">
        <v>285569182089.5401</v>
      </c>
      <c r="D125" s="4">
        <v>164988528552.4411</v>
      </c>
      <c r="E125" s="4">
        <v>64964067859.03714</v>
      </c>
      <c r="F125" s="3">
        <v>748094972522.89001</v>
      </c>
      <c r="G125" s="4">
        <v>59301177164.675301</v>
      </c>
      <c r="H125" s="4">
        <v>-41788252434.029999</v>
      </c>
      <c r="I125" s="4">
        <v>688793795358.21997</v>
      </c>
      <c r="J125" s="4">
        <v>647005542924.18994</v>
      </c>
      <c r="K125" s="5">
        <v>534615812580.71704</v>
      </c>
      <c r="L125" s="5">
        <v>2823556939837.8398</v>
      </c>
      <c r="M125" s="5">
        <v>3365986075007.8101</v>
      </c>
    </row>
    <row r="126" spans="1:13" x14ac:dyDescent="0.35">
      <c r="A126" s="2">
        <v>2019</v>
      </c>
      <c r="B126" s="3">
        <v>242638405154.97516</v>
      </c>
      <c r="C126" s="4">
        <v>289255372921.32269</v>
      </c>
      <c r="D126" s="4">
        <v>172318137983.43216</v>
      </c>
      <c r="E126" s="4">
        <v>73312534436.89798</v>
      </c>
      <c r="F126" s="3">
        <v>777524450496.62805</v>
      </c>
      <c r="G126" s="4">
        <v>61081763676.108391</v>
      </c>
      <c r="H126" s="4">
        <v>-34808657314.300003</v>
      </c>
      <c r="I126" s="4">
        <v>716442686820.52002</v>
      </c>
      <c r="J126" s="4">
        <v>681634029506.21997</v>
      </c>
      <c r="K126" s="5">
        <v>546593463265.28802</v>
      </c>
      <c r="L126" s="5">
        <v>3009440881413.8711</v>
      </c>
      <c r="M126" s="5">
        <v>3546024061898.9399</v>
      </c>
    </row>
    <row r="127" spans="1:13" x14ac:dyDescent="0.35">
      <c r="A127" s="2">
        <v>2020</v>
      </c>
      <c r="B127" s="3">
        <v>223044096877.30484</v>
      </c>
      <c r="C127" s="4">
        <v>289473405859.01581</v>
      </c>
      <c r="D127" s="4">
        <v>148004701361.1163</v>
      </c>
      <c r="E127" s="4">
        <v>61169753858.839928</v>
      </c>
      <c r="F127" s="3">
        <v>721691957956.2771</v>
      </c>
      <c r="G127" s="4">
        <v>64102111011.136711</v>
      </c>
      <c r="H127" s="4">
        <v>-26093040288.189999</v>
      </c>
      <c r="I127" s="4">
        <v>657589846945.14001</v>
      </c>
      <c r="J127" s="4">
        <v>631496806656.95996</v>
      </c>
      <c r="K127" s="5">
        <v>486809120319.63202</v>
      </c>
      <c r="L127" s="5">
        <v>3253429988830.3398</v>
      </c>
      <c r="M127" s="5">
        <v>3279130860024</v>
      </c>
    </row>
    <row r="128" spans="1:13" x14ac:dyDescent="0.35">
      <c r="A128" s="2">
        <v>2021</v>
      </c>
      <c r="B128" s="3">
        <v>247894926270.33542</v>
      </c>
      <c r="C128" s="4">
        <v>380221819308.57684</v>
      </c>
      <c r="D128" s="4">
        <v>170140576713.26157</v>
      </c>
      <c r="E128" s="4">
        <v>80115329806.630219</v>
      </c>
      <c r="F128" s="3">
        <v>878372652098.80396</v>
      </c>
      <c r="G128" s="4">
        <v>70868210653.916</v>
      </c>
      <c r="H128" s="4">
        <v>-74617509932.479996</v>
      </c>
      <c r="I128" s="4">
        <v>807504441444.89001</v>
      </c>
      <c r="J128" s="4">
        <v>732886931512.41003</v>
      </c>
      <c r="K128" s="5">
        <v>552143033494.21997</v>
      </c>
      <c r="L128" s="5">
        <v>3674073832395.1343</v>
      </c>
      <c r="M128" s="5">
        <v>3698071048767.3301</v>
      </c>
    </row>
    <row r="129" spans="1:13" x14ac:dyDescent="0.35">
      <c r="A129" s="2">
        <v>2022</v>
      </c>
      <c r="B129" s="3">
        <v>268986544814.37857</v>
      </c>
      <c r="C129" s="4">
        <v>396065241908.13336</v>
      </c>
      <c r="D129" s="4">
        <v>187880493480.4104</v>
      </c>
      <c r="E129" s="4">
        <v>83690031078.397659</v>
      </c>
      <c r="F129" s="3">
        <v>936622311281.31995</v>
      </c>
      <c r="G129" s="4">
        <v>75645181620.654297</v>
      </c>
      <c r="H129" s="4">
        <v>-71614189734.100006</v>
      </c>
      <c r="I129" s="4">
        <v>860977129660.67004</v>
      </c>
      <c r="J129" s="4">
        <v>789362939926.56995</v>
      </c>
      <c r="K129" s="5">
        <v>567708806854.12195</v>
      </c>
      <c r="L129" s="5">
        <v>4002360242480.4844</v>
      </c>
      <c r="M129" s="5">
        <v>4157148449767.4702</v>
      </c>
    </row>
    <row r="130" spans="1:13" x14ac:dyDescent="0.35">
      <c r="A130" s="2">
        <v>2023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5">
        <v>4559729760948.8936</v>
      </c>
      <c r="M130" s="5">
        <v>4421940307282.9697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545B-0387-442F-9718-152199C45577}">
  <dimension ref="A1:AG85"/>
  <sheetViews>
    <sheetView workbookViewId="0">
      <selection activeCell="E47" sqref="E47"/>
    </sheetView>
  </sheetViews>
  <sheetFormatPr baseColWidth="10" defaultColWidth="8.7265625" defaultRowHeight="14.5" x14ac:dyDescent="0.35"/>
  <cols>
    <col min="1" max="6" width="20.453125" customWidth="1"/>
    <col min="8" max="15" width="15.36328125" customWidth="1"/>
    <col min="24" max="34" width="0" hidden="1" customWidth="1"/>
  </cols>
  <sheetData>
    <row r="1" spans="1:15" ht="14.4" customHeight="1" x14ac:dyDescent="0.35">
      <c r="B1" s="22" t="s">
        <v>11</v>
      </c>
      <c r="C1" s="23"/>
      <c r="D1" s="23"/>
      <c r="E1" s="23"/>
      <c r="F1" s="24"/>
      <c r="H1" s="25" t="s">
        <v>24</v>
      </c>
      <c r="I1" s="25"/>
      <c r="J1" s="25"/>
      <c r="K1" s="25"/>
      <c r="L1" s="25"/>
      <c r="M1" s="25"/>
      <c r="N1" s="25"/>
      <c r="O1" s="25"/>
    </row>
    <row r="2" spans="1:15" ht="52" x14ac:dyDescent="0.35">
      <c r="A2" s="6" t="s">
        <v>0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H2" s="10" t="s">
        <v>18</v>
      </c>
      <c r="I2" s="11" t="s">
        <v>19</v>
      </c>
      <c r="J2" s="11" t="s">
        <v>20</v>
      </c>
      <c r="K2" s="11" t="s">
        <v>25</v>
      </c>
      <c r="L2" s="11" t="s">
        <v>21</v>
      </c>
      <c r="M2" s="11" t="s">
        <v>22</v>
      </c>
      <c r="N2" s="11" t="s">
        <v>23</v>
      </c>
      <c r="O2" s="11" t="s">
        <v>26</v>
      </c>
    </row>
    <row r="3" spans="1:15" hidden="1" x14ac:dyDescent="0.35">
      <c r="A3" s="2">
        <v>1942</v>
      </c>
      <c r="B3" s="2">
        <f>100*'GDP, CFC, NDP, NNI'!B49/'GDP, CFC, NDP, NNI'!F49</f>
        <v>32.36486486486487</v>
      </c>
      <c r="C3" s="2"/>
      <c r="D3" s="2"/>
      <c r="E3" s="2"/>
      <c r="F3" s="2"/>
    </row>
    <row r="4" spans="1:15" hidden="1" x14ac:dyDescent="0.35">
      <c r="A4" s="2">
        <v>1943</v>
      </c>
      <c r="B4" s="2">
        <f>100*'GDP, CFC, NDP, NNI'!B50/'GDP, CFC, NDP, NNI'!F50</f>
        <v>34.597056509120158</v>
      </c>
      <c r="C4" s="2"/>
      <c r="D4" s="2"/>
      <c r="E4" s="2"/>
      <c r="F4" s="2"/>
    </row>
    <row r="5" spans="1:15" hidden="1" x14ac:dyDescent="0.35">
      <c r="A5" s="2">
        <v>1944</v>
      </c>
      <c r="B5" s="2">
        <f>100*'GDP, CFC, NDP, NNI'!B51/'GDP, CFC, NDP, NNI'!F51</f>
        <v>38.157750120069998</v>
      </c>
      <c r="C5" s="2"/>
      <c r="D5" s="2"/>
      <c r="E5" s="2"/>
      <c r="F5" s="2"/>
    </row>
    <row r="6" spans="1:15" hidden="1" x14ac:dyDescent="0.35">
      <c r="A6" s="2">
        <v>1945</v>
      </c>
      <c r="B6" s="2">
        <f>100*'GDP, CFC, NDP, NNI'!B52/'GDP, CFC, NDP, NNI'!F52</f>
        <v>39.525733476261465</v>
      </c>
      <c r="C6" s="2"/>
      <c r="D6" s="2"/>
      <c r="E6" s="2"/>
      <c r="F6" s="2"/>
    </row>
    <row r="7" spans="1:15" hidden="1" x14ac:dyDescent="0.35">
      <c r="A7" s="2">
        <v>1946</v>
      </c>
      <c r="B7" s="2">
        <f>100*'GDP, CFC, NDP, NNI'!B53/'GDP, CFC, NDP, NNI'!F53</f>
        <v>37.4924662385733</v>
      </c>
      <c r="C7" s="2"/>
      <c r="D7" s="2"/>
      <c r="E7" s="2"/>
      <c r="F7" s="2"/>
    </row>
    <row r="8" spans="1:15" hidden="1" x14ac:dyDescent="0.35">
      <c r="A8" s="2">
        <v>1947</v>
      </c>
      <c r="B8" s="2">
        <f>100*'GDP, CFC, NDP, NNI'!B54/'GDP, CFC, NDP, NNI'!F54</f>
        <v>37.551193893457935</v>
      </c>
      <c r="C8" s="2"/>
      <c r="D8" s="2"/>
      <c r="E8" s="2"/>
      <c r="F8" s="2"/>
    </row>
    <row r="9" spans="1:15" hidden="1" x14ac:dyDescent="0.35">
      <c r="A9" s="2">
        <v>1948</v>
      </c>
      <c r="B9" s="2">
        <f>100*'GDP, CFC, NDP, NNI'!B55/'GDP, CFC, NDP, NNI'!F55</f>
        <v>35.684326705355637</v>
      </c>
      <c r="C9" s="2"/>
      <c r="D9" s="2"/>
      <c r="E9" s="2"/>
      <c r="F9" s="2"/>
    </row>
    <row r="10" spans="1:15" hidden="1" x14ac:dyDescent="0.35">
      <c r="A10" s="2">
        <v>1949</v>
      </c>
      <c r="B10" s="2">
        <f>100*'GDP, CFC, NDP, NNI'!B56/'GDP, CFC, NDP, NNI'!F56</f>
        <v>34.181560025859646</v>
      </c>
      <c r="C10" s="2"/>
      <c r="D10" s="2"/>
      <c r="E10" s="2"/>
      <c r="F10" s="2"/>
    </row>
    <row r="11" spans="1:15" hidden="1" x14ac:dyDescent="0.35">
      <c r="A11" s="2">
        <v>1950</v>
      </c>
      <c r="B11" s="2">
        <f>100*'GDP, CFC, NDP, NNI'!B57/'GDP, CFC, NDP, NNI'!F57</f>
        <v>34.791929382093315</v>
      </c>
      <c r="C11" s="2"/>
      <c r="D11" s="2"/>
      <c r="E11" s="2"/>
      <c r="F11" s="2"/>
    </row>
    <row r="12" spans="1:15" hidden="1" x14ac:dyDescent="0.35">
      <c r="A12" s="2">
        <v>1951</v>
      </c>
      <c r="B12" s="2">
        <f>100*'GDP, CFC, NDP, NNI'!B58/'GDP, CFC, NDP, NNI'!F58</f>
        <v>33.313262080385378</v>
      </c>
      <c r="C12" s="2"/>
      <c r="D12" s="2"/>
      <c r="E12" s="2"/>
      <c r="F12" s="2"/>
    </row>
    <row r="13" spans="1:15" hidden="1" x14ac:dyDescent="0.35">
      <c r="A13" s="2">
        <v>1952</v>
      </c>
      <c r="B13" s="2">
        <f>100*'GDP, CFC, NDP, NNI'!B59/'GDP, CFC, NDP, NNI'!F59</f>
        <v>34.448539835554293</v>
      </c>
      <c r="C13" s="2"/>
      <c r="D13" s="2"/>
      <c r="E13" s="2"/>
      <c r="F13" s="2"/>
    </row>
    <row r="14" spans="1:15" hidden="1" x14ac:dyDescent="0.35">
      <c r="A14" s="2">
        <v>1953</v>
      </c>
      <c r="B14" s="2">
        <f>100*'GDP, CFC, NDP, NNI'!B60/'GDP, CFC, NDP, NNI'!F60</f>
        <v>36.132504813583054</v>
      </c>
      <c r="C14" s="2"/>
      <c r="D14" s="2"/>
      <c r="E14" s="2"/>
      <c r="F14" s="2"/>
    </row>
    <row r="15" spans="1:15" hidden="1" x14ac:dyDescent="0.35">
      <c r="A15" s="2">
        <v>1954</v>
      </c>
      <c r="B15" s="2">
        <f>100*'GDP, CFC, NDP, NNI'!B61/'GDP, CFC, NDP, NNI'!F61</f>
        <v>36.935049386411258</v>
      </c>
      <c r="C15" s="2"/>
      <c r="D15" s="2"/>
      <c r="E15" s="2"/>
      <c r="F15" s="2"/>
    </row>
    <row r="16" spans="1:15" hidden="1" x14ac:dyDescent="0.35">
      <c r="A16" s="2">
        <v>1955</v>
      </c>
      <c r="B16" s="2">
        <f>100*'GDP, CFC, NDP, NNI'!B62/'GDP, CFC, NDP, NNI'!F62</f>
        <v>37.666328942924686</v>
      </c>
      <c r="C16" s="2"/>
      <c r="D16" s="2"/>
      <c r="E16" s="2"/>
      <c r="F16" s="2"/>
    </row>
    <row r="17" spans="1:33" hidden="1" x14ac:dyDescent="0.35">
      <c r="A17" s="2">
        <v>1956</v>
      </c>
      <c r="B17" s="2">
        <f>100*'GDP, CFC, NDP, NNI'!B63/'GDP, CFC, NDP, NNI'!F63</f>
        <v>38.919017178174329</v>
      </c>
      <c r="C17" s="2"/>
      <c r="D17" s="2"/>
      <c r="E17" s="2"/>
      <c r="F17" s="2"/>
    </row>
    <row r="18" spans="1:33" hidden="1" x14ac:dyDescent="0.35">
      <c r="A18" s="2">
        <v>1957</v>
      </c>
      <c r="B18" s="2">
        <f>100*'GDP, CFC, NDP, NNI'!B64/'GDP, CFC, NDP, NNI'!F64</f>
        <v>40.31677465802737</v>
      </c>
      <c r="C18" s="2"/>
      <c r="D18" s="2"/>
      <c r="E18" s="2"/>
      <c r="F18" s="2"/>
    </row>
    <row r="19" spans="1:33" hidden="1" x14ac:dyDescent="0.35">
      <c r="A19" s="2">
        <v>1958</v>
      </c>
      <c r="B19" s="2">
        <f>100*'GDP, CFC, NDP, NNI'!B65/'GDP, CFC, NDP, NNI'!F65</f>
        <v>41.685276164954594</v>
      </c>
      <c r="C19" s="2"/>
      <c r="D19" s="2"/>
      <c r="E19" s="2"/>
      <c r="F19" s="2"/>
    </row>
    <row r="20" spans="1:33" hidden="1" x14ac:dyDescent="0.35">
      <c r="A20" s="2">
        <v>1959</v>
      </c>
      <c r="B20" s="2">
        <f>100*'GDP, CFC, NDP, NNI'!B66/'GDP, CFC, NDP, NNI'!F66</f>
        <v>41.192743859945516</v>
      </c>
      <c r="C20" s="2"/>
      <c r="D20" s="2"/>
      <c r="E20" s="2"/>
      <c r="F20" s="2"/>
    </row>
    <row r="21" spans="1:33" hidden="1" x14ac:dyDescent="0.35">
      <c r="A21" s="2">
        <v>1960</v>
      </c>
      <c r="B21" s="2">
        <f>100*'GDP, CFC, NDP, NNI'!B67/'GDP, CFC, NDP, NNI'!F67</f>
        <v>39.115078458591782</v>
      </c>
      <c r="C21" s="2"/>
      <c r="D21" s="2"/>
      <c r="E21" s="2"/>
      <c r="F21" s="2"/>
    </row>
    <row r="22" spans="1:33" hidden="1" x14ac:dyDescent="0.35">
      <c r="A22" s="2">
        <v>1961</v>
      </c>
      <c r="B22" s="2">
        <f>100*'GDP, CFC, NDP, NNI'!B68/'GDP, CFC, NDP, NNI'!F68</f>
        <v>39.661892463019491</v>
      </c>
      <c r="C22" s="2"/>
      <c r="D22" s="2"/>
      <c r="E22" s="2"/>
      <c r="F22" s="2"/>
    </row>
    <row r="23" spans="1:33" hidden="1" x14ac:dyDescent="0.35">
      <c r="A23" s="2">
        <v>1962</v>
      </c>
      <c r="B23" s="2">
        <f>100*'GDP, CFC, NDP, NNI'!B69/'GDP, CFC, NDP, NNI'!F69</f>
        <v>39.223996947230695</v>
      </c>
      <c r="C23" s="2"/>
      <c r="D23" s="2"/>
      <c r="E23" s="2"/>
      <c r="F23" s="2"/>
    </row>
    <row r="24" spans="1:33" hidden="1" x14ac:dyDescent="0.35">
      <c r="A24" s="2">
        <v>1963</v>
      </c>
      <c r="B24" s="2">
        <f>100*'GDP, CFC, NDP, NNI'!B70/'GDP, CFC, NDP, NNI'!F70</f>
        <v>40.138352438554875</v>
      </c>
      <c r="C24" s="2"/>
      <c r="D24" s="2"/>
      <c r="E24" s="2"/>
      <c r="F24" s="2"/>
    </row>
    <row r="25" spans="1:33" hidden="1" x14ac:dyDescent="0.35">
      <c r="A25" s="2">
        <v>1964</v>
      </c>
      <c r="B25" s="2">
        <f>100*'GDP, CFC, NDP, NNI'!B71/'GDP, CFC, NDP, NNI'!F71</f>
        <v>39.700403283523819</v>
      </c>
      <c r="C25" s="2"/>
      <c r="D25" s="2"/>
      <c r="E25" s="2"/>
      <c r="F25" s="2"/>
    </row>
    <row r="26" spans="1:33" hidden="1" x14ac:dyDescent="0.35">
      <c r="A26" s="2">
        <v>1965</v>
      </c>
      <c r="B26" s="2">
        <f>100*'GDP, CFC, NDP, NNI'!B72/'GDP, CFC, NDP, NNI'!F72</f>
        <v>39.605089701443262</v>
      </c>
      <c r="C26" s="2"/>
      <c r="D26" s="2"/>
      <c r="E26" s="2"/>
      <c r="F26" s="2"/>
    </row>
    <row r="27" spans="1:33" hidden="1" x14ac:dyDescent="0.35">
      <c r="A27" s="2">
        <v>1966</v>
      </c>
      <c r="B27" s="2">
        <f>100*'GDP, CFC, NDP, NNI'!B73/'GDP, CFC, NDP, NNI'!F73</f>
        <v>38.46527483403311</v>
      </c>
      <c r="C27" s="2"/>
      <c r="D27" s="2"/>
      <c r="E27" s="2"/>
      <c r="F27" s="2"/>
    </row>
    <row r="28" spans="1:33" hidden="1" x14ac:dyDescent="0.35">
      <c r="A28" s="2">
        <v>1967</v>
      </c>
      <c r="B28" s="2">
        <f>100*'GDP, CFC, NDP, NNI'!B74/'GDP, CFC, NDP, NNI'!F74</f>
        <v>39.536909702752908</v>
      </c>
      <c r="C28" s="2"/>
      <c r="D28" s="2"/>
      <c r="E28" s="2"/>
      <c r="F28" s="2"/>
    </row>
    <row r="29" spans="1:33" hidden="1" x14ac:dyDescent="0.35">
      <c r="A29" s="2">
        <v>1968</v>
      </c>
      <c r="B29" s="2">
        <f>100*'GDP, CFC, NDP, NNI'!B75/'GDP, CFC, NDP, NNI'!F75</f>
        <v>38.809399206120929</v>
      </c>
      <c r="C29" s="2"/>
      <c r="D29" s="2"/>
      <c r="E29" s="2"/>
      <c r="F29" s="2"/>
    </row>
    <row r="30" spans="1:33" hidden="1" x14ac:dyDescent="0.35">
      <c r="A30" s="2">
        <v>1969</v>
      </c>
      <c r="B30" s="2">
        <f>100*'GDP, CFC, NDP, NNI'!B76/'GDP, CFC, NDP, NNI'!F76</f>
        <v>37.570087663925655</v>
      </c>
      <c r="C30" s="2"/>
      <c r="D30" s="2"/>
      <c r="E30" s="2"/>
      <c r="F30" s="2"/>
      <c r="M30" s="2"/>
      <c r="N30" s="2"/>
      <c r="O30" s="2"/>
    </row>
    <row r="31" spans="1:33" x14ac:dyDescent="0.35">
      <c r="A31" s="2">
        <v>1970</v>
      </c>
      <c r="B31" s="2">
        <f>100*'GDP, CFC, NDP, NNI'!B77/'GDP, CFC, NDP, NNI'!F77</f>
        <v>36.784205634944186</v>
      </c>
      <c r="C31" s="2">
        <f t="shared" ref="C31:C62" si="0">O31</f>
        <v>36.032823896170889</v>
      </c>
      <c r="D31" s="2">
        <v>34.820923850988876</v>
      </c>
      <c r="E31" s="2"/>
      <c r="F31" s="2"/>
      <c r="H31" s="7">
        <v>1970</v>
      </c>
      <c r="I31" s="2">
        <v>0.56379999999999997</v>
      </c>
      <c r="J31" s="7">
        <v>207.4469</v>
      </c>
      <c r="K31" s="2">
        <f t="shared" ref="K31:K62" si="1">I31*J31</f>
        <v>116.95856221999999</v>
      </c>
      <c r="L31" s="8">
        <v>58.965400000000002</v>
      </c>
      <c r="M31" s="2">
        <f>K31-0.6*L31</f>
        <v>81.579322219999995</v>
      </c>
      <c r="N31" s="2">
        <v>226.40280000000001</v>
      </c>
      <c r="O31" s="2">
        <f>M31*100/N31</f>
        <v>36.032823896170889</v>
      </c>
      <c r="X31">
        <v>1991</v>
      </c>
      <c r="Y31">
        <v>8.0229999999999997</v>
      </c>
      <c r="Z31">
        <v>14.065</v>
      </c>
      <c r="AA31">
        <v>1.952</v>
      </c>
      <c r="AB31">
        <v>2.6459999999999999</v>
      </c>
      <c r="AC31">
        <v>1.819</v>
      </c>
      <c r="AD31">
        <v>288</v>
      </c>
      <c r="AE31">
        <v>539</v>
      </c>
      <c r="AF31">
        <v>26.686</v>
      </c>
      <c r="AG31">
        <f>Y31/AF31*100</f>
        <v>30.064453271378248</v>
      </c>
    </row>
    <row r="32" spans="1:33" x14ac:dyDescent="0.35">
      <c r="A32" s="2">
        <v>1971</v>
      </c>
      <c r="B32" s="2">
        <f>100*'GDP, CFC, NDP, NNI'!B78/'GDP, CFC, NDP, NNI'!F78</f>
        <v>38.635159566176746</v>
      </c>
      <c r="C32" s="2">
        <f t="shared" si="0"/>
        <v>37.188651726568224</v>
      </c>
      <c r="D32" s="2">
        <v>36.137686730177222</v>
      </c>
      <c r="E32" s="2"/>
      <c r="F32" s="2"/>
      <c r="H32" s="7">
        <v>1971</v>
      </c>
      <c r="I32" s="2">
        <v>0.57079999999999997</v>
      </c>
      <c r="J32" s="7">
        <v>231.6198</v>
      </c>
      <c r="K32" s="2">
        <f t="shared" si="1"/>
        <v>132.20858183999999</v>
      </c>
      <c r="L32" s="8">
        <v>63.896900000000002</v>
      </c>
      <c r="M32" s="2">
        <f t="shared" ref="M32:M85" si="2">K32-0.6*L32</f>
        <v>93.870441839999984</v>
      </c>
      <c r="N32" s="2">
        <v>252.4169</v>
      </c>
      <c r="O32" s="2">
        <f t="shared" ref="O32:O85" si="3">M32*100/N32</f>
        <v>37.188651726568224</v>
      </c>
      <c r="X32">
        <v>1992</v>
      </c>
      <c r="Y32">
        <v>11.888999999999999</v>
      </c>
      <c r="Z32">
        <v>25.353000000000002</v>
      </c>
      <c r="AA32">
        <v>2.931</v>
      </c>
      <c r="AB32">
        <v>4.7809999999999997</v>
      </c>
      <c r="AC32">
        <v>3.4609999999999999</v>
      </c>
      <c r="AD32">
        <v>612</v>
      </c>
      <c r="AE32">
        <v>708</v>
      </c>
      <c r="AF32">
        <v>44.953000000000003</v>
      </c>
      <c r="AG32">
        <f t="shared" ref="AG32:AG52" si="4">Y32/AF32*100</f>
        <v>26.447623072987341</v>
      </c>
    </row>
    <row r="33" spans="1:33" x14ac:dyDescent="0.35">
      <c r="A33" s="2">
        <v>1972</v>
      </c>
      <c r="B33" s="2">
        <f>100*'GDP, CFC, NDP, NNI'!B79/'GDP, CFC, NDP, NNI'!F79</f>
        <v>39.820421290232915</v>
      </c>
      <c r="C33" s="2">
        <f t="shared" si="0"/>
        <v>39.617326360905764</v>
      </c>
      <c r="D33" s="2">
        <v>38.224715736335327</v>
      </c>
      <c r="E33" s="2"/>
      <c r="F33" s="2"/>
      <c r="H33" s="7">
        <v>1972</v>
      </c>
      <c r="I33" s="2">
        <v>0.58960000000000001</v>
      </c>
      <c r="J33" s="7">
        <v>256.1823</v>
      </c>
      <c r="K33" s="2">
        <f t="shared" si="1"/>
        <v>151.04508408000001</v>
      </c>
      <c r="L33" s="8">
        <v>67.152600000000007</v>
      </c>
      <c r="M33" s="2">
        <f t="shared" si="2"/>
        <v>110.75352408000001</v>
      </c>
      <c r="N33" s="2">
        <v>279.55829999999997</v>
      </c>
      <c r="O33" s="2">
        <f t="shared" si="3"/>
        <v>39.617326360905764</v>
      </c>
      <c r="X33">
        <v>1993</v>
      </c>
      <c r="Y33">
        <v>17.311</v>
      </c>
      <c r="Z33">
        <v>40.451000000000001</v>
      </c>
      <c r="AA33">
        <v>4.3360000000000003</v>
      </c>
      <c r="AB33">
        <v>7.1639999999999997</v>
      </c>
      <c r="AC33">
        <v>5.1870000000000003</v>
      </c>
      <c r="AD33">
        <v>1.171</v>
      </c>
      <c r="AE33">
        <v>806</v>
      </c>
      <c r="AF33">
        <v>69.262</v>
      </c>
      <c r="AG33">
        <f t="shared" si="4"/>
        <v>24.99350293090006</v>
      </c>
    </row>
    <row r="34" spans="1:33" x14ac:dyDescent="0.35">
      <c r="A34" s="2">
        <v>1973</v>
      </c>
      <c r="B34" s="2">
        <f>100*'GDP, CFC, NDP, NNI'!B80/'GDP, CFC, NDP, NNI'!F80</f>
        <v>38.545798211224295</v>
      </c>
      <c r="C34" s="2">
        <f t="shared" si="0"/>
        <v>39.851130365977127</v>
      </c>
      <c r="D34" s="2">
        <v>38.545798211224295</v>
      </c>
      <c r="E34" s="2"/>
      <c r="F34" s="2"/>
      <c r="H34" s="7">
        <v>1973</v>
      </c>
      <c r="I34" s="2">
        <v>0.58840000000000003</v>
      </c>
      <c r="J34" s="7">
        <v>307.97989999999999</v>
      </c>
      <c r="K34" s="2">
        <f t="shared" si="1"/>
        <v>181.21537316000001</v>
      </c>
      <c r="L34" s="8">
        <v>80.088499999999996</v>
      </c>
      <c r="M34" s="2">
        <f t="shared" si="2"/>
        <v>133.16227316000001</v>
      </c>
      <c r="N34" s="2">
        <v>334.14929999999998</v>
      </c>
      <c r="O34" s="2">
        <f t="shared" si="3"/>
        <v>39.851130365977127</v>
      </c>
      <c r="X34">
        <v>1994</v>
      </c>
      <c r="Y34">
        <v>24.765999999999998</v>
      </c>
      <c r="Z34">
        <v>57.302</v>
      </c>
      <c r="AA34">
        <v>5.7729999999999997</v>
      </c>
      <c r="AB34">
        <v>10.738</v>
      </c>
      <c r="AC34">
        <v>7.8890000000000002</v>
      </c>
      <c r="AD34">
        <v>1.7150000000000001</v>
      </c>
      <c r="AE34">
        <v>1.1339999999999999</v>
      </c>
      <c r="AF34" s="9">
        <v>98.576999999999998</v>
      </c>
      <c r="AG34">
        <f t="shared" si="4"/>
        <v>25.123507511894257</v>
      </c>
    </row>
    <row r="35" spans="1:33" x14ac:dyDescent="0.35">
      <c r="A35" s="2">
        <v>1974</v>
      </c>
      <c r="B35" s="2">
        <f>100*'GDP, CFC, NDP, NNI'!B81/'GDP, CFC, NDP, NNI'!F81</f>
        <v>36.834338221199978</v>
      </c>
      <c r="C35" s="2">
        <f t="shared" si="0"/>
        <v>37.983809589973603</v>
      </c>
      <c r="D35" s="2">
        <v>36.495511785860209</v>
      </c>
      <c r="E35" s="2"/>
      <c r="F35" s="2"/>
      <c r="H35" s="7">
        <v>1974</v>
      </c>
      <c r="I35" s="2">
        <v>0.56559999999999999</v>
      </c>
      <c r="J35" s="7">
        <v>395.56049999999999</v>
      </c>
      <c r="K35" s="2">
        <f t="shared" si="1"/>
        <v>223.72901879999998</v>
      </c>
      <c r="L35" s="8">
        <v>105.8866</v>
      </c>
      <c r="M35" s="2">
        <f t="shared" si="2"/>
        <v>160.19705879999998</v>
      </c>
      <c r="N35" s="2">
        <v>421.7509</v>
      </c>
      <c r="O35" s="2">
        <f t="shared" si="3"/>
        <v>37.983809589973603</v>
      </c>
      <c r="X35">
        <v>1995</v>
      </c>
      <c r="Y35">
        <v>30.436</v>
      </c>
      <c r="Z35">
        <v>69.616</v>
      </c>
      <c r="AA35">
        <v>7.5309999999999997</v>
      </c>
      <c r="AB35">
        <v>13.345000000000001</v>
      </c>
      <c r="AC35">
        <v>9.734</v>
      </c>
      <c r="AD35">
        <v>2.2599999999999998</v>
      </c>
      <c r="AE35">
        <v>1.351</v>
      </c>
      <c r="AF35" s="9">
        <v>120.928</v>
      </c>
      <c r="AG35">
        <f t="shared" si="4"/>
        <v>25.16869542206933</v>
      </c>
    </row>
    <row r="36" spans="1:33" x14ac:dyDescent="0.35">
      <c r="A36" s="2">
        <v>1975</v>
      </c>
      <c r="B36" s="2">
        <f>100*'GDP, CFC, NDP, NNI'!B82/'GDP, CFC, NDP, NNI'!F82</f>
        <v>37.353461470395409</v>
      </c>
      <c r="C36" s="2">
        <f t="shared" si="0"/>
        <v>37.414247457539915</v>
      </c>
      <c r="D36" s="2">
        <v>36.669418800367232</v>
      </c>
      <c r="E36" s="2"/>
      <c r="F36" s="2"/>
      <c r="H36" s="7">
        <v>1975</v>
      </c>
      <c r="I36" s="2">
        <v>0.56130000000000002</v>
      </c>
      <c r="J36" s="7">
        <v>498.63010000000003</v>
      </c>
      <c r="K36" s="2">
        <f t="shared" si="1"/>
        <v>279.88107513</v>
      </c>
      <c r="L36" s="8">
        <v>131.97909999999999</v>
      </c>
      <c r="M36" s="2">
        <f t="shared" si="2"/>
        <v>200.69361513000001</v>
      </c>
      <c r="N36" s="2">
        <v>536.40959999999995</v>
      </c>
      <c r="O36" s="2">
        <f t="shared" si="3"/>
        <v>37.414247457539915</v>
      </c>
      <c r="X36">
        <v>1996</v>
      </c>
      <c r="Y36">
        <v>34.149000000000001</v>
      </c>
      <c r="Z36">
        <v>79.474000000000004</v>
      </c>
      <c r="AA36">
        <v>8.92</v>
      </c>
      <c r="AB36">
        <v>14.537000000000001</v>
      </c>
      <c r="AC36">
        <v>10.695</v>
      </c>
      <c r="AD36">
        <v>2.3180000000000001</v>
      </c>
      <c r="AE36">
        <v>1.524</v>
      </c>
      <c r="AF36" s="9">
        <v>137.08099999999999</v>
      </c>
      <c r="AG36">
        <f t="shared" si="4"/>
        <v>24.91154864642073</v>
      </c>
    </row>
    <row r="37" spans="1:33" x14ac:dyDescent="0.35">
      <c r="A37" s="2">
        <v>1976</v>
      </c>
      <c r="B37" s="2">
        <f>100*'GDP, CFC, NDP, NNI'!B83/'GDP, CFC, NDP, NNI'!F83</f>
        <v>38.049664230087807</v>
      </c>
      <c r="C37" s="2">
        <f t="shared" si="0"/>
        <v>37.379647612841794</v>
      </c>
      <c r="D37" s="2">
        <v>46.600501417310696</v>
      </c>
      <c r="E37" s="2"/>
      <c r="F37" s="2"/>
      <c r="H37" s="7">
        <v>1976</v>
      </c>
      <c r="I37" s="2">
        <v>0.55910000000000004</v>
      </c>
      <c r="J37" s="7">
        <v>661.61450000000002</v>
      </c>
      <c r="K37" s="2">
        <f t="shared" si="1"/>
        <v>369.90866695000005</v>
      </c>
      <c r="L37" s="8">
        <v>176.23920000000001</v>
      </c>
      <c r="M37" s="2">
        <f t="shared" si="2"/>
        <v>264.16514695000006</v>
      </c>
      <c r="N37" s="2">
        <v>706.70849999999996</v>
      </c>
      <c r="O37" s="2">
        <f t="shared" si="3"/>
        <v>37.379647612841794</v>
      </c>
      <c r="X37">
        <v>1997</v>
      </c>
      <c r="Y37">
        <v>38.064</v>
      </c>
      <c r="Z37">
        <v>92.710999999999999</v>
      </c>
      <c r="AA37">
        <v>10.301</v>
      </c>
      <c r="AB37">
        <v>16.457000000000001</v>
      </c>
      <c r="AC37">
        <v>12.367000000000001</v>
      </c>
      <c r="AD37">
        <v>2.5910000000000002</v>
      </c>
      <c r="AE37">
        <v>1.4990000000000001</v>
      </c>
      <c r="AF37">
        <v>157.53299999999999</v>
      </c>
      <c r="AG37">
        <f t="shared" si="4"/>
        <v>24.162556416750778</v>
      </c>
    </row>
    <row r="38" spans="1:33" x14ac:dyDescent="0.35">
      <c r="A38" s="2">
        <v>1977</v>
      </c>
      <c r="B38" s="2">
        <f>100*'GDP, CFC, NDP, NNI'!B84/'GDP, CFC, NDP, NNI'!F84</f>
        <v>36.832365225857608</v>
      </c>
      <c r="C38" s="2">
        <f t="shared" si="0"/>
        <v>36.956889505262346</v>
      </c>
      <c r="D38" s="2">
        <v>36.732328375025801</v>
      </c>
      <c r="E38" s="2"/>
      <c r="F38" s="2"/>
      <c r="H38" s="7">
        <v>1977</v>
      </c>
      <c r="I38" s="2">
        <v>0.54969999999999997</v>
      </c>
      <c r="J38" s="7">
        <v>919.33730000000003</v>
      </c>
      <c r="K38" s="2">
        <f t="shared" si="1"/>
        <v>505.35971380999996</v>
      </c>
      <c r="L38" s="8">
        <v>250.11949999999999</v>
      </c>
      <c r="M38" s="2">
        <f t="shared" si="2"/>
        <v>355.28801380999994</v>
      </c>
      <c r="N38" s="2">
        <v>961.35799999999995</v>
      </c>
      <c r="O38" s="2">
        <f t="shared" si="3"/>
        <v>36.956889505262346</v>
      </c>
      <c r="X38">
        <v>1998</v>
      </c>
      <c r="Y38">
        <v>40.780999999999999</v>
      </c>
      <c r="Z38">
        <v>96.858999999999995</v>
      </c>
      <c r="AA38">
        <v>11.493</v>
      </c>
      <c r="AB38">
        <v>17.149000000000001</v>
      </c>
      <c r="AC38">
        <v>12.836</v>
      </c>
      <c r="AD38">
        <v>2.9590000000000001</v>
      </c>
      <c r="AE38">
        <v>1.3540000000000001</v>
      </c>
      <c r="AF38">
        <v>166.28200000000001</v>
      </c>
      <c r="AG38">
        <f t="shared" si="4"/>
        <v>24.525204171227191</v>
      </c>
    </row>
    <row r="39" spans="1:33" x14ac:dyDescent="0.35">
      <c r="A39" s="2">
        <v>1978</v>
      </c>
      <c r="B39" s="2">
        <f>100*'GDP, CFC, NDP, NNI'!B85/'GDP, CFC, NDP, NNI'!F85</f>
        <v>32.572751933660541</v>
      </c>
      <c r="C39" s="2">
        <f t="shared" si="0"/>
        <v>31.557788318959592</v>
      </c>
      <c r="D39" s="2">
        <v>31.348472026277118</v>
      </c>
      <c r="E39" s="2"/>
      <c r="F39" s="2"/>
      <c r="H39" s="7">
        <v>1978</v>
      </c>
      <c r="I39" s="2">
        <v>0.52529999999999999</v>
      </c>
      <c r="J39" s="7">
        <v>1397.5192999999999</v>
      </c>
      <c r="K39" s="2">
        <f t="shared" si="1"/>
        <v>734.11688828999991</v>
      </c>
      <c r="L39" s="8">
        <v>416.6816</v>
      </c>
      <c r="M39" s="2">
        <f t="shared" si="2"/>
        <v>484.1079282899999</v>
      </c>
      <c r="N39" s="2">
        <v>1534.0363</v>
      </c>
      <c r="O39" s="2">
        <f t="shared" si="3"/>
        <v>31.557788318959592</v>
      </c>
      <c r="X39">
        <v>1999</v>
      </c>
      <c r="Y39">
        <v>43.345999999999997</v>
      </c>
      <c r="Z39">
        <v>102.13200000000001</v>
      </c>
      <c r="AA39">
        <v>11.975</v>
      </c>
      <c r="AB39">
        <v>16.966999999999999</v>
      </c>
      <c r="AC39">
        <v>12.819000000000001</v>
      </c>
      <c r="AD39">
        <v>2.875</v>
      </c>
      <c r="AE39">
        <v>1.2729999999999999</v>
      </c>
      <c r="AF39">
        <v>174.422</v>
      </c>
      <c r="AG39">
        <f t="shared" si="4"/>
        <v>24.851222896194287</v>
      </c>
    </row>
    <row r="40" spans="1:33" x14ac:dyDescent="0.35">
      <c r="A40" s="2">
        <v>1979</v>
      </c>
      <c r="B40" s="2">
        <f>100*'GDP, CFC, NDP, NNI'!B86/'GDP, CFC, NDP, NNI'!F86</f>
        <v>28.108882521489967</v>
      </c>
      <c r="C40" s="2">
        <f t="shared" si="0"/>
        <v>26.284398058144646</v>
      </c>
      <c r="D40" s="2">
        <v>27.261926415441913</v>
      </c>
      <c r="E40" s="2"/>
      <c r="F40" s="2"/>
      <c r="H40" s="7">
        <v>1979</v>
      </c>
      <c r="I40" s="2">
        <v>0.49020000000000002</v>
      </c>
      <c r="J40" s="7">
        <v>2524.5726</v>
      </c>
      <c r="K40" s="2">
        <f t="shared" si="1"/>
        <v>1237.5454885199999</v>
      </c>
      <c r="L40" s="8">
        <v>831.33119999999997</v>
      </c>
      <c r="M40" s="2">
        <f t="shared" si="2"/>
        <v>738.74676851999993</v>
      </c>
      <c r="N40" s="2">
        <v>2810.5904</v>
      </c>
      <c r="O40" s="2">
        <f t="shared" si="3"/>
        <v>26.284398058144646</v>
      </c>
      <c r="X40">
        <v>2000</v>
      </c>
      <c r="Y40">
        <v>45.41</v>
      </c>
      <c r="Z40">
        <v>110.107</v>
      </c>
      <c r="AA40">
        <v>13.063000000000001</v>
      </c>
      <c r="AB40">
        <v>17.651</v>
      </c>
      <c r="AC40">
        <v>13.281000000000001</v>
      </c>
      <c r="AD40">
        <v>2.96</v>
      </c>
      <c r="AE40">
        <v>1.41</v>
      </c>
      <c r="AF40">
        <v>186.14099999999999</v>
      </c>
      <c r="AG40">
        <f t="shared" si="4"/>
        <v>24.395485142983006</v>
      </c>
    </row>
    <row r="41" spans="1:33" x14ac:dyDescent="0.35">
      <c r="A41" s="2">
        <v>1980</v>
      </c>
      <c r="B41" s="2">
        <f>100*'GDP, CFC, NDP, NNI'!B87/'GDP, CFC, NDP, NNI'!F87</f>
        <v>30.54431506080401</v>
      </c>
      <c r="C41" s="2">
        <f t="shared" si="0"/>
        <v>27.854563569786073</v>
      </c>
      <c r="D41" s="2">
        <v>30.135865880500905</v>
      </c>
      <c r="E41" s="2"/>
      <c r="F41" s="2"/>
      <c r="H41" s="7">
        <v>1980</v>
      </c>
      <c r="I41" s="2">
        <v>0.49709999999999999</v>
      </c>
      <c r="J41" s="7">
        <v>4350.3753999999999</v>
      </c>
      <c r="K41" s="2">
        <f t="shared" si="1"/>
        <v>2162.5716113399999</v>
      </c>
      <c r="L41" s="8">
        <v>1372.9638</v>
      </c>
      <c r="M41" s="2">
        <f t="shared" si="2"/>
        <v>1338.7933313399999</v>
      </c>
      <c r="N41" s="2">
        <v>4806.3698000000004</v>
      </c>
      <c r="O41" s="2">
        <f t="shared" si="3"/>
        <v>27.854563569786073</v>
      </c>
      <c r="X41">
        <v>2001</v>
      </c>
      <c r="Y41">
        <v>47.551000000000002</v>
      </c>
      <c r="Z41">
        <v>110.348</v>
      </c>
      <c r="AA41">
        <v>14.209</v>
      </c>
      <c r="AB41">
        <v>17.103999999999999</v>
      </c>
      <c r="AC41">
        <v>13.096</v>
      </c>
      <c r="AD41">
        <v>2.7909999999999999</v>
      </c>
      <c r="AE41">
        <v>1.2170000000000001</v>
      </c>
      <c r="AF41">
        <v>189.21299999999999</v>
      </c>
      <c r="AG41">
        <f t="shared" si="4"/>
        <v>25.130937092060275</v>
      </c>
    </row>
    <row r="42" spans="1:33" x14ac:dyDescent="0.35">
      <c r="A42" s="2">
        <v>1981</v>
      </c>
      <c r="B42" s="2">
        <f>100*'GDP, CFC, NDP, NNI'!B88/'GDP, CFC, NDP, NNI'!F88</f>
        <v>32.624907135979818</v>
      </c>
      <c r="C42" s="2">
        <f t="shared" si="0"/>
        <v>29.004463656305312</v>
      </c>
      <c r="D42" s="2"/>
      <c r="E42" s="2"/>
      <c r="F42" s="2"/>
      <c r="H42" s="7">
        <v>1981</v>
      </c>
      <c r="I42" s="2">
        <v>0.504</v>
      </c>
      <c r="J42" s="7">
        <v>7760.6166000000003</v>
      </c>
      <c r="K42" s="2">
        <f t="shared" si="1"/>
        <v>3911.3507664000003</v>
      </c>
      <c r="L42" s="8">
        <v>2372.7667000000001</v>
      </c>
      <c r="M42" s="2">
        <f t="shared" si="2"/>
        <v>2487.6907464000005</v>
      </c>
      <c r="N42" s="2">
        <v>8576.9238000000005</v>
      </c>
      <c r="O42" s="2">
        <f t="shared" si="3"/>
        <v>29.004463656305312</v>
      </c>
      <c r="X42">
        <v>2002</v>
      </c>
      <c r="Y42">
        <v>49.917999999999999</v>
      </c>
      <c r="Z42">
        <v>117.289</v>
      </c>
      <c r="AA42">
        <v>14.789</v>
      </c>
      <c r="AB42">
        <v>17.654</v>
      </c>
      <c r="AC42">
        <v>14.398999999999999</v>
      </c>
      <c r="AD42">
        <v>2.4889999999999999</v>
      </c>
      <c r="AE42">
        <v>766</v>
      </c>
      <c r="AF42">
        <v>199.65</v>
      </c>
      <c r="AG42">
        <f t="shared" si="4"/>
        <v>25.002754820936641</v>
      </c>
    </row>
    <row r="43" spans="1:33" x14ac:dyDescent="0.35">
      <c r="A43" s="2">
        <v>1982</v>
      </c>
      <c r="B43" s="2">
        <f>100*'GDP, CFC, NDP, NNI'!B89/'GDP, CFC, NDP, NNI'!F89</f>
        <v>34.668473603915501</v>
      </c>
      <c r="C43" s="2">
        <f t="shared" si="0"/>
        <v>29.989660061246052</v>
      </c>
      <c r="D43" s="2"/>
      <c r="E43" s="2"/>
      <c r="F43" s="2"/>
      <c r="H43" s="7">
        <v>1982</v>
      </c>
      <c r="I43" s="2">
        <v>0.51329999999999998</v>
      </c>
      <c r="J43" s="7">
        <v>13069.7809</v>
      </c>
      <c r="K43" s="2">
        <f t="shared" si="1"/>
        <v>6708.7185359699997</v>
      </c>
      <c r="L43" s="8">
        <v>3966.6981999999998</v>
      </c>
      <c r="M43" s="2">
        <f t="shared" si="2"/>
        <v>4328.6996159699993</v>
      </c>
      <c r="N43" s="2">
        <v>14433.973599999999</v>
      </c>
      <c r="O43" s="2">
        <f t="shared" si="3"/>
        <v>29.989660061246052</v>
      </c>
      <c r="X43">
        <v>2003</v>
      </c>
      <c r="Y43">
        <v>53.311999999999998</v>
      </c>
      <c r="Z43">
        <v>125.30200000000001</v>
      </c>
      <c r="AA43">
        <v>15.355</v>
      </c>
      <c r="AB43">
        <v>19.456</v>
      </c>
      <c r="AC43">
        <v>16.084</v>
      </c>
      <c r="AD43">
        <v>2.5499999999999998</v>
      </c>
      <c r="AE43">
        <v>822</v>
      </c>
      <c r="AF43">
        <v>213.42500000000001</v>
      </c>
      <c r="AG43">
        <f t="shared" si="4"/>
        <v>24.979266721330674</v>
      </c>
    </row>
    <row r="44" spans="1:33" x14ac:dyDescent="0.35">
      <c r="A44" s="2">
        <v>1983</v>
      </c>
      <c r="B44" s="2">
        <f>100*'GDP, CFC, NDP, NNI'!B90/'GDP, CFC, NDP, NNI'!F90</f>
        <v>36.800575659487073</v>
      </c>
      <c r="C44" s="2">
        <f t="shared" si="0"/>
        <v>30.905380446420246</v>
      </c>
      <c r="D44" s="2"/>
      <c r="E44" s="2"/>
      <c r="F44" s="2"/>
      <c r="H44" s="7">
        <v>1983</v>
      </c>
      <c r="I44" s="2">
        <v>0.52729999999999999</v>
      </c>
      <c r="J44" s="7">
        <v>23962.200799999999</v>
      </c>
      <c r="K44" s="2">
        <f t="shared" si="1"/>
        <v>12635.268481839999</v>
      </c>
      <c r="L44" s="8">
        <v>7586.2151999999996</v>
      </c>
      <c r="M44" s="2">
        <f t="shared" si="2"/>
        <v>8083.5393618399994</v>
      </c>
      <c r="N44" s="2">
        <v>26155.767199999998</v>
      </c>
      <c r="O44" s="2">
        <f t="shared" si="3"/>
        <v>30.905380446420246</v>
      </c>
      <c r="X44">
        <v>2004</v>
      </c>
      <c r="Y44">
        <v>56.976999999999997</v>
      </c>
      <c r="Z44">
        <v>141.828</v>
      </c>
      <c r="AA44">
        <v>16.91</v>
      </c>
      <c r="AB44">
        <v>22.187000000000001</v>
      </c>
      <c r="AC44">
        <v>18.603999999999999</v>
      </c>
      <c r="AD44">
        <v>2.7440000000000002</v>
      </c>
      <c r="AE44">
        <v>839</v>
      </c>
      <c r="AF44">
        <v>237.90199999999999</v>
      </c>
      <c r="AG44">
        <f t="shared" si="4"/>
        <v>23.949777639532243</v>
      </c>
    </row>
    <row r="45" spans="1:33" x14ac:dyDescent="0.35">
      <c r="A45" s="2">
        <v>1984</v>
      </c>
      <c r="B45" s="2">
        <f>100*'GDP, CFC, NDP, NNI'!B91/'GDP, CFC, NDP, NNI'!F91</f>
        <v>34.497689764798629</v>
      </c>
      <c r="C45" s="2">
        <f t="shared" si="0"/>
        <v>27.938084038114518</v>
      </c>
      <c r="D45" s="2"/>
      <c r="E45" s="2"/>
      <c r="F45" s="2"/>
      <c r="H45" s="7">
        <v>1984</v>
      </c>
      <c r="I45" s="2">
        <v>0.50380000000000003</v>
      </c>
      <c r="J45" s="7">
        <v>53459.731599999999</v>
      </c>
      <c r="K45" s="2">
        <f t="shared" si="1"/>
        <v>26933.01278008</v>
      </c>
      <c r="L45" s="8">
        <v>17694.463299999999</v>
      </c>
      <c r="M45" s="2">
        <f t="shared" si="2"/>
        <v>16316.334800080002</v>
      </c>
      <c r="N45" s="2">
        <v>58401.767200000002</v>
      </c>
      <c r="O45" s="2">
        <f t="shared" si="3"/>
        <v>27.938084038114518</v>
      </c>
      <c r="X45">
        <v>2005</v>
      </c>
      <c r="Y45">
        <v>60.323999999999998</v>
      </c>
      <c r="Z45">
        <v>157.946</v>
      </c>
      <c r="AA45">
        <v>18.512</v>
      </c>
      <c r="AB45">
        <v>24.872</v>
      </c>
      <c r="AC45">
        <v>20.172000000000001</v>
      </c>
      <c r="AD45">
        <v>3.1429999999999998</v>
      </c>
      <c r="AE45">
        <v>1.5569999999999999</v>
      </c>
      <c r="AF45">
        <v>261.65300000000002</v>
      </c>
      <c r="AG45">
        <f t="shared" si="4"/>
        <v>23.05496210630109</v>
      </c>
    </row>
    <row r="46" spans="1:33" x14ac:dyDescent="0.35">
      <c r="A46" s="2">
        <v>1985</v>
      </c>
      <c r="B46" s="2">
        <f>100*'GDP, CFC, NDP, NNI'!B92/'GDP, CFC, NDP, NNI'!F92</f>
        <v>32.532351873963883</v>
      </c>
      <c r="C46" s="2">
        <f t="shared" si="0"/>
        <v>25.727787002197889</v>
      </c>
      <c r="D46" s="2"/>
      <c r="E46" s="2"/>
      <c r="F46" s="2"/>
      <c r="H46" s="7">
        <v>1985</v>
      </c>
      <c r="I46" s="2">
        <v>0.48980000000000001</v>
      </c>
      <c r="J46" s="7">
        <v>143856.2023</v>
      </c>
      <c r="K46" s="2">
        <f t="shared" si="1"/>
        <v>70460.767886540008</v>
      </c>
      <c r="L46" s="8">
        <v>49054.280400000003</v>
      </c>
      <c r="M46" s="2">
        <f t="shared" si="2"/>
        <v>41028.199646540008</v>
      </c>
      <c r="N46" s="2">
        <v>159470.3798</v>
      </c>
      <c r="O46" s="2">
        <f t="shared" si="3"/>
        <v>25.727787002197889</v>
      </c>
      <c r="X46">
        <v>2006</v>
      </c>
      <c r="Y46">
        <v>66.319999999999993</v>
      </c>
      <c r="Z46">
        <v>187.167</v>
      </c>
      <c r="AA46">
        <v>20.9</v>
      </c>
      <c r="AB46">
        <v>27.869</v>
      </c>
      <c r="AC46">
        <v>23.158000000000001</v>
      </c>
      <c r="AD46">
        <v>2.847</v>
      </c>
      <c r="AE46">
        <v>1.8640000000000001</v>
      </c>
      <c r="AF46">
        <v>302.255</v>
      </c>
      <c r="AG46">
        <f t="shared" si="4"/>
        <v>21.94173793651056</v>
      </c>
    </row>
    <row r="47" spans="1:33" x14ac:dyDescent="0.35">
      <c r="A47" s="2">
        <v>1986</v>
      </c>
      <c r="B47" s="2">
        <f>100*'GDP, CFC, NDP, NNI'!B93/'GDP, CFC, NDP, NNI'!F93</f>
        <v>37.326400970017794</v>
      </c>
      <c r="C47" s="2">
        <f t="shared" si="0"/>
        <v>28.672947064036499</v>
      </c>
      <c r="D47" s="2"/>
      <c r="E47" s="2"/>
      <c r="F47" s="2"/>
      <c r="H47" s="7">
        <v>1986</v>
      </c>
      <c r="I47" s="2">
        <v>0.50249999999999995</v>
      </c>
      <c r="J47" s="7">
        <v>277731.35979999998</v>
      </c>
      <c r="K47" s="2">
        <f t="shared" si="1"/>
        <v>139560.00829949998</v>
      </c>
      <c r="L47" s="8">
        <v>88258.684099999999</v>
      </c>
      <c r="M47" s="2">
        <f t="shared" si="2"/>
        <v>86604.797839499981</v>
      </c>
      <c r="N47" s="2">
        <v>302043.5871</v>
      </c>
      <c r="O47" s="2">
        <f t="shared" si="3"/>
        <v>28.672947064036499</v>
      </c>
      <c r="X47">
        <v>2007</v>
      </c>
      <c r="Y47">
        <v>72.84</v>
      </c>
      <c r="Z47">
        <v>209.852</v>
      </c>
      <c r="AA47">
        <v>23.201000000000001</v>
      </c>
      <c r="AB47">
        <v>30.446000000000002</v>
      </c>
      <c r="AC47">
        <v>26.129000000000001</v>
      </c>
      <c r="AD47">
        <v>2.198</v>
      </c>
      <c r="AE47">
        <v>2.1190000000000002</v>
      </c>
      <c r="AF47">
        <v>336.339</v>
      </c>
      <c r="AG47">
        <f t="shared" si="4"/>
        <v>21.65672134364436</v>
      </c>
    </row>
    <row r="48" spans="1:33" x14ac:dyDescent="0.35">
      <c r="A48" s="2">
        <v>1987</v>
      </c>
      <c r="B48" s="2">
        <f>100*'GDP, CFC, NDP, NNI'!B94/'GDP, CFC, NDP, NNI'!F94</f>
        <v>41.157624141056267</v>
      </c>
      <c r="C48" s="2">
        <f t="shared" si="0"/>
        <v>30.901761395120015</v>
      </c>
      <c r="D48" s="2"/>
      <c r="E48" s="2"/>
      <c r="F48" s="2"/>
      <c r="H48" s="7">
        <v>1987</v>
      </c>
      <c r="I48" s="2">
        <v>0.51100000000000001</v>
      </c>
      <c r="J48" s="7">
        <v>557367.60840000003</v>
      </c>
      <c r="K48" s="2">
        <f t="shared" si="1"/>
        <v>284814.84789239999</v>
      </c>
      <c r="L48" s="8">
        <v>166885.7274</v>
      </c>
      <c r="M48" s="2">
        <f t="shared" si="2"/>
        <v>184683.41145239997</v>
      </c>
      <c r="N48" s="2">
        <v>597646.87549999997</v>
      </c>
      <c r="O48" s="2">
        <f t="shared" si="3"/>
        <v>30.901761395120015</v>
      </c>
      <c r="X48">
        <v>2008</v>
      </c>
      <c r="Y48">
        <v>79.218999999999994</v>
      </c>
      <c r="Z48">
        <v>238.10900000000001</v>
      </c>
      <c r="AA48">
        <v>25.408999999999999</v>
      </c>
      <c r="AB48">
        <v>35.512999999999998</v>
      </c>
      <c r="AC48">
        <v>31.012</v>
      </c>
      <c r="AD48">
        <v>1.911</v>
      </c>
      <c r="AE48">
        <v>2.59</v>
      </c>
      <c r="AF48">
        <v>378.24900000000002</v>
      </c>
      <c r="AG48">
        <f t="shared" si="4"/>
        <v>20.943611219064685</v>
      </c>
    </row>
    <row r="49" spans="1:33" x14ac:dyDescent="0.35">
      <c r="A49" s="2">
        <v>1988</v>
      </c>
      <c r="B49" s="2">
        <f>100*'GDP, CFC, NDP, NNI'!B95/'GDP, CFC, NDP, NNI'!F95</f>
        <v>35.039391424571981</v>
      </c>
      <c r="C49" s="2">
        <f t="shared" si="0"/>
        <v>24.993744773411162</v>
      </c>
      <c r="D49" s="2"/>
      <c r="E49" s="2"/>
      <c r="F49" s="2"/>
      <c r="H49" s="7">
        <v>1988</v>
      </c>
      <c r="I49" s="2">
        <v>0.46960000000000002</v>
      </c>
      <c r="J49" s="7">
        <v>3806233.2714999998</v>
      </c>
      <c r="K49" s="2">
        <f t="shared" si="1"/>
        <v>1787407.1442964</v>
      </c>
      <c r="L49" s="8">
        <v>1313359.9391000001</v>
      </c>
      <c r="M49" s="2">
        <f t="shared" si="2"/>
        <v>999391.18083640002</v>
      </c>
      <c r="N49" s="2">
        <v>3998565.2006000001</v>
      </c>
      <c r="O49" s="2">
        <f t="shared" si="3"/>
        <v>24.993744773411162</v>
      </c>
      <c r="X49">
        <v>2009</v>
      </c>
      <c r="Y49">
        <v>85.494</v>
      </c>
      <c r="Z49">
        <v>246.54400000000001</v>
      </c>
      <c r="AA49">
        <v>26.312000000000001</v>
      </c>
      <c r="AB49">
        <v>33.43</v>
      </c>
      <c r="AC49">
        <v>29.012</v>
      </c>
      <c r="AD49">
        <v>1.4930000000000001</v>
      </c>
      <c r="AE49">
        <v>2.9249999999999998</v>
      </c>
      <c r="AF49">
        <v>391.78</v>
      </c>
      <c r="AG49">
        <f t="shared" si="4"/>
        <v>21.821940885190667</v>
      </c>
    </row>
    <row r="50" spans="1:33" x14ac:dyDescent="0.35">
      <c r="A50" s="2">
        <v>1989</v>
      </c>
      <c r="B50" s="2">
        <f>100*'GDP, CFC, NDP, NNI'!B96/'GDP, CFC, NDP, NNI'!F96</f>
        <v>36.157093200704438</v>
      </c>
      <c r="C50" s="2">
        <f t="shared" si="0"/>
        <v>26.675205195082185</v>
      </c>
      <c r="D50" s="2"/>
      <c r="E50" s="2"/>
      <c r="F50" s="2"/>
      <c r="H50" s="7">
        <v>1989</v>
      </c>
      <c r="I50" s="2">
        <v>0.49020000000000002</v>
      </c>
      <c r="J50" s="7">
        <v>89561972.859099999</v>
      </c>
      <c r="K50" s="2">
        <f t="shared" si="1"/>
        <v>43903279.095530823</v>
      </c>
      <c r="L50" s="8">
        <v>31827818.308499999</v>
      </c>
      <c r="M50" s="2">
        <f t="shared" si="2"/>
        <v>24806588.110430826</v>
      </c>
      <c r="N50" s="2">
        <v>92994928.920000002</v>
      </c>
      <c r="O50" s="2">
        <f t="shared" si="3"/>
        <v>26.675205195082185</v>
      </c>
      <c r="X50">
        <v>2010</v>
      </c>
      <c r="Y50">
        <v>93.908000000000001</v>
      </c>
      <c r="Z50">
        <v>281.46499999999997</v>
      </c>
      <c r="AA50">
        <v>28.611000000000001</v>
      </c>
      <c r="AB50">
        <v>40.473999999999997</v>
      </c>
      <c r="AC50">
        <v>35.604999999999997</v>
      </c>
      <c r="AD50">
        <v>1.8029999999999999</v>
      </c>
      <c r="AE50">
        <v>3.0659999999999998</v>
      </c>
      <c r="AF50">
        <v>444.46</v>
      </c>
      <c r="AG50">
        <f t="shared" si="4"/>
        <v>21.128560500382488</v>
      </c>
    </row>
    <row r="51" spans="1:33" x14ac:dyDescent="0.35">
      <c r="A51" s="2">
        <v>1990</v>
      </c>
      <c r="B51" s="2">
        <f>100*'GDP, CFC, NDP, NNI'!B97/'GDP, CFC, NDP, NNI'!F97</f>
        <v>34.840323534406714</v>
      </c>
      <c r="C51" s="2">
        <f t="shared" si="0"/>
        <v>25.454581365587135</v>
      </c>
      <c r="D51" s="2"/>
      <c r="E51" s="2"/>
      <c r="F51" s="2"/>
      <c r="H51" s="7">
        <v>1990</v>
      </c>
      <c r="I51" s="2">
        <v>0.49399999999999999</v>
      </c>
      <c r="J51" s="7">
        <v>5084639307.9701004</v>
      </c>
      <c r="K51" s="2">
        <f t="shared" si="1"/>
        <v>2511811818.1372294</v>
      </c>
      <c r="L51" s="8">
        <v>1860019030.4335999</v>
      </c>
      <c r="M51" s="2">
        <f t="shared" si="2"/>
        <v>1395800399.8770695</v>
      </c>
      <c r="N51" s="2">
        <v>5483493834.8823004</v>
      </c>
      <c r="O51" s="2">
        <f t="shared" si="3"/>
        <v>25.454581365587135</v>
      </c>
      <c r="X51">
        <v>2011</v>
      </c>
      <c r="Y51">
        <v>105.45399999999999</v>
      </c>
      <c r="Z51">
        <v>316.78199999999998</v>
      </c>
      <c r="AA51">
        <v>31.355</v>
      </c>
      <c r="AB51">
        <v>44.189</v>
      </c>
      <c r="AC51">
        <v>39.122999999999998</v>
      </c>
      <c r="AD51">
        <v>1.38</v>
      </c>
      <c r="AE51">
        <v>3.6859999999999999</v>
      </c>
      <c r="AF51">
        <v>497.78</v>
      </c>
      <c r="AG51">
        <f t="shared" si="4"/>
        <v>21.18486078187151</v>
      </c>
    </row>
    <row r="52" spans="1:33" x14ac:dyDescent="0.35">
      <c r="A52" s="2">
        <v>1991</v>
      </c>
      <c r="B52" s="2">
        <f>100*'GDP, CFC, NDP, NNI'!B98/'GDP, CFC, NDP, NNI'!F98</f>
        <v>30.064453271378245</v>
      </c>
      <c r="C52" s="2">
        <f t="shared" si="0"/>
        <v>21.02828457798347</v>
      </c>
      <c r="D52" s="2"/>
      <c r="E52" s="2">
        <v>30.064453271378248</v>
      </c>
      <c r="F52" s="2"/>
      <c r="H52" s="7">
        <v>1991</v>
      </c>
      <c r="I52" s="2">
        <v>0.46279999999999999</v>
      </c>
      <c r="J52" s="7">
        <v>24667940595.224602</v>
      </c>
      <c r="K52" s="2">
        <f t="shared" si="1"/>
        <v>11416322907.469946</v>
      </c>
      <c r="L52" s="8">
        <v>9696507905.6058006</v>
      </c>
      <c r="M52" s="2">
        <f t="shared" si="2"/>
        <v>5598418164.1064653</v>
      </c>
      <c r="N52" s="2">
        <v>26623275633.087002</v>
      </c>
      <c r="O52" s="2">
        <f t="shared" si="3"/>
        <v>21.02828457798347</v>
      </c>
      <c r="X52">
        <v>2012</v>
      </c>
      <c r="Y52">
        <v>116.53400000000001</v>
      </c>
      <c r="Z52">
        <v>340.142</v>
      </c>
      <c r="AA52">
        <v>33.588000000000001</v>
      </c>
      <c r="AB52">
        <v>47.743000000000002</v>
      </c>
      <c r="AC52">
        <v>42.100999999999999</v>
      </c>
      <c r="AD52">
        <v>1.5289999999999999</v>
      </c>
      <c r="AE52">
        <v>4.1130000000000004</v>
      </c>
      <c r="AF52">
        <v>538.00599999999997</v>
      </c>
      <c r="AG52">
        <f t="shared" si="4"/>
        <v>21.660353230261375</v>
      </c>
    </row>
    <row r="53" spans="1:33" x14ac:dyDescent="0.35">
      <c r="A53" s="2">
        <v>1992</v>
      </c>
      <c r="B53" s="2">
        <f>100*'GDP, CFC, NDP, NNI'!B99/'GDP, CFC, NDP, NNI'!F99</f>
        <v>26.447623072987341</v>
      </c>
      <c r="C53" s="2">
        <f t="shared" si="0"/>
        <v>21.848216486140785</v>
      </c>
      <c r="D53" s="2"/>
      <c r="E53" s="2">
        <v>26.447623072987341</v>
      </c>
      <c r="F53" s="2"/>
      <c r="H53" s="7">
        <v>1992</v>
      </c>
      <c r="I53" s="2">
        <v>0.47320000000000001</v>
      </c>
      <c r="J53" s="7">
        <v>40800709167.8694</v>
      </c>
      <c r="K53" s="2">
        <f t="shared" si="1"/>
        <v>19306895578.235802</v>
      </c>
      <c r="L53" s="8">
        <v>15845560394.121201</v>
      </c>
      <c r="M53" s="2">
        <f t="shared" si="2"/>
        <v>9799559341.7630825</v>
      </c>
      <c r="N53" s="2">
        <v>44852902972.557701</v>
      </c>
      <c r="O53" s="2">
        <f t="shared" si="3"/>
        <v>21.848216486140785</v>
      </c>
    </row>
    <row r="54" spans="1:33" x14ac:dyDescent="0.35">
      <c r="A54" s="2">
        <v>1993</v>
      </c>
      <c r="B54" s="2">
        <f>100*'GDP, CFC, NDP, NNI'!B100/'GDP, CFC, NDP, NNI'!F100</f>
        <v>24.99350293090006</v>
      </c>
      <c r="C54" s="2">
        <f t="shared" si="0"/>
        <v>21.043610379565049</v>
      </c>
      <c r="D54" s="2"/>
      <c r="E54" s="2">
        <v>24.99350293090006</v>
      </c>
      <c r="F54" s="2"/>
      <c r="H54" s="7">
        <v>1993</v>
      </c>
      <c r="I54" s="2">
        <v>0.46529999999999999</v>
      </c>
      <c r="J54" s="7">
        <v>63023765185.986298</v>
      </c>
      <c r="K54" s="2">
        <f t="shared" si="1"/>
        <v>29324957941.039425</v>
      </c>
      <c r="L54" s="8">
        <v>24648968042.510201</v>
      </c>
      <c r="M54" s="2">
        <f t="shared" si="2"/>
        <v>14535577115.533304</v>
      </c>
      <c r="N54" s="2">
        <v>69073589813.506805</v>
      </c>
      <c r="O54" s="2">
        <f t="shared" si="3"/>
        <v>21.043610379565049</v>
      </c>
    </row>
    <row r="55" spans="1:33" x14ac:dyDescent="0.35">
      <c r="A55" s="2">
        <v>1994</v>
      </c>
      <c r="B55" s="2">
        <f>100*'GDP, CFC, NDP, NNI'!B101/'GDP, CFC, NDP, NNI'!F101</f>
        <v>25.123507511894257</v>
      </c>
      <c r="C55" s="2">
        <f t="shared" si="0"/>
        <v>21.7022823167821</v>
      </c>
      <c r="D55" s="2"/>
      <c r="E55" s="2">
        <v>25.123507511894257</v>
      </c>
      <c r="F55" s="2">
        <v>34.426196248693941</v>
      </c>
      <c r="H55" s="7">
        <v>1994</v>
      </c>
      <c r="I55" s="2">
        <v>0.46360000000000001</v>
      </c>
      <c r="J55" s="7">
        <v>88570831784.258804</v>
      </c>
      <c r="K55" s="2">
        <f t="shared" si="1"/>
        <v>41061437615.182381</v>
      </c>
      <c r="L55" s="8">
        <v>32885755230.5187</v>
      </c>
      <c r="M55" s="2">
        <f t="shared" si="2"/>
        <v>21329984476.871162</v>
      </c>
      <c r="N55" s="2">
        <v>98284522178.466705</v>
      </c>
      <c r="O55" s="2">
        <f t="shared" si="3"/>
        <v>21.7022823167821</v>
      </c>
    </row>
    <row r="56" spans="1:33" x14ac:dyDescent="0.35">
      <c r="A56" s="2">
        <v>1995</v>
      </c>
      <c r="B56" s="2">
        <f>100*'GDP, CFC, NDP, NNI'!B102/'GDP, CFC, NDP, NNI'!F102</f>
        <v>25.853043744582592</v>
      </c>
      <c r="C56" s="2">
        <f t="shared" si="0"/>
        <v>22.5589691942298</v>
      </c>
      <c r="D56" s="2"/>
      <c r="E56" s="2">
        <v>25.16869542206933</v>
      </c>
      <c r="F56" s="2">
        <v>34.679826713120413</v>
      </c>
      <c r="H56" s="7">
        <v>1995</v>
      </c>
      <c r="I56" s="2">
        <v>0.4662</v>
      </c>
      <c r="J56" s="7">
        <v>108113806669.939</v>
      </c>
      <c r="K56" s="2">
        <f t="shared" si="1"/>
        <v>50402656669.525558</v>
      </c>
      <c r="L56" s="8">
        <v>38687458517.7659</v>
      </c>
      <c r="M56" s="2">
        <f t="shared" si="2"/>
        <v>27190181558.86602</v>
      </c>
      <c r="N56" s="2">
        <v>120529361624.47</v>
      </c>
      <c r="O56" s="2">
        <f t="shared" si="3"/>
        <v>22.5589691942298</v>
      </c>
    </row>
    <row r="57" spans="1:33" x14ac:dyDescent="0.35">
      <c r="A57" s="2">
        <v>1996</v>
      </c>
      <c r="B57" s="2">
        <f>100*'GDP, CFC, NDP, NNI'!B103/'GDP, CFC, NDP, NNI'!F103</f>
        <v>26.284679044342433</v>
      </c>
      <c r="C57" s="2">
        <f t="shared" si="0"/>
        <v>23.021325392425421</v>
      </c>
      <c r="D57" s="2"/>
      <c r="E57" s="2">
        <v>24.91154864642073</v>
      </c>
      <c r="F57" s="2">
        <v>34.508797545831307</v>
      </c>
      <c r="H57" s="7">
        <v>1996</v>
      </c>
      <c r="I57" s="2">
        <v>0.4652</v>
      </c>
      <c r="J57" s="7">
        <v>122525804898.188</v>
      </c>
      <c r="K57" s="2">
        <f t="shared" si="1"/>
        <v>56999004438.637062</v>
      </c>
      <c r="L57" s="8">
        <v>42862332157.549797</v>
      </c>
      <c r="M57" s="2">
        <f t="shared" si="2"/>
        <v>31281605144.107185</v>
      </c>
      <c r="N57" s="2">
        <v>135880991258.651</v>
      </c>
      <c r="O57" s="2">
        <f t="shared" si="3"/>
        <v>23.021325392425421</v>
      </c>
    </row>
    <row r="58" spans="1:33" x14ac:dyDescent="0.35">
      <c r="A58" s="2">
        <v>1997</v>
      </c>
      <c r="B58" s="2">
        <f>100*'GDP, CFC, NDP, NNI'!B104/'GDP, CFC, NDP, NNI'!F104</f>
        <v>26.187606625699736</v>
      </c>
      <c r="C58" s="2">
        <f t="shared" si="0"/>
        <v>23.454414968355181</v>
      </c>
      <c r="D58" s="2"/>
      <c r="E58" s="2">
        <v>24.162556416750778</v>
      </c>
      <c r="F58" s="2">
        <v>33.672250734321032</v>
      </c>
      <c r="H58" s="7">
        <v>1997</v>
      </c>
      <c r="I58" s="2">
        <v>0.46439999999999998</v>
      </c>
      <c r="J58" s="7">
        <v>139313930537.84698</v>
      </c>
      <c r="K58" s="2">
        <f t="shared" si="1"/>
        <v>64697389341.776138</v>
      </c>
      <c r="L58" s="8">
        <v>47131123311.378098</v>
      </c>
      <c r="M58" s="2">
        <f t="shared" si="2"/>
        <v>36418715354.94928</v>
      </c>
      <c r="N58" s="2">
        <v>155274456447.05099</v>
      </c>
      <c r="O58" s="2">
        <f t="shared" si="3"/>
        <v>23.454414968355181</v>
      </c>
    </row>
    <row r="59" spans="1:33" x14ac:dyDescent="0.35">
      <c r="A59" s="2">
        <v>1998</v>
      </c>
      <c r="B59" s="2">
        <f>100*'GDP, CFC, NDP, NNI'!B105/'GDP, CFC, NDP, NNI'!F105</f>
        <v>27.303387633009756</v>
      </c>
      <c r="C59" s="2">
        <f t="shared" si="0"/>
        <v>24.145591114216991</v>
      </c>
      <c r="D59" s="2"/>
      <c r="E59" s="2">
        <v>24.525204171227191</v>
      </c>
      <c r="F59" s="2">
        <v>34.371963145658299</v>
      </c>
      <c r="H59" s="7">
        <v>1998</v>
      </c>
      <c r="I59" s="2">
        <v>0.4677</v>
      </c>
      <c r="J59" s="7">
        <v>146716947095.638</v>
      </c>
      <c r="K59" s="2">
        <f t="shared" si="1"/>
        <v>68619516156.62989</v>
      </c>
      <c r="L59" s="8">
        <v>48748553621.5755</v>
      </c>
      <c r="M59" s="2">
        <f t="shared" si="2"/>
        <v>39370383983.684586</v>
      </c>
      <c r="N59" s="2">
        <v>163054131901.13699</v>
      </c>
      <c r="O59" s="2">
        <f t="shared" si="3"/>
        <v>24.145591114216991</v>
      </c>
    </row>
    <row r="60" spans="1:33" x14ac:dyDescent="0.35">
      <c r="A60" s="2">
        <v>1999</v>
      </c>
      <c r="B60" s="2">
        <f>100*'GDP, CFC, NDP, NNI'!B106/'GDP, CFC, NDP, NNI'!F106</f>
        <v>28.418597685018952</v>
      </c>
      <c r="C60" s="2">
        <f t="shared" si="0"/>
        <v>24.848843728449204</v>
      </c>
      <c r="D60" s="2"/>
      <c r="E60" s="2">
        <v>24.851222896194287</v>
      </c>
      <c r="F60" s="2">
        <v>34.969592426659759</v>
      </c>
      <c r="H60" s="7">
        <v>1999</v>
      </c>
      <c r="I60" s="2">
        <v>0.47089999999999999</v>
      </c>
      <c r="J60" s="7">
        <v>153598471927.49399</v>
      </c>
      <c r="K60" s="2">
        <f t="shared" si="1"/>
        <v>72329520430.656921</v>
      </c>
      <c r="L60" s="8">
        <v>50015310485.987198</v>
      </c>
      <c r="M60" s="2">
        <f t="shared" si="2"/>
        <v>42320334139.064606</v>
      </c>
      <c r="N60" s="2">
        <v>170311080070.95099</v>
      </c>
      <c r="O60" s="2">
        <f t="shared" si="3"/>
        <v>24.848843728449204</v>
      </c>
    </row>
    <row r="61" spans="1:33" x14ac:dyDescent="0.35">
      <c r="A61" s="2">
        <v>2000</v>
      </c>
      <c r="B61" s="2">
        <f>100*'GDP, CFC, NDP, NNI'!B107/'GDP, CFC, NDP, NNI'!F107</f>
        <v>28.655983221763577</v>
      </c>
      <c r="C61" s="2">
        <f t="shared" si="0"/>
        <v>25.561740958446102</v>
      </c>
      <c r="D61" s="2"/>
      <c r="E61" s="2">
        <v>24.395485142983006</v>
      </c>
      <c r="F61" s="2">
        <v>34.458756035972179</v>
      </c>
      <c r="H61" s="7">
        <v>2000</v>
      </c>
      <c r="I61" s="2">
        <v>0.47360000000000002</v>
      </c>
      <c r="J61" s="7">
        <v>163647829662.81201</v>
      </c>
      <c r="K61" s="2">
        <f t="shared" si="1"/>
        <v>77503612128.30777</v>
      </c>
      <c r="L61" s="8">
        <v>52023652676.445</v>
      </c>
      <c r="M61" s="2">
        <f t="shared" si="2"/>
        <v>46289420522.440773</v>
      </c>
      <c r="N61" s="2">
        <v>181088684834.457</v>
      </c>
      <c r="O61" s="2">
        <f t="shared" si="3"/>
        <v>25.561740958446102</v>
      </c>
    </row>
    <row r="62" spans="1:33" x14ac:dyDescent="0.35">
      <c r="A62" s="2">
        <v>2001</v>
      </c>
      <c r="B62" s="2">
        <f>100*'GDP, CFC, NDP, NNI'!B108/'GDP, CFC, NDP, NNI'!F108</f>
        <v>30.322535552747024</v>
      </c>
      <c r="C62" s="2">
        <f t="shared" si="0"/>
        <v>26.203562947817328</v>
      </c>
      <c r="D62" s="2"/>
      <c r="E62" s="2">
        <v>25.130937092060275</v>
      </c>
      <c r="F62" s="2">
        <v>35.699375982731318</v>
      </c>
      <c r="H62" s="7">
        <v>2001</v>
      </c>
      <c r="I62" s="2">
        <v>0.47510000000000002</v>
      </c>
      <c r="J62" s="7">
        <v>165953681781.035</v>
      </c>
      <c r="K62" s="2">
        <f t="shared" si="1"/>
        <v>78844594214.169739</v>
      </c>
      <c r="L62" s="8">
        <v>51393525140.670898</v>
      </c>
      <c r="M62" s="2">
        <f t="shared" si="2"/>
        <v>48008479129.767197</v>
      </c>
      <c r="N62" s="2">
        <v>183213554680.991</v>
      </c>
      <c r="O62" s="2">
        <f t="shared" si="3"/>
        <v>26.203562947817328</v>
      </c>
    </row>
    <row r="63" spans="1:33" x14ac:dyDescent="0.35">
      <c r="A63" s="2">
        <v>2002</v>
      </c>
      <c r="B63" s="2">
        <f>100*'GDP, CFC, NDP, NNI'!B109/'GDP, CFC, NDP, NNI'!F109</f>
        <v>30.988151383258305</v>
      </c>
      <c r="C63" s="2">
        <f t="shared" ref="C63:C84" si="5">O63</f>
        <v>26.917762187756523</v>
      </c>
      <c r="D63" s="2"/>
      <c r="E63" s="2">
        <v>25.002754820936641</v>
      </c>
      <c r="F63" s="2">
        <v>35.453134811693332</v>
      </c>
      <c r="H63" s="7">
        <v>2002</v>
      </c>
      <c r="I63" s="2">
        <v>0.47520000000000001</v>
      </c>
      <c r="J63" s="7">
        <v>175541746644.26901</v>
      </c>
      <c r="K63" s="2">
        <f t="shared" ref="K63:K85" si="6">I63*J63</f>
        <v>83417438005.356644</v>
      </c>
      <c r="L63" s="8">
        <v>52218921512.378998</v>
      </c>
      <c r="M63" s="2">
        <f t="shared" si="2"/>
        <v>52086085097.929245</v>
      </c>
      <c r="N63" s="2">
        <v>193500799712.17099</v>
      </c>
      <c r="O63" s="2">
        <f t="shared" si="3"/>
        <v>26.917762187756523</v>
      </c>
    </row>
    <row r="64" spans="1:33" x14ac:dyDescent="0.35">
      <c r="A64" s="2">
        <v>2003</v>
      </c>
      <c r="B64" s="2">
        <f>100*'GDP, CFC, NDP, NNI'!B110/'GDP, CFC, NDP, NNI'!F110</f>
        <v>31.800830928570317</v>
      </c>
      <c r="C64" s="2">
        <f t="shared" si="5"/>
        <v>27.605894910114881</v>
      </c>
      <c r="D64" s="2"/>
      <c r="E64" s="2">
        <v>24.979266721330674</v>
      </c>
      <c r="F64" s="2">
        <v>35.554500653332482</v>
      </c>
      <c r="H64" s="7">
        <v>2003</v>
      </c>
      <c r="I64" s="2">
        <v>0.47570000000000001</v>
      </c>
      <c r="J64" s="7">
        <v>186378932386.336</v>
      </c>
      <c r="K64" s="2">
        <f t="shared" si="6"/>
        <v>88660458136.180038</v>
      </c>
      <c r="L64" s="8">
        <v>53379680141.735199</v>
      </c>
      <c r="M64" s="2">
        <f t="shared" si="2"/>
        <v>56632650051.138916</v>
      </c>
      <c r="N64" s="2">
        <v>205146945011.32999</v>
      </c>
      <c r="O64" s="2">
        <f t="shared" si="3"/>
        <v>27.605894910114881</v>
      </c>
    </row>
    <row r="65" spans="1:15" x14ac:dyDescent="0.35">
      <c r="A65" s="2">
        <v>2004</v>
      </c>
      <c r="B65" s="2">
        <f>100*'GDP, CFC, NDP, NNI'!B111/'GDP, CFC, NDP, NNI'!F111</f>
        <v>31.319242104643383</v>
      </c>
      <c r="C65" s="2">
        <f t="shared" si="5"/>
        <v>28.235610191329883</v>
      </c>
      <c r="D65" s="2"/>
      <c r="E65" s="2">
        <v>23.949777639532243</v>
      </c>
      <c r="F65" s="2">
        <v>34.082084804878583</v>
      </c>
      <c r="H65" s="7">
        <v>2004</v>
      </c>
      <c r="I65" s="2">
        <v>0.47570000000000001</v>
      </c>
      <c r="J65" s="7">
        <v>207986276089.828</v>
      </c>
      <c r="K65" s="2">
        <f t="shared" si="6"/>
        <v>98939071535.931183</v>
      </c>
      <c r="L65" s="8">
        <v>57250631262.688301</v>
      </c>
      <c r="M65" s="2">
        <f t="shared" si="2"/>
        <v>64588692778.318207</v>
      </c>
      <c r="N65" s="2">
        <v>228749059576.375</v>
      </c>
      <c r="O65" s="2">
        <f t="shared" si="3"/>
        <v>28.235610191329883</v>
      </c>
    </row>
    <row r="66" spans="1:15" x14ac:dyDescent="0.35">
      <c r="A66" s="2">
        <v>2005</v>
      </c>
      <c r="B66" s="2">
        <f>100*'GDP, CFC, NDP, NNI'!B112/'GDP, CFC, NDP, NNI'!F112</f>
        <v>30.968854882955018</v>
      </c>
      <c r="C66" s="2">
        <f t="shared" si="5"/>
        <v>29.023440012771459</v>
      </c>
      <c r="D66" s="2"/>
      <c r="E66" s="2">
        <v>23.05496210630109</v>
      </c>
      <c r="F66" s="2">
        <v>32.605912685593964</v>
      </c>
      <c r="H66" s="7">
        <v>2005</v>
      </c>
      <c r="I66" s="2">
        <v>0.47439999999999999</v>
      </c>
      <c r="J66" s="7">
        <v>228998538670.15201</v>
      </c>
      <c r="K66" s="2">
        <f t="shared" si="6"/>
        <v>108636906745.12012</v>
      </c>
      <c r="L66" s="8">
        <v>59418152427.881401</v>
      </c>
      <c r="M66" s="2">
        <f t="shared" si="2"/>
        <v>72986015288.391281</v>
      </c>
      <c r="N66" s="2">
        <v>251472655399.479</v>
      </c>
      <c r="O66" s="2">
        <f t="shared" si="3"/>
        <v>29.023440012771459</v>
      </c>
    </row>
    <row r="67" spans="1:15" x14ac:dyDescent="0.35">
      <c r="A67" s="2">
        <v>2006</v>
      </c>
      <c r="B67" s="2">
        <f>100*'GDP, CFC, NDP, NNI'!B113/'GDP, CFC, NDP, NNI'!F113</f>
        <v>30.274901150407064</v>
      </c>
      <c r="C67" s="2">
        <f t="shared" si="5"/>
        <v>29.710990468079125</v>
      </c>
      <c r="D67" s="2"/>
      <c r="E67" s="2">
        <v>21.94173793651056</v>
      </c>
      <c r="F67" s="2">
        <v>30.880453093833005</v>
      </c>
      <c r="H67" s="7">
        <v>2006</v>
      </c>
      <c r="I67" s="2">
        <v>0.47199999999999998</v>
      </c>
      <c r="J67" s="7">
        <v>265152286745.78101</v>
      </c>
      <c r="K67" s="2">
        <f t="shared" si="6"/>
        <v>125151879344.00862</v>
      </c>
      <c r="L67" s="8">
        <v>64500781064.565903</v>
      </c>
      <c r="M67" s="2">
        <f t="shared" si="2"/>
        <v>86451410705.269073</v>
      </c>
      <c r="N67" s="2">
        <v>290974515972.97198</v>
      </c>
      <c r="O67" s="2">
        <f t="shared" si="3"/>
        <v>29.710990468079125</v>
      </c>
    </row>
    <row r="68" spans="1:15" x14ac:dyDescent="0.35">
      <c r="A68" s="2">
        <v>2007</v>
      </c>
      <c r="B68" s="2">
        <f>100*'GDP, CFC, NDP, NNI'!B114/'GDP, CFC, NDP, NNI'!F114</f>
        <v>30.694134685463872</v>
      </c>
      <c r="C68" s="2">
        <f t="shared" si="5"/>
        <v>30.57089269842853</v>
      </c>
      <c r="D68" s="2"/>
      <c r="E68" s="2">
        <v>21.65672134364436</v>
      </c>
      <c r="F68" s="2">
        <v>30.694134685463865</v>
      </c>
      <c r="H68" s="7">
        <v>2007</v>
      </c>
      <c r="I68" s="2">
        <v>0.47199999999999998</v>
      </c>
      <c r="J68" s="7">
        <v>292961615569.21899</v>
      </c>
      <c r="K68" s="2">
        <f t="shared" si="6"/>
        <v>138277882548.67136</v>
      </c>
      <c r="L68" s="8">
        <v>67228948421.414497</v>
      </c>
      <c r="M68" s="2">
        <f t="shared" si="2"/>
        <v>97940513495.822662</v>
      </c>
      <c r="N68" s="2">
        <v>320371781295.27502</v>
      </c>
      <c r="O68" s="2">
        <f t="shared" si="3"/>
        <v>30.57089269842853</v>
      </c>
    </row>
    <row r="69" spans="1:15" x14ac:dyDescent="0.35">
      <c r="A69" s="2">
        <v>2008</v>
      </c>
      <c r="B69" s="2">
        <f>100*'GDP, CFC, NDP, NNI'!B115/'GDP, CFC, NDP, NNI'!F115</f>
        <v>30.605382755111005</v>
      </c>
      <c r="C69" s="2">
        <f t="shared" si="5"/>
        <v>30.469163436106946</v>
      </c>
      <c r="D69" s="2"/>
      <c r="E69" s="2">
        <v>20.943611219064685</v>
      </c>
      <c r="F69" s="2">
        <v>30.605382755111009</v>
      </c>
      <c r="H69" s="7">
        <v>2008</v>
      </c>
      <c r="I69" s="2">
        <v>0.4738</v>
      </c>
      <c r="J69" s="7">
        <v>322997794952.15601</v>
      </c>
      <c r="K69" s="2">
        <f t="shared" si="6"/>
        <v>153036355248.33151</v>
      </c>
      <c r="L69" s="8">
        <v>75746577294.675293</v>
      </c>
      <c r="M69" s="2">
        <f t="shared" si="2"/>
        <v>107588408871.52634</v>
      </c>
      <c r="N69" s="2">
        <v>353105883911.57001</v>
      </c>
      <c r="O69" s="2">
        <f t="shared" si="3"/>
        <v>30.469163436106946</v>
      </c>
    </row>
    <row r="70" spans="1:15" x14ac:dyDescent="0.35">
      <c r="A70" s="2">
        <v>2009</v>
      </c>
      <c r="B70" s="2">
        <f>100*'GDP, CFC, NDP, NNI'!B116/'GDP, CFC, NDP, NNI'!F116</f>
        <v>31.301055385046556</v>
      </c>
      <c r="C70" s="2">
        <f t="shared" si="5"/>
        <v>31.145054721936276</v>
      </c>
      <c r="D70" s="2"/>
      <c r="E70" s="2">
        <v>21.821940885190667</v>
      </c>
      <c r="F70" s="2">
        <v>31.30105538504656</v>
      </c>
      <c r="H70" s="7">
        <v>2009</v>
      </c>
      <c r="I70" s="2">
        <v>0.4889</v>
      </c>
      <c r="J70" s="7">
        <v>334481402767.63702</v>
      </c>
      <c r="K70" s="2">
        <f t="shared" si="6"/>
        <v>163527957813.09775</v>
      </c>
      <c r="L70" s="8">
        <v>83115446545.294907</v>
      </c>
      <c r="M70" s="2">
        <f t="shared" si="2"/>
        <v>113658689885.92081</v>
      </c>
      <c r="N70" s="2">
        <v>364933344637.43298</v>
      </c>
      <c r="O70" s="2">
        <f t="shared" si="3"/>
        <v>31.145054721936276</v>
      </c>
    </row>
    <row r="71" spans="1:15" x14ac:dyDescent="0.35">
      <c r="A71" s="2">
        <v>2010</v>
      </c>
      <c r="B71" s="2">
        <f>100*'GDP, CFC, NDP, NNI'!B117/'GDP, CFC, NDP, NNI'!F117</f>
        <v>30.283792084149106</v>
      </c>
      <c r="C71" s="2">
        <f t="shared" si="5"/>
        <v>30.126750799154586</v>
      </c>
      <c r="D71" s="2"/>
      <c r="E71" s="2">
        <v>21.128560500382488</v>
      </c>
      <c r="F71" s="2">
        <v>30.283792084149102</v>
      </c>
      <c r="H71" s="7">
        <v>2010</v>
      </c>
      <c r="I71" s="2">
        <v>0.47699999999999998</v>
      </c>
      <c r="J71" s="7">
        <v>380315530153.80103</v>
      </c>
      <c r="K71" s="2">
        <f t="shared" si="6"/>
        <v>181410507883.36307</v>
      </c>
      <c r="L71" s="8">
        <v>92787621184.795395</v>
      </c>
      <c r="M71" s="2">
        <f t="shared" si="2"/>
        <v>125737935172.48584</v>
      </c>
      <c r="N71" s="2">
        <v>417363080442.164</v>
      </c>
      <c r="O71" s="2">
        <f t="shared" si="3"/>
        <v>30.126750799154586</v>
      </c>
    </row>
    <row r="72" spans="1:15" x14ac:dyDescent="0.35">
      <c r="A72" s="2">
        <v>2011</v>
      </c>
      <c r="B72" s="2">
        <f>100*'GDP, CFC, NDP, NNI'!B118/'GDP, CFC, NDP, NNI'!F118</f>
        <v>29.763935659942202</v>
      </c>
      <c r="C72" s="2">
        <f t="shared" si="5"/>
        <v>29.599422644813817</v>
      </c>
      <c r="D72" s="2"/>
      <c r="E72" s="2">
        <v>21.18486078187151</v>
      </c>
      <c r="F72" s="2">
        <v>29.763935659942206</v>
      </c>
      <c r="H72" s="7">
        <v>2011</v>
      </c>
      <c r="I72" s="2">
        <v>0.46439999999999998</v>
      </c>
      <c r="J72" s="7">
        <v>434822886983.17999</v>
      </c>
      <c r="K72" s="2">
        <f t="shared" si="6"/>
        <v>201931748714.98877</v>
      </c>
      <c r="L72" s="8">
        <v>103084784044.563</v>
      </c>
      <c r="M72" s="2">
        <f t="shared" si="2"/>
        <v>140080878288.25098</v>
      </c>
      <c r="N72" s="2">
        <v>473255441395.56</v>
      </c>
      <c r="O72" s="2">
        <f t="shared" si="3"/>
        <v>29.599422644813817</v>
      </c>
    </row>
    <row r="73" spans="1:15" x14ac:dyDescent="0.35">
      <c r="A73" s="2">
        <v>2012</v>
      </c>
      <c r="B73" s="2">
        <f>100*'GDP, CFC, NDP, NNI'!B119/'GDP, CFC, NDP, NNI'!F119</f>
        <v>30.721998854626072</v>
      </c>
      <c r="C73" s="2">
        <f t="shared" si="5"/>
        <v>30.548941769545536</v>
      </c>
      <c r="D73" s="2"/>
      <c r="E73" s="2">
        <v>21.660353230261375</v>
      </c>
      <c r="F73" s="2">
        <v>30.721998854626072</v>
      </c>
      <c r="H73" s="7">
        <v>2012</v>
      </c>
      <c r="I73" s="2">
        <v>0.48110000000000003</v>
      </c>
      <c r="J73" s="7">
        <v>463805883012.04303</v>
      </c>
      <c r="K73" s="2">
        <f t="shared" si="6"/>
        <v>223137010317.0939</v>
      </c>
      <c r="L73" s="8">
        <v>113076596652.237</v>
      </c>
      <c r="M73" s="2">
        <f t="shared" si="2"/>
        <v>155291052325.75171</v>
      </c>
      <c r="N73" s="2">
        <v>508335291930.02197</v>
      </c>
      <c r="O73" s="2">
        <f t="shared" si="3"/>
        <v>30.548941769545536</v>
      </c>
    </row>
    <row r="74" spans="1:15" x14ac:dyDescent="0.35">
      <c r="A74" s="2">
        <v>2013</v>
      </c>
      <c r="B74" s="2">
        <f>100*'GDP, CFC, NDP, NNI'!B120/'GDP, CFC, NDP, NNI'!F120</f>
        <v>31.207640059165936</v>
      </c>
      <c r="C74" s="2">
        <f t="shared" si="5"/>
        <v>31.046481267838978</v>
      </c>
      <c r="D74" s="2"/>
      <c r="E74" s="2"/>
      <c r="F74" s="2">
        <v>31.207640059165936</v>
      </c>
      <c r="H74" s="7">
        <v>2013</v>
      </c>
      <c r="I74" s="2">
        <v>0.48449999999999999</v>
      </c>
      <c r="J74" s="7">
        <v>495309926983.617</v>
      </c>
      <c r="K74" s="2">
        <f t="shared" si="6"/>
        <v>239977659623.56244</v>
      </c>
      <c r="L74" s="8">
        <v>118900327582.356</v>
      </c>
      <c r="M74" s="2">
        <f t="shared" si="2"/>
        <v>168637463074.14883</v>
      </c>
      <c r="N74" s="2">
        <v>543177378522.57098</v>
      </c>
      <c r="O74" s="2">
        <f t="shared" si="3"/>
        <v>31.046481267838978</v>
      </c>
    </row>
    <row r="75" spans="1:15" x14ac:dyDescent="0.35">
      <c r="A75" s="2">
        <v>2014</v>
      </c>
      <c r="B75" s="2">
        <f>100*'GDP, CFC, NDP, NNI'!B121/'GDP, CFC, NDP, NNI'!F121</f>
        <v>31.666318738476701</v>
      </c>
      <c r="C75" s="2">
        <f t="shared" si="5"/>
        <v>31.483358798293906</v>
      </c>
      <c r="D75" s="2"/>
      <c r="E75" s="2"/>
      <c r="F75" s="2">
        <v>31.666318738476708</v>
      </c>
      <c r="H75" s="7">
        <v>2014</v>
      </c>
      <c r="I75" s="2">
        <v>0.49519999999999997</v>
      </c>
      <c r="J75" s="7">
        <v>515816758851.883</v>
      </c>
      <c r="K75" s="2">
        <f t="shared" si="6"/>
        <v>255432458983.45245</v>
      </c>
      <c r="L75" s="8">
        <v>126696269404.56</v>
      </c>
      <c r="M75" s="2">
        <f t="shared" si="2"/>
        <v>179414697340.71646</v>
      </c>
      <c r="N75" s="2">
        <v>569871526383.77002</v>
      </c>
      <c r="O75" s="2">
        <f t="shared" si="3"/>
        <v>31.483358798293906</v>
      </c>
    </row>
    <row r="76" spans="1:15" x14ac:dyDescent="0.35">
      <c r="A76" s="2">
        <v>2015</v>
      </c>
      <c r="B76" s="2">
        <f>100*'GDP, CFC, NDP, NNI'!B122/'GDP, CFC, NDP, NNI'!F122</f>
        <v>31.824107899195255</v>
      </c>
      <c r="C76" s="2">
        <f t="shared" si="5"/>
        <v>31.641092089670948</v>
      </c>
      <c r="D76" s="2"/>
      <c r="E76" s="2"/>
      <c r="F76" s="2">
        <v>31.824107899195255</v>
      </c>
      <c r="H76" s="7">
        <v>2015</v>
      </c>
      <c r="I76" s="2">
        <v>0.497</v>
      </c>
      <c r="J76" s="7">
        <v>552563045987.57397</v>
      </c>
      <c r="K76" s="2">
        <f t="shared" si="6"/>
        <v>274623833855.82425</v>
      </c>
      <c r="L76" s="8">
        <v>138345504585.052</v>
      </c>
      <c r="M76" s="2">
        <f t="shared" si="2"/>
        <v>191616531104.79303</v>
      </c>
      <c r="N76" s="2">
        <v>605593923755.06897</v>
      </c>
      <c r="O76" s="2">
        <f t="shared" si="3"/>
        <v>31.641092089670948</v>
      </c>
    </row>
    <row r="77" spans="1:15" x14ac:dyDescent="0.35">
      <c r="A77" s="2">
        <v>2016</v>
      </c>
      <c r="B77" s="2">
        <f>100*'GDP, CFC, NDP, NNI'!B123/'GDP, CFC, NDP, NNI'!F123</f>
        <v>31.524947967168366</v>
      </c>
      <c r="C77" s="2">
        <f t="shared" si="5"/>
        <v>31.351274893187281</v>
      </c>
      <c r="D77" s="2"/>
      <c r="E77" s="2"/>
      <c r="F77" s="2">
        <v>31.524947967168362</v>
      </c>
      <c r="H77" s="7">
        <v>2016</v>
      </c>
      <c r="I77" s="2">
        <v>0.49540000000000001</v>
      </c>
      <c r="J77" s="7">
        <v>593236328001.39099</v>
      </c>
      <c r="K77" s="2">
        <f t="shared" si="6"/>
        <v>293889276891.8891</v>
      </c>
      <c r="L77" s="8">
        <v>150642377428.966</v>
      </c>
      <c r="M77" s="2">
        <f t="shared" si="2"/>
        <v>203503850434.50952</v>
      </c>
      <c r="N77" s="2">
        <v>649108692159.53796</v>
      </c>
      <c r="O77" s="2">
        <f t="shared" si="3"/>
        <v>31.351274893187281</v>
      </c>
    </row>
    <row r="78" spans="1:15" x14ac:dyDescent="0.35">
      <c r="A78" s="2">
        <v>2017</v>
      </c>
      <c r="B78" s="2">
        <f>100*'GDP, CFC, NDP, NNI'!B124/'GDP, CFC, NDP, NNI'!F124</f>
        <v>31.236691284308328</v>
      </c>
      <c r="C78" s="2">
        <f t="shared" si="5"/>
        <v>31.095945069955132</v>
      </c>
      <c r="D78" s="2"/>
      <c r="E78" s="2"/>
      <c r="F78" s="2">
        <v>31.264598707246773</v>
      </c>
      <c r="H78" s="7">
        <v>2017</v>
      </c>
      <c r="I78" s="2">
        <v>0.48799999999999999</v>
      </c>
      <c r="J78" s="7">
        <v>632405654823.35498</v>
      </c>
      <c r="K78" s="2">
        <f t="shared" si="6"/>
        <v>308613959553.79724</v>
      </c>
      <c r="L78" s="8">
        <v>157602162655.91599</v>
      </c>
      <c r="M78" s="2">
        <f t="shared" si="2"/>
        <v>214052661960.24765</v>
      </c>
      <c r="N78" s="2">
        <v>688361976066.98596</v>
      </c>
      <c r="O78" s="2">
        <f t="shared" si="3"/>
        <v>31.095945069955132</v>
      </c>
    </row>
    <row r="79" spans="1:15" x14ac:dyDescent="0.35">
      <c r="A79" s="2">
        <v>2018</v>
      </c>
      <c r="B79" s="2">
        <f>100*'GDP, CFC, NDP, NNI'!B125/'GDP, CFC, NDP, NNI'!F125</f>
        <v>31.193261466236759</v>
      </c>
      <c r="C79" s="2">
        <f t="shared" si="5"/>
        <v>30.935132175059454</v>
      </c>
      <c r="D79" s="2"/>
      <c r="E79" s="2"/>
      <c r="F79" s="2">
        <v>31.110269714648137</v>
      </c>
      <c r="H79" s="7">
        <v>2018</v>
      </c>
      <c r="I79" s="2">
        <v>0.48659999999999998</v>
      </c>
      <c r="J79" s="7">
        <v>669344504277.14795</v>
      </c>
      <c r="K79" s="2">
        <f t="shared" si="6"/>
        <v>325703035781.26019</v>
      </c>
      <c r="L79" s="8">
        <v>165206959761.57199</v>
      </c>
      <c r="M79" s="2">
        <f t="shared" si="2"/>
        <v>226578859924.31702</v>
      </c>
      <c r="N79" s="2">
        <v>732432170136.28796</v>
      </c>
      <c r="O79" s="2">
        <f t="shared" si="3"/>
        <v>30.935132175059454</v>
      </c>
    </row>
    <row r="80" spans="1:15" x14ac:dyDescent="0.35">
      <c r="A80" s="2">
        <v>2019</v>
      </c>
      <c r="B80" s="2">
        <f>100*'GDP, CFC, NDP, NNI'!B126/'GDP, CFC, NDP, NNI'!F126</f>
        <v>31.206530547045148</v>
      </c>
      <c r="C80" s="2">
        <f t="shared" si="5"/>
        <v>31.437856807335329</v>
      </c>
      <c r="D80" s="2"/>
      <c r="E80" s="2"/>
      <c r="F80" s="2">
        <v>31.616543129514529</v>
      </c>
      <c r="H80" s="7">
        <v>2019</v>
      </c>
      <c r="I80" s="2">
        <v>0.49440000000000001</v>
      </c>
      <c r="J80" s="7">
        <v>693250728722.61694</v>
      </c>
      <c r="K80" s="2">
        <f t="shared" si="6"/>
        <v>342743160280.46179</v>
      </c>
      <c r="L80" s="8">
        <v>171426712905.72299</v>
      </c>
      <c r="M80" s="2">
        <f t="shared" si="2"/>
        <v>239887132537.02802</v>
      </c>
      <c r="N80" s="2">
        <v>763051800913.65405</v>
      </c>
      <c r="O80" s="2">
        <f t="shared" si="3"/>
        <v>31.437856807335329</v>
      </c>
    </row>
    <row r="81" spans="1:15" x14ac:dyDescent="0.35">
      <c r="A81" s="2">
        <v>2020</v>
      </c>
      <c r="B81" s="2">
        <f>100*'GDP, CFC, NDP, NNI'!B127/'GDP, CFC, NDP, NNI'!F127</f>
        <v>30.905720150870479</v>
      </c>
      <c r="C81" s="2">
        <f t="shared" si="5"/>
        <v>30.735395815886701</v>
      </c>
      <c r="D81" s="2"/>
      <c r="E81" s="2"/>
      <c r="F81" s="2">
        <v>30.90572015087049</v>
      </c>
      <c r="H81" s="7">
        <v>2020</v>
      </c>
      <c r="I81" s="2">
        <v>0.47320000000000001</v>
      </c>
      <c r="J81" s="7">
        <v>645972389415.84399</v>
      </c>
      <c r="K81" s="2">
        <f t="shared" si="6"/>
        <v>305674134671.57739</v>
      </c>
      <c r="L81" s="8">
        <v>147417190599.216</v>
      </c>
      <c r="M81" s="2">
        <f t="shared" si="2"/>
        <v>217223820312.04779</v>
      </c>
      <c r="N81" s="2">
        <v>706754588791.62305</v>
      </c>
      <c r="O81" s="2">
        <f t="shared" si="3"/>
        <v>30.735395815886701</v>
      </c>
    </row>
    <row r="82" spans="1:15" x14ac:dyDescent="0.35">
      <c r="A82" s="2">
        <v>2021</v>
      </c>
      <c r="B82" s="2">
        <f>100*'GDP, CFC, NDP, NNI'!B128/'GDP, CFC, NDP, NNI'!F128</f>
        <v>28.222067897720809</v>
      </c>
      <c r="C82" s="2">
        <f t="shared" si="5"/>
        <v>28.071616899487573</v>
      </c>
      <c r="D82" s="2"/>
      <c r="E82" s="2"/>
      <c r="F82" s="2">
        <v>28.225249094538082</v>
      </c>
      <c r="H82" s="7">
        <v>2021</v>
      </c>
      <c r="I82" s="2">
        <v>0.43990000000000001</v>
      </c>
      <c r="J82" s="7">
        <v>795438690040.48401</v>
      </c>
      <c r="K82" s="2">
        <f t="shared" si="6"/>
        <v>349913479748.8089</v>
      </c>
      <c r="L82" s="8">
        <v>172803979069.91599</v>
      </c>
      <c r="M82" s="2">
        <f t="shared" si="2"/>
        <v>246231092306.85931</v>
      </c>
      <c r="N82" s="2">
        <v>877153222732.08301</v>
      </c>
      <c r="O82" s="2">
        <f t="shared" si="3"/>
        <v>28.071616899487573</v>
      </c>
    </row>
    <row r="83" spans="1:15" x14ac:dyDescent="0.35">
      <c r="A83" s="2">
        <v>2022</v>
      </c>
      <c r="B83" s="2">
        <f>100*'GDP, CFC, NDP, NNI'!B129/'GDP, CFC, NDP, NNI'!F129</f>
        <v>28.718784677080674</v>
      </c>
      <c r="C83" s="2">
        <f t="shared" si="5"/>
        <v>28.552251706064816</v>
      </c>
      <c r="D83" s="2"/>
      <c r="E83" s="2"/>
      <c r="F83" s="2">
        <v>28.661150824515261</v>
      </c>
      <c r="H83" s="7">
        <v>2022</v>
      </c>
      <c r="I83" s="2">
        <v>0.44869999999999999</v>
      </c>
      <c r="J83" s="7">
        <v>858096755376.08606</v>
      </c>
      <c r="K83" s="2">
        <f t="shared" si="6"/>
        <v>385028014137.24982</v>
      </c>
      <c r="L83" s="8">
        <v>192507162693.39899</v>
      </c>
      <c r="M83" s="2">
        <f t="shared" si="2"/>
        <v>269523716521.21045</v>
      </c>
      <c r="N83" s="2">
        <v>943966589030.73706</v>
      </c>
      <c r="O83" s="2">
        <f t="shared" si="3"/>
        <v>28.552251706064816</v>
      </c>
    </row>
    <row r="84" spans="1:15" x14ac:dyDescent="0.35">
      <c r="A84" s="2">
        <v>2023</v>
      </c>
      <c r="B84" s="2"/>
      <c r="C84" s="2">
        <f t="shared" si="5"/>
        <v>28.534274247332018</v>
      </c>
      <c r="D84" s="2"/>
      <c r="E84" s="2"/>
      <c r="F84" s="2">
        <v>28.334569016666215</v>
      </c>
      <c r="H84" s="7">
        <v>2023</v>
      </c>
      <c r="I84" s="2">
        <v>0.44579999999999997</v>
      </c>
      <c r="J84" s="7">
        <v>911280307778.47705</v>
      </c>
      <c r="K84" s="2">
        <f t="shared" si="6"/>
        <v>406248761207.64502</v>
      </c>
      <c r="L84" s="8">
        <v>200625550472.80801</v>
      </c>
      <c r="M84" s="2">
        <f t="shared" si="2"/>
        <v>285873430923.96021</v>
      </c>
      <c r="N84" s="2">
        <v>1001859828100.2</v>
      </c>
      <c r="O84" s="2">
        <f t="shared" si="3"/>
        <v>28.534274247332018</v>
      </c>
    </row>
    <row r="85" spans="1:15" x14ac:dyDescent="0.35">
      <c r="H85" s="7">
        <v>2024</v>
      </c>
      <c r="I85" s="2">
        <v>0.44600000000000001</v>
      </c>
      <c r="J85" s="7">
        <v>987370422272</v>
      </c>
      <c r="K85" s="2">
        <f t="shared" si="6"/>
        <v>440367208333.31201</v>
      </c>
      <c r="L85" s="8">
        <v>217570827451</v>
      </c>
      <c r="M85" s="2">
        <f t="shared" si="2"/>
        <v>309824711862.71204</v>
      </c>
      <c r="N85" s="2">
        <v>1085790420992</v>
      </c>
      <c r="O85" s="2">
        <f t="shared" si="3"/>
        <v>28.534485649601692</v>
      </c>
    </row>
  </sheetData>
  <mergeCells count="2">
    <mergeCell ref="B1:F1"/>
    <mergeCell ref="H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A139-63BA-448A-8462-409ED967AD29}">
  <dimension ref="A1:D56"/>
  <sheetViews>
    <sheetView zoomScale="50" zoomScaleNormal="50" workbookViewId="0">
      <selection activeCell="T25" sqref="T25"/>
    </sheetView>
  </sheetViews>
  <sheetFormatPr baseColWidth="10" defaultColWidth="8.7265625" defaultRowHeight="14.5" x14ac:dyDescent="0.35"/>
  <cols>
    <col min="2" max="2" width="25.6328125" bestFit="1" customWidth="1"/>
    <col min="3" max="3" width="23" bestFit="1" customWidth="1"/>
    <col min="4" max="4" width="12" bestFit="1" customWidth="1"/>
  </cols>
  <sheetData>
    <row r="1" spans="1:4" x14ac:dyDescent="0.35">
      <c r="A1" s="26" t="s">
        <v>12</v>
      </c>
      <c r="B1" s="27"/>
      <c r="C1" s="27"/>
      <c r="D1" s="27"/>
    </row>
    <row r="2" spans="1:4" x14ac:dyDescent="0.35">
      <c r="A2" s="6" t="s">
        <v>0</v>
      </c>
      <c r="B2" s="6" t="s">
        <v>13</v>
      </c>
      <c r="C2" s="6" t="s">
        <v>14</v>
      </c>
      <c r="D2" s="6" t="s">
        <v>17</v>
      </c>
    </row>
    <row r="3" spans="1:4" x14ac:dyDescent="0.35">
      <c r="A3" s="2">
        <v>1970</v>
      </c>
      <c r="B3" s="2">
        <f>'GDP, CFC, NDP, NNI'!D77/'GDP, CFC, NDP, NNI'!F77*100</f>
        <v>22.439455375419364</v>
      </c>
      <c r="C3" s="2">
        <f>'Comparison Wage Share'!L31/'Comparison Wage Share'!N31*100</f>
        <v>26.044465881164015</v>
      </c>
      <c r="D3" s="2"/>
    </row>
    <row r="4" spans="1:4" x14ac:dyDescent="0.35">
      <c r="A4" s="2">
        <v>1971</v>
      </c>
      <c r="B4" s="2">
        <f>'GDP, CFC, NDP, NNI'!D78/'GDP, CFC, NDP, NNI'!F78*100</f>
        <v>21.438443690509718</v>
      </c>
      <c r="C4" s="2">
        <f>'Comparison Wage Share'!L32/'Comparison Wage Share'!N32*100</f>
        <v>25.314034044471668</v>
      </c>
      <c r="D4" s="2"/>
    </row>
    <row r="5" spans="1:4" x14ac:dyDescent="0.35">
      <c r="A5" s="2">
        <v>1972</v>
      </c>
      <c r="B5" s="2">
        <f>'GDP, CFC, NDP, NNI'!D79/'GDP, CFC, NDP, NNI'!F79*100</f>
        <v>20.857538843799663</v>
      </c>
      <c r="C5" s="2">
        <f>'Comparison Wage Share'!L33/'Comparison Wage Share'!N33*100</f>
        <v>24.020964500070292</v>
      </c>
      <c r="D5" s="2"/>
    </row>
    <row r="6" spans="1:4" x14ac:dyDescent="0.35">
      <c r="A6" s="2">
        <v>1973</v>
      </c>
      <c r="B6" s="2">
        <f>'GDP, CFC, NDP, NNI'!D80/'GDP, CFC, NDP, NNI'!F80*100</f>
        <v>19.994378056907443</v>
      </c>
      <c r="C6" s="2">
        <f>'Comparison Wage Share'!L34/'Comparison Wage Share'!N34*100</f>
        <v>23.967879028925093</v>
      </c>
      <c r="D6" s="2"/>
    </row>
    <row r="7" spans="1:4" x14ac:dyDescent="0.35">
      <c r="A7" s="2">
        <v>1974</v>
      </c>
      <c r="B7" s="2">
        <f>'GDP, CFC, NDP, NNI'!D81/'GDP, CFC, NDP, NNI'!F81*100</f>
        <v>20.2372394104111</v>
      </c>
      <c r="C7" s="2">
        <f>'Comparison Wage Share'!L35/'Comparison Wage Share'!N35*100</f>
        <v>25.106431308148956</v>
      </c>
      <c r="D7" s="2"/>
    </row>
    <row r="8" spans="1:4" x14ac:dyDescent="0.35">
      <c r="A8" s="2">
        <v>1975</v>
      </c>
      <c r="B8" s="2">
        <f>'GDP, CFC, NDP, NNI'!D82/'GDP, CFC, NDP, NNI'!F82*100</f>
        <v>20.531147116788436</v>
      </c>
      <c r="C8" s="2">
        <f>'Comparison Wage Share'!L36/'Comparison Wage Share'!N36*100</f>
        <v>24.60416442957024</v>
      </c>
      <c r="D8" s="2"/>
    </row>
    <row r="9" spans="1:4" x14ac:dyDescent="0.35">
      <c r="A9" s="2">
        <v>1976</v>
      </c>
      <c r="B9" s="2">
        <f>'GDP, CFC, NDP, NNI'!D83/'GDP, CFC, NDP, NNI'!F83*100</f>
        <v>21.096692702866505</v>
      </c>
      <c r="C9" s="2">
        <f>'Comparison Wage Share'!L37/'Comparison Wage Share'!N37*100</f>
        <v>24.938033149452714</v>
      </c>
      <c r="D9" s="2"/>
    </row>
    <row r="10" spans="1:4" x14ac:dyDescent="0.35">
      <c r="A10" s="2">
        <v>1977</v>
      </c>
      <c r="B10" s="2">
        <f>'GDP, CFC, NDP, NNI'!D84/'GDP, CFC, NDP, NNI'!F84*100</f>
        <v>20.37924716637972</v>
      </c>
      <c r="C10" s="2">
        <f>'Comparison Wage Share'!L38/'Comparison Wage Share'!N38*100</f>
        <v>26.017310928915137</v>
      </c>
      <c r="D10" s="2"/>
    </row>
    <row r="11" spans="1:4" x14ac:dyDescent="0.35">
      <c r="A11" s="2">
        <v>1978</v>
      </c>
      <c r="B11" s="2">
        <f>'GDP, CFC, NDP, NNI'!D85/'GDP, CFC, NDP, NNI'!F85*100</f>
        <v>19.979370627637667</v>
      </c>
      <c r="C11" s="2">
        <f>'Comparison Wage Share'!L39/'Comparison Wage Share'!N39*100</f>
        <v>27.162434161434117</v>
      </c>
      <c r="D11" s="2"/>
    </row>
    <row r="12" spans="1:4" x14ac:dyDescent="0.35">
      <c r="A12" s="2">
        <v>1979</v>
      </c>
      <c r="B12" s="2">
        <f>'GDP, CFC, NDP, NNI'!D86/'GDP, CFC, NDP, NNI'!F86*100</f>
        <v>19.384944835116379</v>
      </c>
      <c r="C12" s="2">
        <f>'Comparison Wage Share'!L40/'Comparison Wage Share'!N40*100</f>
        <v>29.578525565304716</v>
      </c>
      <c r="D12" s="2"/>
    </row>
    <row r="13" spans="1:4" x14ac:dyDescent="0.35">
      <c r="A13" s="2">
        <v>1980</v>
      </c>
      <c r="B13" s="2">
        <f>'GDP, CFC, NDP, NNI'!D87/'GDP, CFC, NDP, NNI'!F87*100</f>
        <v>19.397319625929267</v>
      </c>
      <c r="C13" s="2">
        <f>'Comparison Wage Share'!L41/'Comparison Wage Share'!N41*100</f>
        <v>28.565504884788513</v>
      </c>
      <c r="D13" s="2"/>
    </row>
    <row r="14" spans="1:4" x14ac:dyDescent="0.35">
      <c r="A14" s="2">
        <v>1981</v>
      </c>
      <c r="B14" s="2">
        <f>'GDP, CFC, NDP, NNI'!D88/'GDP, CFC, NDP, NNI'!F88*100</f>
        <v>19.918159489045038</v>
      </c>
      <c r="C14" s="2">
        <f>'Comparison Wage Share'!L42/'Comparison Wage Share'!N42*100</f>
        <v>27.664542152047567</v>
      </c>
      <c r="D14" s="2"/>
    </row>
    <row r="15" spans="1:4" x14ac:dyDescent="0.35">
      <c r="A15" s="2">
        <v>1982</v>
      </c>
      <c r="B15" s="2">
        <f>'GDP, CFC, NDP, NNI'!D89/'GDP, CFC, NDP, NNI'!F89*100</f>
        <v>19.498598371983103</v>
      </c>
      <c r="C15" s="2">
        <f>'Comparison Wage Share'!L43/'Comparison Wage Share'!N43*100</f>
        <v>27.481678364715869</v>
      </c>
      <c r="D15" s="2"/>
    </row>
    <row r="16" spans="1:4" x14ac:dyDescent="0.35">
      <c r="A16" s="2">
        <v>1983</v>
      </c>
      <c r="B16" s="2">
        <f>'GDP, CFC, NDP, NNI'!D90/'GDP, CFC, NDP, NNI'!F90*100</f>
        <v>21.437531425716049</v>
      </c>
      <c r="C16" s="2">
        <f>'Comparison Wage Share'!L44/'Comparison Wage Share'!N44*100</f>
        <v>29.003986547181075</v>
      </c>
      <c r="D16" s="2"/>
    </row>
    <row r="17" spans="1:4" x14ac:dyDescent="0.35">
      <c r="A17" s="2">
        <v>1984</v>
      </c>
      <c r="B17" s="2">
        <f>'GDP, CFC, NDP, NNI'!D91/'GDP, CFC, NDP, NNI'!F91*100</f>
        <v>20.344193410653734</v>
      </c>
      <c r="C17" s="2">
        <f>'Comparison Wage Share'!L45/'Comparison Wage Share'!N45*100</f>
        <v>30.297821707011629</v>
      </c>
      <c r="D17" s="2"/>
    </row>
    <row r="18" spans="1:4" x14ac:dyDescent="0.35">
      <c r="A18" s="2">
        <v>1985</v>
      </c>
      <c r="B18" s="2">
        <f>'GDP, CFC, NDP, NNI'!D92/'GDP, CFC, NDP, NNI'!F92*100</f>
        <v>19.228413650556671</v>
      </c>
      <c r="C18" s="2">
        <f>'Comparison Wage Share'!L46/'Comparison Wage Share'!N46*100</f>
        <v>30.760747206798843</v>
      </c>
      <c r="D18" s="2"/>
    </row>
    <row r="19" spans="1:4" x14ac:dyDescent="0.35">
      <c r="A19" s="2">
        <v>1986</v>
      </c>
      <c r="B19" s="2">
        <f>'GDP, CFC, NDP, NNI'!D93/'GDP, CFC, NDP, NNI'!F93*100</f>
        <v>23.438337915755078</v>
      </c>
      <c r="C19" s="2">
        <f>'Comparison Wage Share'!L47/'Comparison Wage Share'!N47*100</f>
        <v>29.220512492052841</v>
      </c>
      <c r="D19" s="2"/>
    </row>
    <row r="20" spans="1:4" x14ac:dyDescent="0.35">
      <c r="A20" s="2">
        <v>1987</v>
      </c>
      <c r="B20" s="2">
        <f>'GDP, CFC, NDP, NNI'!D94/'GDP, CFC, NDP, NNI'!F94*100</f>
        <v>24.501042483667408</v>
      </c>
      <c r="C20" s="2">
        <f>'Comparison Wage Share'!L48/'Comparison Wage Share'!N48*100</f>
        <v>27.923801535878688</v>
      </c>
      <c r="D20" s="2"/>
    </row>
    <row r="21" spans="1:4" x14ac:dyDescent="0.35">
      <c r="A21" s="2">
        <v>1988</v>
      </c>
      <c r="B21" s="2">
        <f>'GDP, CFC, NDP, NNI'!D95/'GDP, CFC, NDP, NNI'!F95*100</f>
        <v>19.919842193872604</v>
      </c>
      <c r="C21" s="2">
        <f>'Comparison Wage Share'!L49/'Comparison Wage Share'!N49*100</f>
        <v>32.845780253950224</v>
      </c>
      <c r="D21" s="2"/>
    </row>
    <row r="22" spans="1:4" x14ac:dyDescent="0.35">
      <c r="A22" s="2">
        <v>1989</v>
      </c>
      <c r="B22" s="2">
        <f>'GDP, CFC, NDP, NNI'!D96/'GDP, CFC, NDP, NNI'!F96*100</f>
        <v>20.901980411294044</v>
      </c>
      <c r="C22" s="2">
        <f>'Comparison Wage Share'!L50/'Comparison Wage Share'!N50*100</f>
        <v>34.225326776560323</v>
      </c>
      <c r="D22" s="2"/>
    </row>
    <row r="23" spans="1:4" x14ac:dyDescent="0.35">
      <c r="A23" s="2">
        <v>1990</v>
      </c>
      <c r="B23" s="2">
        <f>'GDP, CFC, NDP, NNI'!D97/'GDP, CFC, NDP, NNI'!F97*100</f>
        <v>22.808437573172732</v>
      </c>
      <c r="C23" s="2">
        <f>'Comparison Wage Share'!L51/'Comparison Wage Share'!N51*100</f>
        <v>33.920326828880697</v>
      </c>
      <c r="D23" s="2"/>
    </row>
    <row r="24" spans="1:4" x14ac:dyDescent="0.35">
      <c r="A24" s="2">
        <v>1991</v>
      </c>
      <c r="B24" s="2">
        <f>'GDP, CFC, NDP, NNI'!D98/'GDP, CFC, NDP, NNI'!F98*100</f>
        <v>22.989359582385944</v>
      </c>
      <c r="C24" s="2">
        <f>'Comparison Wage Share'!L52/'Comparison Wage Share'!N52*100</f>
        <v>36.421167850417049</v>
      </c>
      <c r="D24" s="2"/>
    </row>
    <row r="25" spans="1:4" x14ac:dyDescent="0.35">
      <c r="A25" s="2">
        <v>1992</v>
      </c>
      <c r="B25" s="2">
        <f>'GDP, CFC, NDP, NNI'!D99/'GDP, CFC, NDP, NNI'!F99*100</f>
        <v>21.854100581229634</v>
      </c>
      <c r="C25" s="2">
        <f>'Comparison Wage Share'!L53/'Comparison Wage Share'!N53*100</f>
        <v>35.327836871151838</v>
      </c>
      <c r="D25" s="2"/>
    </row>
    <row r="26" spans="1:4" x14ac:dyDescent="0.35">
      <c r="A26" s="2">
        <v>1993</v>
      </c>
      <c r="B26" s="2">
        <f>'GDP, CFC, NDP, NNI'!D100/'GDP, CFC, NDP, NNI'!F100*100</f>
        <v>22.434852406400559</v>
      </c>
      <c r="C26" s="2">
        <f>'Comparison Wage Share'!L54/'Comparison Wage Share'!N54*100</f>
        <v>35.685083269974029</v>
      </c>
      <c r="D26" s="2"/>
    </row>
    <row r="27" spans="1:4" x14ac:dyDescent="0.35">
      <c r="A27" s="2">
        <v>1994</v>
      </c>
      <c r="B27" s="2">
        <f>'GDP, CFC, NDP, NNI'!D101/'GDP, CFC, NDP, NNI'!F101*100</f>
        <v>22.31077979493385</v>
      </c>
      <c r="C27" s="2">
        <f>'Comparison Wage Share'!L55/'Comparison Wage Share'!N55*100</f>
        <v>33.459749817783297</v>
      </c>
      <c r="D27" s="2"/>
    </row>
    <row r="28" spans="1:4" x14ac:dyDescent="0.35">
      <c r="A28" s="2">
        <v>1995</v>
      </c>
      <c r="B28" s="2">
        <f>'GDP, CFC, NDP, NNI'!D102/'GDP, CFC, NDP, NNI'!F102*100</f>
        <v>22.063461303622432</v>
      </c>
      <c r="C28" s="2">
        <f>'Comparison Wage Share'!L56/'Comparison Wage Share'!N56*100</f>
        <v>32.097953557825477</v>
      </c>
      <c r="D28" s="2"/>
    </row>
    <row r="29" spans="1:4" x14ac:dyDescent="0.35">
      <c r="A29" s="2">
        <v>1996</v>
      </c>
      <c r="B29" s="2">
        <f>'GDP, CFC, NDP, NNI'!D103/'GDP, CFC, NDP, NNI'!F103*100</f>
        <v>22.932996039920095</v>
      </c>
      <c r="C29" s="2">
        <f>'Comparison Wage Share'!L57/'Comparison Wage Share'!N57*100</f>
        <v>31.54402375234433</v>
      </c>
      <c r="D29" s="2"/>
    </row>
    <row r="30" spans="1:4" x14ac:dyDescent="0.35">
      <c r="A30" s="2">
        <v>1997</v>
      </c>
      <c r="B30" s="2">
        <f>'GDP, CFC, NDP, NNI'!D104/'GDP, CFC, NDP, NNI'!F104*100</f>
        <v>22.684580059083356</v>
      </c>
      <c r="C30" s="2">
        <f>'Comparison Wage Share'!L58/'Comparison Wage Share'!N58*100</f>
        <v>30.353429913599435</v>
      </c>
      <c r="D30" s="2"/>
    </row>
    <row r="31" spans="1:4" x14ac:dyDescent="0.35">
      <c r="A31" s="2">
        <v>1998</v>
      </c>
      <c r="B31" s="2">
        <f>'GDP, CFC, NDP, NNI'!D105/'GDP, CFC, NDP, NNI'!F105*100</f>
        <v>22.89950154331591</v>
      </c>
      <c r="C31" s="2">
        <f>'Comparison Wage Share'!L59/'Comparison Wage Share'!N59*100</f>
        <v>29.8971593379386</v>
      </c>
      <c r="D31" s="2"/>
    </row>
    <row r="32" spans="1:4" x14ac:dyDescent="0.35">
      <c r="A32" s="2">
        <v>1999</v>
      </c>
      <c r="B32" s="2">
        <f>'GDP, CFC, NDP, NNI'!D106/'GDP, CFC, NDP, NNI'!F106*100</f>
        <v>23.726688202126624</v>
      </c>
      <c r="C32" s="2">
        <f>'Comparison Wage Share'!L60/'Comparison Wage Share'!N60*100</f>
        <v>29.367032647054437</v>
      </c>
      <c r="D32" s="2"/>
    </row>
    <row r="33" spans="1:4" x14ac:dyDescent="0.35">
      <c r="A33" s="2">
        <v>2000</v>
      </c>
      <c r="B33" s="2">
        <f>'GDP, CFC, NDP, NNI'!D107/'GDP, CFC, NDP, NNI'!F107*100</f>
        <v>23.863949350554819</v>
      </c>
      <c r="C33" s="2">
        <f>'Comparison Wage Share'!L61/'Comparison Wage Share'!N61*100</f>
        <v>28.728273510850578</v>
      </c>
      <c r="D33" s="2"/>
    </row>
    <row r="34" spans="1:4" x14ac:dyDescent="0.35">
      <c r="A34" s="2">
        <v>2001</v>
      </c>
      <c r="B34" s="2">
        <f>'GDP, CFC, NDP, NNI'!D108/'GDP, CFC, NDP, NNI'!F108*100</f>
        <v>23.875521361495238</v>
      </c>
      <c r="C34" s="2">
        <f>'Comparison Wage Share'!L62/'Comparison Wage Share'!N62*100</f>
        <v>28.051158785798691</v>
      </c>
      <c r="D34" s="2"/>
    </row>
    <row r="35" spans="1:4" x14ac:dyDescent="0.35">
      <c r="A35" s="2">
        <v>2002</v>
      </c>
      <c r="B35" s="2">
        <f>'GDP, CFC, NDP, NNI'!D109/'GDP, CFC, NDP, NNI'!F109*100</f>
        <v>23.785008046230178</v>
      </c>
      <c r="C35" s="2">
        <f>'Comparison Wage Share'!L63/'Comparison Wage Share'!N63*100</f>
        <v>26.986411213831531</v>
      </c>
      <c r="D35" s="2"/>
    </row>
    <row r="36" spans="1:4" x14ac:dyDescent="0.35">
      <c r="A36" s="2">
        <v>2003</v>
      </c>
      <c r="B36" s="2">
        <f>'GDP, CFC, NDP, NNI'!D110/'GDP, CFC, NDP, NNI'!F110*100</f>
        <v>23.493875428214473</v>
      </c>
      <c r="C36" s="2">
        <f>'Comparison Wage Share'!L64/'Comparison Wage Share'!N64*100</f>
        <v>26.020216941952079</v>
      </c>
      <c r="D36" s="2"/>
    </row>
    <row r="37" spans="1:4" x14ac:dyDescent="0.35">
      <c r="A37" s="2">
        <v>2004</v>
      </c>
      <c r="B37" s="2">
        <f>'GDP, CFC, NDP, NNI'!D111/'GDP, CFC, NDP, NNI'!F111*100</f>
        <v>22.855604521600689</v>
      </c>
      <c r="C37" s="2">
        <f>'Comparison Wage Share'!L65/'Comparison Wage Share'!N65*100</f>
        <v>25.027701258624578</v>
      </c>
      <c r="D37" s="2"/>
    </row>
    <row r="38" spans="1:4" x14ac:dyDescent="0.35">
      <c r="A38" s="2">
        <v>2005</v>
      </c>
      <c r="B38" s="2">
        <f>'GDP, CFC, NDP, NNI'!D112/'GDP, CFC, NDP, NNI'!F112*100</f>
        <v>21.832623661399033</v>
      </c>
      <c r="C38" s="2">
        <f>'Comparison Wage Share'!L66/'Comparison Wage Share'!N66*100</f>
        <v>23.628076910983502</v>
      </c>
      <c r="D38" s="2"/>
    </row>
    <row r="39" spans="1:4" x14ac:dyDescent="0.35">
      <c r="A39" s="2">
        <v>2006</v>
      </c>
      <c r="B39" s="2">
        <f>'GDP, CFC, NDP, NNI'!D113/'GDP, CFC, NDP, NNI'!F113*100</f>
        <v>20.960571846482619</v>
      </c>
      <c r="C39" s="2">
        <f>'Comparison Wage Share'!L67/'Comparison Wage Share'!N67*100</f>
        <v>22.167158126850271</v>
      </c>
      <c r="D39" s="2"/>
    </row>
    <row r="40" spans="1:4" x14ac:dyDescent="0.35">
      <c r="A40" s="2">
        <v>2007</v>
      </c>
      <c r="B40" s="2">
        <f>'GDP, CFC, NDP, NNI'!D114/'GDP, CFC, NDP, NNI'!F114*100</f>
        <v>20.474955660586879</v>
      </c>
      <c r="C40" s="2">
        <f>'Comparison Wage Share'!L68/'Comparison Wage Share'!N68*100</f>
        <v>20.984666049427126</v>
      </c>
      <c r="D40" s="2">
        <v>20.474955660586875</v>
      </c>
    </row>
    <row r="41" spans="1:4" x14ac:dyDescent="0.35">
      <c r="A41" s="2">
        <v>2008</v>
      </c>
      <c r="B41" s="2">
        <f>'GDP, CFC, NDP, NNI'!D115/'GDP, CFC, NDP, NNI'!F115*100</f>
        <v>20.946986127767435</v>
      </c>
      <c r="C41" s="2">
        <f>'Comparison Wage Share'!L69/'Comparison Wage Share'!N69*100</f>
        <v>21.451519429691768</v>
      </c>
      <c r="D41" s="2">
        <v>20.946986127767431</v>
      </c>
    </row>
    <row r="42" spans="1:4" x14ac:dyDescent="0.35">
      <c r="A42" s="2">
        <v>2009</v>
      </c>
      <c r="B42" s="2">
        <f>'GDP, CFC, NDP, NNI'!D116/'GDP, CFC, NDP, NNI'!F116*100</f>
        <v>22.218863942980086</v>
      </c>
      <c r="C42" s="2">
        <f>'Comparison Wage Share'!L70/'Comparison Wage Share'!N70*100</f>
        <v>22.775514423838526</v>
      </c>
      <c r="D42" s="2">
        <v>22.218863942980082</v>
      </c>
    </row>
    <row r="43" spans="1:4" x14ac:dyDescent="0.35">
      <c r="A43" s="2">
        <v>2010</v>
      </c>
      <c r="B43" s="2">
        <f>'GDP, CFC, NDP, NNI'!D117/'GDP, CFC, NDP, NNI'!F117*100</f>
        <v>21.69948942377826</v>
      </c>
      <c r="C43" s="2">
        <f>'Comparison Wage Share'!L71/'Comparison Wage Share'!N71*100</f>
        <v>22.231870889608651</v>
      </c>
      <c r="D43" s="2">
        <v>21.699489423778264</v>
      </c>
    </row>
    <row r="44" spans="1:4" x14ac:dyDescent="0.35">
      <c r="A44" s="2">
        <v>2011</v>
      </c>
      <c r="B44" s="2">
        <f>'GDP, CFC, NDP, NNI'!D118/'GDP, CFC, NDP, NNI'!F118*100</f>
        <v>21.220846043433134</v>
      </c>
      <c r="C44" s="2">
        <f>'Comparison Wage Share'!L72/'Comparison Wage Share'!N72*100</f>
        <v>21.782059967568738</v>
      </c>
      <c r="D44" s="2">
        <v>21.220846043433134</v>
      </c>
    </row>
    <row r="45" spans="1:4" x14ac:dyDescent="0.35">
      <c r="A45" s="2">
        <v>2012</v>
      </c>
      <c r="B45" s="2">
        <f>'GDP, CFC, NDP, NNI'!D119/'GDP, CFC, NDP, NNI'!F119*100</f>
        <v>21.689091986121689</v>
      </c>
      <c r="C45" s="2">
        <f>'Comparison Wage Share'!L73/'Comparison Wage Share'!N73*100</f>
        <v>22.244490683090966</v>
      </c>
      <c r="D45" s="2">
        <v>21.689091986121689</v>
      </c>
    </row>
    <row r="46" spans="1:4" x14ac:dyDescent="0.35">
      <c r="A46" s="2">
        <v>2013</v>
      </c>
      <c r="B46" s="2">
        <f>'GDP, CFC, NDP, NNI'!D120/'GDP, CFC, NDP, NNI'!F120*100</f>
        <v>21.337267917197124</v>
      </c>
      <c r="C46" s="2">
        <f>'Comparison Wage Share'!L74/'Comparison Wage Share'!N74*100</f>
        <v>21.889778971606283</v>
      </c>
      <c r="D46" s="2">
        <v>21.337267917197124</v>
      </c>
    </row>
    <row r="47" spans="1:4" x14ac:dyDescent="0.35">
      <c r="A47" s="2">
        <v>2014</v>
      </c>
      <c r="B47" s="2">
        <f>'GDP, CFC, NDP, NNI'!D121/'GDP, CFC, NDP, NNI'!F121*100</f>
        <v>21.706157978110348</v>
      </c>
      <c r="C47" s="2">
        <f>'Comparison Wage Share'!L75/'Comparison Wage Share'!N75*100</f>
        <v>22.232426703003689</v>
      </c>
      <c r="D47" s="2">
        <v>21.706157978110348</v>
      </c>
    </row>
    <row r="48" spans="1:4" x14ac:dyDescent="0.35">
      <c r="A48" s="2">
        <v>2015</v>
      </c>
      <c r="B48" s="2">
        <f>'GDP, CFC, NDP, NNI'!D122/'GDP, CFC, NDP, NNI'!F122*100</f>
        <v>22.321215851334184</v>
      </c>
      <c r="C48" s="2">
        <f>'Comparison Wage Share'!L76/'Comparison Wage Share'!N76*100</f>
        <v>22.844599187393023</v>
      </c>
      <c r="D48" s="2">
        <v>22.321215851334181</v>
      </c>
    </row>
    <row r="49" spans="1:4" x14ac:dyDescent="0.35">
      <c r="A49" s="2">
        <v>2016</v>
      </c>
      <c r="B49" s="2">
        <f>'GDP, CFC, NDP, NNI'!D123/'GDP, CFC, NDP, NNI'!F123*100</f>
        <v>22.69943860125867</v>
      </c>
      <c r="C49" s="2">
        <f>'Comparison Wage Share'!L77/'Comparison Wage Share'!N77*100</f>
        <v>23.207573592611993</v>
      </c>
      <c r="D49" s="2">
        <v>22.69943860125867</v>
      </c>
    </row>
    <row r="50" spans="1:4" x14ac:dyDescent="0.35">
      <c r="A50" s="2">
        <v>2017</v>
      </c>
      <c r="B50" s="2">
        <f>'GDP, CFC, NDP, NNI'!D124/'GDP, CFC, NDP, NNI'!F124*100</f>
        <v>22.354717880663792</v>
      </c>
      <c r="C50" s="2">
        <f>'Comparison Wage Share'!L78/'Comparison Wage Share'!N78*100</f>
        <v>22.895245254014348</v>
      </c>
      <c r="D50" s="2">
        <v>22.354717880663788</v>
      </c>
    </row>
    <row r="51" spans="1:4" x14ac:dyDescent="0.35">
      <c r="A51" s="2">
        <v>2018</v>
      </c>
      <c r="B51" s="2">
        <f>'GDP, CFC, NDP, NNI'!D125/'GDP, CFC, NDP, NNI'!F125*100</f>
        <v>22.054489685451379</v>
      </c>
      <c r="C51" s="2">
        <f>'Comparison Wage Share'!L79/'Comparison Wage Share'!N79*100</f>
        <v>22.555939853219577</v>
      </c>
      <c r="D51" s="2">
        <v>22.054489685451376</v>
      </c>
    </row>
    <row r="52" spans="1:4" x14ac:dyDescent="0.35">
      <c r="A52" s="2">
        <v>2019</v>
      </c>
      <c r="B52" s="2">
        <f>'GDP, CFC, NDP, NNI'!D126/'GDP, CFC, NDP, NNI'!F126*100</f>
        <v>22.1624076096086</v>
      </c>
      <c r="C52" s="2">
        <f>'Comparison Wage Share'!L80/'Comparison Wage Share'!N80*100</f>
        <v>22.465933859334591</v>
      </c>
      <c r="D52" s="2">
        <v>22.1624076096086</v>
      </c>
    </row>
    <row r="53" spans="1:4" x14ac:dyDescent="0.35">
      <c r="A53" s="2">
        <v>2020</v>
      </c>
      <c r="B53" s="2">
        <f>'GDP, CFC, NDP, NNI'!D127/'GDP, CFC, NDP, NNI'!F127*100</f>
        <v>20.508015882599455</v>
      </c>
      <c r="C53" s="2">
        <f>'Comparison Wage Share'!L81/'Comparison Wage Share'!N81*100</f>
        <v>20.858328044429573</v>
      </c>
      <c r="D53" s="2">
        <v>20.508015882599462</v>
      </c>
    </row>
    <row r="54" spans="1:4" x14ac:dyDescent="0.35">
      <c r="A54" s="2">
        <v>2021</v>
      </c>
      <c r="B54" s="2">
        <f>'GDP, CFC, NDP, NNI'!D128/'GDP, CFC, NDP, NNI'!F128*100</f>
        <v>19.369976547735604</v>
      </c>
      <c r="C54" s="2">
        <f>'Comparison Wage Share'!L82/'Comparison Wage Share'!N82*100</f>
        <v>19.700546562626847</v>
      </c>
      <c r="D54" s="2">
        <v>19.372387652698851</v>
      </c>
    </row>
    <row r="55" spans="1:4" x14ac:dyDescent="0.35">
      <c r="A55" s="2">
        <v>2022</v>
      </c>
      <c r="B55" s="2">
        <f>'GDP, CFC, NDP, NNI'!D129/'GDP, CFC, NDP, NNI'!F129*100</f>
        <v>20.059365575371118</v>
      </c>
      <c r="C55" s="2">
        <f>'Comparison Wage Share'!L83/'Comparison Wage Share'!N83*100</f>
        <v>20.393429696602393</v>
      </c>
      <c r="D55" s="2">
        <v>19.933326692847135</v>
      </c>
    </row>
    <row r="56" spans="1:4" x14ac:dyDescent="0.35">
      <c r="A56" s="2">
        <v>2023</v>
      </c>
      <c r="B56" s="2"/>
      <c r="C56" s="2">
        <f>'Comparison Wage Share'!L84/'Comparison Wage Share'!N84*100</f>
        <v>20.025311410404477</v>
      </c>
      <c r="D56" s="2">
        <v>20.625806070757129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505C-0E81-4D1F-B4C2-D8F68312593A}">
  <dimension ref="A1:AE214"/>
  <sheetViews>
    <sheetView topLeftCell="F1" zoomScale="50" zoomScaleNormal="50" workbookViewId="0">
      <selection activeCell="N3" sqref="N3"/>
    </sheetView>
  </sheetViews>
  <sheetFormatPr baseColWidth="10" defaultColWidth="8.7265625" defaultRowHeight="14.5" x14ac:dyDescent="0.35"/>
  <cols>
    <col min="1" max="1" width="5.90625" bestFit="1" customWidth="1"/>
    <col min="2" max="2" width="25.453125" bestFit="1" customWidth="1"/>
    <col min="3" max="4" width="25.453125" customWidth="1"/>
    <col min="5" max="5" width="39.6328125" bestFit="1" customWidth="1"/>
    <col min="6" max="6" width="30.54296875" bestFit="1" customWidth="1"/>
    <col min="7" max="7" width="31.1796875" bestFit="1" customWidth="1"/>
    <col min="8" max="8" width="31.1796875" customWidth="1"/>
    <col min="9" max="9" width="29.1796875" bestFit="1" customWidth="1"/>
    <col min="10" max="10" width="49.6328125" bestFit="1" customWidth="1"/>
    <col min="11" max="11" width="45.6328125" bestFit="1" customWidth="1"/>
    <col min="12" max="12" width="53.6328125" bestFit="1" customWidth="1"/>
    <col min="13" max="13" width="28.36328125" bestFit="1" customWidth="1"/>
    <col min="14" max="14" width="28.36328125" customWidth="1"/>
    <col min="15" max="15" width="25.1796875" bestFit="1" customWidth="1"/>
    <col min="16" max="16" width="27" bestFit="1" customWidth="1"/>
    <col min="17" max="17" width="27" customWidth="1"/>
    <col min="18" max="18" width="34.36328125" bestFit="1" customWidth="1"/>
    <col min="19" max="19" width="31.453125" bestFit="1" customWidth="1"/>
    <col min="20" max="20" width="13.6328125" bestFit="1" customWidth="1"/>
    <col min="21" max="22" width="22.08984375" bestFit="1" customWidth="1"/>
    <col min="23" max="23" width="13.6328125" bestFit="1" customWidth="1"/>
    <col min="24" max="24" width="26.81640625" bestFit="1" customWidth="1"/>
    <col min="25" max="31" width="26.81640625" customWidth="1"/>
  </cols>
  <sheetData>
    <row r="1" spans="1:31" x14ac:dyDescent="0.35">
      <c r="A1" s="28" t="s">
        <v>0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29</v>
      </c>
      <c r="J1" s="1" t="s">
        <v>46</v>
      </c>
      <c r="K1" s="1" t="s">
        <v>28</v>
      </c>
      <c r="L1" s="1" t="s">
        <v>28</v>
      </c>
      <c r="M1" s="1" t="s">
        <v>30</v>
      </c>
      <c r="N1" s="18" t="s">
        <v>48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36</v>
      </c>
      <c r="U1" s="1" t="s">
        <v>36</v>
      </c>
      <c r="V1" s="1" t="s">
        <v>45</v>
      </c>
      <c r="W1" s="1" t="s">
        <v>36</v>
      </c>
      <c r="X1" s="1" t="s">
        <v>36</v>
      </c>
      <c r="Y1" s="1" t="s">
        <v>58</v>
      </c>
      <c r="Z1" s="1" t="s">
        <v>54</v>
      </c>
      <c r="AA1" s="1" t="s">
        <v>55</v>
      </c>
      <c r="AB1" s="1" t="s">
        <v>56</v>
      </c>
      <c r="AC1" s="1" t="s">
        <v>57</v>
      </c>
      <c r="AD1" s="19"/>
      <c r="AE1" s="19"/>
    </row>
    <row r="2" spans="1:31" x14ac:dyDescent="0.35">
      <c r="A2" s="29"/>
      <c r="B2" s="1" t="s">
        <v>44</v>
      </c>
      <c r="C2" s="1" t="s">
        <v>47</v>
      </c>
      <c r="D2" s="1" t="s">
        <v>42</v>
      </c>
      <c r="E2" s="1" t="s">
        <v>40</v>
      </c>
      <c r="F2" s="1" t="s">
        <v>38</v>
      </c>
      <c r="G2" s="1" t="s">
        <v>39</v>
      </c>
      <c r="H2" s="1" t="s">
        <v>49</v>
      </c>
      <c r="I2" s="1" t="s">
        <v>52</v>
      </c>
      <c r="J2" s="1" t="s">
        <v>51</v>
      </c>
      <c r="K2" s="1" t="s">
        <v>27</v>
      </c>
      <c r="L2" s="1" t="s">
        <v>41</v>
      </c>
      <c r="M2" s="1" t="s">
        <v>53</v>
      </c>
      <c r="N2" s="1" t="s">
        <v>50</v>
      </c>
      <c r="O2" s="1" t="s">
        <v>35</v>
      </c>
      <c r="P2" s="1" t="s">
        <v>33</v>
      </c>
      <c r="Q2" s="1" t="s">
        <v>32</v>
      </c>
      <c r="R2" s="1" t="s">
        <v>43</v>
      </c>
      <c r="S2" s="1" t="s">
        <v>34</v>
      </c>
      <c r="T2" s="1" t="s">
        <v>37</v>
      </c>
      <c r="U2" s="1" t="s">
        <v>13</v>
      </c>
      <c r="V2" s="1" t="s">
        <v>13</v>
      </c>
      <c r="W2" s="1" t="s">
        <v>28</v>
      </c>
      <c r="X2" s="18" t="s">
        <v>37</v>
      </c>
      <c r="Y2" s="18" t="s">
        <v>48</v>
      </c>
      <c r="Z2" s="1" t="s">
        <v>37</v>
      </c>
      <c r="AA2" s="1" t="s">
        <v>37</v>
      </c>
      <c r="AB2" s="1" t="s">
        <v>37</v>
      </c>
      <c r="AC2" s="1" t="s">
        <v>37</v>
      </c>
      <c r="AD2" s="19"/>
      <c r="AE2" s="19"/>
    </row>
    <row r="3" spans="1:31" x14ac:dyDescent="0.35">
      <c r="A3" s="2">
        <v>1896</v>
      </c>
      <c r="B3" s="1"/>
      <c r="C3" s="1">
        <v>6.5340592238181019E-11</v>
      </c>
      <c r="D3" s="14">
        <f t="shared" ref="D3:D48" si="0">F3*C3*10^6</f>
        <v>0.88902315959613665</v>
      </c>
      <c r="E3" s="1"/>
      <c r="F3" s="4">
        <v>13605.985638383092</v>
      </c>
      <c r="G3" s="1"/>
      <c r="H3" s="5">
        <v>0.25998176603708734</v>
      </c>
      <c r="I3" s="1"/>
      <c r="J3" s="20">
        <f t="shared" ref="J3:J28" si="1">J4*D3/D4</f>
        <v>0.89455562470415528</v>
      </c>
      <c r="K3" s="1"/>
      <c r="L3" s="1"/>
      <c r="M3" s="1"/>
      <c r="N3" s="17">
        <f t="shared" ref="N3:N16" si="2">H3/H4*N4</f>
        <v>0.23851625954768099</v>
      </c>
      <c r="O3" s="1"/>
      <c r="P3" s="1"/>
      <c r="Q3" s="1"/>
      <c r="R3" s="1"/>
      <c r="S3" s="1"/>
      <c r="T3" s="1"/>
      <c r="U3" s="1"/>
      <c r="V3" s="1"/>
      <c r="W3" s="1"/>
      <c r="X3" s="1"/>
      <c r="Y3" s="1">
        <f t="shared" ref="Y3:Y66" si="3">J3/N3</f>
        <v>3.7505016488208329</v>
      </c>
      <c r="Z3" s="1">
        <v>6.3639037123711271</v>
      </c>
      <c r="AA3" s="1">
        <v>4.3332439293153628</v>
      </c>
      <c r="AB3" s="1">
        <v>3.8817315068353726</v>
      </c>
      <c r="AC3" s="1">
        <v>3.7974601409205482</v>
      </c>
      <c r="AD3" s="19"/>
      <c r="AE3" s="19"/>
    </row>
    <row r="4" spans="1:31" x14ac:dyDescent="0.35">
      <c r="A4" s="2">
        <v>1897</v>
      </c>
      <c r="B4" s="1"/>
      <c r="C4" s="1">
        <v>6.5116419519338534E-11</v>
      </c>
      <c r="D4" s="14">
        <f t="shared" si="0"/>
        <v>0.88622487464833</v>
      </c>
      <c r="E4" s="1"/>
      <c r="F4" s="4">
        <v>13609.852648380574</v>
      </c>
      <c r="G4" s="1"/>
      <c r="H4" s="5">
        <v>0.2831358223391281</v>
      </c>
      <c r="I4" s="1"/>
      <c r="J4" s="20">
        <f t="shared" si="1"/>
        <v>0.89173992579624084</v>
      </c>
      <c r="K4" s="1"/>
      <c r="L4" s="1"/>
      <c r="M4" s="1"/>
      <c r="N4" s="17">
        <f t="shared" si="2"/>
        <v>0.25975859121847727</v>
      </c>
      <c r="O4" s="1"/>
      <c r="P4" s="1"/>
      <c r="Q4" s="1"/>
      <c r="R4" s="1"/>
      <c r="S4" s="1"/>
      <c r="T4" s="1"/>
      <c r="U4" s="1"/>
      <c r="V4" s="1"/>
      <c r="W4" s="1"/>
      <c r="X4" s="1"/>
      <c r="Y4" s="1">
        <f t="shared" si="3"/>
        <v>3.4329564293264045</v>
      </c>
      <c r="Z4" s="1">
        <v>6.7253263329344373</v>
      </c>
      <c r="AA4" s="1">
        <v>4.2498582666629545</v>
      </c>
      <c r="AB4" s="1">
        <v>3.9434808915396418</v>
      </c>
      <c r="AC4" s="1">
        <v>3.8609350980458745</v>
      </c>
      <c r="AD4" s="19"/>
      <c r="AE4" s="19"/>
    </row>
    <row r="5" spans="1:31" x14ac:dyDescent="0.35">
      <c r="A5" s="2">
        <v>1898</v>
      </c>
      <c r="B5" s="1"/>
      <c r="C5" s="1">
        <v>6.6538610487654878E-11</v>
      </c>
      <c r="D5" s="14">
        <f t="shared" si="0"/>
        <v>0.92951344191506891</v>
      </c>
      <c r="E5" s="1"/>
      <c r="F5" s="4">
        <v>13969.534907668751</v>
      </c>
      <c r="G5" s="1"/>
      <c r="H5" s="5">
        <v>0.30811303268069962</v>
      </c>
      <c r="I5" s="1"/>
      <c r="J5" s="20">
        <f t="shared" si="1"/>
        <v>0.93529788141962067</v>
      </c>
      <c r="K5" s="1"/>
      <c r="L5" s="1"/>
      <c r="M5" s="1"/>
      <c r="N5" s="17">
        <f t="shared" si="2"/>
        <v>0.28267354743028111</v>
      </c>
      <c r="O5" s="1"/>
      <c r="P5" s="1"/>
      <c r="Q5" s="1"/>
      <c r="R5" s="1"/>
      <c r="S5" s="1"/>
      <c r="T5" s="1"/>
      <c r="U5" s="1"/>
      <c r="V5" s="1"/>
      <c r="W5" s="1"/>
      <c r="X5" s="1"/>
      <c r="Y5" s="1">
        <f t="shared" si="3"/>
        <v>3.308756301826592</v>
      </c>
      <c r="Z5" s="1">
        <v>6.2542068289291004</v>
      </c>
      <c r="AA5" s="1">
        <v>3.9870938425600411</v>
      </c>
      <c r="AB5" s="1">
        <v>3.9464994222155805</v>
      </c>
      <c r="AC5" s="1">
        <v>3.817364492457926</v>
      </c>
      <c r="AD5" s="19"/>
      <c r="AE5" s="19"/>
    </row>
    <row r="6" spans="1:31" x14ac:dyDescent="0.35">
      <c r="A6" s="2">
        <v>1899</v>
      </c>
      <c r="B6" s="1"/>
      <c r="C6" s="1">
        <v>6.3811743237232817E-11</v>
      </c>
      <c r="D6" s="14">
        <f t="shared" si="0"/>
        <v>0.92056365427049669</v>
      </c>
      <c r="E6" s="1"/>
      <c r="F6" s="4">
        <v>14426.242060934124</v>
      </c>
      <c r="G6" s="1"/>
      <c r="H6" s="5">
        <v>0.31175934075976114</v>
      </c>
      <c r="I6" s="1"/>
      <c r="J6" s="20">
        <f t="shared" si="1"/>
        <v>0.9262923985017214</v>
      </c>
      <c r="K6" s="1"/>
      <c r="L6" s="1"/>
      <c r="M6" s="1"/>
      <c r="N6" s="17">
        <f t="shared" si="2"/>
        <v>0.28601879651229628</v>
      </c>
      <c r="O6" s="1"/>
      <c r="P6" s="1"/>
      <c r="Q6" s="1"/>
      <c r="R6" s="1"/>
      <c r="S6" s="1"/>
      <c r="T6" s="1"/>
      <c r="U6" s="1"/>
      <c r="V6" s="1"/>
      <c r="W6" s="1"/>
      <c r="X6" s="1"/>
      <c r="Y6" s="1">
        <f t="shared" si="3"/>
        <v>3.2385717645025438</v>
      </c>
      <c r="Z6" s="1">
        <v>6.1910665415714359</v>
      </c>
      <c r="AA6" s="1">
        <v>3.9096201134242117</v>
      </c>
      <c r="AB6" s="1">
        <v>3.9743830204097303</v>
      </c>
      <c r="AC6" s="1">
        <v>3.8407514894259407</v>
      </c>
      <c r="AD6" s="19"/>
      <c r="AE6" s="19"/>
    </row>
    <row r="7" spans="1:31" x14ac:dyDescent="0.35">
      <c r="A7" s="2">
        <v>1900</v>
      </c>
      <c r="B7" s="1"/>
      <c r="C7" s="1">
        <v>6.772586627877155E-11</v>
      </c>
      <c r="D7" s="14">
        <f t="shared" si="0"/>
        <v>1.0118176173316216</v>
      </c>
      <c r="E7" s="1"/>
      <c r="F7" s="4">
        <v>14939.899227967091</v>
      </c>
      <c r="G7" s="1"/>
      <c r="H7" s="5">
        <v>0.34858705235828263</v>
      </c>
      <c r="I7" s="1"/>
      <c r="J7" s="20">
        <f t="shared" si="1"/>
        <v>1.0181142425692684</v>
      </c>
      <c r="K7" s="1"/>
      <c r="L7" s="1"/>
      <c r="M7" s="1"/>
      <c r="N7" s="17">
        <f t="shared" si="2"/>
        <v>0.31980581224064941</v>
      </c>
      <c r="O7" s="1"/>
      <c r="P7" s="1"/>
      <c r="Q7" s="1"/>
      <c r="R7" s="1"/>
      <c r="S7" s="1"/>
      <c r="T7" s="1"/>
      <c r="U7" s="1"/>
      <c r="V7" s="1"/>
      <c r="W7" s="1"/>
      <c r="X7" s="1"/>
      <c r="Y7" s="1">
        <f t="shared" si="3"/>
        <v>3.183538896419905</v>
      </c>
      <c r="Z7" s="1">
        <v>6.2986958967454623</v>
      </c>
      <c r="AA7" s="1">
        <v>4.804504349032948</v>
      </c>
      <c r="AB7" s="1">
        <v>3.9982249661482947</v>
      </c>
      <c r="AC7" s="1">
        <v>3.8714773782251486</v>
      </c>
      <c r="AD7" s="19"/>
      <c r="AE7" s="19"/>
    </row>
    <row r="8" spans="1:31" x14ac:dyDescent="0.35">
      <c r="A8" s="2">
        <v>1901</v>
      </c>
      <c r="B8" s="1"/>
      <c r="C8" s="1">
        <v>6.5561779285699592E-11</v>
      </c>
      <c r="D8" s="14">
        <f t="shared" si="0"/>
        <v>1.0188153278289067</v>
      </c>
      <c r="E8" s="1"/>
      <c r="F8" s="4">
        <v>15539.775444305731</v>
      </c>
      <c r="G8" s="1"/>
      <c r="H8" s="5">
        <v>0.36207839225081034</v>
      </c>
      <c r="I8" s="1"/>
      <c r="J8" s="20">
        <f t="shared" si="1"/>
        <v>1.0251555004013382</v>
      </c>
      <c r="K8" s="1"/>
      <c r="L8" s="1"/>
      <c r="M8" s="1"/>
      <c r="N8" s="17">
        <f t="shared" si="2"/>
        <v>0.33218323384410553</v>
      </c>
      <c r="O8" s="1"/>
      <c r="P8" s="1"/>
      <c r="Q8" s="1"/>
      <c r="R8" s="1"/>
      <c r="S8" s="1"/>
      <c r="T8" s="1"/>
      <c r="U8" s="1"/>
      <c r="V8" s="1"/>
      <c r="W8" s="1"/>
      <c r="X8" s="1"/>
      <c r="Y8" s="1">
        <f t="shared" si="3"/>
        <v>3.0861145173944764</v>
      </c>
      <c r="Z8" s="1">
        <v>6.619966829572494</v>
      </c>
      <c r="AA8" s="1">
        <v>3.8132331195371303</v>
      </c>
      <c r="AB8" s="1">
        <v>4.0393882628729072</v>
      </c>
      <c r="AC8" s="1">
        <v>3.8926306837067202</v>
      </c>
      <c r="AD8" s="19"/>
      <c r="AE8" s="19"/>
    </row>
    <row r="9" spans="1:31" x14ac:dyDescent="0.35">
      <c r="A9" s="2">
        <v>1902</v>
      </c>
      <c r="B9" s="1"/>
      <c r="C9" s="1">
        <v>6.3993146017919521E-11</v>
      </c>
      <c r="D9" s="14">
        <f t="shared" si="0"/>
        <v>1.0471995381928039</v>
      </c>
      <c r="E9" s="1"/>
      <c r="F9" s="4">
        <v>16364.245288074513</v>
      </c>
      <c r="G9" s="1"/>
      <c r="H9" s="5">
        <v>0.37283500108404194</v>
      </c>
      <c r="I9" s="1"/>
      <c r="J9" s="20">
        <f t="shared" si="1"/>
        <v>1.0537163480685068</v>
      </c>
      <c r="K9" s="1"/>
      <c r="L9" s="1"/>
      <c r="M9" s="1"/>
      <c r="N9" s="17">
        <f t="shared" si="2"/>
        <v>0.34205171863605033</v>
      </c>
      <c r="O9" s="1"/>
      <c r="P9" s="1"/>
      <c r="Q9" s="1"/>
      <c r="R9" s="1"/>
      <c r="S9" s="1"/>
      <c r="T9" s="1"/>
      <c r="U9" s="1"/>
      <c r="V9" s="1"/>
      <c r="W9" s="1"/>
      <c r="X9" s="1"/>
      <c r="Y9" s="1">
        <f t="shared" si="3"/>
        <v>3.0805760961244619</v>
      </c>
      <c r="Z9" s="1">
        <v>6.718825868449505</v>
      </c>
      <c r="AA9" s="1">
        <v>3.7342098077421348</v>
      </c>
      <c r="AB9" s="1">
        <v>4.0081019695991325</v>
      </c>
      <c r="AC9" s="1">
        <v>3.9201834820277002</v>
      </c>
      <c r="AD9" s="19"/>
      <c r="AE9" s="19"/>
    </row>
    <row r="10" spans="1:31" x14ac:dyDescent="0.35">
      <c r="A10" s="2">
        <v>1903</v>
      </c>
      <c r="B10" s="1"/>
      <c r="C10" s="1">
        <v>6.4766814489678963E-11</v>
      </c>
      <c r="D10" s="14">
        <f t="shared" si="0"/>
        <v>1.1241358668484238</v>
      </c>
      <c r="E10" s="1"/>
      <c r="F10" s="4">
        <v>17356.664453947516</v>
      </c>
      <c r="G10" s="1"/>
      <c r="H10" s="5">
        <v>0.40291704273629958</v>
      </c>
      <c r="I10" s="1"/>
      <c r="J10" s="20">
        <f t="shared" si="1"/>
        <v>1.1311314579001084</v>
      </c>
      <c r="K10" s="1"/>
      <c r="L10" s="1"/>
      <c r="M10" s="1"/>
      <c r="N10" s="17">
        <f t="shared" si="2"/>
        <v>0.3696500235626754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f t="shared" si="3"/>
        <v>3.0600064542084935</v>
      </c>
      <c r="Z10" s="1">
        <v>6.7208581252828736</v>
      </c>
      <c r="AA10" s="1">
        <v>3.7044364600716846</v>
      </c>
      <c r="AB10" s="1">
        <v>4.0241046620202754</v>
      </c>
      <c r="AC10" s="1">
        <v>3.9631198731476753</v>
      </c>
      <c r="AD10" s="19"/>
      <c r="AE10" s="19"/>
    </row>
    <row r="11" spans="1:31" x14ac:dyDescent="0.35">
      <c r="A11" s="2">
        <v>1904</v>
      </c>
      <c r="B11" s="1"/>
      <c r="C11" s="1">
        <v>6.7601463066240884E-11</v>
      </c>
      <c r="D11" s="14">
        <f t="shared" si="0"/>
        <v>1.2512963903287206</v>
      </c>
      <c r="E11" s="1"/>
      <c r="F11" s="4">
        <v>18509.901022446931</v>
      </c>
      <c r="G11" s="1"/>
      <c r="H11" s="5">
        <v>0.4346399230241349</v>
      </c>
      <c r="I11" s="1"/>
      <c r="J11" s="20">
        <f t="shared" si="1"/>
        <v>1.259083311900514</v>
      </c>
      <c r="K11" s="1"/>
      <c r="L11" s="1"/>
      <c r="M11" s="1"/>
      <c r="N11" s="17">
        <f t="shared" si="2"/>
        <v>0.39875369057620724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f t="shared" si="3"/>
        <v>3.157546479585212</v>
      </c>
      <c r="Z11" s="1">
        <v>6.7543846995006573</v>
      </c>
      <c r="AA11" s="1">
        <v>3.9301834876698094</v>
      </c>
      <c r="AB11" s="1">
        <v>4.0545919355028657</v>
      </c>
      <c r="AC11" s="1">
        <v>3.9928934101204305</v>
      </c>
      <c r="AD11" s="19"/>
      <c r="AE11" s="19"/>
    </row>
    <row r="12" spans="1:31" x14ac:dyDescent="0.35">
      <c r="A12" s="2">
        <v>1905</v>
      </c>
      <c r="B12" s="1"/>
      <c r="C12" s="1">
        <v>6.7974346775302546E-11</v>
      </c>
      <c r="D12" s="14">
        <f t="shared" si="0"/>
        <v>1.3334012320073807</v>
      </c>
      <c r="E12" s="1"/>
      <c r="F12" s="4">
        <v>19616.241939258354</v>
      </c>
      <c r="G12" s="1"/>
      <c r="H12" s="5">
        <v>0.46909753437126644</v>
      </c>
      <c r="I12" s="1"/>
      <c r="J12" s="20">
        <f t="shared" si="1"/>
        <v>1.3416990988418296</v>
      </c>
      <c r="K12" s="1"/>
      <c r="L12" s="1"/>
      <c r="M12" s="1"/>
      <c r="N12" s="17">
        <f t="shared" si="2"/>
        <v>0.43036629440125052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f t="shared" si="3"/>
        <v>3.117574764325993</v>
      </c>
      <c r="Z12" s="1">
        <v>6.6409226435106827</v>
      </c>
      <c r="AA12" s="1">
        <v>3.6553582529729218</v>
      </c>
      <c r="AB12" s="1">
        <v>4.0732606892286842</v>
      </c>
      <c r="AC12" s="1">
        <v>3.9952625720628001</v>
      </c>
      <c r="AD12" s="19"/>
      <c r="AE12" s="19"/>
    </row>
    <row r="13" spans="1:31" x14ac:dyDescent="0.35">
      <c r="A13" s="2">
        <v>1906</v>
      </c>
      <c r="B13" s="1"/>
      <c r="C13" s="1">
        <v>6.6518733757285407E-11</v>
      </c>
      <c r="D13" s="14">
        <f t="shared" si="0"/>
        <v>1.3970662917433312</v>
      </c>
      <c r="E13" s="1"/>
      <c r="F13" s="4">
        <v>21002.599009791265</v>
      </c>
      <c r="G13" s="1"/>
      <c r="H13" s="5">
        <v>0.49571558334841559</v>
      </c>
      <c r="I13" s="1"/>
      <c r="J13" s="20">
        <f t="shared" si="1"/>
        <v>1.4057603515428194</v>
      </c>
      <c r="K13" s="1"/>
      <c r="L13" s="1"/>
      <c r="M13" s="1"/>
      <c r="N13" s="17">
        <f t="shared" si="2"/>
        <v>0.45478661269996118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f t="shared" si="3"/>
        <v>3.0910328322928216</v>
      </c>
      <c r="Z13" s="1">
        <v>6.9059257306022577</v>
      </c>
      <c r="AA13" s="1">
        <v>3.6418160486352589</v>
      </c>
      <c r="AB13" s="1">
        <v>4.0810357129724002</v>
      </c>
      <c r="AC13" s="1">
        <v>4.0972308609720578</v>
      </c>
      <c r="AD13" s="19"/>
      <c r="AE13" s="19"/>
    </row>
    <row r="14" spans="1:31" x14ac:dyDescent="0.35">
      <c r="A14" s="2">
        <v>1907</v>
      </c>
      <c r="B14" s="1"/>
      <c r="C14" s="1">
        <v>6.491315972643099E-11</v>
      </c>
      <c r="D14" s="14">
        <f t="shared" si="0"/>
        <v>1.4645040363573347</v>
      </c>
      <c r="E14" s="1"/>
      <c r="F14" s="4">
        <v>22560.972883300055</v>
      </c>
      <c r="G14" s="1"/>
      <c r="H14" s="5">
        <v>0.51412943914767639</v>
      </c>
      <c r="I14" s="1"/>
      <c r="J14" s="20">
        <f t="shared" si="1"/>
        <v>1.4736177668538268</v>
      </c>
      <c r="K14" s="1"/>
      <c r="L14" s="1"/>
      <c r="M14" s="1"/>
      <c r="N14" s="17">
        <f t="shared" si="2"/>
        <v>0.47168012056413783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f t="shared" si="3"/>
        <v>3.1241888360513346</v>
      </c>
      <c r="Z14" s="1">
        <v>6.374080814383233</v>
      </c>
      <c r="AA14" s="1">
        <v>3.6236752956073497</v>
      </c>
      <c r="AB14" s="1">
        <v>4.0870793321011156</v>
      </c>
      <c r="AC14" s="1">
        <v>3.9216737485213677</v>
      </c>
      <c r="AD14" s="19"/>
      <c r="AE14" s="19"/>
    </row>
    <row r="15" spans="1:31" x14ac:dyDescent="0.35">
      <c r="A15" s="2">
        <v>1908</v>
      </c>
      <c r="B15" s="1"/>
      <c r="C15" s="1">
        <v>6.3127164940553894E-11</v>
      </c>
      <c r="D15" s="14">
        <f t="shared" si="0"/>
        <v>1.5108547563165093</v>
      </c>
      <c r="E15" s="1"/>
      <c r="F15" s="4">
        <v>23933.511947499359</v>
      </c>
      <c r="G15" s="1"/>
      <c r="H15" s="5">
        <v>0.50938923864489638</v>
      </c>
      <c r="I15" s="1"/>
      <c r="J15" s="20">
        <f t="shared" si="1"/>
        <v>1.5202569312006844</v>
      </c>
      <c r="K15" s="1"/>
      <c r="L15" s="1"/>
      <c r="M15" s="1"/>
      <c r="N15" s="17">
        <f t="shared" si="2"/>
        <v>0.46733129675751806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f t="shared" si="3"/>
        <v>3.2530603915224039</v>
      </c>
      <c r="Z15" s="1">
        <v>6.5576536163205201</v>
      </c>
      <c r="AA15" s="1">
        <v>4.1154723753629652</v>
      </c>
      <c r="AB15" s="1">
        <v>4.0852439756933956</v>
      </c>
      <c r="AC15" s="1">
        <v>3.9734146835929667</v>
      </c>
      <c r="AD15" s="19"/>
      <c r="AE15" s="19"/>
    </row>
    <row r="16" spans="1:31" x14ac:dyDescent="0.35">
      <c r="A16" s="2">
        <v>1909</v>
      </c>
      <c r="B16" s="1"/>
      <c r="C16" s="1">
        <v>6.8411745575252823E-11</v>
      </c>
      <c r="D16" s="14">
        <f t="shared" si="0"/>
        <v>1.7127336819049319</v>
      </c>
      <c r="E16" s="1"/>
      <c r="F16" s="4">
        <v>25035.667011608806</v>
      </c>
      <c r="G16" s="1"/>
      <c r="H16" s="5">
        <v>0.56134912877152321</v>
      </c>
      <c r="I16" s="1"/>
      <c r="J16" s="20">
        <f t="shared" si="1"/>
        <v>1.7233921661437133</v>
      </c>
      <c r="K16" s="1"/>
      <c r="L16" s="1"/>
      <c r="M16" s="1"/>
      <c r="N16" s="17">
        <f t="shared" si="2"/>
        <v>0.51500109617623413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f t="shared" si="3"/>
        <v>3.3463854328456923</v>
      </c>
      <c r="Z16" s="1">
        <v>6.4927907634516453</v>
      </c>
      <c r="AA16" s="1">
        <v>4.0402444892330269</v>
      </c>
      <c r="AB16" s="1">
        <v>4.1134755874784821</v>
      </c>
      <c r="AC16" s="1">
        <v>4.134284846483923</v>
      </c>
      <c r="AD16" s="19"/>
      <c r="AE16" s="19"/>
    </row>
    <row r="17" spans="1:31" x14ac:dyDescent="0.35">
      <c r="A17" s="2">
        <v>1910</v>
      </c>
      <c r="B17" s="1"/>
      <c r="C17" s="1">
        <v>6.9536337031635973E-11</v>
      </c>
      <c r="D17" s="14">
        <f t="shared" si="0"/>
        <v>1.8131023746743771</v>
      </c>
      <c r="E17" s="1"/>
      <c r="F17" s="4">
        <v>26074.17146303659</v>
      </c>
      <c r="G17" s="1"/>
      <c r="H17" s="5">
        <v>0.58049224618659634</v>
      </c>
      <c r="I17" s="1"/>
      <c r="J17" s="20">
        <f t="shared" si="1"/>
        <v>1.8243854616410971</v>
      </c>
      <c r="K17" s="1"/>
      <c r="L17" s="1"/>
      <c r="M17" s="1"/>
      <c r="N17" s="17">
        <f t="shared" ref="N17:N48" si="4">H17/H18*N18</f>
        <v>0.53256365385681381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f t="shared" si="3"/>
        <v>3.4256664878065548</v>
      </c>
      <c r="Z17" s="1">
        <v>6.9309891358438831</v>
      </c>
      <c r="AA17" s="1">
        <v>4.6934007111725293</v>
      </c>
      <c r="AB17" s="1">
        <v>4.1437194750964581</v>
      </c>
      <c r="AC17" s="1">
        <v>3.9923460861752673</v>
      </c>
      <c r="AD17" s="19"/>
      <c r="AE17" s="19"/>
    </row>
    <row r="18" spans="1:31" x14ac:dyDescent="0.35">
      <c r="A18" s="2">
        <v>1911</v>
      </c>
      <c r="B18" s="1"/>
      <c r="C18" s="1">
        <v>6.9294082077039161E-11</v>
      </c>
      <c r="D18" s="14">
        <f t="shared" si="0"/>
        <v>1.8712531629231559</v>
      </c>
      <c r="E18" s="1"/>
      <c r="F18" s="4">
        <v>27004.516213126983</v>
      </c>
      <c r="G18" s="1"/>
      <c r="H18" s="5">
        <v>0.59088422421192177</v>
      </c>
      <c r="I18" s="1"/>
      <c r="J18" s="20">
        <f t="shared" si="1"/>
        <v>1.8828981270845444</v>
      </c>
      <c r="K18" s="1"/>
      <c r="L18" s="1"/>
      <c r="M18" s="1"/>
      <c r="N18" s="17">
        <f t="shared" si="4"/>
        <v>0.54209761374055709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f t="shared" si="3"/>
        <v>3.4733562357750611</v>
      </c>
      <c r="Z18" s="1">
        <v>6.5004023353813736</v>
      </c>
      <c r="AA18" s="1">
        <v>4.3084473812925017</v>
      </c>
      <c r="AB18" s="1">
        <v>4.0738855166361132</v>
      </c>
      <c r="AC18" s="1">
        <v>3.97823955222866</v>
      </c>
      <c r="AD18" s="19"/>
      <c r="AE18" s="19"/>
    </row>
    <row r="19" spans="1:31" x14ac:dyDescent="0.35">
      <c r="A19" s="2">
        <v>1912</v>
      </c>
      <c r="B19" s="1"/>
      <c r="C19" s="1">
        <v>7.2351928935186996E-11</v>
      </c>
      <c r="D19" s="14">
        <f t="shared" si="0"/>
        <v>2.0353149922485909</v>
      </c>
      <c r="E19" s="1"/>
      <c r="F19" s="4">
        <v>28130.763370135304</v>
      </c>
      <c r="G19" s="1"/>
      <c r="H19" s="5">
        <v>0.63865086004762783</v>
      </c>
      <c r="I19" s="1"/>
      <c r="J19" s="20">
        <f t="shared" si="1"/>
        <v>2.047980926827345</v>
      </c>
      <c r="K19" s="1"/>
      <c r="L19" s="1"/>
      <c r="M19" s="1"/>
      <c r="N19" s="17">
        <f t="shared" si="4"/>
        <v>0.58592037671495567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f t="shared" si="3"/>
        <v>3.4953229281931373</v>
      </c>
      <c r="Z19" s="1">
        <v>5.9791958661512998</v>
      </c>
      <c r="AA19" s="1">
        <v>4.2420941206311378</v>
      </c>
      <c r="AB19" s="1">
        <v>4.0074952992161688</v>
      </c>
      <c r="AC19" s="1">
        <v>3.9879858252655915</v>
      </c>
      <c r="AD19" s="19"/>
      <c r="AE19" s="19"/>
    </row>
    <row r="20" spans="1:31" x14ac:dyDescent="0.35">
      <c r="A20" s="2">
        <v>1913</v>
      </c>
      <c r="B20" s="1"/>
      <c r="C20" s="1">
        <v>6.5380122457713494E-11</v>
      </c>
      <c r="D20" s="14">
        <f t="shared" si="0"/>
        <v>1.9685792065739438</v>
      </c>
      <c r="E20" s="1"/>
      <c r="F20" s="4">
        <v>30109.750985051767</v>
      </c>
      <c r="G20" s="1"/>
      <c r="H20" s="5">
        <v>0.596353686330514</v>
      </c>
      <c r="I20" s="1"/>
      <c r="J20" s="20">
        <f t="shared" si="1"/>
        <v>1.9808298388045917</v>
      </c>
      <c r="K20" s="1"/>
      <c r="L20" s="1"/>
      <c r="M20" s="1"/>
      <c r="N20" s="17">
        <f t="shared" si="4"/>
        <v>0.54711548736357973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f t="shared" si="3"/>
        <v>3.6204967407333739</v>
      </c>
      <c r="Z20" s="1">
        <v>6.2481332229167634</v>
      </c>
      <c r="AA20" s="1">
        <v>4.4696679651798323</v>
      </c>
      <c r="AB20" s="1">
        <v>3.9342572368468485</v>
      </c>
      <c r="AC20" s="1">
        <v>3.946990283373303</v>
      </c>
      <c r="AD20" s="19"/>
      <c r="AE20" s="19"/>
    </row>
    <row r="21" spans="1:31" x14ac:dyDescent="0.35">
      <c r="A21" s="2">
        <v>1914</v>
      </c>
      <c r="B21" s="1"/>
      <c r="C21" s="1">
        <v>6.6492818799282556E-11</v>
      </c>
      <c r="D21" s="14">
        <f t="shared" si="0"/>
        <v>2.103147995737221</v>
      </c>
      <c r="E21" s="1"/>
      <c r="F21" s="4">
        <v>31629.701277755332</v>
      </c>
      <c r="G21" s="1"/>
      <c r="H21" s="5">
        <v>0.60273472546887163</v>
      </c>
      <c r="I21" s="1"/>
      <c r="J21" s="20">
        <f t="shared" si="1"/>
        <v>2.1162360607418504</v>
      </c>
      <c r="K21" s="1"/>
      <c r="L21" s="1"/>
      <c r="M21" s="1"/>
      <c r="N21" s="17">
        <f t="shared" si="4"/>
        <v>0.55296967325710622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f t="shared" si="3"/>
        <v>3.8270381959227175</v>
      </c>
      <c r="Z21" s="1">
        <v>6.2024759541389551</v>
      </c>
      <c r="AA21" s="1">
        <v>4.9495193631254404</v>
      </c>
      <c r="AB21" s="1">
        <v>3.7142722689270427</v>
      </c>
      <c r="AC21" s="1">
        <v>3.891201302457143</v>
      </c>
      <c r="AD21" s="19"/>
      <c r="AE21" s="19"/>
    </row>
    <row r="22" spans="1:31" x14ac:dyDescent="0.35">
      <c r="A22" s="2">
        <v>1915</v>
      </c>
      <c r="B22" s="1"/>
      <c r="C22" s="1">
        <v>6.7664771297427081E-11</v>
      </c>
      <c r="D22" s="14">
        <f t="shared" si="0"/>
        <v>2.1893412573495143</v>
      </c>
      <c r="E22" s="1"/>
      <c r="F22" s="4">
        <v>32355.703202277178</v>
      </c>
      <c r="G22" s="1"/>
      <c r="H22" s="5">
        <v>0.66636280144849536</v>
      </c>
      <c r="I22" s="1"/>
      <c r="J22" s="20">
        <f t="shared" si="1"/>
        <v>2.2029657101942908</v>
      </c>
      <c r="K22" s="1"/>
      <c r="L22" s="1"/>
      <c r="M22" s="1"/>
      <c r="N22" s="17">
        <f t="shared" si="4"/>
        <v>0.61134426973827072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f t="shared" si="3"/>
        <v>3.6034781370199584</v>
      </c>
      <c r="Z22" s="1">
        <v>6.3347981071185009</v>
      </c>
      <c r="AA22" s="1">
        <v>5.2074081549743694</v>
      </c>
      <c r="AB22" s="1">
        <v>2.6933203299529378</v>
      </c>
      <c r="AC22" s="1">
        <v>3.9056064197581564</v>
      </c>
      <c r="AD22" s="19"/>
      <c r="AE22" s="19"/>
    </row>
    <row r="23" spans="1:31" x14ac:dyDescent="0.35">
      <c r="A23" s="2">
        <v>1916</v>
      </c>
      <c r="B23" s="1"/>
      <c r="C23" s="1">
        <v>8.1719370158088007E-11</v>
      </c>
      <c r="D23" s="14">
        <f t="shared" si="0"/>
        <v>2.7817725819648644</v>
      </c>
      <c r="E23" s="1"/>
      <c r="F23" s="4">
        <v>34040.553379002566</v>
      </c>
      <c r="G23" s="1"/>
      <c r="H23" s="5">
        <v>0.88805833265543666</v>
      </c>
      <c r="I23" s="1"/>
      <c r="J23" s="20">
        <f t="shared" si="1"/>
        <v>2.7990837842457532</v>
      </c>
      <c r="K23" s="1"/>
      <c r="L23" s="1"/>
      <c r="M23" s="1"/>
      <c r="N23" s="17">
        <f t="shared" si="4"/>
        <v>0.81473541392479254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f t="shared" si="3"/>
        <v>3.4355739745764065</v>
      </c>
      <c r="Z23" s="1">
        <v>4.9794889275534944</v>
      </c>
      <c r="AA23" s="1">
        <v>4.7459297720807641</v>
      </c>
      <c r="AB23" s="1">
        <v>1.5524104805585661</v>
      </c>
      <c r="AC23" s="1">
        <v>3.8893554202431155</v>
      </c>
      <c r="AD23" s="19"/>
      <c r="AE23" s="19"/>
    </row>
    <row r="24" spans="1:31" x14ac:dyDescent="0.35">
      <c r="A24" s="2">
        <v>1917</v>
      </c>
      <c r="B24" s="1"/>
      <c r="C24" s="1">
        <v>1.0429173288634057E-10</v>
      </c>
      <c r="D24" s="14">
        <f t="shared" si="0"/>
        <v>3.7196078732909497</v>
      </c>
      <c r="E24" s="1"/>
      <c r="F24" s="4">
        <v>35665.414413476668</v>
      </c>
      <c r="G24" s="1"/>
      <c r="H24" s="5">
        <v>1.1752050938815324</v>
      </c>
      <c r="I24" s="1"/>
      <c r="J24" s="20">
        <f t="shared" si="1"/>
        <v>3.7427553026378324</v>
      </c>
      <c r="K24" s="1"/>
      <c r="L24" s="1"/>
      <c r="M24" s="1"/>
      <c r="N24" s="17">
        <f t="shared" si="4"/>
        <v>1.0781737791334864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f t="shared" si="3"/>
        <v>3.4713840895350225</v>
      </c>
      <c r="Z24" s="1">
        <v>4.4677173619882424</v>
      </c>
      <c r="AA24" s="1">
        <v>4.0654314709638433</v>
      </c>
      <c r="AB24" s="1">
        <v>3.8551478571310911</v>
      </c>
      <c r="AC24" s="1">
        <v>3.8582168860881003</v>
      </c>
      <c r="AD24" s="19"/>
      <c r="AE24" s="19"/>
    </row>
    <row r="25" spans="1:31" x14ac:dyDescent="0.35">
      <c r="A25" s="2">
        <v>1918</v>
      </c>
      <c r="B25" s="1"/>
      <c r="C25" s="1">
        <v>1.3409802202596509E-10</v>
      </c>
      <c r="D25" s="14">
        <f t="shared" si="0"/>
        <v>4.9459448346948713</v>
      </c>
      <c r="E25" s="1"/>
      <c r="F25" s="4">
        <v>36883.055842070506</v>
      </c>
      <c r="G25" s="1"/>
      <c r="H25" s="5">
        <v>1.5201458381607533</v>
      </c>
      <c r="I25" s="1"/>
      <c r="J25" s="20">
        <f t="shared" si="1"/>
        <v>4.9767238610101874</v>
      </c>
      <c r="K25" s="1"/>
      <c r="L25" s="1"/>
      <c r="M25" s="1"/>
      <c r="N25" s="17">
        <f t="shared" si="4"/>
        <v>1.3946343422921206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f t="shared" si="3"/>
        <v>3.5684793569838544</v>
      </c>
      <c r="Z25" s="1">
        <v>4.551619928395497</v>
      </c>
      <c r="AA25" s="1">
        <v>3.4117681021252122</v>
      </c>
      <c r="AB25" s="1">
        <v>3.7986761132317843</v>
      </c>
      <c r="AC25" s="1">
        <v>3.8433733995778798</v>
      </c>
      <c r="AD25" s="19"/>
      <c r="AE25" s="19"/>
    </row>
    <row r="26" spans="1:31" x14ac:dyDescent="0.35">
      <c r="A26" s="2">
        <v>1919</v>
      </c>
      <c r="B26" s="1"/>
      <c r="C26" s="1">
        <v>1.3492312490737405E-10</v>
      </c>
      <c r="D26" s="14">
        <f t="shared" si="0"/>
        <v>5.2209728665209907</v>
      </c>
      <c r="E26" s="1"/>
      <c r="F26" s="4">
        <v>38695.908281884491</v>
      </c>
      <c r="G26" s="1"/>
      <c r="H26" s="5">
        <v>1.5803099214652687</v>
      </c>
      <c r="I26" s="1"/>
      <c r="J26" s="20">
        <f t="shared" si="1"/>
        <v>5.2534634151666086</v>
      </c>
      <c r="K26" s="1"/>
      <c r="L26" s="1"/>
      <c r="M26" s="1"/>
      <c r="N26" s="17">
        <f t="shared" si="4"/>
        <v>1.4498309521453707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f t="shared" si="3"/>
        <v>3.6235006621929657</v>
      </c>
      <c r="Z26" s="1">
        <v>3.7478070910239154</v>
      </c>
      <c r="AA26" s="1">
        <v>3.4522150715187379</v>
      </c>
      <c r="AB26" s="1">
        <v>3.7260639204628059</v>
      </c>
      <c r="AC26" s="1">
        <v>3.8563018017651358</v>
      </c>
      <c r="AD26" s="19"/>
      <c r="AE26" s="19"/>
    </row>
    <row r="27" spans="1:31" x14ac:dyDescent="0.35">
      <c r="A27" s="2">
        <v>1920</v>
      </c>
      <c r="B27" s="1"/>
      <c r="C27" s="1">
        <v>1.5191321999197794E-10</v>
      </c>
      <c r="D27" s="14">
        <f t="shared" si="0"/>
        <v>6.0871339450576478</v>
      </c>
      <c r="E27" s="1"/>
      <c r="F27" s="4">
        <v>40069.810549595946</v>
      </c>
      <c r="G27" s="1"/>
      <c r="H27" s="5">
        <v>1.7970829367654773</v>
      </c>
      <c r="I27" s="1"/>
      <c r="J27" s="20">
        <f t="shared" si="1"/>
        <v>6.1250146861782344</v>
      </c>
      <c r="K27" s="1"/>
      <c r="L27" s="1"/>
      <c r="M27" s="1"/>
      <c r="N27" s="17">
        <f t="shared" si="4"/>
        <v>1.6487060100711723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f t="shared" si="3"/>
        <v>3.7150435849468555</v>
      </c>
      <c r="Z27" s="1">
        <v>3.5491781679960273</v>
      </c>
      <c r="AA27" s="1">
        <v>3.1227647034064883</v>
      </c>
      <c r="AB27" s="1">
        <v>3.6577627423215344</v>
      </c>
      <c r="AC27" s="1">
        <v>3.8464573731408023</v>
      </c>
      <c r="AD27" s="19"/>
      <c r="AE27" s="19"/>
    </row>
    <row r="28" spans="1:31" x14ac:dyDescent="0.35">
      <c r="A28" s="2">
        <v>1921</v>
      </c>
      <c r="B28" s="1"/>
      <c r="C28" s="1">
        <v>9.9951153944210864E-11</v>
      </c>
      <c r="D28" s="14">
        <f>F28*C28*10^6</f>
        <v>4.1772373400069052</v>
      </c>
      <c r="E28" s="1"/>
      <c r="F28" s="4">
        <v>41792.787528380999</v>
      </c>
      <c r="G28" s="1"/>
      <c r="H28" s="5">
        <v>1.2313582382990802</v>
      </c>
      <c r="I28" s="1"/>
      <c r="J28" s="20">
        <f t="shared" si="1"/>
        <v>4.2032326356097771</v>
      </c>
      <c r="K28" s="1"/>
      <c r="L28" s="1"/>
      <c r="M28" s="1"/>
      <c r="N28" s="17">
        <f t="shared" si="4"/>
        <v>1.12969061499652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>
        <f t="shared" si="3"/>
        <v>3.7206935950536555</v>
      </c>
      <c r="Z28" s="1">
        <v>3.0603281326376299</v>
      </c>
      <c r="AA28" s="1">
        <v>4.0327196904620255</v>
      </c>
      <c r="AB28" s="1">
        <v>3.582655862024581</v>
      </c>
      <c r="AC28" s="1">
        <v>3.7453116367167993</v>
      </c>
      <c r="AD28" s="19"/>
      <c r="AE28" s="19"/>
    </row>
    <row r="29" spans="1:31" x14ac:dyDescent="0.35">
      <c r="A29" s="2">
        <v>1922</v>
      </c>
      <c r="B29" s="1"/>
      <c r="C29" s="1">
        <v>9.7188084233546841E-11</v>
      </c>
      <c r="D29" s="14">
        <f>F29*C29*10^6</f>
        <v>4.1402929043720249</v>
      </c>
      <c r="E29" s="1"/>
      <c r="F29" s="4">
        <v>42600.828455705909</v>
      </c>
      <c r="G29" s="1"/>
      <c r="H29" s="5">
        <v>1.3004557763972961</v>
      </c>
      <c r="I29" s="1"/>
      <c r="J29" s="17">
        <f>J30*D29/D30</f>
        <v>4.166058291677369</v>
      </c>
      <c r="K29" s="1"/>
      <c r="L29" s="1"/>
      <c r="M29" s="1"/>
      <c r="N29" s="17">
        <f>H29/H30*N30</f>
        <v>1.1930830851007073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f t="shared" si="3"/>
        <v>3.4918425579101351</v>
      </c>
      <c r="Z29" s="1">
        <v>2.6113640038153911</v>
      </c>
      <c r="AA29" s="1">
        <v>4.2242444261564884</v>
      </c>
      <c r="AB29" s="1">
        <v>3.4051319550236765</v>
      </c>
      <c r="AC29" s="1">
        <v>3.7604005716491495</v>
      </c>
      <c r="AD29" s="19"/>
      <c r="AE29" s="19"/>
    </row>
    <row r="30" spans="1:31" x14ac:dyDescent="0.35">
      <c r="A30" s="2">
        <v>1923</v>
      </c>
      <c r="B30" s="1"/>
      <c r="C30" s="1">
        <v>1.0220043822995812E-10</v>
      </c>
      <c r="D30" s="14">
        <f t="shared" si="0"/>
        <v>4.4771588330553618</v>
      </c>
      <c r="E30" s="1"/>
      <c r="F30" s="4">
        <v>43807.62852485467</v>
      </c>
      <c r="G30" s="1"/>
      <c r="H30" s="5">
        <v>1.4289372929982747</v>
      </c>
      <c r="I30" s="1"/>
      <c r="J30" s="17">
        <f t="shared" ref="J30:J48" si="5">J31*D30/D31</f>
        <v>4.5050205650693949</v>
      </c>
      <c r="K30" s="1"/>
      <c r="L30" s="1"/>
      <c r="M30" s="1"/>
      <c r="N30" s="17">
        <f t="shared" si="4"/>
        <v>1.3109564699453469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f t="shared" si="3"/>
        <v>3.4364379507255545</v>
      </c>
      <c r="Z30" s="1">
        <v>2.2359271682348196</v>
      </c>
      <c r="AA30" s="1">
        <v>3.7414712063962874</v>
      </c>
      <c r="AB30" s="1">
        <v>3.3758452939822674</v>
      </c>
      <c r="AC30" s="1">
        <v>3.7264494675687541</v>
      </c>
      <c r="AD30" s="19"/>
      <c r="AE30" s="19"/>
    </row>
    <row r="31" spans="1:31" x14ac:dyDescent="0.35">
      <c r="A31" s="2">
        <v>1924</v>
      </c>
      <c r="B31" s="1"/>
      <c r="C31" s="1">
        <v>1.0565222110656947E-10</v>
      </c>
      <c r="D31" s="14">
        <f t="shared" si="0"/>
        <v>4.8036680746594032</v>
      </c>
      <c r="E31" s="1"/>
      <c r="F31" s="4">
        <v>45466.796858099464</v>
      </c>
      <c r="G31" s="1"/>
      <c r="H31" s="5">
        <v>1.6086976950899412</v>
      </c>
      <c r="I31" s="1"/>
      <c r="J31" s="17">
        <f t="shared" si="5"/>
        <v>4.8335617008565306</v>
      </c>
      <c r="K31" s="1"/>
      <c r="L31" s="1"/>
      <c r="M31" s="1"/>
      <c r="N31" s="17">
        <f t="shared" si="4"/>
        <v>1.475874877013845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f t="shared" si="3"/>
        <v>3.2750484313658981</v>
      </c>
      <c r="Z31" s="1">
        <v>2.2467448756568587</v>
      </c>
      <c r="AA31" s="1">
        <v>3.8806107296898165</v>
      </c>
      <c r="AB31" s="1">
        <v>3.2541398635208303</v>
      </c>
      <c r="AC31" s="1">
        <v>3.6791039438071014</v>
      </c>
      <c r="AD31" s="19"/>
      <c r="AE31" s="19"/>
    </row>
    <row r="32" spans="1:31" x14ac:dyDescent="0.35">
      <c r="A32" s="2">
        <v>1925</v>
      </c>
      <c r="B32" s="1"/>
      <c r="C32" s="1">
        <v>1.1205879563541219E-10</v>
      </c>
      <c r="D32" s="14">
        <f t="shared" si="0"/>
        <v>5.3020202168398107</v>
      </c>
      <c r="E32" s="1"/>
      <c r="F32" s="4">
        <v>47314.627885972892</v>
      </c>
      <c r="G32" s="1"/>
      <c r="H32" s="5">
        <v>1.7599084750108922</v>
      </c>
      <c r="I32" s="1"/>
      <c r="J32" s="17">
        <f t="shared" si="5"/>
        <v>5.335015129891346</v>
      </c>
      <c r="K32" s="1"/>
      <c r="L32" s="1"/>
      <c r="M32" s="1"/>
      <c r="N32" s="17">
        <f t="shared" si="4"/>
        <v>1.6146008737627395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f t="shared" si="3"/>
        <v>3.3042315389427377</v>
      </c>
      <c r="Z32" s="1">
        <v>2.0485759837359958</v>
      </c>
      <c r="AA32" s="1">
        <v>4.01156876649413</v>
      </c>
      <c r="AB32" s="1">
        <v>3.2589826323836486</v>
      </c>
      <c r="AC32" s="1">
        <v>3.6607821824734725</v>
      </c>
      <c r="AD32" s="19"/>
      <c r="AE32" s="19"/>
    </row>
    <row r="33" spans="1:31" x14ac:dyDescent="0.35">
      <c r="A33" s="2">
        <v>1926</v>
      </c>
      <c r="B33" s="1"/>
      <c r="C33" s="1">
        <v>1.0232554328428166E-10</v>
      </c>
      <c r="D33" s="14">
        <f t="shared" si="0"/>
        <v>5.0270525568462707</v>
      </c>
      <c r="E33" s="1"/>
      <c r="F33" s="4">
        <v>49128.031921414498</v>
      </c>
      <c r="G33" s="1"/>
      <c r="H33" s="5">
        <v>1.7578097023266266</v>
      </c>
      <c r="I33" s="1"/>
      <c r="J33" s="17">
        <f t="shared" si="5"/>
        <v>5.0583363232664418</v>
      </c>
      <c r="K33" s="1"/>
      <c r="L33" s="1"/>
      <c r="M33" s="1"/>
      <c r="N33" s="17">
        <f t="shared" si="4"/>
        <v>1.6126753871491111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f t="shared" si="3"/>
        <v>3.1366115980777587</v>
      </c>
      <c r="Z33" s="1">
        <v>2.3502803725929589</v>
      </c>
      <c r="AA33" s="1">
        <v>3.938467928161292</v>
      </c>
      <c r="AB33" s="1">
        <v>3.2235580266379622</v>
      </c>
      <c r="AC33" s="1">
        <v>3.6182635783857946</v>
      </c>
      <c r="AD33" s="19"/>
      <c r="AE33" s="19"/>
    </row>
    <row r="34" spans="1:31" x14ac:dyDescent="0.35">
      <c r="A34" s="2">
        <v>1927</v>
      </c>
      <c r="B34" s="1"/>
      <c r="C34" s="1">
        <v>9.4665770390525857E-11</v>
      </c>
      <c r="D34" s="14">
        <f t="shared" si="0"/>
        <v>4.8535003386756674</v>
      </c>
      <c r="E34" s="1"/>
      <c r="F34" s="4">
        <v>51269.855182643769</v>
      </c>
      <c r="G34" s="1"/>
      <c r="H34" s="5">
        <v>1.6761318372539706</v>
      </c>
      <c r="I34" s="1"/>
      <c r="J34" s="17">
        <f t="shared" si="5"/>
        <v>4.8837040751988852</v>
      </c>
      <c r="K34" s="1"/>
      <c r="L34" s="1"/>
      <c r="M34" s="1"/>
      <c r="N34" s="17">
        <f t="shared" si="4"/>
        <v>1.5377412901855918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f t="shared" si="3"/>
        <v>3.1758944800197599</v>
      </c>
      <c r="Z34" s="1">
        <v>2.7094555168926036</v>
      </c>
      <c r="AA34" s="1">
        <v>4.2825960863134824</v>
      </c>
      <c r="AB34" s="1">
        <v>3.0925131356233586</v>
      </c>
      <c r="AC34" s="1">
        <v>3.5652216741844813</v>
      </c>
      <c r="AD34" s="19"/>
      <c r="AE34" s="19"/>
    </row>
    <row r="35" spans="1:31" x14ac:dyDescent="0.35">
      <c r="A35" s="2">
        <v>1928</v>
      </c>
      <c r="B35" s="1"/>
      <c r="C35" s="1">
        <v>9.6513050541251444E-11</v>
      </c>
      <c r="D35" s="14">
        <f t="shared" si="0"/>
        <v>5.1837948195280994</v>
      </c>
      <c r="E35" s="1"/>
      <c r="F35" s="4">
        <v>53710.817246548962</v>
      </c>
      <c r="G35" s="1"/>
      <c r="H35" s="5">
        <v>1.8006260992142344</v>
      </c>
      <c r="I35" s="1"/>
      <c r="J35" s="17">
        <f t="shared" si="5"/>
        <v>5.2160540060932679</v>
      </c>
      <c r="K35" s="1"/>
      <c r="L35" s="1"/>
      <c r="M35" s="1"/>
      <c r="N35" s="17">
        <f t="shared" si="4"/>
        <v>1.6519566297862749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f t="shared" si="3"/>
        <v>3.1575005735883668</v>
      </c>
      <c r="Z35" s="1">
        <v>2.8240549742353633</v>
      </c>
      <c r="AA35" s="1">
        <v>4.8089400333341077</v>
      </c>
      <c r="AB35" s="1">
        <v>3.0349897772679491</v>
      </c>
      <c r="AC35" s="1">
        <v>3.516346979869283</v>
      </c>
      <c r="AD35" s="19"/>
      <c r="AE35" s="19"/>
    </row>
    <row r="36" spans="1:31" x14ac:dyDescent="0.35">
      <c r="A36" s="2">
        <v>1929</v>
      </c>
      <c r="B36" s="1"/>
      <c r="C36" s="1">
        <v>9.8960300076287642E-11</v>
      </c>
      <c r="D36" s="14">
        <f t="shared" si="0"/>
        <v>5.6557993152012571</v>
      </c>
      <c r="E36" s="1"/>
      <c r="F36" s="4">
        <v>57152.204579424782</v>
      </c>
      <c r="G36" s="1"/>
      <c r="H36" s="5">
        <v>2.0787346711343346</v>
      </c>
      <c r="I36" s="1"/>
      <c r="J36" s="17">
        <f t="shared" si="5"/>
        <v>5.6909958250239274</v>
      </c>
      <c r="K36" s="1"/>
      <c r="L36" s="1"/>
      <c r="M36" s="1"/>
      <c r="N36" s="17">
        <f t="shared" si="4"/>
        <v>1.9071030476818545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f t="shared" si="3"/>
        <v>2.9841050445289348</v>
      </c>
      <c r="Z36" s="1">
        <v>3.0415351490135145</v>
      </c>
      <c r="AA36" s="1">
        <v>4.683351875144953</v>
      </c>
      <c r="AB36" s="1">
        <v>2.9315237493900765</v>
      </c>
      <c r="AC36" s="1">
        <v>3.4367186827349303</v>
      </c>
      <c r="AD36" s="19"/>
      <c r="AE36" s="19"/>
    </row>
    <row r="37" spans="1:31" x14ac:dyDescent="0.35">
      <c r="A37" s="2">
        <v>1930</v>
      </c>
      <c r="B37" s="1"/>
      <c r="C37" s="1">
        <v>8.1556461187093876E-11</v>
      </c>
      <c r="D37" s="14">
        <f t="shared" si="0"/>
        <v>4.7923816247208588</v>
      </c>
      <c r="E37" s="1"/>
      <c r="F37" s="4">
        <v>58761.519994435977</v>
      </c>
      <c r="G37" s="1"/>
      <c r="H37" s="5">
        <v>1.550510918057157</v>
      </c>
      <c r="I37" s="1"/>
      <c r="J37" s="17">
        <f t="shared" si="5"/>
        <v>4.8222050144007431</v>
      </c>
      <c r="K37" s="1"/>
      <c r="L37" s="1"/>
      <c r="M37" s="1"/>
      <c r="N37" s="17">
        <f t="shared" si="4"/>
        <v>1.4224923162883565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f t="shared" si="3"/>
        <v>3.3899691120884925</v>
      </c>
      <c r="Z37" s="1">
        <v>3.3197424883357267</v>
      </c>
      <c r="AA37" s="1">
        <v>4.7442149320694513</v>
      </c>
      <c r="AB37" s="1">
        <v>2.7920932028760626</v>
      </c>
      <c r="AC37" s="1">
        <v>3.3143754943649948</v>
      </c>
      <c r="AD37" s="19"/>
      <c r="AE37" s="19"/>
    </row>
    <row r="38" spans="1:31" x14ac:dyDescent="0.35">
      <c r="A38" s="2">
        <v>1931</v>
      </c>
      <c r="B38" s="1"/>
      <c r="C38" s="1">
        <v>6.8977943290980166E-11</v>
      </c>
      <c r="D38" s="14">
        <f t="shared" si="0"/>
        <v>4.0572368113831567</v>
      </c>
      <c r="E38" s="1"/>
      <c r="F38" s="4">
        <v>58819.335831280099</v>
      </c>
      <c r="G38" s="1"/>
      <c r="H38" s="5">
        <v>1.2247484708807155</v>
      </c>
      <c r="I38" s="1"/>
      <c r="J38" s="17">
        <f t="shared" si="5"/>
        <v>4.0824853337097773</v>
      </c>
      <c r="K38" s="1"/>
      <c r="L38" s="1"/>
      <c r="M38" s="1"/>
      <c r="N38" s="17">
        <f t="shared" si="4"/>
        <v>1.1236265858719405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f t="shared" si="3"/>
        <v>3.6333114444259484</v>
      </c>
      <c r="Z38" s="1">
        <v>3.333488497684197</v>
      </c>
      <c r="AA38" s="1">
        <v>4.5628611644323316</v>
      </c>
      <c r="AB38" s="1">
        <v>2.4710544350972588</v>
      </c>
      <c r="AC38" s="1">
        <v>3.2268750167371962</v>
      </c>
      <c r="AD38" s="19"/>
      <c r="AE38" s="19"/>
    </row>
    <row r="39" spans="1:31" x14ac:dyDescent="0.35">
      <c r="A39" s="2">
        <v>1932</v>
      </c>
      <c r="B39" s="1"/>
      <c r="C39" s="1">
        <v>6.430063776795165E-11</v>
      </c>
      <c r="D39" s="14">
        <f t="shared" si="0"/>
        <v>3.690640258722083</v>
      </c>
      <c r="E39" s="1"/>
      <c r="F39" s="4">
        <v>57396.635349728218</v>
      </c>
      <c r="G39" s="1"/>
      <c r="H39" s="5">
        <v>1.1045875337194735</v>
      </c>
      <c r="I39" s="1"/>
      <c r="J39" s="17">
        <f t="shared" si="5"/>
        <v>3.713607420192774</v>
      </c>
      <c r="K39" s="1"/>
      <c r="L39" s="1"/>
      <c r="M39" s="1"/>
      <c r="N39" s="17">
        <f t="shared" si="4"/>
        <v>1.013386788241845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f t="shared" si="3"/>
        <v>3.6645508539100082</v>
      </c>
      <c r="Z39" s="1">
        <v>3.6371125626249259</v>
      </c>
      <c r="AA39" s="1">
        <v>4.77096017016415</v>
      </c>
      <c r="AB39" s="1">
        <v>1.6101978804968269</v>
      </c>
      <c r="AC39" s="1">
        <v>3.175907236205636</v>
      </c>
      <c r="AD39" s="19"/>
      <c r="AE39" s="19"/>
    </row>
    <row r="40" spans="1:31" x14ac:dyDescent="0.35">
      <c r="A40" s="2">
        <v>1933</v>
      </c>
      <c r="B40" s="1"/>
      <c r="C40" s="1">
        <v>6.2646242610457832E-11</v>
      </c>
      <c r="D40" s="14">
        <f t="shared" si="0"/>
        <v>3.5731746844421948</v>
      </c>
      <c r="E40" s="1"/>
      <c r="F40" s="4">
        <v>57037.334332413862</v>
      </c>
      <c r="G40" s="1"/>
      <c r="H40" s="5">
        <v>1.1919650793398624</v>
      </c>
      <c r="I40" s="1"/>
      <c r="J40" s="17">
        <f t="shared" si="5"/>
        <v>3.5954108478684796</v>
      </c>
      <c r="K40" s="1"/>
      <c r="L40" s="1"/>
      <c r="M40" s="1"/>
      <c r="N40" s="17">
        <f t="shared" si="4"/>
        <v>1.0935499691737685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f t="shared" si="3"/>
        <v>3.2878340718028567</v>
      </c>
      <c r="Z40" s="1">
        <v>3.6677843369183236</v>
      </c>
      <c r="AA40" s="1">
        <v>5.1861083317018108</v>
      </c>
      <c r="AB40" s="1">
        <v>1.6151271539657373</v>
      </c>
      <c r="AC40" s="1">
        <v>3.1344992842505377</v>
      </c>
      <c r="AD40" s="19"/>
      <c r="AE40" s="19"/>
    </row>
    <row r="41" spans="1:31" x14ac:dyDescent="0.35">
      <c r="A41" s="2">
        <v>1934</v>
      </c>
      <c r="B41" s="1"/>
      <c r="C41" s="1">
        <v>6.5894003467217364E-11</v>
      </c>
      <c r="D41" s="14">
        <f t="shared" si="0"/>
        <v>3.9018902548992394</v>
      </c>
      <c r="E41" s="1"/>
      <c r="F41" s="4">
        <v>59214.648520186689</v>
      </c>
      <c r="G41" s="1"/>
      <c r="H41" s="5">
        <v>1.4130386534073045</v>
      </c>
      <c r="I41" s="1"/>
      <c r="J41" s="17">
        <f t="shared" si="5"/>
        <v>3.9261720426766855</v>
      </c>
      <c r="K41" s="1"/>
      <c r="L41" s="1"/>
      <c r="M41" s="1"/>
      <c r="N41" s="17">
        <f t="shared" si="4"/>
        <v>1.2963705083798966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f t="shared" si="3"/>
        <v>3.0285879054617735</v>
      </c>
      <c r="Z41" s="1">
        <v>3.7913484896328251</v>
      </c>
      <c r="AA41" s="1">
        <v>4.833807190273065</v>
      </c>
      <c r="AB41" s="1">
        <v>1.6271663672315562</v>
      </c>
      <c r="AC41" s="1">
        <v>3.1297425092941866</v>
      </c>
      <c r="AD41" s="19"/>
      <c r="AE41" s="19"/>
    </row>
    <row r="42" spans="1:31" x14ac:dyDescent="0.35">
      <c r="A42" s="2">
        <v>1935</v>
      </c>
      <c r="B42" s="1"/>
      <c r="C42" s="1">
        <v>6.772439257134253E-11</v>
      </c>
      <c r="D42" s="14">
        <f t="shared" si="0"/>
        <v>4.1598231934268961</v>
      </c>
      <c r="E42" s="1"/>
      <c r="F42" s="4">
        <v>61422.8202791902</v>
      </c>
      <c r="G42" s="1"/>
      <c r="H42" s="5">
        <v>1.5808511516991763</v>
      </c>
      <c r="I42" s="1"/>
      <c r="J42" s="17">
        <f t="shared" si="5"/>
        <v>4.1857101193463695</v>
      </c>
      <c r="K42" s="1"/>
      <c r="L42" s="1"/>
      <c r="M42" s="1"/>
      <c r="N42" s="17">
        <f t="shared" si="4"/>
        <v>1.450327495471903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f t="shared" si="3"/>
        <v>2.8860447949960681</v>
      </c>
      <c r="Z42" s="1">
        <v>3.4998651287962526</v>
      </c>
      <c r="AA42" s="1">
        <v>4.6655098840435354</v>
      </c>
      <c r="AB42" s="1">
        <v>1.6792365401317668</v>
      </c>
      <c r="AC42" s="1">
        <v>3.0970357964441879</v>
      </c>
      <c r="AD42" s="19"/>
      <c r="AE42" s="19"/>
    </row>
    <row r="43" spans="1:31" x14ac:dyDescent="0.35">
      <c r="A43" s="2">
        <v>1936</v>
      </c>
      <c r="B43" s="1"/>
      <c r="C43" s="1">
        <v>7.1229495783088004E-11</v>
      </c>
      <c r="D43" s="14">
        <f t="shared" si="0"/>
        <v>4.537885289919048</v>
      </c>
      <c r="E43" s="1"/>
      <c r="F43" s="4">
        <v>63707.951881873028</v>
      </c>
      <c r="G43" s="1"/>
      <c r="H43" s="5">
        <v>1.7427154315260751</v>
      </c>
      <c r="I43" s="1"/>
      <c r="J43" s="17">
        <f t="shared" si="5"/>
        <v>4.5661249277278912</v>
      </c>
      <c r="K43" s="1"/>
      <c r="L43" s="1"/>
      <c r="M43" s="1"/>
      <c r="N43" s="17">
        <f t="shared" si="4"/>
        <v>1.5988273813184497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f t="shared" si="3"/>
        <v>2.8559211463857359</v>
      </c>
      <c r="Z43" s="1">
        <v>3.3745047715619814</v>
      </c>
      <c r="AA43" s="1">
        <v>4.859559792106471</v>
      </c>
      <c r="AB43" s="1">
        <v>1.8311637904297549</v>
      </c>
      <c r="AC43" s="1">
        <v>3.0795701648406846</v>
      </c>
      <c r="AD43" s="19"/>
      <c r="AE43" s="19"/>
    </row>
    <row r="44" spans="1:31" x14ac:dyDescent="0.35">
      <c r="A44" s="2">
        <v>1937</v>
      </c>
      <c r="B44" s="1"/>
      <c r="C44" s="1">
        <v>7.979150002199471E-11</v>
      </c>
      <c r="D44" s="14">
        <f t="shared" si="0"/>
        <v>5.3549583689085019</v>
      </c>
      <c r="E44" s="1"/>
      <c r="F44" s="4">
        <v>67111.889956103027</v>
      </c>
      <c r="G44" s="1"/>
      <c r="H44" s="5">
        <v>1.9900271281737367</v>
      </c>
      <c r="I44" s="1"/>
      <c r="J44" s="17">
        <f t="shared" si="5"/>
        <v>5.3882827204859538</v>
      </c>
      <c r="K44" s="1"/>
      <c r="L44" s="1"/>
      <c r="M44" s="1"/>
      <c r="N44" s="17">
        <f t="shared" si="4"/>
        <v>1.8257196812129592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f t="shared" si="3"/>
        <v>2.9513198416671078</v>
      </c>
      <c r="Z44" s="1">
        <v>3.7962701971506934</v>
      </c>
      <c r="AA44" s="1">
        <v>4.424747858580262</v>
      </c>
      <c r="AB44" s="1">
        <v>2.0405638924479095</v>
      </c>
      <c r="AC44" s="1">
        <v>3.0372597632487173</v>
      </c>
      <c r="AD44" s="19"/>
      <c r="AE44" s="19"/>
    </row>
    <row r="45" spans="1:31" x14ac:dyDescent="0.35">
      <c r="A45" s="2">
        <v>1938</v>
      </c>
      <c r="B45" s="1"/>
      <c r="C45" s="1">
        <v>7.798594909046868E-11</v>
      </c>
      <c r="D45" s="14">
        <f t="shared" si="0"/>
        <v>5.4468810415510864</v>
      </c>
      <c r="E45" s="1"/>
      <c r="F45" s="4">
        <v>69844.389984051566</v>
      </c>
      <c r="G45" s="1"/>
      <c r="H45" s="5">
        <v>1.9840122820199135</v>
      </c>
      <c r="I45" s="1"/>
      <c r="J45" s="17">
        <f t="shared" si="5"/>
        <v>5.4807774355703369</v>
      </c>
      <c r="K45" s="1"/>
      <c r="L45" s="1"/>
      <c r="M45" s="1"/>
      <c r="N45" s="17">
        <f t="shared" si="4"/>
        <v>1.8202014534224764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f t="shared" si="3"/>
        <v>3.0110828805597185</v>
      </c>
      <c r="Z45" s="1">
        <v>3.8640645901584452</v>
      </c>
      <c r="AA45" s="1">
        <v>4.5536450501262307</v>
      </c>
      <c r="AB45" s="1">
        <v>1.6881122863562334</v>
      </c>
      <c r="AC45" s="1">
        <v>3.0088992295606207</v>
      </c>
      <c r="AD45" s="19"/>
      <c r="AE45" s="19"/>
    </row>
    <row r="46" spans="1:31" x14ac:dyDescent="0.35">
      <c r="A46" s="2">
        <v>1939</v>
      </c>
      <c r="B46" s="1"/>
      <c r="C46" s="1">
        <v>7.7545894507671995E-11</v>
      </c>
      <c r="D46" s="14">
        <f t="shared" si="0"/>
        <v>5.6221497223255934</v>
      </c>
      <c r="E46" s="1"/>
      <c r="F46" s="4">
        <v>72500.933260488295</v>
      </c>
      <c r="G46" s="1"/>
      <c r="H46" s="5">
        <v>1.9889604533593281</v>
      </c>
      <c r="I46" s="1"/>
      <c r="J46" s="17">
        <f t="shared" si="5"/>
        <v>5.6571368279314287</v>
      </c>
      <c r="K46" s="1"/>
      <c r="L46" s="1"/>
      <c r="M46" s="1"/>
      <c r="N46" s="17">
        <f t="shared" si="4"/>
        <v>1.8247410768640291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f t="shared" si="3"/>
        <v>3.1002408504190049</v>
      </c>
      <c r="Z46" s="1">
        <v>3.4442317969346061</v>
      </c>
      <c r="AA46" s="1">
        <v>4.4136482509101533</v>
      </c>
      <c r="AB46" s="1">
        <v>1.4369201403176581</v>
      </c>
      <c r="AC46" s="1">
        <v>2.9701506409908824</v>
      </c>
      <c r="AD46" s="19"/>
      <c r="AE46" s="19"/>
    </row>
    <row r="47" spans="1:31" x14ac:dyDescent="0.35">
      <c r="A47" s="2">
        <v>1940</v>
      </c>
      <c r="B47" s="1"/>
      <c r="C47" s="1">
        <v>8.4513814109079305E-11</v>
      </c>
      <c r="D47" s="14">
        <f t="shared" si="0"/>
        <v>6.2723140175588536</v>
      </c>
      <c r="E47" s="1"/>
      <c r="F47" s="4">
        <v>74216.435309183609</v>
      </c>
      <c r="G47" s="1"/>
      <c r="H47" s="5">
        <v>2.2211854288020976</v>
      </c>
      <c r="I47" s="1"/>
      <c r="J47" s="17">
        <f t="shared" si="5"/>
        <v>6.3113471496815823</v>
      </c>
      <c r="K47" s="1"/>
      <c r="L47" s="1"/>
      <c r="M47" s="1"/>
      <c r="N47" s="17">
        <f t="shared" si="4"/>
        <v>2.0377922971879188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f t="shared" si="3"/>
        <v>3.0971493799397605</v>
      </c>
      <c r="Z47" s="1">
        <v>3.1777581895278439</v>
      </c>
      <c r="AA47" s="1">
        <v>4.0976886799584884</v>
      </c>
      <c r="AB47" s="1">
        <v>1.3385553128910346</v>
      </c>
      <c r="AC47" s="1">
        <v>2.9191859803015143</v>
      </c>
      <c r="AD47" s="19"/>
      <c r="AE47" s="19"/>
    </row>
    <row r="48" spans="1:31" x14ac:dyDescent="0.35">
      <c r="A48" s="2">
        <v>1941</v>
      </c>
      <c r="B48" s="1"/>
      <c r="C48" s="1">
        <v>8.6819957406438979E-11</v>
      </c>
      <c r="D48" s="14">
        <f t="shared" si="0"/>
        <v>6.68655746840939</v>
      </c>
      <c r="E48" s="1"/>
      <c r="F48" s="4">
        <v>77016.364303278082</v>
      </c>
      <c r="G48" s="1"/>
      <c r="H48" s="5">
        <v>2.3012064835508514</v>
      </c>
      <c r="I48" s="1"/>
      <c r="J48" s="17">
        <f t="shared" si="5"/>
        <v>6.7281684720007284</v>
      </c>
      <c r="K48" s="1"/>
      <c r="L48" s="1"/>
      <c r="M48" s="1"/>
      <c r="N48" s="17">
        <f t="shared" si="4"/>
        <v>2.1112063790855324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>
        <f t="shared" si="3"/>
        <v>3.1868833566688206</v>
      </c>
      <c r="Z48" s="1">
        <v>3.3516941834992156</v>
      </c>
      <c r="AA48" s="1">
        <v>3.2992594054722759</v>
      </c>
      <c r="AB48" s="1">
        <v>1.6218210263015789</v>
      </c>
      <c r="AC48" s="1">
        <v>2.8605597156564713</v>
      </c>
      <c r="AD48" s="19"/>
      <c r="AE48" s="19"/>
    </row>
    <row r="49" spans="1:31" x14ac:dyDescent="0.35">
      <c r="A49" s="2">
        <v>1942</v>
      </c>
      <c r="B49" s="14">
        <f t="shared" ref="B49:B80" si="6">E49*C49*10^6</f>
        <v>9.8947880773311674</v>
      </c>
      <c r="C49" s="1">
        <v>1.1284190448429368E-10</v>
      </c>
      <c r="D49" s="14">
        <f>F49*C49*10^6</f>
        <v>8.8686319014965882</v>
      </c>
      <c r="E49" s="4">
        <v>87687.177228636807</v>
      </c>
      <c r="F49" s="4">
        <v>78593.42628102313</v>
      </c>
      <c r="G49" s="5">
        <v>26231389956.84</v>
      </c>
      <c r="H49" s="5">
        <v>2.96</v>
      </c>
      <c r="I49" s="1"/>
      <c r="J49" s="17">
        <f>J50*D49/D50</f>
        <v>8.9238221358805632</v>
      </c>
      <c r="K49" s="1"/>
      <c r="L49" s="1"/>
      <c r="M49" s="1"/>
      <c r="N49" s="17">
        <f>H49/H50*N50</f>
        <v>2.7156063251005884</v>
      </c>
      <c r="O49" s="1"/>
      <c r="P49" s="1"/>
      <c r="Q49" s="1"/>
      <c r="R49" s="1"/>
      <c r="S49" s="1"/>
      <c r="T49" s="1"/>
      <c r="U49" s="1"/>
      <c r="V49" s="1">
        <f>E49*10^6/G49</f>
        <v>3.3428338099091781</v>
      </c>
      <c r="W49" s="1"/>
      <c r="X49" s="1"/>
      <c r="Y49" s="1">
        <f t="shared" si="3"/>
        <v>3.2861251107706186</v>
      </c>
      <c r="Z49" s="1">
        <v>3.1163478192821614</v>
      </c>
      <c r="AA49" s="1">
        <v>2.6003296791974444</v>
      </c>
      <c r="AB49" s="1">
        <v>1.7579109012516521</v>
      </c>
      <c r="AC49" s="1">
        <v>2.8305132482127986</v>
      </c>
      <c r="AD49" s="19"/>
      <c r="AE49" s="19"/>
    </row>
    <row r="50" spans="1:31" x14ac:dyDescent="0.35">
      <c r="A50" s="2">
        <v>1943</v>
      </c>
      <c r="B50" s="14">
        <f t="shared" si="6"/>
        <v>10.898419450456467</v>
      </c>
      <c r="C50" s="1">
        <v>1.2131082940999574E-10</v>
      </c>
      <c r="D50" s="14">
        <f t="shared" ref="D50:D80" si="7">F50*C50*10^6</f>
        <v>9.7682202199745021</v>
      </c>
      <c r="E50" s="4">
        <v>89838.800900642935</v>
      </c>
      <c r="F50" s="4">
        <v>80522.244118542178</v>
      </c>
      <c r="G50" s="5">
        <v>26936652592.041</v>
      </c>
      <c r="H50" s="5">
        <v>3.2677076674694101</v>
      </c>
      <c r="I50" s="1"/>
      <c r="J50" s="17">
        <f t="shared" ref="J50:J85" si="8">J51*D50/D51</f>
        <v>9.8290086673294645</v>
      </c>
      <c r="K50" s="1"/>
      <c r="L50" s="1"/>
      <c r="M50" s="1"/>
      <c r="N50" s="17">
        <f t="shared" ref="N50:N64" si="9">H50/H51*N51</f>
        <v>2.9979079764728445</v>
      </c>
      <c r="O50" s="1"/>
      <c r="P50" s="1"/>
      <c r="Q50" s="1"/>
      <c r="R50" s="1"/>
      <c r="S50" s="1"/>
      <c r="T50" s="1"/>
      <c r="U50" s="1"/>
      <c r="V50" s="1">
        <f t="shared" ref="V50:V113" si="10">E50*10^6/G50</f>
        <v>3.3351880154250382</v>
      </c>
      <c r="W50" s="1"/>
      <c r="X50" s="1"/>
      <c r="Y50" s="1">
        <f t="shared" si="3"/>
        <v>3.2786225409405918</v>
      </c>
      <c r="Z50" s="1">
        <v>3.3983143721744908</v>
      </c>
      <c r="AA50" s="1">
        <v>2.2752624190405513</v>
      </c>
      <c r="AB50" s="1">
        <v>1.9223186124921328</v>
      </c>
      <c r="AC50" s="1">
        <v>2.8118087279180473</v>
      </c>
      <c r="AD50" s="19"/>
      <c r="AE50" s="19"/>
    </row>
    <row r="51" spans="1:31" x14ac:dyDescent="0.35">
      <c r="A51" s="2">
        <v>1944</v>
      </c>
      <c r="B51" s="14">
        <f t="shared" si="6"/>
        <v>12.321914721160962</v>
      </c>
      <c r="C51" s="1">
        <v>1.3284072195843887E-10</v>
      </c>
      <c r="D51" s="14">
        <f t="shared" si="7"/>
        <v>11.045126794233454</v>
      </c>
      <c r="E51" s="4">
        <v>92757.059277471024</v>
      </c>
      <c r="F51" s="4">
        <v>83145.639615607332</v>
      </c>
      <c r="G51" s="5">
        <v>29141654613.5401</v>
      </c>
      <c r="H51" s="5">
        <v>3.8711984379261377</v>
      </c>
      <c r="I51" s="1"/>
      <c r="J51" s="17">
        <f t="shared" si="8"/>
        <v>11.113861537466125</v>
      </c>
      <c r="K51" s="1"/>
      <c r="L51" s="1"/>
      <c r="M51" s="1"/>
      <c r="N51" s="17">
        <f t="shared" si="9"/>
        <v>3.5515712715377488</v>
      </c>
      <c r="O51" s="1"/>
      <c r="P51" s="1"/>
      <c r="Q51" s="1"/>
      <c r="R51" s="1"/>
      <c r="S51" s="1"/>
      <c r="T51" s="1"/>
      <c r="U51" s="1"/>
      <c r="V51" s="1">
        <f t="shared" si="10"/>
        <v>3.182971609112863</v>
      </c>
      <c r="W51" s="1"/>
      <c r="X51" s="1"/>
      <c r="Y51" s="1">
        <f t="shared" si="3"/>
        <v>3.1292801658050573</v>
      </c>
      <c r="Z51" s="1">
        <v>3.1649218380677278</v>
      </c>
      <c r="AA51" s="1">
        <v>2.3830980433822631</v>
      </c>
      <c r="AB51" s="1">
        <v>2.1871292464670868</v>
      </c>
      <c r="AC51" s="1">
        <v>2.7953683018699587</v>
      </c>
      <c r="AD51" s="19"/>
      <c r="AE51" s="19"/>
    </row>
    <row r="52" spans="1:31" x14ac:dyDescent="0.35">
      <c r="A52" s="2">
        <v>1945</v>
      </c>
      <c r="B52" s="14">
        <f t="shared" si="6"/>
        <v>14.290198555442201</v>
      </c>
      <c r="C52" s="1">
        <v>1.4808235970732211E-10</v>
      </c>
      <c r="D52" s="14">
        <f t="shared" si="7"/>
        <v>12.811184220635099</v>
      </c>
      <c r="E52" s="4">
        <v>96501.693947112362</v>
      </c>
      <c r="F52" s="4">
        <v>86513.911893056051</v>
      </c>
      <c r="G52" s="5">
        <v>30538584029.7612</v>
      </c>
      <c r="H52" s="5">
        <v>4.5222255852473801</v>
      </c>
      <c r="I52" s="1"/>
      <c r="J52" s="17">
        <f t="shared" si="8"/>
        <v>12.890909286206236</v>
      </c>
      <c r="K52" s="1"/>
      <c r="L52" s="1"/>
      <c r="M52" s="1"/>
      <c r="N52" s="17">
        <f t="shared" si="9"/>
        <v>4.1488460820369912</v>
      </c>
      <c r="O52" s="1"/>
      <c r="P52" s="1"/>
      <c r="Q52" s="1"/>
      <c r="R52" s="1"/>
      <c r="S52" s="1"/>
      <c r="T52" s="1"/>
      <c r="U52" s="1"/>
      <c r="V52" s="1">
        <f t="shared" si="10"/>
        <v>3.1599924165792102</v>
      </c>
      <c r="W52" s="1"/>
      <c r="X52" s="1"/>
      <c r="Y52" s="1">
        <f t="shared" si="3"/>
        <v>3.1071071404695463</v>
      </c>
      <c r="Z52" s="1">
        <v>2.6595109806358668</v>
      </c>
      <c r="AA52" s="1">
        <v>2.2740774654079976</v>
      </c>
      <c r="AB52" s="1">
        <v>2.1869954082088294</v>
      </c>
      <c r="AC52" s="1">
        <v>2.7772270443804215</v>
      </c>
      <c r="AD52" s="19"/>
      <c r="AE52" s="19"/>
    </row>
    <row r="53" spans="1:31" x14ac:dyDescent="0.35">
      <c r="A53" s="2">
        <v>1946</v>
      </c>
      <c r="B53" s="14">
        <f t="shared" si="6"/>
        <v>17.057290093723946</v>
      </c>
      <c r="C53" s="1">
        <v>1.6689121012305851E-10</v>
      </c>
      <c r="D53" s="14">
        <f t="shared" si="7"/>
        <v>15.290451417753381</v>
      </c>
      <c r="E53" s="4">
        <v>102206.04237423062</v>
      </c>
      <c r="F53" s="4">
        <v>91619.273456516064</v>
      </c>
      <c r="G53" s="5">
        <v>32494985621.825901</v>
      </c>
      <c r="H53" s="5">
        <v>5.423127473357912</v>
      </c>
      <c r="I53" s="1"/>
      <c r="J53" s="17">
        <f t="shared" si="8"/>
        <v>15.385605169420552</v>
      </c>
      <c r="K53" s="1"/>
      <c r="L53" s="1"/>
      <c r="M53" s="1"/>
      <c r="N53" s="17">
        <f t="shared" si="9"/>
        <v>4.975364617728891</v>
      </c>
      <c r="O53" s="1"/>
      <c r="P53" s="1"/>
      <c r="Q53" s="1"/>
      <c r="R53" s="1"/>
      <c r="S53" s="1"/>
      <c r="T53" s="1"/>
      <c r="U53" s="1"/>
      <c r="V53" s="1">
        <f t="shared" si="10"/>
        <v>3.145286585558047</v>
      </c>
      <c r="W53" s="1"/>
      <c r="X53" s="1"/>
      <c r="Y53" s="1">
        <f t="shared" si="3"/>
        <v>3.0923573147978916</v>
      </c>
      <c r="Z53" s="1">
        <v>2.3149329997472439</v>
      </c>
      <c r="AA53" s="1">
        <v>2.2608782989675094</v>
      </c>
      <c r="AB53" s="1">
        <v>2.3211734765771626</v>
      </c>
      <c r="AC53" s="1">
        <v>2.7533602701678674</v>
      </c>
      <c r="AD53" s="19"/>
      <c r="AE53" s="19"/>
    </row>
    <row r="54" spans="1:31" x14ac:dyDescent="0.35">
      <c r="A54" s="2">
        <v>1947</v>
      </c>
      <c r="B54" s="14">
        <f t="shared" si="6"/>
        <v>22.540430202261323</v>
      </c>
      <c r="C54" s="1">
        <v>2.0990863738276466E-10</v>
      </c>
      <c r="D54" s="14">
        <f t="shared" si="7"/>
        <v>20.208525699891528</v>
      </c>
      <c r="E54" s="4">
        <v>107382.09958058683</v>
      </c>
      <c r="F54" s="4">
        <v>96272.959282955286</v>
      </c>
      <c r="G54" s="5">
        <v>33554217902.029202</v>
      </c>
      <c r="H54" s="5">
        <v>7.0433201582593181</v>
      </c>
      <c r="I54" s="1"/>
      <c r="J54" s="17">
        <f t="shared" si="8"/>
        <v>20.334285037106024</v>
      </c>
      <c r="K54" s="1"/>
      <c r="L54" s="1"/>
      <c r="M54" s="1"/>
      <c r="N54" s="17">
        <f t="shared" si="9"/>
        <v>6.4617853957694189</v>
      </c>
      <c r="O54" s="1"/>
      <c r="P54" s="1"/>
      <c r="Q54" s="1"/>
      <c r="R54" s="1"/>
      <c r="S54" s="1"/>
      <c r="T54" s="1"/>
      <c r="U54" s="1"/>
      <c r="V54" s="1">
        <f t="shared" si="10"/>
        <v>3.2002563699776432</v>
      </c>
      <c r="W54" s="1"/>
      <c r="X54" s="1"/>
      <c r="Y54" s="1">
        <f t="shared" si="3"/>
        <v>3.1468524241642317</v>
      </c>
      <c r="Z54" s="1">
        <v>2.50308693179973</v>
      </c>
      <c r="AA54" s="1">
        <v>2.4055280866393307</v>
      </c>
      <c r="AB54" s="1">
        <v>2.3124646970136551</v>
      </c>
      <c r="AC54" s="1">
        <v>2.7210714819277442</v>
      </c>
      <c r="AD54" s="19"/>
      <c r="AE54" s="19"/>
    </row>
    <row r="55" spans="1:31" x14ac:dyDescent="0.35">
      <c r="A55" s="2">
        <v>1948</v>
      </c>
      <c r="B55" s="14">
        <f t="shared" si="6"/>
        <v>28.627590457044221</v>
      </c>
      <c r="C55" s="1">
        <v>2.5711559463571954E-10</v>
      </c>
      <c r="D55" s="14">
        <f t="shared" si="7"/>
        <v>25.672473086100251</v>
      </c>
      <c r="E55" s="4">
        <v>111341.32294699468</v>
      </c>
      <c r="F55" s="4">
        <v>99847.981303790293</v>
      </c>
      <c r="G55" s="5">
        <v>34837692974.3265</v>
      </c>
      <c r="H55" s="5">
        <v>8.9573141448305869</v>
      </c>
      <c r="I55" s="1"/>
      <c r="J55" s="17">
        <f t="shared" si="8"/>
        <v>25.832235022617091</v>
      </c>
      <c r="K55" s="1"/>
      <c r="L55" s="1"/>
      <c r="M55" s="1"/>
      <c r="N55" s="17">
        <f t="shared" si="9"/>
        <v>8.2177496444644955</v>
      </c>
      <c r="O55" s="1"/>
      <c r="P55" s="1"/>
      <c r="Q55" s="1"/>
      <c r="R55" s="1"/>
      <c r="S55" s="1"/>
      <c r="T55" s="1"/>
      <c r="U55" s="1"/>
      <c r="V55" s="1">
        <f t="shared" si="10"/>
        <v>3.1960016132252851</v>
      </c>
      <c r="W55" s="1"/>
      <c r="X55" s="1"/>
      <c r="Y55" s="1">
        <f t="shared" si="3"/>
        <v>3.1434682413351172</v>
      </c>
      <c r="Z55" s="1">
        <v>2.4464146935273954</v>
      </c>
      <c r="AA55" s="1">
        <v>2.4148059554079797</v>
      </c>
      <c r="AB55" s="1">
        <v>2.1932843046240711</v>
      </c>
      <c r="AC55" s="1">
        <v>2.6835308554600936</v>
      </c>
      <c r="AD55" s="19"/>
      <c r="AE55" s="19"/>
    </row>
    <row r="56" spans="1:31" x14ac:dyDescent="0.35">
      <c r="A56" s="2">
        <v>1949</v>
      </c>
      <c r="B56" s="14">
        <f t="shared" si="6"/>
        <v>38.963508493200713</v>
      </c>
      <c r="C56" s="1">
        <v>3.366097233774036E-10</v>
      </c>
      <c r="D56" s="14">
        <f t="shared" si="7"/>
        <v>34.947514012284245</v>
      </c>
      <c r="E56" s="4">
        <v>115752.77179237986</v>
      </c>
      <c r="F56" s="4">
        <v>103822.05737147237</v>
      </c>
      <c r="G56" s="5">
        <v>37699140545.513298</v>
      </c>
      <c r="H56" s="5">
        <v>12.689897270591091</v>
      </c>
      <c r="I56" s="1"/>
      <c r="J56" s="17">
        <f t="shared" si="8"/>
        <v>35.164995300367664</v>
      </c>
      <c r="K56" s="1"/>
      <c r="L56" s="1"/>
      <c r="M56" s="1"/>
      <c r="N56" s="17">
        <f t="shared" si="9"/>
        <v>11.642150436788466</v>
      </c>
      <c r="O56" s="1"/>
      <c r="P56" s="1"/>
      <c r="Q56" s="1"/>
      <c r="R56" s="1"/>
      <c r="S56" s="1"/>
      <c r="T56" s="1"/>
      <c r="U56" s="1"/>
      <c r="V56" s="1">
        <f t="shared" si="10"/>
        <v>3.0704352968639759</v>
      </c>
      <c r="W56" s="1"/>
      <c r="X56" s="1"/>
      <c r="Y56" s="1">
        <f t="shared" si="3"/>
        <v>3.0204896845559119</v>
      </c>
      <c r="Z56" s="1">
        <v>2.253329538192006</v>
      </c>
      <c r="AA56" s="1">
        <v>2.5675558219383103</v>
      </c>
      <c r="AB56" s="1">
        <v>1.9761488920186576</v>
      </c>
      <c r="AC56" s="1">
        <v>2.635133557263674</v>
      </c>
      <c r="AD56" s="19"/>
      <c r="AE56" s="19"/>
    </row>
    <row r="57" spans="1:31" x14ac:dyDescent="0.35">
      <c r="A57" s="2">
        <v>1950</v>
      </c>
      <c r="B57" s="14">
        <f t="shared" si="6"/>
        <v>47.715967254872211</v>
      </c>
      <c r="C57" s="1">
        <v>3.8758553274682305E-10</v>
      </c>
      <c r="D57" s="14">
        <f t="shared" si="7"/>
        <v>42.790867149249266</v>
      </c>
      <c r="E57" s="4">
        <v>123110.80580513059</v>
      </c>
      <c r="F57" s="4">
        <v>110403.67488948803</v>
      </c>
      <c r="G57" s="5">
        <v>40920000000</v>
      </c>
      <c r="H57" s="5">
        <v>15.86</v>
      </c>
      <c r="I57" s="1"/>
      <c r="J57" s="17">
        <f t="shared" si="8"/>
        <v>43.057158276639733</v>
      </c>
      <c r="K57" s="4">
        <v>24848.271484375</v>
      </c>
      <c r="L57" s="4">
        <v>19284.357421875</v>
      </c>
      <c r="M57" s="1"/>
      <c r="N57" s="17">
        <f t="shared" si="9"/>
        <v>14.550512268951126</v>
      </c>
      <c r="O57" s="1"/>
      <c r="P57" s="1"/>
      <c r="Q57" s="1"/>
      <c r="R57" s="1"/>
      <c r="S57" s="1"/>
      <c r="T57" s="1"/>
      <c r="U57" s="1"/>
      <c r="V57" s="1">
        <f t="shared" si="10"/>
        <v>3.0085729668897994</v>
      </c>
      <c r="W57" s="1">
        <f>K57/L57</f>
        <v>1.288519546738365</v>
      </c>
      <c r="X57" s="1"/>
      <c r="Y57" s="1">
        <f t="shared" si="3"/>
        <v>2.9591506801116569</v>
      </c>
      <c r="Z57" s="1">
        <v>2.2842125592749842</v>
      </c>
      <c r="AA57" s="1">
        <v>2.4864617929353905</v>
      </c>
      <c r="AB57" s="1">
        <v>1.9826625022845612</v>
      </c>
      <c r="AC57" s="1">
        <v>2.6114080044111909</v>
      </c>
      <c r="AD57" s="19"/>
      <c r="AE57" s="19"/>
    </row>
    <row r="58" spans="1:31" x14ac:dyDescent="0.35">
      <c r="A58" s="2">
        <v>1951</v>
      </c>
      <c r="B58" s="14">
        <f t="shared" si="6"/>
        <v>59.081246399251668</v>
      </c>
      <c r="C58" s="1">
        <v>4.4572923888975864E-10</v>
      </c>
      <c r="D58" s="14">
        <f t="shared" si="7"/>
        <v>52.962358863741883</v>
      </c>
      <c r="E58" s="4">
        <v>132549.63157995592</v>
      </c>
      <c r="F58" s="4">
        <v>118821.81881463011</v>
      </c>
      <c r="G58" s="5">
        <v>44711000000</v>
      </c>
      <c r="H58" s="5">
        <v>19.928999999999998</v>
      </c>
      <c r="I58" s="1"/>
      <c r="J58" s="17">
        <f t="shared" si="8"/>
        <v>53.291948030558558</v>
      </c>
      <c r="K58" s="4">
        <v>27007.232421875</v>
      </c>
      <c r="L58" s="4">
        <v>20755.298828125</v>
      </c>
      <c r="M58" s="1"/>
      <c r="N58" s="17">
        <f t="shared" si="9"/>
        <v>18.283553531395142</v>
      </c>
      <c r="O58" s="1"/>
      <c r="P58" s="1"/>
      <c r="Q58" s="1"/>
      <c r="R58" s="1"/>
      <c r="S58" s="1"/>
      <c r="T58" s="1"/>
      <c r="U58" s="1"/>
      <c r="V58" s="1">
        <f t="shared" si="10"/>
        <v>2.9645866024011074</v>
      </c>
      <c r="W58" s="1">
        <f t="shared" ref="W58:W121" si="11">K58/L58</f>
        <v>1.3012210831326676</v>
      </c>
      <c r="X58" s="1"/>
      <c r="Y58" s="1">
        <f t="shared" si="3"/>
        <v>2.9147478327475911</v>
      </c>
      <c r="Z58" s="1">
        <v>2.3990797003035054</v>
      </c>
      <c r="AA58" s="1">
        <v>2.3965290464500515</v>
      </c>
      <c r="AB58" s="1">
        <v>2.1113965688148766</v>
      </c>
      <c r="AC58" s="1">
        <v>2.5724083521762164</v>
      </c>
      <c r="AD58" s="19"/>
      <c r="AE58" s="19"/>
    </row>
    <row r="59" spans="1:31" x14ac:dyDescent="0.35">
      <c r="A59" s="2">
        <v>1952</v>
      </c>
      <c r="B59" s="14">
        <f t="shared" si="6"/>
        <v>63.812252106281534</v>
      </c>
      <c r="C59" s="1">
        <v>4.4695545652311656E-10</v>
      </c>
      <c r="D59" s="14">
        <f t="shared" si="7"/>
        <v>57.187979483223387</v>
      </c>
      <c r="E59" s="4">
        <v>142770.94322257405</v>
      </c>
      <c r="F59" s="4">
        <v>127950.06448313853</v>
      </c>
      <c r="G59" s="5">
        <v>47347000000</v>
      </c>
      <c r="H59" s="5">
        <v>21.161999999999999</v>
      </c>
      <c r="I59" s="1"/>
      <c r="J59" s="17">
        <f t="shared" si="8"/>
        <v>57.543865038817636</v>
      </c>
      <c r="K59" s="4">
        <v>29431.412109375</v>
      </c>
      <c r="L59" s="4">
        <v>22079.51953125</v>
      </c>
      <c r="M59" s="1"/>
      <c r="N59" s="17">
        <f t="shared" si="9"/>
        <v>19.414750355330625</v>
      </c>
      <c r="O59" s="1"/>
      <c r="P59" s="1"/>
      <c r="Q59" s="1"/>
      <c r="R59" s="1"/>
      <c r="S59" s="1"/>
      <c r="T59" s="1"/>
      <c r="U59" s="1"/>
      <c r="V59" s="1">
        <f t="shared" si="10"/>
        <v>3.0154168843342561</v>
      </c>
      <c r="W59" s="1">
        <f t="shared" si="11"/>
        <v>1.3329733949925668</v>
      </c>
      <c r="X59" s="1"/>
      <c r="Y59" s="1">
        <f t="shared" si="3"/>
        <v>2.9639250562404507</v>
      </c>
      <c r="Z59" s="1">
        <v>2.5052685304607922</v>
      </c>
      <c r="AA59" s="1">
        <v>2.3980842862124825</v>
      </c>
      <c r="AB59" s="1">
        <v>2.1238790851042459</v>
      </c>
      <c r="AC59" s="1">
        <v>2.5535491084835336</v>
      </c>
      <c r="AD59" s="19"/>
      <c r="AE59" s="19"/>
    </row>
    <row r="60" spans="1:31" x14ac:dyDescent="0.35">
      <c r="A60" s="2">
        <v>1953</v>
      </c>
      <c r="B60" s="14">
        <f t="shared" si="6"/>
        <v>69.937831518049563</v>
      </c>
      <c r="C60" s="1">
        <v>4.5626435060397324E-10</v>
      </c>
      <c r="D60" s="14">
        <f t="shared" si="7"/>
        <v>62.679920791029915</v>
      </c>
      <c r="E60" s="4">
        <v>153283.57656141746</v>
      </c>
      <c r="F60" s="4">
        <v>137376.32735947549</v>
      </c>
      <c r="G60" s="5">
        <v>50085000000</v>
      </c>
      <c r="H60" s="5">
        <v>22.852</v>
      </c>
      <c r="I60" s="1"/>
      <c r="J60" s="17">
        <f t="shared" si="8"/>
        <v>63.069983154430304</v>
      </c>
      <c r="K60" s="4">
        <v>31808.9375</v>
      </c>
      <c r="L60" s="4">
        <v>23338.2421875</v>
      </c>
      <c r="M60" s="1"/>
      <c r="N60" s="17">
        <f t="shared" si="9"/>
        <v>20.965214777431978</v>
      </c>
      <c r="O60" s="1"/>
      <c r="P60" s="1"/>
      <c r="Q60" s="1"/>
      <c r="R60" s="1"/>
      <c r="S60" s="1"/>
      <c r="T60" s="1"/>
      <c r="U60" s="1"/>
      <c r="V60" s="1">
        <f t="shared" si="10"/>
        <v>3.0604687343799033</v>
      </c>
      <c r="W60" s="1">
        <f t="shared" si="11"/>
        <v>1.3629534411566318</v>
      </c>
      <c r="X60" s="1"/>
      <c r="Y60" s="1">
        <f t="shared" si="3"/>
        <v>3.0083156229967192</v>
      </c>
      <c r="Z60" s="1">
        <v>2.5373774587015414</v>
      </c>
      <c r="AA60" s="1">
        <v>2.3066741274413327</v>
      </c>
      <c r="AB60" s="1">
        <v>2.0989967408088175</v>
      </c>
      <c r="AC60" s="1">
        <v>2.554150976175793</v>
      </c>
      <c r="AD60" s="19"/>
      <c r="AE60" s="19"/>
    </row>
    <row r="61" spans="1:31" x14ac:dyDescent="0.35">
      <c r="A61" s="2">
        <v>1954</v>
      </c>
      <c r="B61" s="14">
        <f t="shared" si="6"/>
        <v>82.028896386478436</v>
      </c>
      <c r="C61" s="1">
        <v>5.0657670293013916E-10</v>
      </c>
      <c r="D61" s="14">
        <f t="shared" si="7"/>
        <v>73.518625022547667</v>
      </c>
      <c r="E61" s="4">
        <v>161927.88952197603</v>
      </c>
      <c r="F61" s="4">
        <v>145128.31837173225</v>
      </c>
      <c r="G61" s="5">
        <v>52762000000</v>
      </c>
      <c r="H61" s="5">
        <v>26.728000000000002</v>
      </c>
      <c r="I61" s="1"/>
      <c r="J61" s="17">
        <f t="shared" si="8"/>
        <v>73.976137544394149</v>
      </c>
      <c r="K61" s="4">
        <v>33437.05859375</v>
      </c>
      <c r="L61" s="4">
        <v>24815.44921875</v>
      </c>
      <c r="M61" s="1"/>
      <c r="N61" s="17">
        <f t="shared" si="9"/>
        <v>24.521191168002886</v>
      </c>
      <c r="O61" s="1"/>
      <c r="P61" s="1"/>
      <c r="Q61" s="1"/>
      <c r="R61" s="1"/>
      <c r="S61" s="1"/>
      <c r="T61" s="1"/>
      <c r="U61" s="1"/>
      <c r="V61" s="1">
        <f t="shared" si="10"/>
        <v>3.0690248573211032</v>
      </c>
      <c r="W61" s="1">
        <f t="shared" si="11"/>
        <v>1.3474291075289382</v>
      </c>
      <c r="X61" s="1"/>
      <c r="Y61" s="1">
        <f t="shared" si="3"/>
        <v>3.0168247960532941</v>
      </c>
      <c r="Z61" s="1">
        <v>2.543696433658349</v>
      </c>
      <c r="AA61" s="1">
        <v>2.3947607777944016</v>
      </c>
      <c r="AB61" s="1">
        <v>2.0046043245826368</v>
      </c>
      <c r="AC61" s="1">
        <v>2.54722773633504</v>
      </c>
      <c r="AD61" s="19"/>
      <c r="AE61" s="19"/>
    </row>
    <row r="62" spans="1:31" x14ac:dyDescent="0.35">
      <c r="A62" s="2">
        <v>1955</v>
      </c>
      <c r="B62" s="14">
        <f t="shared" si="6"/>
        <v>91.298239891998648</v>
      </c>
      <c r="C62" s="1">
        <v>5.3009416735293068E-10</v>
      </c>
      <c r="D62" s="14">
        <f t="shared" si="7"/>
        <v>81.825251263383919</v>
      </c>
      <c r="E62" s="4">
        <v>172230.22910797907</v>
      </c>
      <c r="F62" s="4">
        <v>154359.84076562306</v>
      </c>
      <c r="G62" s="5">
        <v>55858000000</v>
      </c>
      <c r="H62" s="5">
        <v>29.61</v>
      </c>
      <c r="I62" s="1"/>
      <c r="J62" s="17">
        <f t="shared" si="8"/>
        <v>82.334456611617128</v>
      </c>
      <c r="K62" s="4">
        <v>35587.703125</v>
      </c>
      <c r="L62" s="4">
        <v>25997.060546875</v>
      </c>
      <c r="M62" s="1"/>
      <c r="N62" s="17">
        <f t="shared" si="9"/>
        <v>27.165237596698795</v>
      </c>
      <c r="O62" s="1"/>
      <c r="P62" s="1"/>
      <c r="Q62" s="1"/>
      <c r="R62" s="1"/>
      <c r="S62" s="1"/>
      <c r="T62" s="1"/>
      <c r="U62" s="1"/>
      <c r="V62" s="1">
        <f t="shared" si="10"/>
        <v>3.0833583212427773</v>
      </c>
      <c r="W62" s="1">
        <f t="shared" si="11"/>
        <v>1.3689125761288368</v>
      </c>
      <c r="X62" s="1"/>
      <c r="Y62" s="1">
        <f t="shared" si="3"/>
        <v>3.0308756298756863</v>
      </c>
      <c r="Z62" s="1">
        <v>2.5838719491161015</v>
      </c>
      <c r="AA62" s="1">
        <v>2.3803186220984442</v>
      </c>
      <c r="AB62" s="1">
        <v>2.0200815361503039</v>
      </c>
      <c r="AC62" s="1">
        <v>2.517214274436367</v>
      </c>
      <c r="AD62" s="19"/>
      <c r="AE62" s="19"/>
    </row>
    <row r="63" spans="1:31" x14ac:dyDescent="0.35">
      <c r="A63" s="2">
        <v>1956</v>
      </c>
      <c r="B63" s="14">
        <f t="shared" si="6"/>
        <v>104.93182156259059</v>
      </c>
      <c r="C63" s="1">
        <v>5.6437658162916348E-10</v>
      </c>
      <c r="D63" s="14">
        <f t="shared" si="7"/>
        <v>94.044881168988439</v>
      </c>
      <c r="E63" s="4">
        <v>185925.18715019687</v>
      </c>
      <c r="F63" s="4">
        <v>166634.98137628747</v>
      </c>
      <c r="G63" s="5">
        <v>58484000000</v>
      </c>
      <c r="H63" s="5">
        <v>33.006999999999998</v>
      </c>
      <c r="I63" s="1"/>
      <c r="J63" s="17">
        <f t="shared" si="8"/>
        <v>94.630130291060311</v>
      </c>
      <c r="K63" s="4">
        <v>38194.421875</v>
      </c>
      <c r="L63" s="4">
        <v>26749.98828125</v>
      </c>
      <c r="M63" s="1"/>
      <c r="N63" s="17">
        <f t="shared" si="9"/>
        <v>30.281762828579435</v>
      </c>
      <c r="O63" s="1"/>
      <c r="P63" s="1"/>
      <c r="Q63" s="1"/>
      <c r="R63" s="1"/>
      <c r="S63" s="1"/>
      <c r="T63" s="1"/>
      <c r="U63" s="1"/>
      <c r="V63" s="1">
        <f t="shared" si="10"/>
        <v>3.179077818723016</v>
      </c>
      <c r="W63" s="1">
        <f t="shared" si="11"/>
        <v>1.4278294806495972</v>
      </c>
      <c r="X63" s="1"/>
      <c r="Y63" s="1">
        <f t="shared" si="3"/>
        <v>3.1249874991342952</v>
      </c>
      <c r="Z63" s="1">
        <v>2.6598378949542236</v>
      </c>
      <c r="AA63" s="1">
        <v>2.4279284006863069</v>
      </c>
      <c r="AB63" s="1">
        <v>2.0620612233205748</v>
      </c>
      <c r="AC63" s="1">
        <v>2.4887124654103383</v>
      </c>
      <c r="AD63" s="19"/>
      <c r="AE63" s="19"/>
    </row>
    <row r="64" spans="1:31" x14ac:dyDescent="0.35">
      <c r="A64" s="2">
        <v>1957</v>
      </c>
      <c r="B64" s="14">
        <f t="shared" si="6"/>
        <v>116.54584890743119</v>
      </c>
      <c r="C64" s="1">
        <v>5.7901909541293222E-10</v>
      </c>
      <c r="D64" s="14">
        <f t="shared" si="7"/>
        <v>104.44618164345759</v>
      </c>
      <c r="E64" s="4">
        <v>201281.52910797452</v>
      </c>
      <c r="F64" s="4">
        <v>180384.69278629048</v>
      </c>
      <c r="G64" s="5">
        <v>62371000000</v>
      </c>
      <c r="H64" s="5">
        <v>36.113999999999997</v>
      </c>
      <c r="I64" s="1"/>
      <c r="J64" s="17">
        <f t="shared" si="8"/>
        <v>105.09615892399404</v>
      </c>
      <c r="K64" s="4">
        <v>41061.94140625</v>
      </c>
      <c r="L64" s="4">
        <v>28801.9921875</v>
      </c>
      <c r="M64" s="1"/>
      <c r="N64" s="17">
        <f t="shared" si="9"/>
        <v>33.13223203536576</v>
      </c>
      <c r="O64" s="1"/>
      <c r="P64" s="1"/>
      <c r="Q64" s="1"/>
      <c r="R64" s="1"/>
      <c r="S64" s="1"/>
      <c r="T64" s="1"/>
      <c r="U64" s="1"/>
      <c r="V64" s="1">
        <f t="shared" si="10"/>
        <v>3.2271653349789888</v>
      </c>
      <c r="W64" s="1">
        <f t="shared" si="11"/>
        <v>1.4256632367281452</v>
      </c>
      <c r="X64" s="1"/>
      <c r="Y64" s="1">
        <f t="shared" si="3"/>
        <v>3.1720216981401399</v>
      </c>
      <c r="Z64" s="1">
        <v>2.6904329724338623</v>
      </c>
      <c r="AA64" s="1">
        <v>2.4201735298388951</v>
      </c>
      <c r="AB64" s="1">
        <v>2.0916426523015197</v>
      </c>
      <c r="AC64" s="1">
        <v>2.3987317416053946</v>
      </c>
      <c r="AD64" s="19"/>
      <c r="AE64" s="19"/>
    </row>
    <row r="65" spans="1:31" x14ac:dyDescent="0.35">
      <c r="A65" s="2">
        <v>1958</v>
      </c>
      <c r="B65" s="14">
        <f t="shared" si="6"/>
        <v>140.34448814375693</v>
      </c>
      <c r="C65" s="1">
        <v>6.5312935533011374E-10</v>
      </c>
      <c r="D65" s="14">
        <f t="shared" si="7"/>
        <v>125.77273489226782</v>
      </c>
      <c r="E65" s="4">
        <v>214880.08003073456</v>
      </c>
      <c r="F65" s="4">
        <v>192569.41043278942</v>
      </c>
      <c r="G65" s="5">
        <v>61706000000</v>
      </c>
      <c r="H65" s="5">
        <v>40.302</v>
      </c>
      <c r="I65" s="1"/>
      <c r="J65" s="17">
        <f t="shared" si="8"/>
        <v>126.55542908849962</v>
      </c>
      <c r="K65" s="4">
        <v>43129.2109375</v>
      </c>
      <c r="L65" s="4">
        <v>28609.01953125</v>
      </c>
      <c r="M65" s="1"/>
      <c r="N65" s="17">
        <f t="shared" ref="N65:N85" si="12">H65/H66*N66</f>
        <v>36.974448011555374</v>
      </c>
      <c r="O65" s="1"/>
      <c r="P65" s="1"/>
      <c r="Q65" s="1"/>
      <c r="R65" s="1"/>
      <c r="S65" s="1"/>
      <c r="T65" s="1"/>
      <c r="U65" s="1"/>
      <c r="V65" s="1">
        <f t="shared" si="10"/>
        <v>3.4823206824414896</v>
      </c>
      <c r="W65" s="1">
        <f t="shared" si="11"/>
        <v>1.507538938564092</v>
      </c>
      <c r="X65" s="1"/>
      <c r="Y65" s="1">
        <f t="shared" si="3"/>
        <v>3.4227807552109528</v>
      </c>
      <c r="Z65" s="1">
        <v>2.8392579686839836</v>
      </c>
      <c r="AA65" s="1">
        <v>2.5233352828683837</v>
      </c>
      <c r="AB65" s="1">
        <v>2.0831998552405904</v>
      </c>
      <c r="AC65" s="1">
        <v>2.2925573789910776</v>
      </c>
      <c r="AD65" s="19"/>
      <c r="AE65" s="19"/>
    </row>
    <row r="66" spans="1:31" x14ac:dyDescent="0.35">
      <c r="A66" s="2">
        <v>1959</v>
      </c>
      <c r="B66" s="14">
        <f t="shared" si="6"/>
        <v>167.47861906223392</v>
      </c>
      <c r="C66" s="1">
        <v>7.4392408841688536E-10</v>
      </c>
      <c r="D66" s="14">
        <f t="shared" si="7"/>
        <v>150.07746576108465</v>
      </c>
      <c r="E66" s="4">
        <v>225128.6410400265</v>
      </c>
      <c r="F66" s="4">
        <v>201737.60750301607</v>
      </c>
      <c r="G66" s="5">
        <v>63653000000</v>
      </c>
      <c r="H66" s="5">
        <v>47.353000000000002</v>
      </c>
      <c r="I66" s="1"/>
      <c r="J66" s="17">
        <f t="shared" si="8"/>
        <v>151.01141032018955</v>
      </c>
      <c r="K66" s="4">
        <v>44492.9296875</v>
      </c>
      <c r="L66" s="4">
        <v>29232.17578125</v>
      </c>
      <c r="M66" s="1"/>
      <c r="N66" s="17">
        <f t="shared" si="12"/>
        <v>43.443279159624382</v>
      </c>
      <c r="O66" s="1"/>
      <c r="P66" s="1"/>
      <c r="Q66" s="1"/>
      <c r="R66" s="1"/>
      <c r="S66" s="1"/>
      <c r="T66" s="1"/>
      <c r="U66" s="1"/>
      <c r="V66" s="1">
        <f t="shared" si="10"/>
        <v>3.5368111642817541</v>
      </c>
      <c r="W66" s="1">
        <f t="shared" si="11"/>
        <v>1.5220533025132703</v>
      </c>
      <c r="X66" s="1"/>
      <c r="Y66" s="1">
        <f t="shared" si="3"/>
        <v>3.4760592027440138</v>
      </c>
      <c r="Z66" s="1">
        <v>2.9643218349394846</v>
      </c>
      <c r="AA66" s="1">
        <v>2.4896597152304878</v>
      </c>
      <c r="AB66" s="1">
        <v>2.0773508004604544</v>
      </c>
      <c r="AC66" s="1">
        <v>2.315258206570729</v>
      </c>
      <c r="AD66" s="19"/>
      <c r="AE66" s="19"/>
    </row>
    <row r="67" spans="1:31" x14ac:dyDescent="0.35">
      <c r="A67" s="2">
        <v>1960</v>
      </c>
      <c r="B67" s="14">
        <f t="shared" si="6"/>
        <v>192.25292804745374</v>
      </c>
      <c r="C67" s="1">
        <v>8.1361335887684788E-10</v>
      </c>
      <c r="D67" s="14">
        <f t="shared" si="7"/>
        <v>172.26046308270344</v>
      </c>
      <c r="E67" s="4">
        <v>236295.19593047144</v>
      </c>
      <c r="F67" s="4">
        <v>211722.75651975564</v>
      </c>
      <c r="G67" s="5">
        <v>69946000000</v>
      </c>
      <c r="H67" s="5">
        <v>56.908999999999999</v>
      </c>
      <c r="I67" s="1"/>
      <c r="J67" s="17">
        <f t="shared" si="8"/>
        <v>173.33245428024335</v>
      </c>
      <c r="K67" s="4">
        <v>46282.96875</v>
      </c>
      <c r="L67" s="4">
        <v>31960.34765625</v>
      </c>
      <c r="M67" s="1"/>
      <c r="N67" s="17">
        <f t="shared" si="12"/>
        <v>52.21028390376668</v>
      </c>
      <c r="O67" s="1"/>
      <c r="P67" s="1"/>
      <c r="Q67" s="1"/>
      <c r="R67" s="1"/>
      <c r="S67" s="1"/>
      <c r="T67" s="1"/>
      <c r="U67" s="1"/>
      <c r="V67" s="1">
        <f t="shared" si="10"/>
        <v>3.3782517360602671</v>
      </c>
      <c r="W67" s="1">
        <f t="shared" si="11"/>
        <v>1.4481372120165015</v>
      </c>
      <c r="X67" s="1"/>
      <c r="Y67" s="1">
        <f t="shared" ref="Y67:Y86" si="13">J67/N67</f>
        <v>3.3198910505778421</v>
      </c>
      <c r="Z67" s="1">
        <v>2.8920586074543659</v>
      </c>
      <c r="AA67" s="1">
        <v>2.874892952587623</v>
      </c>
      <c r="AB67" s="1">
        <v>2.1021874025760803</v>
      </c>
      <c r="AC67" s="1">
        <v>2.34528687810114</v>
      </c>
      <c r="AD67" s="19"/>
      <c r="AE67" s="19"/>
    </row>
    <row r="68" spans="1:31" x14ac:dyDescent="0.35">
      <c r="A68" s="2">
        <v>1961</v>
      </c>
      <c r="B68" s="14">
        <f t="shared" si="6"/>
        <v>214.58338663748742</v>
      </c>
      <c r="C68" s="1">
        <v>8.5083571951787974E-10</v>
      </c>
      <c r="D68" s="14">
        <f t="shared" si="7"/>
        <v>192.21394497813438</v>
      </c>
      <c r="E68" s="4">
        <v>252203.07718049217</v>
      </c>
      <c r="F68" s="4">
        <v>225911.93642769381</v>
      </c>
      <c r="G68" s="5">
        <v>75085000000</v>
      </c>
      <c r="H68" s="5">
        <v>63.884999999999998</v>
      </c>
      <c r="I68" s="1"/>
      <c r="J68" s="17">
        <f t="shared" si="8"/>
        <v>193.41010835406848</v>
      </c>
      <c r="K68" s="4">
        <v>48275.0703125</v>
      </c>
      <c r="L68" s="4">
        <v>34245.875</v>
      </c>
      <c r="M68" s="1"/>
      <c r="N68" s="17">
        <f t="shared" si="12"/>
        <v>58.610307459138873</v>
      </c>
      <c r="O68" s="1"/>
      <c r="P68" s="1"/>
      <c r="Q68" s="1"/>
      <c r="R68" s="1"/>
      <c r="S68" s="1"/>
      <c r="T68" s="1"/>
      <c r="U68" s="1"/>
      <c r="V68" s="1">
        <f t="shared" si="10"/>
        <v>3.3589009413397104</v>
      </c>
      <c r="W68" s="1">
        <f t="shared" si="11"/>
        <v>1.4096608806900102</v>
      </c>
      <c r="X68" s="1"/>
      <c r="Y68" s="1">
        <f t="shared" si="13"/>
        <v>3.2999333519775078</v>
      </c>
      <c r="Z68" s="1">
        <v>2.9536247476496831</v>
      </c>
      <c r="AA68" s="1">
        <v>3.2952470519859163</v>
      </c>
      <c r="AB68" s="1">
        <v>2.098007460352012</v>
      </c>
      <c r="AC68" s="1">
        <v>2.3370564496958677</v>
      </c>
      <c r="AD68" s="19"/>
      <c r="AE68" s="19"/>
    </row>
    <row r="69" spans="1:31" x14ac:dyDescent="0.35">
      <c r="A69" s="2">
        <v>1962</v>
      </c>
      <c r="B69" s="14">
        <f t="shared" si="6"/>
        <v>240.24931497676263</v>
      </c>
      <c r="C69" s="1">
        <v>8.8811425804889859E-10</v>
      </c>
      <c r="D69" s="14">
        <f t="shared" si="7"/>
        <v>215.11162342343789</v>
      </c>
      <c r="E69" s="4">
        <v>270516.2233343345</v>
      </c>
      <c r="F69" s="4">
        <v>242211.65404552492</v>
      </c>
      <c r="G69" s="5">
        <v>82620000000</v>
      </c>
      <c r="H69" s="5">
        <v>73.376000000000005</v>
      </c>
      <c r="I69" s="1"/>
      <c r="J69" s="17">
        <f t="shared" si="8"/>
        <v>216.45028095791653</v>
      </c>
      <c r="K69" s="4">
        <v>50691.45703125</v>
      </c>
      <c r="L69" s="4">
        <v>37431.47265625</v>
      </c>
      <c r="M69" s="1"/>
      <c r="N69" s="17">
        <f t="shared" si="12"/>
        <v>67.317678956277291</v>
      </c>
      <c r="O69" s="1"/>
      <c r="P69" s="1"/>
      <c r="Q69" s="1"/>
      <c r="R69" s="1"/>
      <c r="S69" s="1"/>
      <c r="T69" s="1"/>
      <c r="U69" s="1"/>
      <c r="V69" s="1">
        <f t="shared" si="10"/>
        <v>3.2742220205075587</v>
      </c>
      <c r="W69" s="1">
        <f t="shared" si="11"/>
        <v>1.3542469327021243</v>
      </c>
      <c r="X69" s="1"/>
      <c r="Y69" s="1">
        <f t="shared" si="13"/>
        <v>3.215355673485127</v>
      </c>
      <c r="Z69" s="1">
        <v>2.9597328333534931</v>
      </c>
      <c r="AA69" s="1">
        <v>3.254445192505083</v>
      </c>
      <c r="AB69" s="1">
        <v>2.1042564314556085</v>
      </c>
      <c r="AC69" s="1">
        <v>2.3064345152495367</v>
      </c>
      <c r="AD69" s="19"/>
      <c r="AE69" s="19"/>
    </row>
    <row r="70" spans="1:31" x14ac:dyDescent="0.35">
      <c r="A70" s="2">
        <v>1963</v>
      </c>
      <c r="B70" s="14">
        <f t="shared" si="6"/>
        <v>268.76897554094535</v>
      </c>
      <c r="C70" s="1">
        <v>9.341384751032532E-10</v>
      </c>
      <c r="D70" s="14">
        <f t="shared" si="7"/>
        <v>240.52415375307842</v>
      </c>
      <c r="E70" s="4">
        <v>287718.55854801129</v>
      </c>
      <c r="F70" s="4">
        <v>257482.33282703889</v>
      </c>
      <c r="G70" s="5">
        <v>86196000000</v>
      </c>
      <c r="H70" s="5">
        <v>80.519000000000005</v>
      </c>
      <c r="I70" s="1"/>
      <c r="J70" s="17">
        <f t="shared" si="8"/>
        <v>242.02095557866764</v>
      </c>
      <c r="K70" s="4">
        <v>52715.55078125</v>
      </c>
      <c r="L70" s="4">
        <v>39683.69921875</v>
      </c>
      <c r="M70" s="1"/>
      <c r="N70" s="17">
        <f t="shared" si="12"/>
        <v>73.870914084721036</v>
      </c>
      <c r="O70" s="1"/>
      <c r="P70" s="1"/>
      <c r="Q70" s="1"/>
      <c r="R70" s="1"/>
      <c r="S70" s="1"/>
      <c r="T70" s="1"/>
      <c r="U70" s="1"/>
      <c r="V70" s="1">
        <f t="shared" si="10"/>
        <v>3.3379571969466251</v>
      </c>
      <c r="W70" s="1">
        <f t="shared" si="11"/>
        <v>1.328393063627058</v>
      </c>
      <c r="X70" s="1"/>
      <c r="Y70" s="1">
        <f t="shared" si="13"/>
        <v>3.2762685906539448</v>
      </c>
      <c r="Z70" s="1">
        <v>2.9925287218147316</v>
      </c>
      <c r="AA70" s="1">
        <v>3.2127299734469381</v>
      </c>
      <c r="AB70" s="1">
        <v>2.1414888477581902</v>
      </c>
      <c r="AC70" s="1">
        <v>2.2977019720825815</v>
      </c>
      <c r="AD70" s="19"/>
      <c r="AE70" s="19"/>
    </row>
    <row r="71" spans="1:31" x14ac:dyDescent="0.35">
      <c r="A71" s="2">
        <v>1964</v>
      </c>
      <c r="B71" s="14">
        <f t="shared" si="6"/>
        <v>322.78249291693379</v>
      </c>
      <c r="C71" s="1">
        <v>1.0627567344787852E-9</v>
      </c>
      <c r="D71" s="14">
        <f t="shared" si="7"/>
        <v>288.80869936149554</v>
      </c>
      <c r="E71" s="4">
        <v>303721.89838461776</v>
      </c>
      <c r="F71" s="4">
        <v>271754.28768573073</v>
      </c>
      <c r="G71" s="5">
        <v>91840000000</v>
      </c>
      <c r="H71" s="5">
        <v>97.603578494531632</v>
      </c>
      <c r="I71" s="1"/>
      <c r="J71" s="17">
        <f t="shared" si="8"/>
        <v>290.60597993271887</v>
      </c>
      <c r="K71" s="4">
        <v>54765.58984375</v>
      </c>
      <c r="L71" s="4">
        <v>42260.26171875</v>
      </c>
      <c r="M71" s="1"/>
      <c r="N71" s="17">
        <f t="shared" si="12"/>
        <v>89.544896997365484</v>
      </c>
      <c r="O71" s="1"/>
      <c r="P71" s="1"/>
      <c r="Q71" s="1"/>
      <c r="R71" s="1"/>
      <c r="S71" s="1"/>
      <c r="T71" s="1"/>
      <c r="U71" s="1"/>
      <c r="V71" s="1">
        <f t="shared" si="10"/>
        <v>3.3070764196931375</v>
      </c>
      <c r="W71" s="1">
        <f t="shared" si="11"/>
        <v>1.2959122262002378</v>
      </c>
      <c r="X71" s="1"/>
      <c r="Y71" s="1">
        <f t="shared" si="13"/>
        <v>3.2453661758220442</v>
      </c>
      <c r="Z71" s="1">
        <v>3.0097456262382711</v>
      </c>
      <c r="AA71" s="1">
        <v>3.1858504076426089</v>
      </c>
      <c r="AB71" s="1">
        <v>2.1874941796186058</v>
      </c>
      <c r="AC71" s="1">
        <v>2.305852779909118</v>
      </c>
      <c r="AD71" s="19"/>
      <c r="AE71" s="19"/>
    </row>
    <row r="72" spans="1:31" x14ac:dyDescent="0.35">
      <c r="A72" s="2">
        <v>1965</v>
      </c>
      <c r="B72" s="14">
        <f t="shared" si="6"/>
        <v>387.47213540912099</v>
      </c>
      <c r="C72" s="1">
        <v>1.2057374746882084E-9</v>
      </c>
      <c r="D72" s="14">
        <f t="shared" si="7"/>
        <v>346.65193402569781</v>
      </c>
      <c r="E72" s="4">
        <v>321356.96496396733</v>
      </c>
      <c r="F72" s="4">
        <v>287501.99882054637</v>
      </c>
      <c r="G72" s="5">
        <v>97003000000</v>
      </c>
      <c r="H72" s="5">
        <v>116.96015225718028</v>
      </c>
      <c r="I72" s="1"/>
      <c r="J72" s="17">
        <f t="shared" si="8"/>
        <v>348.80917786003795</v>
      </c>
      <c r="K72" s="4">
        <v>57196.38671875</v>
      </c>
      <c r="L72" s="4">
        <v>45100.5390625</v>
      </c>
      <c r="M72" s="1"/>
      <c r="N72" s="17">
        <f t="shared" si="12"/>
        <v>107.30328691024548</v>
      </c>
      <c r="O72" s="1"/>
      <c r="P72" s="1"/>
      <c r="Q72" s="1"/>
      <c r="R72" s="1"/>
      <c r="S72" s="1"/>
      <c r="T72" s="1"/>
      <c r="U72" s="1"/>
      <c r="V72" s="1">
        <f t="shared" si="10"/>
        <v>3.3128559422282544</v>
      </c>
      <c r="W72" s="1">
        <f t="shared" si="11"/>
        <v>1.2681974075628599</v>
      </c>
      <c r="X72" s="1"/>
      <c r="Y72" s="1">
        <f t="shared" si="13"/>
        <v>3.2506849315044901</v>
      </c>
      <c r="Z72" s="1">
        <v>3.0820829174923277</v>
      </c>
      <c r="AA72" s="1">
        <v>3.1818529627615035</v>
      </c>
      <c r="AB72" s="1">
        <v>2.1869478378055187</v>
      </c>
      <c r="AC72" s="1">
        <v>2.2463374054499909</v>
      </c>
      <c r="AD72" s="19"/>
      <c r="AE72" s="19"/>
    </row>
    <row r="73" spans="1:31" x14ac:dyDescent="0.35">
      <c r="A73" s="2">
        <v>1966</v>
      </c>
      <c r="B73" s="14">
        <f t="shared" si="6"/>
        <v>459.24899051931595</v>
      </c>
      <c r="C73" s="1">
        <v>1.3379165070522199E-9</v>
      </c>
      <c r="D73" s="14">
        <f t="shared" si="7"/>
        <v>410.75042258661819</v>
      </c>
      <c r="E73" s="4">
        <v>343256.83859836787</v>
      </c>
      <c r="F73" s="4">
        <v>307007.5153580464</v>
      </c>
      <c r="G73" s="5">
        <v>104995000000</v>
      </c>
      <c r="H73" s="5">
        <v>140.47454365794783</v>
      </c>
      <c r="I73" s="1"/>
      <c r="J73" s="17">
        <f t="shared" si="8"/>
        <v>413.30655664964615</v>
      </c>
      <c r="K73" s="4">
        <v>60516.9375</v>
      </c>
      <c r="L73" s="4">
        <v>48804.96875</v>
      </c>
      <c r="M73" s="1"/>
      <c r="N73" s="17">
        <f t="shared" si="12"/>
        <v>128.87620245714251</v>
      </c>
      <c r="O73" s="1"/>
      <c r="P73" s="1"/>
      <c r="Q73" s="1"/>
      <c r="R73" s="1"/>
      <c r="S73" s="1"/>
      <c r="T73" s="1"/>
      <c r="U73" s="1"/>
      <c r="V73" s="1">
        <f t="shared" si="10"/>
        <v>3.2692684280048372</v>
      </c>
      <c r="W73" s="1">
        <f t="shared" si="11"/>
        <v>1.2399749257087682</v>
      </c>
      <c r="X73" s="1"/>
      <c r="Y73" s="1">
        <f t="shared" si="13"/>
        <v>3.2070044645138447</v>
      </c>
      <c r="Z73" s="1">
        <v>3.1512164823926234</v>
      </c>
      <c r="AA73" s="1">
        <v>3.0715726500250216</v>
      </c>
      <c r="AB73" s="1">
        <v>2.1976938807426718</v>
      </c>
      <c r="AC73" s="1">
        <v>2.2121904125945702</v>
      </c>
      <c r="AD73" s="19"/>
      <c r="AE73" s="19"/>
    </row>
    <row r="74" spans="1:31" x14ac:dyDescent="0.35">
      <c r="A74" s="2">
        <v>1967</v>
      </c>
      <c r="B74" s="14">
        <f t="shared" si="6"/>
        <v>542.1245441897895</v>
      </c>
      <c r="C74" s="1">
        <v>1.4905801980673962E-9</v>
      </c>
      <c r="D74" s="14">
        <f t="shared" si="7"/>
        <v>484.7374328608048</v>
      </c>
      <c r="E74" s="4">
        <v>363700.35298515181</v>
      </c>
      <c r="F74" s="4">
        <v>325200.50480295427</v>
      </c>
      <c r="G74" s="5">
        <v>109040000000</v>
      </c>
      <c r="H74" s="5">
        <v>162.53286479726887</v>
      </c>
      <c r="I74" s="1"/>
      <c r="J74" s="17">
        <f t="shared" si="8"/>
        <v>487.75399424607997</v>
      </c>
      <c r="K74" s="4">
        <v>63431.8125</v>
      </c>
      <c r="L74" s="4">
        <v>51383.98828125</v>
      </c>
      <c r="M74" s="1"/>
      <c r="N74" s="17">
        <f t="shared" si="12"/>
        <v>149.11326881087231</v>
      </c>
      <c r="O74" s="1"/>
      <c r="P74" s="1"/>
      <c r="Q74" s="1"/>
      <c r="R74" s="1"/>
      <c r="S74" s="1"/>
      <c r="T74" s="1"/>
      <c r="U74" s="1"/>
      <c r="V74" s="1">
        <f t="shared" si="10"/>
        <v>3.3354764580443121</v>
      </c>
      <c r="W74" s="1">
        <f t="shared" si="11"/>
        <v>1.2344665064301021</v>
      </c>
      <c r="X74" s="1"/>
      <c r="Y74" s="1">
        <f t="shared" si="13"/>
        <v>3.2710301245204567</v>
      </c>
      <c r="Z74" s="1">
        <v>3.2173076942286785</v>
      </c>
      <c r="AA74" s="1">
        <v>3.1143311597860937</v>
      </c>
      <c r="AB74" s="1">
        <v>2.2141340068225368</v>
      </c>
      <c r="AC74" s="1">
        <v>2.1845485657771513</v>
      </c>
      <c r="AD74" s="19"/>
      <c r="AE74" s="19"/>
    </row>
    <row r="75" spans="1:31" x14ac:dyDescent="0.35">
      <c r="A75" s="2">
        <v>1968</v>
      </c>
      <c r="B75" s="14">
        <f t="shared" si="6"/>
        <v>676.56436067191657</v>
      </c>
      <c r="C75" s="1">
        <v>1.7784144396217353E-9</v>
      </c>
      <c r="D75" s="14">
        <f t="shared" si="7"/>
        <v>604.84695330088482</v>
      </c>
      <c r="E75" s="4">
        <v>380431.21198218578</v>
      </c>
      <c r="F75" s="4">
        <v>340104.61219013401</v>
      </c>
      <c r="G75" s="5">
        <v>109206000000</v>
      </c>
      <c r="H75" s="5">
        <v>194.21352729333123</v>
      </c>
      <c r="I75" s="1"/>
      <c r="J75" s="17">
        <f t="shared" si="8"/>
        <v>608.61096622755463</v>
      </c>
      <c r="K75" s="4">
        <v>64542.9453125</v>
      </c>
      <c r="L75" s="4">
        <v>51424.8828125</v>
      </c>
      <c r="M75" s="1"/>
      <c r="N75" s="17">
        <f t="shared" si="12"/>
        <v>178.17820376279255</v>
      </c>
      <c r="O75" s="1"/>
      <c r="P75" s="1"/>
      <c r="Q75" s="1"/>
      <c r="R75" s="1"/>
      <c r="S75" s="1"/>
      <c r="T75" s="1"/>
      <c r="U75" s="1"/>
      <c r="V75" s="1">
        <f t="shared" si="10"/>
        <v>3.4836109003368478</v>
      </c>
      <c r="W75" s="1">
        <f t="shared" si="11"/>
        <v>1.2550917334674285</v>
      </c>
      <c r="X75" s="1"/>
      <c r="Y75" s="1">
        <f t="shared" si="13"/>
        <v>3.4157430784171243</v>
      </c>
      <c r="Z75" s="1">
        <v>3.2878705655253935</v>
      </c>
      <c r="AA75" s="1">
        <v>3.1817954996563729</v>
      </c>
      <c r="AB75" s="1">
        <v>2.2172941644664164</v>
      </c>
      <c r="AC75" s="1">
        <v>2.1695405717103751</v>
      </c>
      <c r="AD75" s="19"/>
      <c r="AE75" s="19"/>
    </row>
    <row r="76" spans="1:31" x14ac:dyDescent="0.35">
      <c r="A76" s="2">
        <v>1969</v>
      </c>
      <c r="B76" s="14">
        <f t="shared" si="6"/>
        <v>773.95907184083819</v>
      </c>
      <c r="C76" s="1">
        <v>1.9499503179503424E-9</v>
      </c>
      <c r="D76" s="14">
        <f t="shared" si="7"/>
        <v>691.86440653101806</v>
      </c>
      <c r="E76" s="4">
        <v>396912.20064230781</v>
      </c>
      <c r="F76" s="4">
        <v>354811.29963262845</v>
      </c>
      <c r="G76" s="5">
        <v>113044000000</v>
      </c>
      <c r="H76" s="5">
        <v>220.43018374237852</v>
      </c>
      <c r="I76" s="1"/>
      <c r="J76" s="17">
        <f t="shared" si="8"/>
        <v>696.16993631086302</v>
      </c>
      <c r="K76" s="4">
        <v>65918.7421875</v>
      </c>
      <c r="L76" s="4">
        <v>53708.0625</v>
      </c>
      <c r="M76" s="1"/>
      <c r="N76" s="17">
        <f t="shared" si="12"/>
        <v>202.23027068036754</v>
      </c>
      <c r="O76" s="1"/>
      <c r="P76" s="1"/>
      <c r="Q76" s="1"/>
      <c r="R76" s="1"/>
      <c r="S76" s="1"/>
      <c r="T76" s="1"/>
      <c r="U76" s="1"/>
      <c r="V76" s="1">
        <f t="shared" si="10"/>
        <v>3.5111301850810994</v>
      </c>
      <c r="W76" s="1">
        <f t="shared" si="11"/>
        <v>1.2273528241220766</v>
      </c>
      <c r="X76" s="1"/>
      <c r="Y76" s="1">
        <f t="shared" si="13"/>
        <v>3.4424615759486645</v>
      </c>
      <c r="Z76" s="1">
        <v>3.2885919644728903</v>
      </c>
      <c r="AA76" s="1">
        <v>3.1290453941554124</v>
      </c>
      <c r="AB76" s="1">
        <v>2.2278957031626927</v>
      </c>
      <c r="AC76" s="1">
        <v>2.1437004455179109</v>
      </c>
      <c r="AD76" s="19"/>
      <c r="AE76" s="19"/>
    </row>
    <row r="77" spans="1:31" x14ac:dyDescent="0.35">
      <c r="A77" s="2">
        <v>1970</v>
      </c>
      <c r="B77" s="14">
        <f t="shared" si="6"/>
        <v>909.14620895731036</v>
      </c>
      <c r="C77" s="1">
        <v>2.1916738137764401E-9</v>
      </c>
      <c r="D77" s="14">
        <f t="shared" si="7"/>
        <v>812.67548381189147</v>
      </c>
      <c r="E77" s="4">
        <v>414818.21028411807</v>
      </c>
      <c r="F77" s="4">
        <v>370801.29292213544</v>
      </c>
      <c r="G77" s="5">
        <v>116849000000</v>
      </c>
      <c r="H77" s="5">
        <v>256.09489346596325</v>
      </c>
      <c r="I77" s="1"/>
      <c r="J77" s="17">
        <f t="shared" si="8"/>
        <v>817.73283097973581</v>
      </c>
      <c r="K77" s="4">
        <v>66789.921875</v>
      </c>
      <c r="L77" s="4">
        <v>56792.19140625</v>
      </c>
      <c r="M77" s="1"/>
      <c r="N77" s="17">
        <f t="shared" si="12"/>
        <v>234.95030828450373</v>
      </c>
      <c r="O77" s="1"/>
      <c r="P77" s="1"/>
      <c r="Q77" s="1"/>
      <c r="R77" s="1"/>
      <c r="S77" s="1"/>
      <c r="T77" s="1"/>
      <c r="U77" s="1"/>
      <c r="V77" s="1">
        <f t="shared" si="10"/>
        <v>3.5500364597396477</v>
      </c>
      <c r="W77" s="1">
        <f t="shared" si="11"/>
        <v>1.1760405827138014</v>
      </c>
      <c r="X77" s="1"/>
      <c r="Y77" s="1">
        <f t="shared" si="13"/>
        <v>3.4804501298612247</v>
      </c>
      <c r="Z77" s="1">
        <v>2.9011777718072849</v>
      </c>
      <c r="AA77" s="1">
        <v>3.0577785187835196</v>
      </c>
      <c r="AB77" s="1">
        <v>2.4044922378143259</v>
      </c>
      <c r="AC77" s="1">
        <v>2.1939347170137742</v>
      </c>
      <c r="AD77" s="19"/>
      <c r="AE77" s="19"/>
    </row>
    <row r="78" spans="1:31" x14ac:dyDescent="0.35">
      <c r="A78" s="2">
        <v>1971</v>
      </c>
      <c r="B78" s="14">
        <f t="shared" si="6"/>
        <v>1011.7925746534976</v>
      </c>
      <c r="C78" s="1">
        <v>2.3229837074836206E-9</v>
      </c>
      <c r="D78" s="14">
        <f t="shared" si="7"/>
        <v>904.3475786277686</v>
      </c>
      <c r="E78" s="4">
        <v>435557.3271538461</v>
      </c>
      <c r="F78" s="4">
        <v>389304.31397963013</v>
      </c>
      <c r="G78" s="5">
        <v>122213000000</v>
      </c>
      <c r="H78" s="5">
        <v>283.8988078426957</v>
      </c>
      <c r="I78" s="1"/>
      <c r="J78" s="17">
        <f t="shared" si="8"/>
        <v>909.97540887074263</v>
      </c>
      <c r="K78" s="4">
        <v>69117.25</v>
      </c>
      <c r="L78" s="4">
        <v>60186.1484375</v>
      </c>
      <c r="M78" s="1"/>
      <c r="N78" s="17">
        <f t="shared" si="12"/>
        <v>260.45858049531785</v>
      </c>
      <c r="O78" s="1"/>
      <c r="P78" s="1"/>
      <c r="Q78" s="1"/>
      <c r="R78" s="1"/>
      <c r="S78" s="1"/>
      <c r="T78" s="1"/>
      <c r="U78" s="1"/>
      <c r="V78" s="1">
        <f t="shared" si="10"/>
        <v>3.5639197724779366</v>
      </c>
      <c r="W78" s="1">
        <f t="shared" si="11"/>
        <v>1.1483913125255798</v>
      </c>
      <c r="X78" s="1"/>
      <c r="Y78" s="1">
        <f t="shared" si="13"/>
        <v>3.4937432552240333</v>
      </c>
      <c r="Z78" s="1">
        <v>2.887951290503437</v>
      </c>
      <c r="AA78" s="1">
        <v>3.0505116420250999</v>
      </c>
      <c r="AB78" s="1">
        <v>2.3955491271304319</v>
      </c>
      <c r="AC78" s="1">
        <v>2.1670526681137487</v>
      </c>
      <c r="AD78" s="19"/>
      <c r="AE78" s="19"/>
    </row>
    <row r="79" spans="1:31" x14ac:dyDescent="0.35">
      <c r="A79" s="2">
        <v>1972</v>
      </c>
      <c r="B79" s="14">
        <f t="shared" si="6"/>
        <v>1152.3756466511857</v>
      </c>
      <c r="C79" s="1">
        <v>2.5239928375492329E-9</v>
      </c>
      <c r="D79" s="14">
        <f t="shared" si="7"/>
        <v>1029.9953507254095</v>
      </c>
      <c r="E79" s="4">
        <v>456568.50903353939</v>
      </c>
      <c r="F79" s="4">
        <v>408081.72487744573</v>
      </c>
      <c r="G79" s="5">
        <v>126463000000</v>
      </c>
      <c r="H79" s="5">
        <v>319.19170621498864</v>
      </c>
      <c r="I79" s="1"/>
      <c r="J79" s="17">
        <f t="shared" si="8"/>
        <v>1036.4050975107448</v>
      </c>
      <c r="K79" s="4">
        <v>71142.203125</v>
      </c>
      <c r="L79" s="4">
        <v>61692.02734375</v>
      </c>
      <c r="M79" s="1"/>
      <c r="N79" s="17">
        <f t="shared" si="12"/>
        <v>292.83750551252422</v>
      </c>
      <c r="O79" s="1"/>
      <c r="P79" s="1"/>
      <c r="Q79" s="1"/>
      <c r="R79" s="1"/>
      <c r="S79" s="1"/>
      <c r="T79" s="1"/>
      <c r="U79" s="1"/>
      <c r="V79" s="1">
        <f t="shared" si="10"/>
        <v>3.6102932006479316</v>
      </c>
      <c r="W79" s="1">
        <f t="shared" si="11"/>
        <v>1.1531830965546539</v>
      </c>
      <c r="X79" s="1"/>
      <c r="Y79" s="1">
        <f t="shared" si="13"/>
        <v>3.5391815529121811</v>
      </c>
      <c r="Z79" s="1">
        <v>2.9326879249541862</v>
      </c>
      <c r="AA79" s="1">
        <v>3.1294953313851144</v>
      </c>
      <c r="AB79" s="1">
        <v>2.4023226982056611</v>
      </c>
      <c r="AC79" s="1">
        <v>2.1592910021056659</v>
      </c>
      <c r="AD79" s="19"/>
      <c r="AE79" s="19"/>
    </row>
    <row r="80" spans="1:31" x14ac:dyDescent="0.35">
      <c r="A80" s="2">
        <v>1973</v>
      </c>
      <c r="B80" s="14">
        <f t="shared" si="6"/>
        <v>1431.4422853289398</v>
      </c>
      <c r="C80" s="1">
        <v>2.9208041606833285E-9</v>
      </c>
      <c r="D80" s="14">
        <f t="shared" si="7"/>
        <v>1278.5728669743362</v>
      </c>
      <c r="E80" s="4">
        <v>490084.99255015119</v>
      </c>
      <c r="F80" s="4">
        <v>437746.86580671376</v>
      </c>
      <c r="G80" s="5">
        <v>134401000000</v>
      </c>
      <c r="H80" s="5">
        <v>392.55900000000003</v>
      </c>
      <c r="I80" s="1"/>
      <c r="J80" s="17">
        <f t="shared" si="8"/>
        <v>1286.5295323302855</v>
      </c>
      <c r="K80" s="4">
        <v>75389.6796875</v>
      </c>
      <c r="L80" s="4">
        <v>66462.953125</v>
      </c>
      <c r="M80" s="1"/>
      <c r="N80" s="17">
        <f t="shared" si="12"/>
        <v>360.14719708620328</v>
      </c>
      <c r="O80" s="1"/>
      <c r="P80" s="1"/>
      <c r="Q80" s="1"/>
      <c r="R80" s="1"/>
      <c r="S80" s="1"/>
      <c r="T80" s="1"/>
      <c r="U80" s="1"/>
      <c r="V80" s="1">
        <f t="shared" si="10"/>
        <v>3.6464385871396132</v>
      </c>
      <c r="W80" s="1">
        <f t="shared" si="11"/>
        <v>1.1343113139392269</v>
      </c>
      <c r="X80" s="1"/>
      <c r="Y80" s="1">
        <f t="shared" si="13"/>
        <v>3.5722325280858631</v>
      </c>
      <c r="Z80" s="1">
        <v>2.9148702469876073</v>
      </c>
      <c r="AA80" s="1">
        <v>3.0883080144848134</v>
      </c>
      <c r="AB80" s="1">
        <v>2.3837102959978331</v>
      </c>
      <c r="AC80" s="1">
        <v>2.1757364193696112</v>
      </c>
      <c r="AD80" s="19"/>
      <c r="AE80" s="19"/>
    </row>
    <row r="81" spans="1:31" x14ac:dyDescent="0.35">
      <c r="A81" s="2">
        <v>1974</v>
      </c>
      <c r="B81" s="14">
        <f t="shared" ref="B81:B112" si="14">E81*C81*10^6</f>
        <v>1951.1759004397284</v>
      </c>
      <c r="C81" s="1">
        <v>3.648027098906929E-9</v>
      </c>
      <c r="D81" s="14">
        <f t="shared" ref="D81:D112" si="15">F81*C81*10^6</f>
        <v>1740.8655231237578</v>
      </c>
      <c r="E81" s="4">
        <v>534857.84166032262</v>
      </c>
      <c r="F81" s="4">
        <v>477207.39893773803</v>
      </c>
      <c r="G81" s="5">
        <v>147017000000</v>
      </c>
      <c r="H81" s="5">
        <v>536.322</v>
      </c>
      <c r="I81" s="1"/>
      <c r="J81" s="17">
        <f t="shared" si="8"/>
        <v>1751.6990741516192</v>
      </c>
      <c r="K81" s="4">
        <v>81999.1484375</v>
      </c>
      <c r="L81" s="4">
        <v>72380.2734375</v>
      </c>
      <c r="M81" s="1"/>
      <c r="N81" s="17">
        <f t="shared" si="12"/>
        <v>492.04034307114779</v>
      </c>
      <c r="O81" s="1"/>
      <c r="P81" s="1"/>
      <c r="Q81" s="1"/>
      <c r="R81" s="1"/>
      <c r="S81" s="1"/>
      <c r="T81" s="1"/>
      <c r="U81" s="1"/>
      <c r="V81" s="1">
        <f t="shared" si="10"/>
        <v>3.6380679898265007</v>
      </c>
      <c r="W81" s="1">
        <f t="shared" si="11"/>
        <v>1.1328935985342172</v>
      </c>
      <c r="X81" s="1"/>
      <c r="Y81" s="1">
        <f t="shared" si="13"/>
        <v>3.5600720526656651</v>
      </c>
      <c r="Z81" s="1">
        <v>2.9226304919579187</v>
      </c>
      <c r="AA81" s="1">
        <v>2.9834959014508557</v>
      </c>
      <c r="AB81" s="1">
        <v>2.3589335446231403</v>
      </c>
      <c r="AC81" s="1">
        <v>2.1729621128344521</v>
      </c>
      <c r="AD81" s="19"/>
      <c r="AE81" s="19"/>
    </row>
    <row r="82" spans="1:31" x14ac:dyDescent="0.35">
      <c r="A82" s="2">
        <v>1975</v>
      </c>
      <c r="B82" s="14">
        <f t="shared" si="14"/>
        <v>2579.2009356391809</v>
      </c>
      <c r="C82" s="1">
        <v>4.4575818442676408E-9</v>
      </c>
      <c r="D82" s="14">
        <f t="shared" si="15"/>
        <v>2299.4131737385414</v>
      </c>
      <c r="E82" s="4">
        <v>578609.88889210881</v>
      </c>
      <c r="F82" s="4">
        <v>515843.17553149129</v>
      </c>
      <c r="G82" s="5">
        <v>153340000000</v>
      </c>
      <c r="H82" s="5">
        <v>683.52560000000005</v>
      </c>
      <c r="I82" s="1"/>
      <c r="J82" s="17">
        <f t="shared" si="8"/>
        <v>2313.7226132793589</v>
      </c>
      <c r="K82" s="4">
        <v>87860.8671875</v>
      </c>
      <c r="L82" s="4">
        <v>76027.859375</v>
      </c>
      <c r="M82" s="1"/>
      <c r="N82" s="17">
        <f t="shared" si="12"/>
        <v>627.09001443519401</v>
      </c>
      <c r="O82" s="1"/>
      <c r="P82" s="1"/>
      <c r="Q82" s="1"/>
      <c r="R82" s="1"/>
      <c r="S82" s="1"/>
      <c r="T82" s="1"/>
      <c r="U82" s="1"/>
      <c r="V82" s="1">
        <f t="shared" si="10"/>
        <v>3.773378693700983</v>
      </c>
      <c r="W82" s="1">
        <f t="shared" si="11"/>
        <v>1.1556404179964459</v>
      </c>
      <c r="X82" s="1"/>
      <c r="Y82" s="1">
        <f t="shared" si="13"/>
        <v>3.6896180133936229</v>
      </c>
      <c r="Z82" s="1">
        <v>3.0488513582639944</v>
      </c>
      <c r="AA82" s="1">
        <v>2.9498485318948564</v>
      </c>
      <c r="AB82" s="1">
        <v>2.3329973271075288</v>
      </c>
      <c r="AC82" s="1">
        <v>2.1502917643395767</v>
      </c>
      <c r="AD82" s="19"/>
      <c r="AE82" s="19"/>
    </row>
    <row r="83" spans="1:31" x14ac:dyDescent="0.35">
      <c r="A83" s="2">
        <v>1976</v>
      </c>
      <c r="B83" s="14">
        <f t="shared" si="14"/>
        <v>3541.0604677615356</v>
      </c>
      <c r="C83" s="1">
        <v>5.7820588972672747E-9</v>
      </c>
      <c r="D83" s="14">
        <f t="shared" si="15"/>
        <v>3156.6532779127579</v>
      </c>
      <c r="E83" s="4">
        <v>612422.06810365024</v>
      </c>
      <c r="F83" s="4">
        <v>545939.31573486049</v>
      </c>
      <c r="G83" s="5">
        <v>155559000000</v>
      </c>
      <c r="H83" s="5">
        <v>899.45129999999995</v>
      </c>
      <c r="I83" s="1"/>
      <c r="J83" s="17">
        <f t="shared" si="8"/>
        <v>3176.29739396267</v>
      </c>
      <c r="K83" s="4">
        <v>91865.84375</v>
      </c>
      <c r="L83" s="4">
        <v>76651.6796875</v>
      </c>
      <c r="M83" s="1"/>
      <c r="N83" s="17">
        <f t="shared" si="12"/>
        <v>825.18771601349511</v>
      </c>
      <c r="O83" s="1"/>
      <c r="P83" s="1"/>
      <c r="Q83" s="1"/>
      <c r="R83" s="1"/>
      <c r="S83" s="1"/>
      <c r="T83" s="1"/>
      <c r="U83" s="1"/>
      <c r="V83" s="1">
        <f t="shared" si="10"/>
        <v>3.9369118347614105</v>
      </c>
      <c r="W83" s="1">
        <f t="shared" si="11"/>
        <v>1.1984844184044809</v>
      </c>
      <c r="X83" s="1"/>
      <c r="Y83" s="1">
        <f t="shared" si="13"/>
        <v>3.8491816253730136</v>
      </c>
      <c r="Z83" s="1">
        <v>3.0400497766138406</v>
      </c>
      <c r="AA83" s="1">
        <v>2.9586294737716297</v>
      </c>
      <c r="AB83" s="1">
        <v>2.2718447197926417</v>
      </c>
      <c r="AC83" s="1">
        <v>2.18299332056842</v>
      </c>
      <c r="AD83" s="19"/>
      <c r="AE83" s="19"/>
    </row>
    <row r="84" spans="1:31" x14ac:dyDescent="0.35">
      <c r="A84" s="2">
        <v>1977</v>
      </c>
      <c r="B84" s="14">
        <f t="shared" si="14"/>
        <v>5036.966003352909</v>
      </c>
      <c r="C84" s="1">
        <v>7.8486438354409308E-9</v>
      </c>
      <c r="D84" s="14">
        <f t="shared" si="15"/>
        <v>4489.9144979350494</v>
      </c>
      <c r="E84" s="4">
        <v>641762.5909597585</v>
      </c>
      <c r="F84" s="4">
        <v>572062.45971573121</v>
      </c>
      <c r="G84" s="5">
        <v>156102000000</v>
      </c>
      <c r="H84" s="5">
        <v>1225.1890000000001</v>
      </c>
      <c r="I84" s="1"/>
      <c r="J84" s="17">
        <f t="shared" si="8"/>
        <v>4517.8556095131762</v>
      </c>
      <c r="K84" s="4">
        <v>94812.359375</v>
      </c>
      <c r="L84" s="4">
        <v>75486.8828125</v>
      </c>
      <c r="M84" s="1"/>
      <c r="N84" s="17">
        <f t="shared" si="12"/>
        <v>1124.0307425147512</v>
      </c>
      <c r="O84" s="1"/>
      <c r="P84" s="1"/>
      <c r="Q84" s="1"/>
      <c r="R84" s="1"/>
      <c r="S84" s="1"/>
      <c r="T84" s="1"/>
      <c r="U84" s="1"/>
      <c r="V84" s="1">
        <f t="shared" si="10"/>
        <v>4.1111746868057972</v>
      </c>
      <c r="W84" s="1">
        <f t="shared" si="11"/>
        <v>1.2560110557287425</v>
      </c>
      <c r="X84" s="1"/>
      <c r="Y84" s="1">
        <f t="shared" si="13"/>
        <v>4.019334559662977</v>
      </c>
      <c r="Z84" s="1">
        <v>3.0546988378620044</v>
      </c>
      <c r="AA84" s="1">
        <v>2.9413386926036558</v>
      </c>
      <c r="AB84" s="1">
        <v>2.1955525493494448</v>
      </c>
      <c r="AC84" s="1">
        <v>2.1894782004867164</v>
      </c>
      <c r="AD84" s="19"/>
      <c r="AE84" s="19"/>
    </row>
    <row r="85" spans="1:31" x14ac:dyDescent="0.35">
      <c r="A85" s="2">
        <v>1978</v>
      </c>
      <c r="B85" s="14">
        <f t="shared" si="14"/>
        <v>8566.877077422776</v>
      </c>
      <c r="C85" s="1">
        <v>1.285122748836995E-8</v>
      </c>
      <c r="D85" s="14">
        <f t="shared" si="15"/>
        <v>7636.2579918829397</v>
      </c>
      <c r="E85" s="4">
        <v>666619.36263875116</v>
      </c>
      <c r="F85" s="4">
        <v>594204.56129918864</v>
      </c>
      <c r="G85" s="5">
        <v>151977000000</v>
      </c>
      <c r="H85" s="5">
        <v>1953.0909999999999</v>
      </c>
      <c r="I85" s="1"/>
      <c r="J85" s="17">
        <f t="shared" si="8"/>
        <v>7683.7790608673695</v>
      </c>
      <c r="K85" s="4">
        <v>96974.65625</v>
      </c>
      <c r="L85" s="4">
        <v>73169.90625</v>
      </c>
      <c r="M85" s="1"/>
      <c r="N85" s="17">
        <f t="shared" si="12"/>
        <v>1791.8332003706184</v>
      </c>
      <c r="O85" s="1"/>
      <c r="P85" s="1"/>
      <c r="Q85" s="1"/>
      <c r="R85" s="1"/>
      <c r="S85" s="1"/>
      <c r="T85" s="1"/>
      <c r="U85" s="1"/>
      <c r="V85" s="1">
        <f t="shared" si="10"/>
        <v>4.3863174206541204</v>
      </c>
      <c r="W85" s="1">
        <f t="shared" si="11"/>
        <v>1.325335253521662</v>
      </c>
      <c r="X85" s="1"/>
      <c r="Y85" s="1">
        <f t="shared" si="13"/>
        <v>4.2882222850196516</v>
      </c>
      <c r="Z85" s="1">
        <v>3.0894017492160839</v>
      </c>
      <c r="AA85" s="1">
        <v>2.9027091002698557</v>
      </c>
      <c r="AB85" s="1">
        <v>2.2066139890694556</v>
      </c>
      <c r="AC85" s="1">
        <v>2.2190526104153494</v>
      </c>
      <c r="AD85" s="19"/>
      <c r="AE85" s="19"/>
    </row>
    <row r="86" spans="1:31" x14ac:dyDescent="0.35">
      <c r="A86" s="2">
        <v>1979</v>
      </c>
      <c r="B86" s="14">
        <f t="shared" si="14"/>
        <v>15707.263934385852</v>
      </c>
      <c r="C86" s="1">
        <v>2.266311490954145E-8</v>
      </c>
      <c r="D86" s="14">
        <f t="shared" si="15"/>
        <v>14000.596355415786</v>
      </c>
      <c r="E86" s="4">
        <v>693076.12819687463</v>
      </c>
      <c r="F86" s="4">
        <v>617770.17022145365</v>
      </c>
      <c r="G86" s="5">
        <v>158194000000</v>
      </c>
      <c r="H86" s="5">
        <v>3585.1687999999999</v>
      </c>
      <c r="I86" s="1"/>
      <c r="J86" s="17">
        <f>J87*D86/D87</f>
        <v>14087.723231686346</v>
      </c>
      <c r="K86" s="4">
        <v>100654.1171875</v>
      </c>
      <c r="L86" s="4">
        <v>74821.8359375</v>
      </c>
      <c r="M86" s="1"/>
      <c r="N86" s="17">
        <f>H86/H87*N87</f>
        <v>3289.1577938625951</v>
      </c>
      <c r="O86" s="1"/>
      <c r="P86" s="1"/>
      <c r="Q86" s="1"/>
      <c r="R86" s="1"/>
      <c r="S86" s="1"/>
      <c r="T86" s="1"/>
      <c r="U86" s="1"/>
      <c r="V86" s="1">
        <f t="shared" si="10"/>
        <v>4.3811783518772813</v>
      </c>
      <c r="W86" s="1">
        <f t="shared" si="11"/>
        <v>1.3452505665802983</v>
      </c>
      <c r="X86" s="1"/>
      <c r="Y86" s="1">
        <f t="shared" si="13"/>
        <v>4.2830791693768351</v>
      </c>
      <c r="Z86" s="1">
        <v>3.1409816496539773</v>
      </c>
      <c r="AA86" s="1">
        <v>2.9916157991440029</v>
      </c>
      <c r="AB86" s="1">
        <v>2.2280648630639375</v>
      </c>
      <c r="AC86" s="1">
        <v>2.2426259134023501</v>
      </c>
      <c r="AD86" s="19"/>
      <c r="AE86" s="19"/>
    </row>
    <row r="87" spans="1:31" x14ac:dyDescent="0.35">
      <c r="A87" s="2">
        <v>1980</v>
      </c>
      <c r="B87" s="14">
        <f t="shared" si="14"/>
        <v>22710.508488126659</v>
      </c>
      <c r="C87" s="1">
        <v>3.1259241270674715E-8</v>
      </c>
      <c r="D87" s="14">
        <f t="shared" si="15"/>
        <v>20240.112098001391</v>
      </c>
      <c r="E87" s="4">
        <v>726521.42422382161</v>
      </c>
      <c r="F87" s="4">
        <v>647492.11034079967</v>
      </c>
      <c r="G87" s="5">
        <v>167596000000</v>
      </c>
      <c r="H87" s="5">
        <v>5238.9237999999996</v>
      </c>
      <c r="I87" s="4">
        <v>20366.067999999999</v>
      </c>
      <c r="J87" s="4">
        <f>I87</f>
        <v>20366.067999999999</v>
      </c>
      <c r="K87" s="4">
        <v>107082.4140625</v>
      </c>
      <c r="L87" s="4">
        <v>82544.59375</v>
      </c>
      <c r="M87" s="4">
        <v>4806.3698000000004</v>
      </c>
      <c r="N87" s="4">
        <f t="shared" ref="N87:N129" si="16">M87</f>
        <v>4806.3698000000004</v>
      </c>
      <c r="O87" s="2">
        <f t="shared" ref="O87:O130" si="17">100*K87/$K$128</f>
        <v>4.9827043177384205</v>
      </c>
      <c r="P87" s="2">
        <f t="shared" ref="P87:P130" si="18">100*I87/$I$128</f>
        <v>5.5072138234846992E-7</v>
      </c>
      <c r="Q87" s="2">
        <f t="shared" ref="Q87:Q130" si="19">100*D87/$D$128</f>
        <v>5.5089018406597535E-7</v>
      </c>
      <c r="R87" s="2">
        <f t="shared" ref="R87:R130" si="20">100*B87/$B$128</f>
        <v>5.4914263534367328E-7</v>
      </c>
      <c r="S87" s="2">
        <f t="shared" ref="S87:S130" si="21">100*M87/$M$128</f>
        <v>5.4795099367354819E-7</v>
      </c>
      <c r="T87" s="2">
        <f>I87/M87</f>
        <v>4.2373077493953959</v>
      </c>
      <c r="U87" s="1">
        <f t="shared" ref="U87:U130" si="22">F87/G87*10^6</f>
        <v>3.8634102862884534</v>
      </c>
      <c r="V87" s="1">
        <f>E87*10^6/G87</f>
        <v>4.3349568260807043</v>
      </c>
      <c r="W87" s="1">
        <f t="shared" si="11"/>
        <v>1.2972674429389872</v>
      </c>
      <c r="X87" s="1">
        <f t="shared" ref="X87:X113" si="23">J87/N87</f>
        <v>4.2373077493953959</v>
      </c>
      <c r="Y87" s="19">
        <f>X87</f>
        <v>4.2373077493953959</v>
      </c>
      <c r="Z87" s="1">
        <v>3.1962568325423062</v>
      </c>
      <c r="AA87" s="1">
        <v>3.2295621169841944</v>
      </c>
      <c r="AB87" s="1">
        <v>2.2818368491856349</v>
      </c>
      <c r="AC87" s="1">
        <v>2.2285687205251734</v>
      </c>
      <c r="AD87" s="19"/>
      <c r="AE87" s="19"/>
    </row>
    <row r="88" spans="1:31" x14ac:dyDescent="0.35">
      <c r="A88" s="2">
        <v>1981</v>
      </c>
      <c r="B88" s="14">
        <f t="shared" si="14"/>
        <v>39534.564105111582</v>
      </c>
      <c r="C88" s="1">
        <v>5.1681066811380377E-8</v>
      </c>
      <c r="D88" s="14">
        <f t="shared" si="15"/>
        <v>35226.91993134901</v>
      </c>
      <c r="E88" s="4">
        <v>764971.90449648211</v>
      </c>
      <c r="F88" s="4">
        <v>681621.37712667917</v>
      </c>
      <c r="G88" s="5">
        <v>176901000000</v>
      </c>
      <c r="H88" s="5">
        <v>9142.4323999999997</v>
      </c>
      <c r="I88" s="4">
        <v>35423.5671</v>
      </c>
      <c r="J88" s="4">
        <f t="shared" ref="J88:J130" si="24">I88</f>
        <v>35423.5671</v>
      </c>
      <c r="K88" s="4">
        <v>117148.484375</v>
      </c>
      <c r="L88" s="4">
        <v>89468.9921875</v>
      </c>
      <c r="M88" s="4">
        <v>8576.9238000000005</v>
      </c>
      <c r="N88" s="4">
        <f t="shared" si="16"/>
        <v>8576.9238000000005</v>
      </c>
      <c r="O88" s="2">
        <f t="shared" si="17"/>
        <v>5.4510935714535824</v>
      </c>
      <c r="P88" s="2">
        <f t="shared" si="18"/>
        <v>9.5789309163780564E-7</v>
      </c>
      <c r="Q88" s="2">
        <f t="shared" si="19"/>
        <v>9.5879727894266414E-7</v>
      </c>
      <c r="R88" s="2">
        <f t="shared" si="20"/>
        <v>9.5595018188142677E-7</v>
      </c>
      <c r="S88" s="2">
        <f t="shared" si="21"/>
        <v>9.778136336642896E-7</v>
      </c>
      <c r="T88" s="2">
        <f t="shared" ref="T88:T130" si="25">I88/M88</f>
        <v>4.1301016455340314</v>
      </c>
      <c r="U88" s="1">
        <f t="shared" si="22"/>
        <v>3.853123369153816</v>
      </c>
      <c r="V88" s="1">
        <f t="shared" si="10"/>
        <v>4.3242938394722588</v>
      </c>
      <c r="W88" s="1">
        <f t="shared" si="11"/>
        <v>1.3093752540488233</v>
      </c>
      <c r="X88" s="1">
        <f t="shared" si="23"/>
        <v>4.1301016455340314</v>
      </c>
      <c r="Y88" s="19"/>
      <c r="Z88" s="1">
        <v>3.2085023170047839</v>
      </c>
      <c r="AA88" s="1">
        <v>3.2268124806450973</v>
      </c>
      <c r="AB88" s="1">
        <v>2.2977977758039008</v>
      </c>
      <c r="AC88" s="1">
        <v>2.1898269047343653</v>
      </c>
      <c r="AD88" s="19"/>
      <c r="AE88" s="19"/>
    </row>
    <row r="89" spans="1:31" x14ac:dyDescent="0.35">
      <c r="A89" s="2">
        <v>1982</v>
      </c>
      <c r="B89" s="14">
        <f t="shared" si="14"/>
        <v>68986.754167721039</v>
      </c>
      <c r="C89" s="1">
        <v>8.6133429835643916E-8</v>
      </c>
      <c r="D89" s="14">
        <f t="shared" si="15"/>
        <v>61465.102881830986</v>
      </c>
      <c r="E89" s="4">
        <v>800928.91110174742</v>
      </c>
      <c r="F89" s="4">
        <v>713603.33611602406</v>
      </c>
      <c r="G89" s="5">
        <v>176507000000</v>
      </c>
      <c r="H89" s="5">
        <v>15203.1533</v>
      </c>
      <c r="I89" s="4">
        <v>62280.286999999997</v>
      </c>
      <c r="J89" s="4">
        <f t="shared" si="24"/>
        <v>62280.286999999997</v>
      </c>
      <c r="K89" s="4">
        <v>127595.8359375</v>
      </c>
      <c r="L89" s="4">
        <v>90324.7734375</v>
      </c>
      <c r="M89" s="4">
        <v>14433.973599999999</v>
      </c>
      <c r="N89" s="4">
        <f t="shared" si="16"/>
        <v>14433.973599999999</v>
      </c>
      <c r="O89" s="2">
        <f t="shared" si="17"/>
        <v>5.9372244099777944</v>
      </c>
      <c r="P89" s="2">
        <f t="shared" si="18"/>
        <v>1.6841290007329563E-6</v>
      </c>
      <c r="Q89" s="2">
        <f t="shared" si="19"/>
        <v>1.6729414183209757E-6</v>
      </c>
      <c r="R89" s="2">
        <f t="shared" si="20"/>
        <v>1.6681074317325163E-6</v>
      </c>
      <c r="S89" s="2">
        <f t="shared" si="21"/>
        <v>1.6455475766300296E-6</v>
      </c>
      <c r="T89" s="2">
        <f t="shared" si="25"/>
        <v>4.3148400243713896</v>
      </c>
      <c r="U89" s="1">
        <f t="shared" si="22"/>
        <v>4.042918049233311</v>
      </c>
      <c r="V89" s="1">
        <f t="shared" si="10"/>
        <v>4.5376608922124753</v>
      </c>
      <c r="W89" s="1">
        <f t="shared" si="11"/>
        <v>1.4126338885952436</v>
      </c>
      <c r="X89" s="1">
        <f t="shared" si="23"/>
        <v>4.3148400243713896</v>
      </c>
      <c r="Y89" s="19"/>
      <c r="Z89" s="1">
        <v>3.1282055069081269</v>
      </c>
      <c r="AA89" s="1">
        <v>3.337344099638194</v>
      </c>
      <c r="AB89" s="1">
        <v>2.1488664789985745</v>
      </c>
      <c r="AC89" s="1">
        <v>2.2370703934410643</v>
      </c>
      <c r="AD89" s="19"/>
      <c r="AE89" s="19"/>
    </row>
    <row r="90" spans="1:31" x14ac:dyDescent="0.35">
      <c r="A90" s="2">
        <v>1983</v>
      </c>
      <c r="B90" s="14">
        <f t="shared" si="14"/>
        <v>146447.61370668371</v>
      </c>
      <c r="C90" s="1">
        <v>1.7863793696564982E-7</v>
      </c>
      <c r="D90" s="14">
        <f t="shared" si="15"/>
        <v>130483.43502203492</v>
      </c>
      <c r="E90" s="4">
        <v>819801.30421481549</v>
      </c>
      <c r="F90" s="4">
        <v>730435.18772345362</v>
      </c>
      <c r="G90" s="5">
        <v>158136000000</v>
      </c>
      <c r="H90" s="5">
        <v>28249.088800000001</v>
      </c>
      <c r="I90" s="4">
        <v>118695.8314</v>
      </c>
      <c r="J90" s="4">
        <f t="shared" si="24"/>
        <v>118695.8314</v>
      </c>
      <c r="K90" s="4">
        <v>133929.0625</v>
      </c>
      <c r="L90" s="4">
        <v>83941.8828125</v>
      </c>
      <c r="M90" s="4">
        <v>26155.767199999998</v>
      </c>
      <c r="N90" s="4">
        <f t="shared" si="16"/>
        <v>26155.767199999998</v>
      </c>
      <c r="O90" s="2">
        <f t="shared" si="17"/>
        <v>6.2319188807222243</v>
      </c>
      <c r="P90" s="2">
        <f t="shared" si="18"/>
        <v>3.2096687660872448E-6</v>
      </c>
      <c r="Q90" s="2">
        <f t="shared" si="19"/>
        <v>3.5514646948989741E-6</v>
      </c>
      <c r="R90" s="2">
        <f t="shared" si="20"/>
        <v>3.5411196791443693E-6</v>
      </c>
      <c r="S90" s="2">
        <f t="shared" si="21"/>
        <v>2.9818926183195469E-6</v>
      </c>
      <c r="T90" s="2">
        <f t="shared" si="25"/>
        <v>4.5380366973139292</v>
      </c>
      <c r="U90" s="1">
        <f t="shared" si="22"/>
        <v>4.619031641899717</v>
      </c>
      <c r="V90" s="1">
        <f t="shared" si="10"/>
        <v>5.1841535400845826</v>
      </c>
      <c r="W90" s="1">
        <f t="shared" si="11"/>
        <v>1.5954974800738717</v>
      </c>
      <c r="X90" s="1">
        <f t="shared" si="23"/>
        <v>4.5380366973139292</v>
      </c>
      <c r="Y90" s="19"/>
      <c r="Z90" s="1">
        <v>3.1381365618591546</v>
      </c>
      <c r="AA90" s="1">
        <v>3.262243187565891</v>
      </c>
      <c r="AB90" s="1">
        <v>2.1161231945333396</v>
      </c>
      <c r="AC90" s="1">
        <v>2.202816086819511</v>
      </c>
      <c r="AD90" s="19"/>
      <c r="AE90" s="19"/>
    </row>
    <row r="91" spans="1:31" x14ac:dyDescent="0.35">
      <c r="A91" s="2">
        <v>1984</v>
      </c>
      <c r="B91" s="14">
        <f t="shared" si="14"/>
        <v>310826.01017651829</v>
      </c>
      <c r="C91" s="1">
        <v>3.7241995398005395E-7</v>
      </c>
      <c r="D91" s="14">
        <f t="shared" si="15"/>
        <v>276948.46060235653</v>
      </c>
      <c r="E91" s="4">
        <v>834611.59063771728</v>
      </c>
      <c r="F91" s="4">
        <v>743645.60126976785</v>
      </c>
      <c r="G91" s="5">
        <v>163842000000</v>
      </c>
      <c r="H91" s="5">
        <v>61018.030100000004</v>
      </c>
      <c r="I91" s="4">
        <v>265252.95209999999</v>
      </c>
      <c r="J91" s="4">
        <f t="shared" si="24"/>
        <v>265252.95209999999</v>
      </c>
      <c r="K91" s="4">
        <v>141486.515625</v>
      </c>
      <c r="L91" s="4">
        <v>87343.015625</v>
      </c>
      <c r="M91" s="4">
        <v>58401.767200000002</v>
      </c>
      <c r="N91" s="4">
        <f t="shared" si="16"/>
        <v>58401.767200000002</v>
      </c>
      <c r="O91" s="2">
        <f t="shared" si="17"/>
        <v>6.583578437958808</v>
      </c>
      <c r="P91" s="2">
        <f t="shared" si="18"/>
        <v>7.1727381275818429E-6</v>
      </c>
      <c r="Q91" s="2">
        <f t="shared" si="19"/>
        <v>7.5379122259449373E-6</v>
      </c>
      <c r="R91" s="2">
        <f t="shared" si="20"/>
        <v>7.515807691004824E-6</v>
      </c>
      <c r="S91" s="2">
        <f t="shared" si="21"/>
        <v>6.6581032465565252E-6</v>
      </c>
      <c r="T91" s="2">
        <f t="shared" si="25"/>
        <v>4.5418651663677734</v>
      </c>
      <c r="U91" s="1">
        <f t="shared" si="22"/>
        <v>4.5387971415740029</v>
      </c>
      <c r="V91" s="1">
        <f t="shared" si="10"/>
        <v>5.0940027016132454</v>
      </c>
      <c r="W91" s="1">
        <f t="shared" si="11"/>
        <v>1.6198950152174805</v>
      </c>
      <c r="X91" s="1">
        <f t="shared" si="23"/>
        <v>4.5418651663677734</v>
      </c>
      <c r="Y91" s="19"/>
      <c r="Z91" s="1">
        <v>3.1257683029852839</v>
      </c>
      <c r="AA91" s="1">
        <v>3.1316819405633067</v>
      </c>
      <c r="AB91" s="1">
        <v>2.1910756952782942</v>
      </c>
      <c r="AC91" s="1">
        <v>2.1691165087394264</v>
      </c>
      <c r="AD91" s="19"/>
      <c r="AE91" s="19"/>
    </row>
    <row r="92" spans="1:31" x14ac:dyDescent="0.35">
      <c r="A92" s="2">
        <v>1985</v>
      </c>
      <c r="B92" s="14">
        <f t="shared" si="14"/>
        <v>835558.77083044278</v>
      </c>
      <c r="C92" s="1">
        <v>9.896502843576388E-7</v>
      </c>
      <c r="D92" s="14">
        <f t="shared" si="15"/>
        <v>744508.79932915361</v>
      </c>
      <c r="E92" s="4">
        <v>844297.00474727445</v>
      </c>
      <c r="F92" s="4">
        <v>752294.83697102009</v>
      </c>
      <c r="G92" s="5">
        <v>167219000000</v>
      </c>
      <c r="H92" s="5">
        <v>165488.3309</v>
      </c>
      <c r="I92" s="4">
        <v>754035.32490000001</v>
      </c>
      <c r="J92" s="4">
        <f t="shared" si="24"/>
        <v>754035.32490000001</v>
      </c>
      <c r="K92" s="4">
        <v>149934.375</v>
      </c>
      <c r="L92" s="4">
        <v>87949.125</v>
      </c>
      <c r="M92" s="4">
        <v>159470.3798</v>
      </c>
      <c r="N92" s="4">
        <f t="shared" si="16"/>
        <v>159470.3798</v>
      </c>
      <c r="O92" s="2">
        <f t="shared" si="17"/>
        <v>6.9766699250342787</v>
      </c>
      <c r="P92" s="2">
        <f t="shared" si="18"/>
        <v>2.0389963171511831E-5</v>
      </c>
      <c r="Q92" s="2">
        <f t="shared" si="19"/>
        <v>2.0263849701784769E-5</v>
      </c>
      <c r="R92" s="2">
        <f t="shared" si="20"/>
        <v>2.0203904533367783E-5</v>
      </c>
      <c r="S92" s="2">
        <f t="shared" si="21"/>
        <v>1.8180447345709465E-5</v>
      </c>
      <c r="T92" s="2">
        <f t="shared" si="25"/>
        <v>4.7283722898614435</v>
      </c>
      <c r="U92" s="1">
        <f t="shared" si="22"/>
        <v>4.4988598004474376</v>
      </c>
      <c r="V92" s="1">
        <f t="shared" si="10"/>
        <v>5.0490494785118578</v>
      </c>
      <c r="W92" s="1">
        <f t="shared" si="11"/>
        <v>1.7047852949077094</v>
      </c>
      <c r="X92" s="1">
        <f t="shared" si="23"/>
        <v>4.7283722898614435</v>
      </c>
      <c r="Y92" s="19"/>
      <c r="Z92" s="1">
        <v>3.0763147475740782</v>
      </c>
      <c r="AA92" s="1">
        <v>3.1716668812849766</v>
      </c>
      <c r="AB92" s="1">
        <v>2.2256217877632452</v>
      </c>
      <c r="AC92" s="1">
        <v>2.016942841212042</v>
      </c>
      <c r="AD92" s="19"/>
      <c r="AE92" s="19"/>
    </row>
    <row r="93" spans="1:31" x14ac:dyDescent="0.35">
      <c r="A93" s="2">
        <v>1986</v>
      </c>
      <c r="B93" s="14">
        <f t="shared" si="14"/>
        <v>1431936.9046187161</v>
      </c>
      <c r="C93" s="1">
        <v>1.6662101573387403E-6</v>
      </c>
      <c r="D93" s="14">
        <f t="shared" si="15"/>
        <v>1275912.8981818876</v>
      </c>
      <c r="E93" s="4">
        <v>859397.53656633326</v>
      </c>
      <c r="F93" s="4">
        <v>765757.48416980426</v>
      </c>
      <c r="G93" s="5">
        <v>182981000000</v>
      </c>
      <c r="H93" s="5">
        <v>304884.80080000003</v>
      </c>
      <c r="I93" s="4">
        <v>1435859.7971999999</v>
      </c>
      <c r="J93" s="4">
        <f t="shared" si="24"/>
        <v>1435859.7971999999</v>
      </c>
      <c r="K93" s="4">
        <v>162655.984375</v>
      </c>
      <c r="L93" s="4">
        <v>101248.9609375</v>
      </c>
      <c r="M93" s="4">
        <v>302043.5871</v>
      </c>
      <c r="N93" s="4">
        <f t="shared" si="16"/>
        <v>302043.5871</v>
      </c>
      <c r="O93" s="2">
        <f t="shared" si="17"/>
        <v>7.568625369038342</v>
      </c>
      <c r="P93" s="2">
        <f t="shared" si="18"/>
        <v>3.8827263680577799E-5</v>
      </c>
      <c r="Q93" s="2">
        <f t="shared" si="19"/>
        <v>3.4727470279227298E-5</v>
      </c>
      <c r="R93" s="2">
        <f t="shared" si="20"/>
        <v>3.4624394511434709E-5</v>
      </c>
      <c r="S93" s="2">
        <f t="shared" si="21"/>
        <v>3.4434529711835304E-5</v>
      </c>
      <c r="T93" s="2">
        <f t="shared" si="25"/>
        <v>4.7538165302103179</v>
      </c>
      <c r="U93" s="1">
        <f t="shared" si="22"/>
        <v>4.1849016245938335</v>
      </c>
      <c r="V93" s="1">
        <f t="shared" si="10"/>
        <v>4.6966490322292112</v>
      </c>
      <c r="W93" s="1">
        <f t="shared" si="11"/>
        <v>1.6064953444352477</v>
      </c>
      <c r="X93" s="1">
        <f t="shared" si="23"/>
        <v>4.7538165302103179</v>
      </c>
      <c r="Y93" s="19"/>
      <c r="Z93" s="1">
        <v>3.0833014595939048</v>
      </c>
      <c r="AA93" s="1">
        <v>3.2951726196925057</v>
      </c>
      <c r="AB93" s="1">
        <v>2.0891451395595584</v>
      </c>
      <c r="AC93" s="1">
        <v>2.1047440241093027</v>
      </c>
      <c r="AD93" s="19"/>
      <c r="AE93" s="19"/>
    </row>
    <row r="94" spans="1:31" x14ac:dyDescent="0.35">
      <c r="A94" s="2">
        <v>1987</v>
      </c>
      <c r="B94" s="14">
        <f t="shared" si="14"/>
        <v>2728716.1574585205</v>
      </c>
      <c r="C94" s="1">
        <v>3.0933138003167681E-6</v>
      </c>
      <c r="D94" s="14">
        <f t="shared" si="15"/>
        <v>2431435.193679228</v>
      </c>
      <c r="E94" s="4">
        <v>882133.63842332724</v>
      </c>
      <c r="F94" s="4">
        <v>786029.2717247887</v>
      </c>
      <c r="G94" s="5">
        <v>200778000000</v>
      </c>
      <c r="H94" s="5">
        <v>621069.35820000002</v>
      </c>
      <c r="I94" s="4">
        <v>2790377.1461</v>
      </c>
      <c r="J94" s="4">
        <f t="shared" si="24"/>
        <v>2790377.1461</v>
      </c>
      <c r="K94" s="4">
        <v>181162.25</v>
      </c>
      <c r="L94" s="4">
        <v>113404.5390625</v>
      </c>
      <c r="M94" s="4">
        <v>597646.87549999997</v>
      </c>
      <c r="N94" s="4">
        <f t="shared" si="16"/>
        <v>597646.87549999997</v>
      </c>
      <c r="O94" s="2">
        <f t="shared" si="17"/>
        <v>8.4297494895786329</v>
      </c>
      <c r="P94" s="2">
        <f t="shared" si="18"/>
        <v>7.5454936081612343E-5</v>
      </c>
      <c r="Q94" s="2">
        <f t="shared" si="19"/>
        <v>6.6178179987585372E-5</v>
      </c>
      <c r="R94" s="2">
        <f t="shared" si="20"/>
        <v>6.5980661885886203E-5</v>
      </c>
      <c r="S94" s="2">
        <f t="shared" si="21"/>
        <v>6.8134832092219856E-5</v>
      </c>
      <c r="T94" s="2">
        <f t="shared" si="25"/>
        <v>4.6689395703198988</v>
      </c>
      <c r="U94" s="1">
        <f t="shared" si="22"/>
        <v>3.9149173302094282</v>
      </c>
      <c r="V94" s="1">
        <f t="shared" si="10"/>
        <v>4.3935771768985008</v>
      </c>
      <c r="W94" s="1">
        <f t="shared" si="11"/>
        <v>1.5974867628548544</v>
      </c>
      <c r="X94" s="1">
        <f t="shared" si="23"/>
        <v>4.6689395703198988</v>
      </c>
      <c r="Y94" s="19"/>
      <c r="Z94" s="1">
        <v>3.1128139388877467</v>
      </c>
      <c r="AA94" s="1">
        <v>3.3315134321606945</v>
      </c>
      <c r="AB94" s="1">
        <v>2.1034619820155527</v>
      </c>
      <c r="AC94" s="1">
        <v>2.1388742652444579</v>
      </c>
      <c r="AD94" s="19"/>
      <c r="AE94" s="19"/>
    </row>
    <row r="95" spans="1:31" x14ac:dyDescent="0.35">
      <c r="A95" s="2">
        <v>1988</v>
      </c>
      <c r="B95" s="14">
        <f t="shared" si="14"/>
        <v>19046289.715297513</v>
      </c>
      <c r="C95" s="1">
        <v>2.1228744454466457E-5</v>
      </c>
      <c r="D95" s="14">
        <f t="shared" si="15"/>
        <v>16970249.708188247</v>
      </c>
      <c r="E95" s="4">
        <v>897193.41415362107</v>
      </c>
      <c r="F95" s="4">
        <v>799399.59447850264</v>
      </c>
      <c r="G95" s="5">
        <v>181822000000</v>
      </c>
      <c r="H95" s="5">
        <v>3859852.7741999999</v>
      </c>
      <c r="I95" s="4">
        <v>18923212.8704</v>
      </c>
      <c r="J95" s="4">
        <f t="shared" si="24"/>
        <v>18923212.8704</v>
      </c>
      <c r="K95" s="4">
        <v>201197.3125</v>
      </c>
      <c r="L95" s="4">
        <v>107476.734375</v>
      </c>
      <c r="M95" s="4">
        <v>3998565.2006000001</v>
      </c>
      <c r="N95" s="4">
        <f t="shared" si="16"/>
        <v>3998565.2006000001</v>
      </c>
      <c r="O95" s="2">
        <f t="shared" si="17"/>
        <v>9.3620108071712931</v>
      </c>
      <c r="P95" s="2">
        <f t="shared" si="18"/>
        <v>5.1170495701286303E-4</v>
      </c>
      <c r="Q95" s="2">
        <f t="shared" si="19"/>
        <v>4.6189190752123007E-4</v>
      </c>
      <c r="R95" s="2">
        <f t="shared" si="20"/>
        <v>4.6054141558502502E-4</v>
      </c>
      <c r="S95" s="2">
        <f t="shared" si="21"/>
        <v>4.5585709508603361E-4</v>
      </c>
      <c r="T95" s="2">
        <f t="shared" si="25"/>
        <v>4.7325007649144997</v>
      </c>
      <c r="U95" s="1">
        <f t="shared" si="22"/>
        <v>4.3966054409175053</v>
      </c>
      <c r="V95" s="1">
        <f t="shared" si="10"/>
        <v>4.9344601541816786</v>
      </c>
      <c r="W95" s="1">
        <f t="shared" si="11"/>
        <v>1.8720080552317209</v>
      </c>
      <c r="X95" s="1">
        <f t="shared" si="23"/>
        <v>4.7325007649144997</v>
      </c>
      <c r="Y95" s="19"/>
      <c r="Z95" s="1">
        <v>3.0799139329055092</v>
      </c>
      <c r="AA95" s="1">
        <v>3.3086646979122598</v>
      </c>
      <c r="AB95" s="1">
        <v>2.4141384673879229</v>
      </c>
      <c r="AC95" s="1">
        <v>2.120918093756107</v>
      </c>
      <c r="AD95" s="19"/>
      <c r="AE95" s="19"/>
    </row>
    <row r="96" spans="1:31" x14ac:dyDescent="0.35">
      <c r="A96" s="2">
        <v>1989</v>
      </c>
      <c r="B96" s="14">
        <f t="shared" si="14"/>
        <v>512738294.79594475</v>
      </c>
      <c r="C96" s="1">
        <v>5.6730199116071653E-4</v>
      </c>
      <c r="D96" s="14">
        <f t="shared" si="15"/>
        <v>456805912.60552311</v>
      </c>
      <c r="E96" s="4">
        <v>903818.95848253078</v>
      </c>
      <c r="F96" s="4">
        <v>805225.29397593834</v>
      </c>
      <c r="G96" s="5">
        <v>159436000000</v>
      </c>
      <c r="H96" s="5">
        <v>90448360.262700006</v>
      </c>
      <c r="I96" s="4">
        <v>451828625.50940001</v>
      </c>
      <c r="J96" s="4">
        <f t="shared" si="24"/>
        <v>451828625.50940001</v>
      </c>
      <c r="K96" s="4">
        <v>219880.703125</v>
      </c>
      <c r="L96" s="4">
        <v>89560.265625</v>
      </c>
      <c r="M96" s="4">
        <v>92994928.920000002</v>
      </c>
      <c r="N96" s="4">
        <f t="shared" si="16"/>
        <v>92994928.920000002</v>
      </c>
      <c r="O96" s="2">
        <f t="shared" si="17"/>
        <v>10.231376817941705</v>
      </c>
      <c r="P96" s="2">
        <f t="shared" si="18"/>
        <v>1.2217954159101596E-2</v>
      </c>
      <c r="Q96" s="2">
        <f t="shared" si="19"/>
        <v>1.2433226261752356E-2</v>
      </c>
      <c r="R96" s="2">
        <f t="shared" si="20"/>
        <v>1.2398069316372766E-2</v>
      </c>
      <c r="S96" s="2">
        <f t="shared" si="21"/>
        <v>1.0601902439615649E-2</v>
      </c>
      <c r="T96" s="2">
        <f t="shared" si="25"/>
        <v>4.8586372478233839</v>
      </c>
      <c r="U96" s="1">
        <f t="shared" si="22"/>
        <v>5.050460962241516</v>
      </c>
      <c r="V96" s="1">
        <f t="shared" si="10"/>
        <v>5.6688511909639656</v>
      </c>
      <c r="W96" s="1">
        <f t="shared" si="11"/>
        <v>2.4551144594151597</v>
      </c>
      <c r="X96" s="1">
        <f t="shared" si="23"/>
        <v>4.8586372478233839</v>
      </c>
      <c r="Y96" s="19"/>
      <c r="Z96" s="1">
        <v>3.1419743111496108</v>
      </c>
      <c r="AA96" s="1">
        <v>3.3297750511963038</v>
      </c>
      <c r="AB96" s="1">
        <v>2.5363937363669886</v>
      </c>
      <c r="AC96" s="1">
        <v>2.180460018210217</v>
      </c>
      <c r="AD96" s="19"/>
      <c r="AE96" s="19"/>
    </row>
    <row r="97" spans="1:31" x14ac:dyDescent="0.35">
      <c r="A97" s="2">
        <v>1990</v>
      </c>
      <c r="B97" s="14">
        <f t="shared" si="14"/>
        <v>32787626996.232067</v>
      </c>
      <c r="C97" s="1">
        <v>3.6087415146816335E-2</v>
      </c>
      <c r="D97" s="14">
        <f t="shared" si="15"/>
        <v>29208210879.76556</v>
      </c>
      <c r="E97" s="4">
        <v>908561.24947825808</v>
      </c>
      <c r="F97" s="4">
        <v>809373.87066755141</v>
      </c>
      <c r="G97" s="5">
        <v>151492000000</v>
      </c>
      <c r="H97" s="5">
        <v>5466954695.4215002</v>
      </c>
      <c r="I97" s="4">
        <v>27445840965.940701</v>
      </c>
      <c r="J97" s="4">
        <f t="shared" si="24"/>
        <v>27445840965.940701</v>
      </c>
      <c r="K97" s="4">
        <v>244730.125</v>
      </c>
      <c r="L97" s="4">
        <v>90680.2578125</v>
      </c>
      <c r="M97" s="4">
        <v>5483493834.8823004</v>
      </c>
      <c r="N97" s="4">
        <f t="shared" si="16"/>
        <v>5483493834.8823004</v>
      </c>
      <c r="O97" s="2">
        <f t="shared" si="17"/>
        <v>11.387657452384616</v>
      </c>
      <c r="P97" s="2">
        <f t="shared" si="18"/>
        <v>0.74216640524224542</v>
      </c>
      <c r="Q97" s="2">
        <f t="shared" si="19"/>
        <v>0.79498159841618332</v>
      </c>
      <c r="R97" s="2">
        <f t="shared" si="20"/>
        <v>0.79280848796448267</v>
      </c>
      <c r="S97" s="2">
        <f t="shared" si="21"/>
        <v>0.62514663262625603</v>
      </c>
      <c r="T97" s="2">
        <f t="shared" si="25"/>
        <v>5.0051740354568679</v>
      </c>
      <c r="U97" s="1">
        <f t="shared" si="22"/>
        <v>5.3426839085070599</v>
      </c>
      <c r="V97" s="1">
        <f t="shared" si="10"/>
        <v>5.9974206524321945</v>
      </c>
      <c r="W97" s="1">
        <f t="shared" si="11"/>
        <v>2.6988247596960924</v>
      </c>
      <c r="X97" s="1">
        <f t="shared" si="23"/>
        <v>5.0051740354568679</v>
      </c>
      <c r="Y97" s="19"/>
      <c r="Z97" s="1">
        <v>3.1719972460222778</v>
      </c>
      <c r="AA97" s="1">
        <v>3.288029360886263</v>
      </c>
      <c r="AB97" s="1">
        <v>2.6041301784854958</v>
      </c>
      <c r="AC97" s="1">
        <v>2.2185044974308865</v>
      </c>
      <c r="AD97" s="19"/>
      <c r="AE97" s="19"/>
    </row>
    <row r="98" spans="1:31" x14ac:dyDescent="0.35">
      <c r="A98" s="2">
        <v>1991</v>
      </c>
      <c r="B98" s="14">
        <f t="shared" si="14"/>
        <v>157552978847.11407</v>
      </c>
      <c r="C98" s="1">
        <v>0.17233006573934156</v>
      </c>
      <c r="D98" s="14">
        <f t="shared" si="15"/>
        <v>140342784536.12714</v>
      </c>
      <c r="E98" s="4">
        <v>914251.25482991105</v>
      </c>
      <c r="F98" s="4">
        <v>814383.63023898052</v>
      </c>
      <c r="G98" s="5">
        <v>154854000000</v>
      </c>
      <c r="H98" s="5">
        <v>26686000000</v>
      </c>
      <c r="I98" s="4">
        <v>123357661134.189</v>
      </c>
      <c r="J98" s="4">
        <f t="shared" si="24"/>
        <v>123357661134.189</v>
      </c>
      <c r="K98" s="4">
        <v>276582.90625</v>
      </c>
      <c r="L98" s="4">
        <v>94453.4609375</v>
      </c>
      <c r="M98" s="4">
        <v>26623275633.087002</v>
      </c>
      <c r="N98" s="4">
        <f t="shared" si="16"/>
        <v>26623275633.087002</v>
      </c>
      <c r="O98" s="2">
        <f t="shared" si="17"/>
        <v>12.86981483607712</v>
      </c>
      <c r="P98" s="2">
        <f t="shared" si="18"/>
        <v>3.3357298847816228</v>
      </c>
      <c r="Q98" s="2">
        <f t="shared" si="19"/>
        <v>3.8198139432771674</v>
      </c>
      <c r="R98" s="2">
        <f t="shared" si="20"/>
        <v>3.8096486503410305</v>
      </c>
      <c r="S98" s="2">
        <f t="shared" si="21"/>
        <v>3.0351909954982625</v>
      </c>
      <c r="T98" s="2">
        <f t="shared" si="25"/>
        <v>4.633451677181375</v>
      </c>
      <c r="U98" s="1">
        <f t="shared" si="22"/>
        <v>5.2590416149339418</v>
      </c>
      <c r="V98" s="1">
        <f t="shared" si="10"/>
        <v>5.9039563384214224</v>
      </c>
      <c r="W98" s="1">
        <f t="shared" si="11"/>
        <v>2.9282453337841727</v>
      </c>
      <c r="X98" s="1">
        <f t="shared" si="23"/>
        <v>4.633451677181375</v>
      </c>
      <c r="Y98" s="19"/>
      <c r="Z98" s="1">
        <v>3.1448549524746223</v>
      </c>
      <c r="AA98" s="1">
        <v>3.3208332823165319</v>
      </c>
      <c r="AB98" s="1">
        <v>2.6616880973154706</v>
      </c>
      <c r="AC98" s="1">
        <v>2.1522353237013374</v>
      </c>
      <c r="AD98" s="19"/>
      <c r="AE98" s="19"/>
    </row>
    <row r="99" spans="1:31" x14ac:dyDescent="0.35">
      <c r="A99" s="2">
        <v>1992</v>
      </c>
      <c r="B99" s="14">
        <f t="shared" si="14"/>
        <v>265711305546.20432</v>
      </c>
      <c r="C99" s="1">
        <v>0.29187037794529175</v>
      </c>
      <c r="D99" s="14">
        <f t="shared" si="15"/>
        <v>236660138842.62436</v>
      </c>
      <c r="E99" s="4">
        <v>910374.34979444649</v>
      </c>
      <c r="F99" s="4">
        <v>810839.86839864915</v>
      </c>
      <c r="G99" s="5">
        <v>154017000000</v>
      </c>
      <c r="H99" s="5">
        <v>44953000000</v>
      </c>
      <c r="I99" s="4">
        <v>216425186134.71701</v>
      </c>
      <c r="J99" s="4">
        <f t="shared" si="24"/>
        <v>216425186134.71701</v>
      </c>
      <c r="K99" s="4">
        <v>306940.28125</v>
      </c>
      <c r="L99" s="4">
        <v>97113.671875</v>
      </c>
      <c r="M99" s="4">
        <v>44852902972.557701</v>
      </c>
      <c r="N99" s="4">
        <f t="shared" si="16"/>
        <v>44852902972.557701</v>
      </c>
      <c r="O99" s="2">
        <f t="shared" si="17"/>
        <v>14.282388738262577</v>
      </c>
      <c r="P99" s="2">
        <f t="shared" si="18"/>
        <v>5.8523804242987039</v>
      </c>
      <c r="Q99" s="2">
        <f t="shared" si="19"/>
        <v>6.4413550091437672</v>
      </c>
      <c r="R99" s="2">
        <f t="shared" si="20"/>
        <v>6.4249290871023872</v>
      </c>
      <c r="S99" s="2">
        <f t="shared" si="21"/>
        <v>5.1134627121192873</v>
      </c>
      <c r="T99" s="2">
        <f t="shared" si="25"/>
        <v>4.8252213745703854</v>
      </c>
      <c r="U99" s="1">
        <f t="shared" si="22"/>
        <v>5.2646127920856083</v>
      </c>
      <c r="V99" s="1">
        <f t="shared" si="10"/>
        <v>5.9108692533580482</v>
      </c>
      <c r="W99" s="1">
        <f t="shared" si="11"/>
        <v>3.1606289343593001</v>
      </c>
      <c r="X99" s="1">
        <f t="shared" si="23"/>
        <v>4.8252213745703854</v>
      </c>
      <c r="Y99" s="19"/>
      <c r="Z99" s="1">
        <v>3.0871017183101688</v>
      </c>
      <c r="AA99" s="1">
        <v>3.2545276568199881</v>
      </c>
      <c r="AB99" s="1">
        <v>2.9618110780356686</v>
      </c>
      <c r="AC99" s="1">
        <v>2.301461136095174</v>
      </c>
      <c r="AD99" s="19"/>
      <c r="AE99" s="19"/>
    </row>
    <row r="100" spans="1:31" x14ac:dyDescent="0.35">
      <c r="A100" s="2">
        <v>1993</v>
      </c>
      <c r="B100" s="14">
        <f t="shared" si="14"/>
        <v>384519506579.36249</v>
      </c>
      <c r="C100" s="1">
        <v>0.42729790922495109</v>
      </c>
      <c r="D100" s="14">
        <f t="shared" si="15"/>
        <v>342417299061.65015</v>
      </c>
      <c r="E100" s="4">
        <v>899886.23458705505</v>
      </c>
      <c r="F100" s="4">
        <v>801354.96024948824</v>
      </c>
      <c r="G100" s="5">
        <v>162093000000</v>
      </c>
      <c r="H100" s="5">
        <v>69262000000</v>
      </c>
      <c r="I100" s="4">
        <v>317969466090.52698</v>
      </c>
      <c r="J100" s="4">
        <f t="shared" si="24"/>
        <v>317969466090.52698</v>
      </c>
      <c r="K100" s="4">
        <v>345054.6875</v>
      </c>
      <c r="L100" s="4">
        <v>103640.9609375</v>
      </c>
      <c r="M100" s="4">
        <v>69073589813.506805</v>
      </c>
      <c r="N100" s="4">
        <f t="shared" si="16"/>
        <v>69073589813.506805</v>
      </c>
      <c r="O100" s="2">
        <f t="shared" si="17"/>
        <v>16.055908865284238</v>
      </c>
      <c r="P100" s="2">
        <f t="shared" si="18"/>
        <v>8.5982519507437551</v>
      </c>
      <c r="Q100" s="2">
        <f t="shared" si="19"/>
        <v>9.3198262931593785</v>
      </c>
      <c r="R100" s="2">
        <f t="shared" si="20"/>
        <v>9.297724676417312</v>
      </c>
      <c r="S100" s="2">
        <f t="shared" si="21"/>
        <v>7.8747461701573878</v>
      </c>
      <c r="T100" s="2">
        <f t="shared" si="25"/>
        <v>4.6033435781898584</v>
      </c>
      <c r="U100" s="1">
        <f t="shared" si="22"/>
        <v>4.9437974511514264</v>
      </c>
      <c r="V100" s="1">
        <f t="shared" si="10"/>
        <v>5.5516662322682349</v>
      </c>
      <c r="W100" s="1">
        <f t="shared" si="11"/>
        <v>3.3293273661181408</v>
      </c>
      <c r="X100" s="1">
        <f t="shared" si="23"/>
        <v>4.6033435781898584</v>
      </c>
      <c r="Y100" s="19"/>
      <c r="Z100" s="1">
        <v>3.0768496658025328</v>
      </c>
      <c r="AA100" s="1">
        <v>3.203675877582568</v>
      </c>
      <c r="AB100" s="1">
        <v>2.7678671135182915</v>
      </c>
      <c r="AC100" s="1">
        <v>2.2486054577698744</v>
      </c>
      <c r="AD100" s="19"/>
      <c r="AE100" s="19"/>
    </row>
    <row r="101" spans="1:31" x14ac:dyDescent="0.35">
      <c r="A101" s="2">
        <v>1994</v>
      </c>
      <c r="B101" s="14">
        <f t="shared" si="14"/>
        <v>486283145448.81427</v>
      </c>
      <c r="C101" s="1">
        <v>0.54150193349269082</v>
      </c>
      <c r="D101" s="14">
        <f t="shared" si="15"/>
        <v>432994706066.60565</v>
      </c>
      <c r="E101" s="4">
        <v>898026.60964160366</v>
      </c>
      <c r="F101" s="4">
        <v>799618.02402770217</v>
      </c>
      <c r="G101" s="5">
        <v>182043671320.207</v>
      </c>
      <c r="H101" s="5">
        <v>98577000000</v>
      </c>
      <c r="I101" s="4">
        <v>430063098208.60498</v>
      </c>
      <c r="J101" s="4">
        <f t="shared" si="24"/>
        <v>430063098208.60498</v>
      </c>
      <c r="K101" s="4">
        <v>392561.5625</v>
      </c>
      <c r="L101" s="4">
        <v>120521.296875</v>
      </c>
      <c r="M101" s="4">
        <v>98284522178.466705</v>
      </c>
      <c r="N101" s="4">
        <f t="shared" si="16"/>
        <v>98284522178.466705</v>
      </c>
      <c r="O101" s="2">
        <f t="shared" si="17"/>
        <v>18.266474561408714</v>
      </c>
      <c r="P101" s="2">
        <f t="shared" si="18"/>
        <v>11.629389823431245</v>
      </c>
      <c r="Q101" s="2">
        <f t="shared" si="19"/>
        <v>11.785138944372703</v>
      </c>
      <c r="R101" s="2">
        <f t="shared" si="20"/>
        <v>11.758380846231777</v>
      </c>
      <c r="S101" s="2">
        <f t="shared" si="21"/>
        <v>11.204943404567146</v>
      </c>
      <c r="T101" s="2">
        <f t="shared" si="25"/>
        <v>4.3756950603848805</v>
      </c>
      <c r="U101" s="1">
        <f t="shared" si="22"/>
        <v>4.3924516476115691</v>
      </c>
      <c r="V101" s="1">
        <f t="shared" si="10"/>
        <v>4.9330284493219949</v>
      </c>
      <c r="W101" s="1">
        <f t="shared" si="11"/>
        <v>3.2571966339455307</v>
      </c>
      <c r="X101" s="1">
        <f t="shared" si="23"/>
        <v>4.3756950603848805</v>
      </c>
      <c r="Y101" s="19"/>
      <c r="Z101" s="1">
        <v>2.9968601961227548</v>
      </c>
      <c r="AA101" s="1">
        <v>3.1472125821736987</v>
      </c>
      <c r="AB101" s="1">
        <v>2.7548046449690129</v>
      </c>
      <c r="AC101" s="1">
        <v>2.2973787864607007</v>
      </c>
      <c r="AD101" s="19"/>
      <c r="AE101" s="19"/>
    </row>
    <row r="102" spans="1:31" x14ac:dyDescent="0.35">
      <c r="A102" s="2">
        <v>1995</v>
      </c>
      <c r="B102" s="14">
        <f t="shared" si="14"/>
        <v>561850775089.14307</v>
      </c>
      <c r="C102" s="1">
        <v>0.61603368804951208</v>
      </c>
      <c r="D102" s="14">
        <f t="shared" si="15"/>
        <v>500292308494.20844</v>
      </c>
      <c r="E102" s="4">
        <v>912045.5358019087</v>
      </c>
      <c r="F102" s="4">
        <v>812118.42501379363</v>
      </c>
      <c r="G102" s="5">
        <v>195535991436.94</v>
      </c>
      <c r="H102" s="5">
        <v>120456757951.31596</v>
      </c>
      <c r="I102" s="4">
        <v>513666606081.48102</v>
      </c>
      <c r="J102" s="4">
        <f t="shared" si="24"/>
        <v>513666606081.48102</v>
      </c>
      <c r="K102" s="4">
        <v>442359.21875</v>
      </c>
      <c r="L102" s="4">
        <v>134801.015625</v>
      </c>
      <c r="M102" s="4">
        <v>120529361624.47</v>
      </c>
      <c r="N102" s="4">
        <f t="shared" si="16"/>
        <v>120529361624.47</v>
      </c>
      <c r="O102" s="2">
        <f t="shared" si="17"/>
        <v>20.583633723185791</v>
      </c>
      <c r="P102" s="2">
        <f t="shared" si="18"/>
        <v>13.890122696606934</v>
      </c>
      <c r="Q102" s="2">
        <f t="shared" si="19"/>
        <v>13.616827840611661</v>
      </c>
      <c r="R102" s="2">
        <f t="shared" si="20"/>
        <v>13.5856145829427</v>
      </c>
      <c r="S102" s="2">
        <f t="shared" si="21"/>
        <v>13.740970049571875</v>
      </c>
      <c r="T102" s="2">
        <f t="shared" si="25"/>
        <v>4.2617549712235085</v>
      </c>
      <c r="U102" s="1">
        <f t="shared" si="22"/>
        <v>4.1532938209777113</v>
      </c>
      <c r="V102" s="1">
        <f t="shared" si="10"/>
        <v>4.6643358549980389</v>
      </c>
      <c r="W102" s="1">
        <f t="shared" si="11"/>
        <v>3.2815718538841683</v>
      </c>
      <c r="X102" s="1">
        <f t="shared" si="23"/>
        <v>4.2617549712235085</v>
      </c>
      <c r="Y102" s="19"/>
      <c r="Z102" s="1">
        <v>2.9934809199441954</v>
      </c>
      <c r="AA102" s="1">
        <v>3.2147991358320054</v>
      </c>
      <c r="AB102" s="1">
        <v>2.6821292261272243</v>
      </c>
      <c r="AC102" s="1">
        <v>2.2857233283839422</v>
      </c>
      <c r="AD102" s="19"/>
      <c r="AE102" s="19"/>
    </row>
    <row r="103" spans="1:31" x14ac:dyDescent="0.35">
      <c r="A103" s="2">
        <v>1996</v>
      </c>
      <c r="B103" s="14">
        <f t="shared" si="14"/>
        <v>628433539644.11536</v>
      </c>
      <c r="C103" s="1">
        <v>0.67665880076603058</v>
      </c>
      <c r="D103" s="14">
        <f t="shared" si="15"/>
        <v>559614447033.27734</v>
      </c>
      <c r="E103" s="4">
        <v>928730.31272582209</v>
      </c>
      <c r="F103" s="4">
        <v>827026.03793780576</v>
      </c>
      <c r="G103" s="5">
        <v>201009289724.01602</v>
      </c>
      <c r="H103" s="5">
        <v>136014704927.48427</v>
      </c>
      <c r="I103" s="4">
        <v>588854306824.75806</v>
      </c>
      <c r="J103" s="4">
        <f t="shared" si="24"/>
        <v>588854306824.75806</v>
      </c>
      <c r="K103" s="4">
        <v>480192.1875</v>
      </c>
      <c r="L103" s="4">
        <v>141437.578125</v>
      </c>
      <c r="M103" s="4">
        <v>135880991258.651</v>
      </c>
      <c r="N103" s="4">
        <f t="shared" si="16"/>
        <v>135880991258.651</v>
      </c>
      <c r="O103" s="2">
        <f t="shared" si="17"/>
        <v>22.344058143889097</v>
      </c>
      <c r="P103" s="2">
        <f t="shared" si="18"/>
        <v>15.923282680602894</v>
      </c>
      <c r="Q103" s="2">
        <f t="shared" si="19"/>
        <v>15.231442604637692</v>
      </c>
      <c r="R103" s="2">
        <f t="shared" si="20"/>
        <v>15.195593276960082</v>
      </c>
      <c r="S103" s="2">
        <f t="shared" si="21"/>
        <v>15.491135156001631</v>
      </c>
      <c r="T103" s="2">
        <f t="shared" si="25"/>
        <v>4.3336032609878981</v>
      </c>
      <c r="U103" s="1">
        <f t="shared" si="22"/>
        <v>4.1143672467740435</v>
      </c>
      <c r="V103" s="1">
        <f t="shared" si="10"/>
        <v>4.6203352790359125</v>
      </c>
      <c r="W103" s="1">
        <f t="shared" si="11"/>
        <v>3.3950820840244784</v>
      </c>
      <c r="X103" s="1">
        <f t="shared" si="23"/>
        <v>4.3336032609878981</v>
      </c>
      <c r="Y103" s="19"/>
      <c r="Z103" s="1">
        <v>3.095624575174464</v>
      </c>
      <c r="AA103" s="1">
        <v>3.3458314930861301</v>
      </c>
      <c r="AB103" s="1">
        <v>2.76844344461629</v>
      </c>
      <c r="AC103" s="1">
        <v>2.1415795279932319</v>
      </c>
      <c r="AD103" s="19"/>
      <c r="AE103" s="19"/>
    </row>
    <row r="104" spans="1:31" x14ac:dyDescent="0.35">
      <c r="A104" s="2">
        <v>1997</v>
      </c>
      <c r="B104" s="14">
        <f t="shared" si="14"/>
        <v>695062052907.9198</v>
      </c>
      <c r="C104" s="1">
        <v>0.72746693557079556</v>
      </c>
      <c r="D104" s="14">
        <f t="shared" si="15"/>
        <v>619001175549.90576</v>
      </c>
      <c r="E104" s="4">
        <v>955455.1814269746</v>
      </c>
      <c r="F104" s="4">
        <v>850899.39526147139</v>
      </c>
      <c r="G104" s="5">
        <v>214028291389.05701</v>
      </c>
      <c r="H104" s="5">
        <v>155698505262.25058</v>
      </c>
      <c r="I104" s="4">
        <v>663643863633.30103</v>
      </c>
      <c r="J104" s="4">
        <f t="shared" si="24"/>
        <v>663643863633.30103</v>
      </c>
      <c r="K104" s="4">
        <v>514782.78125</v>
      </c>
      <c r="L104" s="4">
        <v>151181.75</v>
      </c>
      <c r="M104" s="4">
        <v>155274456447.05099</v>
      </c>
      <c r="N104" s="4">
        <f t="shared" si="16"/>
        <v>155274456447.05099</v>
      </c>
      <c r="O104" s="2">
        <f t="shared" si="17"/>
        <v>23.953610023534466</v>
      </c>
      <c r="P104" s="2">
        <f t="shared" si="18"/>
        <v>17.945676404851984</v>
      </c>
      <c r="Q104" s="2">
        <f t="shared" si="19"/>
        <v>16.847815362120201</v>
      </c>
      <c r="R104" s="2">
        <f t="shared" si="20"/>
        <v>16.806678179873877</v>
      </c>
      <c r="S104" s="2">
        <f t="shared" si="21"/>
        <v>17.702090401425558</v>
      </c>
      <c r="T104" s="2">
        <f t="shared" si="25"/>
        <v>4.2740053890293623</v>
      </c>
      <c r="U104" s="1">
        <f t="shared" si="22"/>
        <v>3.9756398078921298</v>
      </c>
      <c r="V104" s="1">
        <f t="shared" si="10"/>
        <v>4.4641536650412457</v>
      </c>
      <c r="W104" s="1">
        <f t="shared" si="11"/>
        <v>3.4050590183669658</v>
      </c>
      <c r="X104" s="1">
        <f t="shared" si="23"/>
        <v>4.2740053890293623</v>
      </c>
      <c r="Y104" s="19"/>
      <c r="Z104" s="1">
        <v>3.0954196679826143</v>
      </c>
      <c r="AA104" s="1">
        <v>3.5286347610713165</v>
      </c>
      <c r="AB104" s="1">
        <v>2.8535126488025253</v>
      </c>
      <c r="AC104" s="1">
        <v>2.1443896599327972</v>
      </c>
      <c r="AD104" s="19"/>
      <c r="AE104" s="19"/>
    </row>
    <row r="105" spans="1:31" x14ac:dyDescent="0.35">
      <c r="A105" s="2">
        <v>1998</v>
      </c>
      <c r="B105" s="14">
        <f t="shared" si="14"/>
        <v>752133333254.84766</v>
      </c>
      <c r="C105" s="1">
        <v>0.76788400766205356</v>
      </c>
      <c r="D105" s="14">
        <f t="shared" si="15"/>
        <v>669890104100.48328</v>
      </c>
      <c r="E105" s="4">
        <v>979488.21143552475</v>
      </c>
      <c r="F105" s="4">
        <v>872384.49741917592</v>
      </c>
      <c r="G105" s="5">
        <v>213189993392.58902</v>
      </c>
      <c r="H105" s="5">
        <v>163705186519.74799</v>
      </c>
      <c r="I105" s="4">
        <v>721047753851.53503</v>
      </c>
      <c r="J105" s="4">
        <f t="shared" si="24"/>
        <v>721047753851.53503</v>
      </c>
      <c r="K105" s="4">
        <v>546865.125</v>
      </c>
      <c r="L105" s="4">
        <v>148257.96875</v>
      </c>
      <c r="M105" s="4">
        <v>163054131901.13699</v>
      </c>
      <c r="N105" s="4">
        <f t="shared" si="16"/>
        <v>163054131901.13699</v>
      </c>
      <c r="O105" s="2">
        <f t="shared" si="17"/>
        <v>25.446449292482871</v>
      </c>
      <c r="P105" s="2">
        <f t="shared" si="18"/>
        <v>19.497942152622521</v>
      </c>
      <c r="Q105" s="2">
        <f t="shared" si="19"/>
        <v>18.232897177893154</v>
      </c>
      <c r="R105" s="2">
        <f t="shared" si="20"/>
        <v>18.186668121910387</v>
      </c>
      <c r="S105" s="2">
        <f t="shared" si="21"/>
        <v>18.589013603948203</v>
      </c>
      <c r="T105" s="2">
        <f t="shared" si="25"/>
        <v>4.4221372708832725</v>
      </c>
      <c r="U105" s="1">
        <f t="shared" si="22"/>
        <v>4.0920518056993478</v>
      </c>
      <c r="V105" s="1">
        <f t="shared" si="10"/>
        <v>4.594438021449716</v>
      </c>
      <c r="W105" s="1">
        <f t="shared" si="11"/>
        <v>3.6886052710067228</v>
      </c>
      <c r="X105" s="1">
        <f t="shared" si="23"/>
        <v>4.4221372708832725</v>
      </c>
      <c r="Y105" s="19"/>
      <c r="Z105" s="1">
        <v>3.0990589334714542</v>
      </c>
      <c r="AA105" s="1">
        <v>3.797185330527685</v>
      </c>
      <c r="AB105" s="1">
        <v>2.8893100018175311</v>
      </c>
      <c r="AC105" s="1">
        <v>2.1687937746868875</v>
      </c>
      <c r="AD105" s="19"/>
      <c r="AE105" s="19"/>
    </row>
    <row r="106" spans="1:31" x14ac:dyDescent="0.35">
      <c r="A106" s="2">
        <v>1999</v>
      </c>
      <c r="B106" s="14">
        <f t="shared" si="14"/>
        <v>782184729000.3241</v>
      </c>
      <c r="C106" s="1">
        <v>0.79051877110994329</v>
      </c>
      <c r="D106" s="14">
        <f t="shared" si="15"/>
        <v>696769971220.38159</v>
      </c>
      <c r="E106" s="4">
        <v>989457.50257401541</v>
      </c>
      <c r="F106" s="4">
        <v>881408.50879741681</v>
      </c>
      <c r="G106" s="5">
        <v>216376740630.51398</v>
      </c>
      <c r="H106" s="5">
        <v>171049875100.00885</v>
      </c>
      <c r="I106" s="4">
        <v>784312365229.26599</v>
      </c>
      <c r="J106" s="4">
        <f t="shared" si="24"/>
        <v>784312365229.26599</v>
      </c>
      <c r="K106" s="4">
        <v>567907.75</v>
      </c>
      <c r="L106" s="4">
        <v>148651.078125</v>
      </c>
      <c r="M106" s="4">
        <v>170311080070.95099</v>
      </c>
      <c r="N106" s="4">
        <f t="shared" si="16"/>
        <v>170311080070.95099</v>
      </c>
      <c r="O106" s="2">
        <f t="shared" si="17"/>
        <v>26.425593994831981</v>
      </c>
      <c r="P106" s="2">
        <f t="shared" si="18"/>
        <v>21.208688391498022</v>
      </c>
      <c r="Q106" s="2">
        <f t="shared" si="19"/>
        <v>18.964506512547576</v>
      </c>
      <c r="R106" s="2">
        <f t="shared" si="20"/>
        <v>18.913314232192519</v>
      </c>
      <c r="S106" s="2">
        <f t="shared" si="21"/>
        <v>19.416343194918714</v>
      </c>
      <c r="T106" s="2">
        <f t="shared" si="25"/>
        <v>4.6051752176225076</v>
      </c>
      <c r="U106" s="1">
        <f t="shared" si="22"/>
        <v>4.0734900906124398</v>
      </c>
      <c r="V106" s="1">
        <f t="shared" si="10"/>
        <v>4.5728459523457659</v>
      </c>
      <c r="W106" s="1">
        <f t="shared" si="11"/>
        <v>3.8204078783905557</v>
      </c>
      <c r="X106" s="1">
        <f t="shared" si="23"/>
        <v>4.6051752176225076</v>
      </c>
      <c r="Y106" s="19"/>
      <c r="Z106" s="1">
        <v>3.2902309867364519</v>
      </c>
      <c r="AA106" s="1">
        <v>4.0316298346367274</v>
      </c>
      <c r="AB106" s="1">
        <v>3.0787080519140333</v>
      </c>
      <c r="AC106" s="1">
        <v>2.176046063226682</v>
      </c>
      <c r="AD106" s="19"/>
      <c r="AE106" s="19"/>
    </row>
    <row r="107" spans="1:31" x14ac:dyDescent="0.35">
      <c r="A107" s="2">
        <v>2000</v>
      </c>
      <c r="B107" s="14">
        <f t="shared" si="14"/>
        <v>811178799225.99402</v>
      </c>
      <c r="C107" s="1">
        <v>0.81829647048176757</v>
      </c>
      <c r="D107" s="14">
        <f t="shared" si="15"/>
        <v>722842604379.29163</v>
      </c>
      <c r="E107" s="4">
        <v>991301.84289859759</v>
      </c>
      <c r="F107" s="4">
        <v>883350.50981427555</v>
      </c>
      <c r="G107" s="5">
        <v>222206707348.694</v>
      </c>
      <c r="H107" s="5">
        <v>181830964340.81134</v>
      </c>
      <c r="I107" s="4">
        <v>850017854074.06201</v>
      </c>
      <c r="J107" s="4">
        <f t="shared" si="24"/>
        <v>850017854074.06201</v>
      </c>
      <c r="K107" s="4">
        <v>585894.9375</v>
      </c>
      <c r="L107" s="4">
        <v>153015.625</v>
      </c>
      <c r="M107" s="4">
        <v>181088684834.457</v>
      </c>
      <c r="N107" s="4">
        <f t="shared" si="16"/>
        <v>181088684834.457</v>
      </c>
      <c r="O107" s="2">
        <f t="shared" si="17"/>
        <v>27.262564636602438</v>
      </c>
      <c r="P107" s="2">
        <f t="shared" si="18"/>
        <v>22.985438702087581</v>
      </c>
      <c r="Q107" s="2">
        <f t="shared" si="19"/>
        <v>19.674144760125014</v>
      </c>
      <c r="R107" s="2">
        <f t="shared" si="20"/>
        <v>19.614394093147112</v>
      </c>
      <c r="S107" s="2">
        <f t="shared" si="21"/>
        <v>20.64504583023901</v>
      </c>
      <c r="T107" s="2">
        <f t="shared" si="25"/>
        <v>4.6939313455786014</v>
      </c>
      <c r="U107" s="1">
        <f t="shared" si="22"/>
        <v>3.9753548412384028</v>
      </c>
      <c r="V107" s="1">
        <f t="shared" si="10"/>
        <v>4.4611697582243295</v>
      </c>
      <c r="W107" s="1">
        <f t="shared" si="11"/>
        <v>3.8289876442356787</v>
      </c>
      <c r="X107" s="1">
        <f t="shared" si="23"/>
        <v>4.6939313455786014</v>
      </c>
      <c r="Y107" s="19"/>
      <c r="Z107" s="1">
        <v>3.4397947173794319</v>
      </c>
      <c r="AA107" s="1">
        <v>4.0727118325815184</v>
      </c>
      <c r="AB107" s="1">
        <v>3.2025606742743831</v>
      </c>
      <c r="AC107" s="1">
        <v>2.1752971042830178</v>
      </c>
      <c r="AD107" s="19"/>
      <c r="AE107" s="19"/>
    </row>
    <row r="108" spans="1:31" x14ac:dyDescent="0.35">
      <c r="A108" s="2">
        <v>2001</v>
      </c>
      <c r="B108" s="14">
        <f t="shared" si="14"/>
        <v>816691556634.21704</v>
      </c>
      <c r="C108" s="1">
        <v>0.82347220154383138</v>
      </c>
      <c r="D108" s="14">
        <f t="shared" si="15"/>
        <v>728010732683.56787</v>
      </c>
      <c r="E108" s="4">
        <v>991765.78772555757</v>
      </c>
      <c r="F108" s="4">
        <v>884074.44880192191</v>
      </c>
      <c r="G108" s="5">
        <v>223579575750.61801</v>
      </c>
      <c r="H108" s="5">
        <v>184111565463.59723</v>
      </c>
      <c r="I108" s="4">
        <v>865813267333.65198</v>
      </c>
      <c r="J108" s="4">
        <f t="shared" si="24"/>
        <v>865813267333.65198</v>
      </c>
      <c r="K108" s="4">
        <v>603470.5625</v>
      </c>
      <c r="L108" s="4">
        <v>154087.265625</v>
      </c>
      <c r="M108" s="4">
        <v>183213554680.991</v>
      </c>
      <c r="N108" s="4">
        <f t="shared" si="16"/>
        <v>183213554680.991</v>
      </c>
      <c r="O108" s="2">
        <f t="shared" si="17"/>
        <v>28.080384661871364</v>
      </c>
      <c r="P108" s="2">
        <f t="shared" si="18"/>
        <v>23.412564440108625</v>
      </c>
      <c r="Q108" s="2">
        <f t="shared" si="19"/>
        <v>19.814809551853141</v>
      </c>
      <c r="R108" s="2">
        <f t="shared" si="20"/>
        <v>19.747693183862964</v>
      </c>
      <c r="S108" s="2">
        <f t="shared" si="21"/>
        <v>20.887291972813241</v>
      </c>
      <c r="T108" s="2">
        <f t="shared" si="25"/>
        <v>4.7257053051625713</v>
      </c>
      <c r="U108" s="1">
        <f t="shared" si="22"/>
        <v>3.9541825134690467</v>
      </c>
      <c r="V108" s="1">
        <f t="shared" si="10"/>
        <v>4.4358514609213637</v>
      </c>
      <c r="W108" s="1">
        <f t="shared" si="11"/>
        <v>3.9164207376400446</v>
      </c>
      <c r="X108" s="1">
        <f t="shared" si="23"/>
        <v>4.7257053051625713</v>
      </c>
      <c r="Y108" s="19"/>
      <c r="Z108" s="1">
        <v>3.4689181914210279</v>
      </c>
      <c r="AA108" s="1">
        <v>4.0399018794593431</v>
      </c>
      <c r="AB108" s="1">
        <v>3.3042860830709677</v>
      </c>
      <c r="AC108" s="1">
        <v>2.1661199841371701</v>
      </c>
      <c r="AD108" s="19"/>
      <c r="AE108" s="19"/>
    </row>
    <row r="109" spans="1:31" x14ac:dyDescent="0.35">
      <c r="A109" s="2">
        <v>2002</v>
      </c>
      <c r="B109" s="14">
        <f t="shared" si="14"/>
        <v>826244424365.08655</v>
      </c>
      <c r="C109" s="1">
        <v>0.82074782673562552</v>
      </c>
      <c r="D109" s="14">
        <f t="shared" si="15"/>
        <v>736612121876.31396</v>
      </c>
      <c r="E109" s="4">
        <v>1006697.0602302083</v>
      </c>
      <c r="F109" s="4">
        <v>897488.97027976799</v>
      </c>
      <c r="G109" s="5">
        <v>235772947128.979</v>
      </c>
      <c r="H109" s="5">
        <v>193510133959.16306</v>
      </c>
      <c r="I109" s="4">
        <v>899030653583.39099</v>
      </c>
      <c r="J109" s="4">
        <f t="shared" si="24"/>
        <v>899030653583.39099</v>
      </c>
      <c r="K109" s="4">
        <v>622352.625</v>
      </c>
      <c r="L109" s="4">
        <v>164150.75</v>
      </c>
      <c r="M109" s="4">
        <v>193500799712.17099</v>
      </c>
      <c r="N109" s="4">
        <f t="shared" si="16"/>
        <v>193500799712.17099</v>
      </c>
      <c r="O109" s="2">
        <f t="shared" si="17"/>
        <v>28.958995171078261</v>
      </c>
      <c r="P109" s="2">
        <f t="shared" si="18"/>
        <v>24.310799920489977</v>
      </c>
      <c r="Q109" s="2">
        <f t="shared" si="19"/>
        <v>20.048919958587639</v>
      </c>
      <c r="R109" s="2">
        <f t="shared" si="20"/>
        <v>19.978682594054366</v>
      </c>
      <c r="S109" s="2">
        <f t="shared" si="21"/>
        <v>22.060091064759582</v>
      </c>
      <c r="T109" s="2">
        <f t="shared" si="25"/>
        <v>4.6461340465811158</v>
      </c>
      <c r="U109" s="1">
        <f t="shared" si="22"/>
        <v>3.8065816337647886</v>
      </c>
      <c r="V109" s="1">
        <f t="shared" si="10"/>
        <v>4.2697734090735064</v>
      </c>
      <c r="W109" s="1">
        <f t="shared" si="11"/>
        <v>3.7913480444043053</v>
      </c>
      <c r="X109" s="1">
        <f t="shared" si="23"/>
        <v>4.6461340465811158</v>
      </c>
      <c r="Y109" s="19"/>
      <c r="Z109" s="1">
        <v>3.519207488729303</v>
      </c>
      <c r="AA109" s="1">
        <v>3.9027893405322813</v>
      </c>
      <c r="AB109" s="1">
        <v>3.3144283749373549</v>
      </c>
      <c r="AC109" s="1">
        <v>2.2071001777242434</v>
      </c>
      <c r="AD109" s="19"/>
      <c r="AE109" s="19"/>
    </row>
    <row r="110" spans="1:31" x14ac:dyDescent="0.35">
      <c r="A110" s="2">
        <v>2003</v>
      </c>
      <c r="B110" s="14">
        <f t="shared" si="14"/>
        <v>861699145792.14893</v>
      </c>
      <c r="C110" s="1">
        <v>0.83901299582582345</v>
      </c>
      <c r="D110" s="14">
        <f t="shared" si="15"/>
        <v>768314723910.36902</v>
      </c>
      <c r="E110" s="4">
        <v>1027039.0924564833</v>
      </c>
      <c r="F110" s="4">
        <v>915736.38040508819</v>
      </c>
      <c r="G110" s="5">
        <v>245592613752.98999</v>
      </c>
      <c r="H110" s="5">
        <v>206055394617.59045</v>
      </c>
      <c r="I110" s="4">
        <v>942520161876.89099</v>
      </c>
      <c r="J110" s="4">
        <f t="shared" si="24"/>
        <v>942520161876.89099</v>
      </c>
      <c r="K110" s="4">
        <v>642854.8125</v>
      </c>
      <c r="L110" s="4">
        <v>173867.0625</v>
      </c>
      <c r="M110" s="4">
        <v>205146945011.32999</v>
      </c>
      <c r="N110" s="4">
        <f t="shared" si="16"/>
        <v>205146945011.32999</v>
      </c>
      <c r="O110" s="2">
        <f t="shared" si="17"/>
        <v>29.912992511105614</v>
      </c>
      <c r="P110" s="2">
        <f t="shared" si="18"/>
        <v>25.48680513293705</v>
      </c>
      <c r="Q110" s="2">
        <f t="shared" si="19"/>
        <v>20.911793256193317</v>
      </c>
      <c r="R110" s="2">
        <f t="shared" si="20"/>
        <v>20.835981723662663</v>
      </c>
      <c r="S110" s="2">
        <f t="shared" si="21"/>
        <v>23.387811809247598</v>
      </c>
      <c r="T110" s="2">
        <f t="shared" si="25"/>
        <v>4.5943660619700522</v>
      </c>
      <c r="U110" s="1">
        <f t="shared" si="22"/>
        <v>3.7286804615635125</v>
      </c>
      <c r="V110" s="1">
        <f t="shared" si="10"/>
        <v>4.1818810295713931</v>
      </c>
      <c r="W110" s="1">
        <f t="shared" si="11"/>
        <v>3.6973927278491865</v>
      </c>
      <c r="X110" s="1">
        <f t="shared" si="23"/>
        <v>4.5943660619700522</v>
      </c>
      <c r="Y110" s="19"/>
      <c r="Z110" s="1">
        <v>3.7560134158632765</v>
      </c>
      <c r="AA110" s="1">
        <v>3.9099080118665799</v>
      </c>
      <c r="AB110" s="1">
        <v>3.3774516463825632</v>
      </c>
      <c r="AC110" s="1">
        <v>2.2306319256202207</v>
      </c>
      <c r="AD110" s="19"/>
      <c r="AE110" s="19"/>
    </row>
    <row r="111" spans="1:31" x14ac:dyDescent="0.35">
      <c r="A111" s="2">
        <v>2004</v>
      </c>
      <c r="B111" s="14">
        <f t="shared" si="14"/>
        <v>933638590097.71057</v>
      </c>
      <c r="C111" s="1">
        <v>0.88758321454957467</v>
      </c>
      <c r="D111" s="14">
        <f t="shared" si="15"/>
        <v>832552057375.19678</v>
      </c>
      <c r="E111" s="4">
        <v>1051888.5156830144</v>
      </c>
      <c r="F111" s="4">
        <v>937998.87574225396</v>
      </c>
      <c r="G111" s="5">
        <v>257769786233.073</v>
      </c>
      <c r="H111" s="5">
        <v>228792135478.50763</v>
      </c>
      <c r="I111" s="4">
        <v>1014715048968.78</v>
      </c>
      <c r="J111" s="4">
        <f t="shared" si="24"/>
        <v>1014715048968.78</v>
      </c>
      <c r="K111" s="4">
        <v>666144.375</v>
      </c>
      <c r="L111" s="4">
        <v>187196.984375</v>
      </c>
      <c r="M111" s="4">
        <v>228749059576.375</v>
      </c>
      <c r="N111" s="4">
        <f t="shared" si="16"/>
        <v>228749059576.375</v>
      </c>
      <c r="O111" s="2">
        <f t="shared" si="17"/>
        <v>30.996690564076829</v>
      </c>
      <c r="P111" s="2">
        <f t="shared" si="18"/>
        <v>27.439036070088829</v>
      </c>
      <c r="Q111" s="2">
        <f t="shared" si="19"/>
        <v>22.660188536071274</v>
      </c>
      <c r="R111" s="2">
        <f t="shared" si="20"/>
        <v>22.57548553317751</v>
      </c>
      <c r="S111" s="2">
        <f t="shared" si="21"/>
        <v>26.078574831417331</v>
      </c>
      <c r="T111" s="2">
        <f t="shared" si="25"/>
        <v>4.4359310191174179</v>
      </c>
      <c r="U111" s="1">
        <f t="shared" si="22"/>
        <v>3.6389015541725449</v>
      </c>
      <c r="V111" s="1">
        <f t="shared" si="10"/>
        <v>4.0807285099422268</v>
      </c>
      <c r="W111" s="1">
        <f t="shared" si="11"/>
        <v>3.558520866263287</v>
      </c>
      <c r="X111" s="1">
        <f t="shared" si="23"/>
        <v>4.4359310191174179</v>
      </c>
      <c r="Y111" s="19"/>
      <c r="Z111" s="1">
        <v>4.0816854714430404</v>
      </c>
      <c r="AA111" s="1">
        <v>4.1454552980538368</v>
      </c>
      <c r="AB111" s="1">
        <v>3.3518091701367836</v>
      </c>
      <c r="AC111" s="1">
        <v>2.2718308870129764</v>
      </c>
      <c r="AD111" s="19"/>
      <c r="AE111" s="19"/>
    </row>
    <row r="112" spans="1:31" x14ac:dyDescent="0.35">
      <c r="A112" s="2">
        <v>2005</v>
      </c>
      <c r="B112" s="14">
        <f t="shared" si="14"/>
        <v>987619132457.68799</v>
      </c>
      <c r="C112" s="1">
        <v>0.91488852055638015</v>
      </c>
      <c r="D112" s="14">
        <f t="shared" si="15"/>
        <v>880809070323.59778</v>
      </c>
      <c r="E112" s="4">
        <v>1079496.693058382</v>
      </c>
      <c r="F112" s="4">
        <v>962750.16084794968</v>
      </c>
      <c r="G112" s="5">
        <v>273971153886.79102</v>
      </c>
      <c r="H112" s="5">
        <v>250653063654.6106</v>
      </c>
      <c r="I112" s="4">
        <v>1090196759161.12</v>
      </c>
      <c r="J112" s="4">
        <f t="shared" si="24"/>
        <v>1090196759161.12</v>
      </c>
      <c r="K112" s="4">
        <v>693787.9375</v>
      </c>
      <c r="L112" s="4">
        <v>207762.3125</v>
      </c>
      <c r="M112" s="4">
        <v>251472655399.479</v>
      </c>
      <c r="N112" s="4">
        <f t="shared" si="16"/>
        <v>251472655399.479</v>
      </c>
      <c r="O112" s="2">
        <f t="shared" si="17"/>
        <v>32.282986726078072</v>
      </c>
      <c r="P112" s="2">
        <f t="shared" si="18"/>
        <v>29.480146400229732</v>
      </c>
      <c r="Q112" s="2">
        <f t="shared" si="19"/>
        <v>23.97363554747611</v>
      </c>
      <c r="R112" s="2">
        <f t="shared" si="20"/>
        <v>23.880741084999983</v>
      </c>
      <c r="S112" s="2">
        <f t="shared" si="21"/>
        <v>28.66918217734105</v>
      </c>
      <c r="T112" s="2">
        <f t="shared" si="25"/>
        <v>4.3352497210055656</v>
      </c>
      <c r="U112" s="1">
        <f t="shared" si="22"/>
        <v>3.5140566705273373</v>
      </c>
      <c r="V112" s="1">
        <f t="shared" si="10"/>
        <v>3.9401837665889681</v>
      </c>
      <c r="W112" s="1">
        <f t="shared" si="11"/>
        <v>3.3393348829807619</v>
      </c>
      <c r="X112" s="1">
        <f t="shared" si="23"/>
        <v>4.3352497210055656</v>
      </c>
      <c r="Y112" s="19"/>
      <c r="Z112" s="1">
        <v>4.5048942993415375</v>
      </c>
      <c r="AA112" s="1">
        <v>4.3502251942773906</v>
      </c>
      <c r="AB112" s="1">
        <v>3.3883474709897539</v>
      </c>
      <c r="AC112" s="1">
        <v>2.3245312345048759</v>
      </c>
      <c r="AD112" s="19"/>
      <c r="AE112" s="19"/>
    </row>
    <row r="113" spans="1:31" x14ac:dyDescent="0.35">
      <c r="A113" s="2">
        <v>2006</v>
      </c>
      <c r="B113" s="14">
        <f t="shared" ref="B113:B130" si="26">E113*C113*10^6</f>
        <v>1089411884476.502</v>
      </c>
      <c r="C113" s="1">
        <v>0.97902898057278165</v>
      </c>
      <c r="D113" s="14">
        <f t="shared" ref="D113:D130" si="27">F113*C113*10^6</f>
        <v>971766232090.10486</v>
      </c>
      <c r="E113" s="4">
        <v>1112747.3303590468</v>
      </c>
      <c r="F113" s="4">
        <v>992581.68182270997</v>
      </c>
      <c r="G113" s="5">
        <v>294597830810.42902</v>
      </c>
      <c r="H113" s="5">
        <v>288419813977.28711</v>
      </c>
      <c r="I113" s="4">
        <v>1232111165506.3401</v>
      </c>
      <c r="J113" s="4">
        <f t="shared" si="24"/>
        <v>1232111165506.3401</v>
      </c>
      <c r="K113" s="4">
        <v>724281.25</v>
      </c>
      <c r="L113" s="4">
        <v>234837.890625</v>
      </c>
      <c r="M113" s="4">
        <v>290974515972.97198</v>
      </c>
      <c r="N113" s="4">
        <f t="shared" si="16"/>
        <v>290974515972.97198</v>
      </c>
      <c r="O113" s="2">
        <f t="shared" si="17"/>
        <v>33.701886002734426</v>
      </c>
      <c r="P113" s="2">
        <f t="shared" si="18"/>
        <v>33.317671544386286</v>
      </c>
      <c r="Q113" s="2">
        <f t="shared" si="19"/>
        <v>26.44928426646802</v>
      </c>
      <c r="R113" s="2">
        <f t="shared" si="20"/>
        <v>26.342101214022239</v>
      </c>
      <c r="S113" s="2">
        <f t="shared" si="21"/>
        <v>33.172598404947891</v>
      </c>
      <c r="T113" s="2">
        <f t="shared" si="25"/>
        <v>4.2344298138493626</v>
      </c>
      <c r="U113" s="1">
        <f t="shared" si="22"/>
        <v>3.3692769532353659</v>
      </c>
      <c r="V113" s="1">
        <f t="shared" si="10"/>
        <v>3.7771742150915206</v>
      </c>
      <c r="W113" s="1">
        <f t="shared" si="11"/>
        <v>3.0841754202117486</v>
      </c>
      <c r="X113" s="1">
        <f t="shared" si="23"/>
        <v>4.2344298138493626</v>
      </c>
      <c r="Y113" s="19"/>
      <c r="Z113" s="1">
        <v>4.8805824075732964</v>
      </c>
      <c r="AA113" s="1">
        <v>4.5268408104977782</v>
      </c>
      <c r="AB113" s="1">
        <v>3.3078464628639872</v>
      </c>
      <c r="AC113" s="1">
        <v>2.4290757851919325</v>
      </c>
      <c r="AD113" s="19"/>
      <c r="AE113" s="19"/>
    </row>
    <row r="114" spans="1:31" x14ac:dyDescent="0.35">
      <c r="A114" s="2">
        <v>2007</v>
      </c>
      <c r="B114" s="14">
        <f t="shared" si="26"/>
        <v>1164262762087.2332</v>
      </c>
      <c r="C114" s="1">
        <v>0.99999999999999978</v>
      </c>
      <c r="D114" s="14">
        <f t="shared" si="27"/>
        <v>1038334384021.8357</v>
      </c>
      <c r="E114" s="4">
        <v>1164262.7620872334</v>
      </c>
      <c r="F114" s="4">
        <v>1038334.3840218359</v>
      </c>
      <c r="G114" s="5">
        <v>319693000000</v>
      </c>
      <c r="H114" s="5">
        <v>319692999999.99994</v>
      </c>
      <c r="I114" s="4">
        <v>1349693967410.25</v>
      </c>
      <c r="J114" s="4">
        <f t="shared" si="24"/>
        <v>1349693967410.25</v>
      </c>
      <c r="K114" s="4">
        <v>756705.8125</v>
      </c>
      <c r="L114" s="4">
        <v>259290.703125</v>
      </c>
      <c r="M114" s="4">
        <v>320371781295.27502</v>
      </c>
      <c r="N114" s="4">
        <f t="shared" si="16"/>
        <v>320371781295.27502</v>
      </c>
      <c r="O114" s="2">
        <f t="shared" si="17"/>
        <v>35.210649220149669</v>
      </c>
      <c r="P114" s="2">
        <f t="shared" si="18"/>
        <v>36.497242741189098</v>
      </c>
      <c r="Q114" s="2">
        <f t="shared" si="19"/>
        <v>28.261119166049635</v>
      </c>
      <c r="R114" s="2">
        <f t="shared" si="20"/>
        <v>28.152003806490978</v>
      </c>
      <c r="S114" s="2">
        <f t="shared" si="21"/>
        <v>36.524038559353173</v>
      </c>
      <c r="T114" s="2">
        <f t="shared" si="25"/>
        <v>4.2128990323473161</v>
      </c>
      <c r="U114" s="1">
        <f t="shared" si="22"/>
        <v>3.2479109146019334</v>
      </c>
      <c r="V114" s="1">
        <f t="shared" ref="V114:V129" si="28">E114*10^6/G114</f>
        <v>3.6418149977861054</v>
      </c>
      <c r="W114" s="1">
        <f t="shared" si="11"/>
        <v>2.9183684697526697</v>
      </c>
      <c r="X114" s="1">
        <f t="shared" ref="X114:X130" si="29">J114/N114</f>
        <v>4.2128990323473161</v>
      </c>
      <c r="Y114" s="19"/>
      <c r="Z114" s="1">
        <v>5.0795340758844469</v>
      </c>
      <c r="AA114" s="1">
        <v>4.553175426015275</v>
      </c>
      <c r="AB114" s="1">
        <v>3.3150887970379834</v>
      </c>
      <c r="AC114" s="1">
        <v>2.5347132126965417</v>
      </c>
      <c r="AD114" s="19"/>
      <c r="AE114" s="19"/>
    </row>
    <row r="115" spans="1:31" x14ac:dyDescent="0.35">
      <c r="A115" s="2">
        <v>2008</v>
      </c>
      <c r="B115" s="14">
        <f t="shared" si="26"/>
        <v>1262407792719.5198</v>
      </c>
      <c r="C115" s="1">
        <v>1.0170766640127269</v>
      </c>
      <c r="D115" s="14">
        <f t="shared" si="27"/>
        <v>1124808824513.7683</v>
      </c>
      <c r="E115" s="4">
        <v>1241212.031882508</v>
      </c>
      <c r="F115" s="4">
        <v>1105923.3431588137</v>
      </c>
      <c r="G115" s="5">
        <v>348870000000</v>
      </c>
      <c r="H115" s="5">
        <v>354827535774.12</v>
      </c>
      <c r="I115" s="4">
        <v>1427689109360.0601</v>
      </c>
      <c r="J115" s="4">
        <f t="shared" si="24"/>
        <v>1427689109360.0601</v>
      </c>
      <c r="K115" s="4">
        <v>802103.9375</v>
      </c>
      <c r="L115" s="4">
        <v>283818.75</v>
      </c>
      <c r="M115" s="4">
        <v>353105883911.57001</v>
      </c>
      <c r="N115" s="4">
        <f t="shared" si="16"/>
        <v>353105883911.57001</v>
      </c>
      <c r="O115" s="2">
        <f t="shared" si="17"/>
        <v>37.32309163597624</v>
      </c>
      <c r="P115" s="2">
        <f t="shared" si="18"/>
        <v>38.606319092650978</v>
      </c>
      <c r="Q115" s="2">
        <f t="shared" si="19"/>
        <v>30.614758326195741</v>
      </c>
      <c r="R115" s="2">
        <f t="shared" si="20"/>
        <v>30.52516162440055</v>
      </c>
      <c r="S115" s="2">
        <f t="shared" si="21"/>
        <v>40.255895408073123</v>
      </c>
      <c r="T115" s="2">
        <f t="shared" si="25"/>
        <v>4.0432322835991119</v>
      </c>
      <c r="U115" s="1">
        <f t="shared" si="22"/>
        <v>3.1700156022553205</v>
      </c>
      <c r="V115" s="1">
        <f t="shared" si="28"/>
        <v>3.5578067242311122</v>
      </c>
      <c r="W115" s="1">
        <f t="shared" si="11"/>
        <v>2.826113276518905</v>
      </c>
      <c r="X115" s="1">
        <f t="shared" si="29"/>
        <v>4.0432322835991119</v>
      </c>
      <c r="Y115" s="19"/>
      <c r="Z115" s="1">
        <v>4.9093978635174524</v>
      </c>
      <c r="AA115" s="1">
        <v>4.0577869982404167</v>
      </c>
      <c r="AB115" s="1">
        <v>3.5011929734490841</v>
      </c>
      <c r="AC115" s="1">
        <v>2.599201453067566</v>
      </c>
      <c r="AD115" s="19"/>
      <c r="AE115" s="19"/>
    </row>
    <row r="116" spans="1:31" x14ac:dyDescent="0.35">
      <c r="A116" s="2">
        <v>2009</v>
      </c>
      <c r="B116" s="14">
        <f t="shared" si="26"/>
        <v>1365908702657.3157</v>
      </c>
      <c r="C116" s="1">
        <v>1.0407148577140317</v>
      </c>
      <c r="D116" s="14">
        <f t="shared" si="27"/>
        <v>1216770274065.8352</v>
      </c>
      <c r="E116" s="4">
        <v>1312471.6078884318</v>
      </c>
      <c r="F116" s="4">
        <v>1169167.7744838924</v>
      </c>
      <c r="G116" s="5">
        <v>352693000000</v>
      </c>
      <c r="H116" s="5">
        <v>367052845311.73499</v>
      </c>
      <c r="I116" s="4">
        <v>1513178975376.5601</v>
      </c>
      <c r="J116" s="4">
        <f t="shared" si="24"/>
        <v>1513178975376.5601</v>
      </c>
      <c r="K116" s="4">
        <v>835965.75</v>
      </c>
      <c r="L116" s="4">
        <v>284734.96875</v>
      </c>
      <c r="M116" s="4">
        <v>364933344637.43298</v>
      </c>
      <c r="N116" s="4">
        <f t="shared" si="16"/>
        <v>364933344637.43298</v>
      </c>
      <c r="O116" s="2">
        <f t="shared" si="17"/>
        <v>38.898732237912256</v>
      </c>
      <c r="P116" s="2">
        <f t="shared" si="18"/>
        <v>40.918061211423847</v>
      </c>
      <c r="Q116" s="2">
        <f t="shared" si="19"/>
        <v>33.117741492762022</v>
      </c>
      <c r="R116" s="2">
        <f t="shared" si="20"/>
        <v>33.027825202956016</v>
      </c>
      <c r="S116" s="2">
        <f t="shared" si="21"/>
        <v>41.604287048136165</v>
      </c>
      <c r="T116" s="2">
        <f t="shared" si="25"/>
        <v>4.1464530375538224</v>
      </c>
      <c r="U116" s="1">
        <f t="shared" si="22"/>
        <v>3.3149730062232377</v>
      </c>
      <c r="V116" s="1">
        <f t="shared" si="28"/>
        <v>3.721286240125071</v>
      </c>
      <c r="W116" s="1">
        <f t="shared" si="11"/>
        <v>2.9359433920952149</v>
      </c>
      <c r="X116" s="1">
        <f t="shared" si="29"/>
        <v>4.1464530375538224</v>
      </c>
      <c r="Y116" s="19"/>
      <c r="Z116" s="1">
        <v>4.8508513819039543</v>
      </c>
      <c r="AA116" s="1">
        <v>3.6321939225949835</v>
      </c>
      <c r="AB116" s="1">
        <v>3.8281055470011234</v>
      </c>
      <c r="AC116" s="1">
        <v>2.7122604613514696</v>
      </c>
      <c r="AD116" s="19"/>
      <c r="AE116" s="19"/>
    </row>
    <row r="117" spans="1:31" x14ac:dyDescent="0.35">
      <c r="A117" s="2">
        <v>2010</v>
      </c>
      <c r="B117" s="14">
        <f t="shared" si="26"/>
        <v>1547219441157.5759</v>
      </c>
      <c r="C117" s="1">
        <v>1.1034185692265517</v>
      </c>
      <c r="D117" s="14">
        <f t="shared" si="27"/>
        <v>1377617372313.9785</v>
      </c>
      <c r="E117" s="4">
        <v>1402205.3682149914</v>
      </c>
      <c r="F117" s="4">
        <v>1248499.3553077762</v>
      </c>
      <c r="G117" s="5">
        <v>382069032542.01501</v>
      </c>
      <c r="H117" s="5">
        <v>421582065233.28302</v>
      </c>
      <c r="I117" s="4">
        <v>1700635390677.6699</v>
      </c>
      <c r="J117" s="4">
        <f t="shared" si="24"/>
        <v>1700635390677.6699</v>
      </c>
      <c r="K117" s="4">
        <v>885581.625</v>
      </c>
      <c r="L117" s="4">
        <v>323195.46875</v>
      </c>
      <c r="M117" s="4">
        <v>417363080442.164</v>
      </c>
      <c r="N117" s="4">
        <f t="shared" si="16"/>
        <v>417363080442.164</v>
      </c>
      <c r="O117" s="2">
        <f t="shared" si="17"/>
        <v>41.207432847207222</v>
      </c>
      <c r="P117" s="2">
        <f t="shared" si="18"/>
        <v>45.987093494175539</v>
      </c>
      <c r="Q117" s="2">
        <f t="shared" si="19"/>
        <v>37.495636591927372</v>
      </c>
      <c r="R117" s="2">
        <f t="shared" si="20"/>
        <v>37.411939138942728</v>
      </c>
      <c r="S117" s="2">
        <f t="shared" si="21"/>
        <v>47.581547855709474</v>
      </c>
      <c r="T117" s="2">
        <f t="shared" si="25"/>
        <v>4.0747144881046449</v>
      </c>
      <c r="U117" s="1">
        <f t="shared" si="22"/>
        <v>3.2677323964236291</v>
      </c>
      <c r="V117" s="1">
        <f t="shared" si="28"/>
        <v>3.6700314571053205</v>
      </c>
      <c r="W117" s="1">
        <f t="shared" si="11"/>
        <v>2.740080572370339</v>
      </c>
      <c r="X117" s="1">
        <f t="shared" si="29"/>
        <v>4.0747144881046449</v>
      </c>
      <c r="Y117" s="19"/>
      <c r="Z117" s="1">
        <v>4.9046866627410042</v>
      </c>
      <c r="AA117" s="1">
        <v>3.5498070932324621</v>
      </c>
      <c r="AB117" s="1">
        <v>3.6169302945737321</v>
      </c>
      <c r="AC117" s="1">
        <v>2.6880931704710531</v>
      </c>
      <c r="AD117" s="19"/>
      <c r="AE117" s="19"/>
    </row>
    <row r="118" spans="1:31" x14ac:dyDescent="0.35">
      <c r="A118" s="2">
        <v>2011</v>
      </c>
      <c r="B118" s="14">
        <f t="shared" si="26"/>
        <v>1746074639413.1448</v>
      </c>
      <c r="C118" s="1">
        <v>1.1618198428495319</v>
      </c>
      <c r="D118" s="14">
        <f t="shared" si="27"/>
        <v>1553472416254.2832</v>
      </c>
      <c r="E118" s="4">
        <v>1502878.9963946932</v>
      </c>
      <c r="F118" s="4">
        <v>1337102.6719978948</v>
      </c>
      <c r="G118" s="5">
        <v>406246751335.33698</v>
      </c>
      <c r="H118" s="5">
        <v>471985536794.55402</v>
      </c>
      <c r="I118" s="4">
        <v>1860247650969.5601</v>
      </c>
      <c r="J118" s="4">
        <f t="shared" si="24"/>
        <v>1860247650969.5601</v>
      </c>
      <c r="K118" s="4">
        <v>948442</v>
      </c>
      <c r="L118" s="4">
        <v>355340.375</v>
      </c>
      <c r="M118" s="4">
        <v>473255441395.56</v>
      </c>
      <c r="N118" s="4">
        <f t="shared" si="16"/>
        <v>473255441395.56</v>
      </c>
      <c r="O118" s="2">
        <f t="shared" si="17"/>
        <v>44.132419780583085</v>
      </c>
      <c r="P118" s="2">
        <f t="shared" si="18"/>
        <v>50.303188512011751</v>
      </c>
      <c r="Q118" s="2">
        <f t="shared" si="19"/>
        <v>42.282014110793526</v>
      </c>
      <c r="R118" s="2">
        <f t="shared" si="20"/>
        <v>42.220280074106846</v>
      </c>
      <c r="S118" s="2">
        <f t="shared" si="21"/>
        <v>53.95356582302734</v>
      </c>
      <c r="T118" s="2">
        <f t="shared" si="25"/>
        <v>3.9307475165715284</v>
      </c>
      <c r="U118" s="1">
        <f t="shared" si="22"/>
        <v>3.2913559741778253</v>
      </c>
      <c r="V118" s="1">
        <f t="shared" si="28"/>
        <v>3.6994240358962021</v>
      </c>
      <c r="W118" s="1">
        <f t="shared" si="11"/>
        <v>2.6691084569266863</v>
      </c>
      <c r="X118" s="1">
        <f t="shared" si="29"/>
        <v>3.9307475165715284</v>
      </c>
      <c r="Y118" s="19"/>
      <c r="Z118" s="1">
        <v>5.0197862149902894</v>
      </c>
      <c r="AA118" s="1">
        <v>3.5103811632791633</v>
      </c>
      <c r="AB118" s="1">
        <v>3.7851875289830721</v>
      </c>
      <c r="AC118" s="1">
        <v>2.5535751470468409</v>
      </c>
      <c r="AD118" s="19"/>
      <c r="AE118" s="19"/>
    </row>
    <row r="119" spans="1:31" x14ac:dyDescent="0.35">
      <c r="A119" s="2">
        <v>2012</v>
      </c>
      <c r="B119" s="14">
        <f t="shared" si="26"/>
        <v>1917664614066.6313</v>
      </c>
      <c r="C119" s="1">
        <v>1.1822140300847541</v>
      </c>
      <c r="D119" s="14">
        <f t="shared" si="27"/>
        <v>1704858327316.5098</v>
      </c>
      <c r="E119" s="4">
        <v>1622095.9701596098</v>
      </c>
      <c r="F119" s="4">
        <v>1442089.4050752271</v>
      </c>
      <c r="G119" s="5">
        <v>431189436756.20898</v>
      </c>
      <c r="H119" s="5">
        <v>509758201757.53302</v>
      </c>
      <c r="I119" s="4">
        <v>2046087433836.55</v>
      </c>
      <c r="J119" s="4">
        <f t="shared" si="24"/>
        <v>2046087433836.55</v>
      </c>
      <c r="K119" s="4">
        <v>1038669.1875</v>
      </c>
      <c r="L119" s="4">
        <v>374775.71875</v>
      </c>
      <c r="M119" s="4">
        <v>508335291930.02197</v>
      </c>
      <c r="N119" s="4">
        <f t="shared" si="16"/>
        <v>508335291930.02197</v>
      </c>
      <c r="O119" s="2">
        <f t="shared" si="17"/>
        <v>48.330825286002899</v>
      </c>
      <c r="P119" s="2">
        <f t="shared" si="18"/>
        <v>55.328505235684098</v>
      </c>
      <c r="Q119" s="2">
        <f t="shared" si="19"/>
        <v>46.402397041790259</v>
      </c>
      <c r="R119" s="2">
        <f t="shared" si="20"/>
        <v>46.369344853040928</v>
      </c>
      <c r="S119" s="2">
        <f t="shared" si="21"/>
        <v>57.952850055854775</v>
      </c>
      <c r="T119" s="2">
        <f t="shared" si="25"/>
        <v>4.0250745252568789</v>
      </c>
      <c r="U119" s="1">
        <f t="shared" si="22"/>
        <v>3.3444451142493383</v>
      </c>
      <c r="V119" s="1">
        <f t="shared" si="28"/>
        <v>3.7619102693295563</v>
      </c>
      <c r="W119" s="1">
        <f t="shared" si="11"/>
        <v>2.7714420533013788</v>
      </c>
      <c r="X119" s="1">
        <f t="shared" si="29"/>
        <v>4.0250745252568789</v>
      </c>
      <c r="Y119" s="19"/>
      <c r="Z119" s="1">
        <v>5.003079138753793</v>
      </c>
      <c r="AA119" s="1">
        <v>3.5081646841638099</v>
      </c>
      <c r="AB119" s="1">
        <v>3.8597539779216947</v>
      </c>
      <c r="AC119" s="1">
        <v>2.6245275840429638</v>
      </c>
      <c r="AD119" s="19"/>
      <c r="AE119" s="19"/>
    </row>
    <row r="120" spans="1:31" x14ac:dyDescent="0.35">
      <c r="A120" s="2">
        <v>2013</v>
      </c>
      <c r="B120" s="14">
        <f t="shared" si="26"/>
        <v>2099217944078.1824</v>
      </c>
      <c r="C120" s="1">
        <v>1.2021665513723865</v>
      </c>
      <c r="D120" s="14">
        <f t="shared" si="27"/>
        <v>1865628397243.8491</v>
      </c>
      <c r="E120" s="4">
        <v>1746195.6013347129</v>
      </c>
      <c r="F120" s="4">
        <v>1551888.4593104494</v>
      </c>
      <c r="G120" s="5">
        <v>456423042921.17102</v>
      </c>
      <c r="H120" s="5">
        <v>548696515475.43494</v>
      </c>
      <c r="I120" s="4">
        <v>2243159719061.2798</v>
      </c>
      <c r="J120" s="4">
        <f t="shared" si="24"/>
        <v>2243159719061.2798</v>
      </c>
      <c r="K120" s="4">
        <v>1132344.25</v>
      </c>
      <c r="L120" s="4">
        <v>378570.03125</v>
      </c>
      <c r="M120" s="4">
        <v>543177378522.57098</v>
      </c>
      <c r="N120" s="4">
        <f t="shared" si="16"/>
        <v>543177378522.57098</v>
      </c>
      <c r="O120" s="2">
        <f t="shared" si="17"/>
        <v>52.689665553749748</v>
      </c>
      <c r="P120" s="2">
        <f t="shared" si="18"/>
        <v>60.657561455153413</v>
      </c>
      <c r="Q120" s="2">
        <f t="shared" si="19"/>
        <v>50.77819560386034</v>
      </c>
      <c r="R120" s="2">
        <f t="shared" si="20"/>
        <v>50.759324678903766</v>
      </c>
      <c r="S120" s="2">
        <f t="shared" si="21"/>
        <v>61.925027970680866</v>
      </c>
      <c r="T120" s="2">
        <f t="shared" si="25"/>
        <v>4.1297001822178583</v>
      </c>
      <c r="U120" s="1">
        <f t="shared" si="22"/>
        <v>3.4001097958993203</v>
      </c>
      <c r="V120" s="1">
        <f t="shared" si="28"/>
        <v>3.8258270006676653</v>
      </c>
      <c r="W120" s="1">
        <f t="shared" si="11"/>
        <v>2.9911090591643341</v>
      </c>
      <c r="X120" s="1">
        <f t="shared" si="29"/>
        <v>4.1297001822178583</v>
      </c>
      <c r="Y120" s="19"/>
      <c r="Z120" s="1">
        <v>4.9529374699767086</v>
      </c>
      <c r="AA120" s="1">
        <v>3.7384250308691063</v>
      </c>
      <c r="AB120" s="1">
        <v>3.8251898333249574</v>
      </c>
      <c r="AC120" s="1">
        <v>2.5867522680630182</v>
      </c>
      <c r="AD120" s="19"/>
      <c r="AE120" s="19"/>
    </row>
    <row r="121" spans="1:31" x14ac:dyDescent="0.35">
      <c r="A121" s="2">
        <v>2014</v>
      </c>
      <c r="B121" s="14">
        <f t="shared" si="26"/>
        <v>2306034137247.2144</v>
      </c>
      <c r="C121" s="1">
        <v>1.2379405138067252</v>
      </c>
      <c r="D121" s="14">
        <f t="shared" si="27"/>
        <v>2049174113369.0859</v>
      </c>
      <c r="E121" s="4">
        <v>1862798.8271876257</v>
      </c>
      <c r="F121" s="4">
        <v>1655309.0318272074</v>
      </c>
      <c r="G121" s="5">
        <v>467302939529.39398</v>
      </c>
      <c r="H121" s="5">
        <v>578493241064.41101</v>
      </c>
      <c r="I121" s="4">
        <v>2460713513261.5801</v>
      </c>
      <c r="J121" s="4">
        <f t="shared" si="24"/>
        <v>2460713513261.5801</v>
      </c>
      <c r="K121" s="4">
        <v>1231077.75</v>
      </c>
      <c r="L121" s="4">
        <v>384453.5625</v>
      </c>
      <c r="M121" s="4">
        <v>569871526383.77002</v>
      </c>
      <c r="N121" s="4">
        <f t="shared" si="16"/>
        <v>569871526383.77002</v>
      </c>
      <c r="O121" s="2">
        <f t="shared" si="17"/>
        <v>57.283882457267516</v>
      </c>
      <c r="P121" s="2">
        <f t="shared" si="18"/>
        <v>66.540460710775264</v>
      </c>
      <c r="Q121" s="2">
        <f t="shared" si="19"/>
        <v>55.773895867335533</v>
      </c>
      <c r="R121" s="2">
        <f t="shared" si="20"/>
        <v>55.76016336148831</v>
      </c>
      <c r="S121" s="2">
        <f t="shared" si="21"/>
        <v>64.968298766409603</v>
      </c>
      <c r="T121" s="2">
        <f t="shared" si="25"/>
        <v>4.3180144985949962</v>
      </c>
      <c r="U121" s="1">
        <f t="shared" si="22"/>
        <v>3.5422611154430506</v>
      </c>
      <c r="V121" s="1">
        <f t="shared" si="28"/>
        <v>3.9862767160497463</v>
      </c>
      <c r="W121" s="1">
        <f t="shared" si="11"/>
        <v>3.2021494143392157</v>
      </c>
      <c r="X121" s="1">
        <f t="shared" si="29"/>
        <v>4.3180144985949962</v>
      </c>
      <c r="Y121" s="19"/>
      <c r="Z121" s="1">
        <v>4.8572451288962171</v>
      </c>
      <c r="AA121" s="1">
        <v>3.9666726699059658</v>
      </c>
      <c r="AB121" s="1">
        <v>3.5654083631297318</v>
      </c>
      <c r="AC121" s="1">
        <v>2.625294102754907</v>
      </c>
      <c r="AD121" s="19"/>
      <c r="AE121" s="19"/>
    </row>
    <row r="122" spans="1:31" x14ac:dyDescent="0.35">
      <c r="A122" s="2">
        <v>2015</v>
      </c>
      <c r="B122" s="14">
        <f t="shared" si="26"/>
        <v>2505568961683.3677</v>
      </c>
      <c r="C122" s="1">
        <v>1.2730714403720989</v>
      </c>
      <c r="D122" s="14">
        <f t="shared" si="27"/>
        <v>2226263986158.5308</v>
      </c>
      <c r="E122" s="4">
        <v>1968129.1106106576</v>
      </c>
      <c r="F122" s="4">
        <v>1748734.5293896694</v>
      </c>
      <c r="G122" s="5">
        <v>482495386529.31604</v>
      </c>
      <c r="H122" s="5">
        <v>614251096701.76892</v>
      </c>
      <c r="I122" s="4">
        <v>2745242716367.2798</v>
      </c>
      <c r="J122" s="4">
        <f t="shared" si="24"/>
        <v>2745242716367.2798</v>
      </c>
      <c r="K122" s="4">
        <v>1341269.5</v>
      </c>
      <c r="L122" s="4">
        <v>388237.8125</v>
      </c>
      <c r="M122" s="4">
        <v>605593923755.06897</v>
      </c>
      <c r="N122" s="4">
        <f t="shared" si="16"/>
        <v>605593923755.06897</v>
      </c>
      <c r="O122" s="2">
        <f t="shared" si="17"/>
        <v>62.41126881020957</v>
      </c>
      <c r="P122" s="2">
        <f t="shared" si="18"/>
        <v>74.234450343574267</v>
      </c>
      <c r="Q122" s="2">
        <f t="shared" si="19"/>
        <v>60.593882641362868</v>
      </c>
      <c r="R122" s="2">
        <f t="shared" si="20"/>
        <v>60.584937733713076</v>
      </c>
      <c r="S122" s="2">
        <f t="shared" si="21"/>
        <v>69.040836658938105</v>
      </c>
      <c r="T122" s="2">
        <f t="shared" si="25"/>
        <v>4.533141117640386</v>
      </c>
      <c r="U122" s="1">
        <f t="shared" si="22"/>
        <v>3.624354922787262</v>
      </c>
      <c r="V122" s="1">
        <f t="shared" si="28"/>
        <v>4.0790630658000619</v>
      </c>
      <c r="W122" s="1">
        <f t="shared" ref="W122:W129" si="30">K122/L122</f>
        <v>3.4547626656020269</v>
      </c>
      <c r="X122" s="1">
        <f t="shared" si="29"/>
        <v>4.533141117640386</v>
      </c>
      <c r="Y122" s="19"/>
      <c r="Z122" s="1">
        <v>4.7526877843153787</v>
      </c>
      <c r="AA122" s="1">
        <v>4.0218433299095215</v>
      </c>
      <c r="AB122" s="1">
        <v>3.2061751847340916</v>
      </c>
      <c r="AC122" s="1">
        <v>2.8883895003852396</v>
      </c>
      <c r="AD122" s="19"/>
      <c r="AE122" s="19"/>
    </row>
    <row r="123" spans="1:31" x14ac:dyDescent="0.35">
      <c r="A123" s="2">
        <v>2016</v>
      </c>
      <c r="B123" s="14">
        <f t="shared" si="26"/>
        <v>2727447454946.4648</v>
      </c>
      <c r="C123" s="1">
        <v>1.3214231309031594</v>
      </c>
      <c r="D123" s="14">
        <f t="shared" si="27"/>
        <v>2423375707885.9624</v>
      </c>
      <c r="E123" s="4">
        <v>2064022.7881301905</v>
      </c>
      <c r="F123" s="4">
        <v>1833913.491607829</v>
      </c>
      <c r="G123" s="5">
        <v>501571660908.32001</v>
      </c>
      <c r="H123" s="5">
        <v>662788394529.77002</v>
      </c>
      <c r="I123" s="4">
        <v>2966620063859.8599</v>
      </c>
      <c r="J123" s="4">
        <f t="shared" si="24"/>
        <v>2966620063859.8599</v>
      </c>
      <c r="K123" s="4">
        <v>1442108.375</v>
      </c>
      <c r="L123" s="4">
        <v>398096.0625</v>
      </c>
      <c r="M123" s="4">
        <v>649108692159.53796</v>
      </c>
      <c r="N123" s="4">
        <f t="shared" si="16"/>
        <v>649108692159.53796</v>
      </c>
      <c r="O123" s="2">
        <f t="shared" si="17"/>
        <v>67.103451950245272</v>
      </c>
      <c r="P123" s="2">
        <f t="shared" si="18"/>
        <v>80.220742780177702</v>
      </c>
      <c r="Q123" s="2">
        <f t="shared" si="19"/>
        <v>65.958818968702118</v>
      </c>
      <c r="R123" s="2">
        <f t="shared" si="20"/>
        <v>65.949984517244218</v>
      </c>
      <c r="S123" s="2">
        <f t="shared" si="21"/>
        <v>74.00174511560806</v>
      </c>
      <c r="T123" s="2">
        <f t="shared" si="25"/>
        <v>4.5702978556489953</v>
      </c>
      <c r="U123" s="1">
        <f t="shared" si="22"/>
        <v>3.6563339489450177</v>
      </c>
      <c r="V123" s="1">
        <f t="shared" si="28"/>
        <v>4.1151104597742885</v>
      </c>
      <c r="W123" s="1">
        <f t="shared" si="30"/>
        <v>3.6225135359132068</v>
      </c>
      <c r="X123" s="1">
        <f t="shared" si="29"/>
        <v>4.5702978556489953</v>
      </c>
      <c r="Y123" s="19"/>
      <c r="Z123" s="1">
        <v>4.8176715312840157</v>
      </c>
      <c r="AA123" s="1">
        <v>4.0682070332220972</v>
      </c>
      <c r="AB123" s="1">
        <v>2.9236615414436908</v>
      </c>
      <c r="AC123" s="1">
        <v>3.0723592917037581</v>
      </c>
      <c r="AD123" s="19"/>
      <c r="AE123" s="19"/>
    </row>
    <row r="124" spans="1:31" x14ac:dyDescent="0.35">
      <c r="A124" s="2">
        <v>2017</v>
      </c>
      <c r="B124" s="14">
        <f t="shared" si="26"/>
        <v>2971483018081.3423</v>
      </c>
      <c r="C124" s="1">
        <v>1.3734459594448671</v>
      </c>
      <c r="D124" s="14">
        <f t="shared" si="27"/>
        <v>2640191335106.3379</v>
      </c>
      <c r="E124" s="4">
        <v>2163523.7976763099</v>
      </c>
      <c r="F124" s="4">
        <v>1922311.7713153244</v>
      </c>
      <c r="G124" s="5">
        <v>514205098529.06201</v>
      </c>
      <c r="H124" s="5">
        <v>706232914900.69006</v>
      </c>
      <c r="I124" s="4">
        <v>3143370076591.1699</v>
      </c>
      <c r="J124" s="4">
        <f t="shared" si="24"/>
        <v>3143370076591.1699</v>
      </c>
      <c r="K124" s="4">
        <v>1557388.25</v>
      </c>
      <c r="L124" s="4">
        <v>411379.0625</v>
      </c>
      <c r="M124" s="4">
        <v>688361976066.98596</v>
      </c>
      <c r="N124" s="4">
        <f t="shared" si="16"/>
        <v>688361976066.98596</v>
      </c>
      <c r="O124" s="2">
        <f t="shared" si="17"/>
        <v>72.467596342578332</v>
      </c>
      <c r="P124" s="2">
        <f t="shared" si="18"/>
        <v>85.000261897048802</v>
      </c>
      <c r="Q124" s="2">
        <f t="shared" si="19"/>
        <v>71.860051146146759</v>
      </c>
      <c r="R124" s="2">
        <f t="shared" si="20"/>
        <v>71.850791728475372</v>
      </c>
      <c r="S124" s="2">
        <f t="shared" si="21"/>
        <v>78.476822318788734</v>
      </c>
      <c r="T124" s="2">
        <f t="shared" si="25"/>
        <v>4.5664493186434836</v>
      </c>
      <c r="U124" s="1">
        <f t="shared" si="22"/>
        <v>3.7384144513819488</v>
      </c>
      <c r="V124" s="1">
        <f t="shared" si="28"/>
        <v>4.2075113682561653</v>
      </c>
      <c r="W124" s="1">
        <f t="shared" si="30"/>
        <v>3.7857742213120047</v>
      </c>
      <c r="X124" s="1">
        <f t="shared" si="29"/>
        <v>4.5664493186434836</v>
      </c>
      <c r="Y124" s="19"/>
      <c r="Z124" s="1">
        <v>4.9071391959264554</v>
      </c>
      <c r="AA124" s="1">
        <v>4.2751613516256244</v>
      </c>
      <c r="AB124" s="1">
        <v>2.9448322322018687</v>
      </c>
      <c r="AC124" s="1">
        <v>3.1906520046565854</v>
      </c>
      <c r="AD124" s="19"/>
      <c r="AE124" s="19"/>
    </row>
    <row r="125" spans="1:31" x14ac:dyDescent="0.35">
      <c r="A125" s="2">
        <v>2018</v>
      </c>
      <c r="B125" s="14">
        <f t="shared" si="26"/>
        <v>3177927946405.4932</v>
      </c>
      <c r="C125" s="1">
        <v>1.3993132169279816</v>
      </c>
      <c r="D125" s="14">
        <f t="shared" si="27"/>
        <v>2823556939837.8398</v>
      </c>
      <c r="E125" s="4">
        <v>2271062.62412231</v>
      </c>
      <c r="F125" s="4">
        <v>2017816.2441977132</v>
      </c>
      <c r="G125" s="5">
        <v>534615812580.71704</v>
      </c>
      <c r="H125" s="5">
        <v>748094972522.89001</v>
      </c>
      <c r="I125" s="4">
        <v>3365986075007.8101</v>
      </c>
      <c r="J125" s="4">
        <f t="shared" si="24"/>
        <v>3365986075007.8101</v>
      </c>
      <c r="K125" s="4">
        <v>1679813.625</v>
      </c>
      <c r="L125" s="4">
        <v>428482.625</v>
      </c>
      <c r="M125" s="4">
        <v>732432170136.28796</v>
      </c>
      <c r="N125" s="4">
        <f t="shared" si="16"/>
        <v>732432170136.28796</v>
      </c>
      <c r="O125" s="2">
        <f t="shared" si="17"/>
        <v>78.164231499283005</v>
      </c>
      <c r="P125" s="2">
        <f t="shared" si="18"/>
        <v>91.020048847622519</v>
      </c>
      <c r="Q125" s="2">
        <f t="shared" si="19"/>
        <v>76.850849183865179</v>
      </c>
      <c r="R125" s="2">
        <f t="shared" si="20"/>
        <v>76.842653185585846</v>
      </c>
      <c r="S125" s="2">
        <f t="shared" si="21"/>
        <v>83.501052171360655</v>
      </c>
      <c r="T125" s="2">
        <f t="shared" si="25"/>
        <v>4.5956283902459951</v>
      </c>
      <c r="U125" s="1">
        <f t="shared" si="22"/>
        <v>3.7743295217124921</v>
      </c>
      <c r="V125" s="1">
        <f t="shared" si="28"/>
        <v>4.2480274071194293</v>
      </c>
      <c r="W125" s="1">
        <f t="shared" si="30"/>
        <v>3.9203774598794991</v>
      </c>
      <c r="X125" s="1">
        <f t="shared" si="29"/>
        <v>4.5956283902459951</v>
      </c>
      <c r="Y125" s="19"/>
      <c r="Z125" s="1">
        <v>4.9415279480926104</v>
      </c>
      <c r="AA125" s="1">
        <v>4.2743264312673848</v>
      </c>
      <c r="AB125" s="1">
        <v>3.017090269068484</v>
      </c>
      <c r="AC125" s="1">
        <v>3.2339132867070397</v>
      </c>
      <c r="AD125" s="19"/>
      <c r="AE125" s="19"/>
    </row>
    <row r="126" spans="1:31" x14ac:dyDescent="0.35">
      <c r="A126" s="2">
        <v>2019</v>
      </c>
      <c r="B126" s="14">
        <f t="shared" si="26"/>
        <v>3387309912702.8242</v>
      </c>
      <c r="C126" s="1">
        <v>1.4224913079856174</v>
      </c>
      <c r="D126" s="14">
        <f t="shared" si="27"/>
        <v>3009440881413.8711</v>
      </c>
      <c r="E126" s="4">
        <v>2381251.7473302358</v>
      </c>
      <c r="F126" s="4">
        <v>2115612.8438320826</v>
      </c>
      <c r="G126" s="5">
        <v>546593463265.28802</v>
      </c>
      <c r="H126" s="5">
        <v>777524450496.62805</v>
      </c>
      <c r="I126" s="4">
        <v>3546024061898.9399</v>
      </c>
      <c r="J126" s="4">
        <f t="shared" si="24"/>
        <v>3546024061898.9399</v>
      </c>
      <c r="K126" s="4">
        <v>1830021.875</v>
      </c>
      <c r="L126" s="4">
        <v>450548.28125</v>
      </c>
      <c r="M126" s="4">
        <v>763051800913.65405</v>
      </c>
      <c r="N126" s="4">
        <f t="shared" si="16"/>
        <v>763051800913.65405</v>
      </c>
      <c r="O126" s="2">
        <f t="shared" si="17"/>
        <v>85.153645236239797</v>
      </c>
      <c r="P126" s="2">
        <f t="shared" si="18"/>
        <v>95.888478483422546</v>
      </c>
      <c r="Q126" s="2">
        <f t="shared" si="19"/>
        <v>81.910190668433358</v>
      </c>
      <c r="R126" s="2">
        <f t="shared" si="20"/>
        <v>81.905532549386521</v>
      </c>
      <c r="S126" s="2">
        <f t="shared" si="21"/>
        <v>86.99184830410411</v>
      </c>
      <c r="T126" s="2">
        <f t="shared" si="25"/>
        <v>4.6471603338764718</v>
      </c>
      <c r="U126" s="1">
        <f t="shared" si="22"/>
        <v>3.8705417938839752</v>
      </c>
      <c r="V126" s="1">
        <f t="shared" si="28"/>
        <v>4.3565316956132349</v>
      </c>
      <c r="W126" s="1">
        <f t="shared" si="30"/>
        <v>4.0617664103007831</v>
      </c>
      <c r="X126" s="1">
        <f t="shared" si="29"/>
        <v>4.6471603338764718</v>
      </c>
      <c r="Y126" s="19"/>
      <c r="Z126" s="1">
        <v>5.027560844745925</v>
      </c>
      <c r="AA126" s="1">
        <v>4.378519949305292</v>
      </c>
      <c r="AB126" s="1">
        <v>3.0756659576798158</v>
      </c>
      <c r="AC126" s="1">
        <v>3.2430596705427237</v>
      </c>
      <c r="AD126" s="19"/>
      <c r="AE126" s="19"/>
    </row>
    <row r="127" spans="1:31" x14ac:dyDescent="0.35">
      <c r="A127" s="2">
        <v>2020</v>
      </c>
      <c r="B127" s="14">
        <f t="shared" si="26"/>
        <v>3662012536174.4434</v>
      </c>
      <c r="C127" s="1">
        <v>1.4824947352720597</v>
      </c>
      <c r="D127" s="14">
        <f t="shared" si="27"/>
        <v>3253429988830.3398</v>
      </c>
      <c r="E127" s="4">
        <v>2470168.9989492004</v>
      </c>
      <c r="F127" s="4">
        <v>2194564.2783232462</v>
      </c>
      <c r="G127" s="5">
        <v>486809120319.63202</v>
      </c>
      <c r="H127" s="5">
        <v>721691957956.2771</v>
      </c>
      <c r="I127" s="4">
        <v>3279130860024</v>
      </c>
      <c r="J127" s="4">
        <f t="shared" si="24"/>
        <v>3279130860024</v>
      </c>
      <c r="K127" s="4">
        <v>1975340.125</v>
      </c>
      <c r="L127" s="4">
        <v>412739.34375</v>
      </c>
      <c r="M127" s="4">
        <v>706754588791.62305</v>
      </c>
      <c r="N127" s="4">
        <f t="shared" si="16"/>
        <v>706754588791.62305</v>
      </c>
      <c r="O127" s="2">
        <f t="shared" si="17"/>
        <v>91.915519985333276</v>
      </c>
      <c r="P127" s="2">
        <f t="shared" si="18"/>
        <v>88.671386157305591</v>
      </c>
      <c r="Q127" s="2">
        <f t="shared" si="19"/>
        <v>88.551023665994862</v>
      </c>
      <c r="R127" s="2">
        <f t="shared" si="20"/>
        <v>88.547872709576794</v>
      </c>
      <c r="S127" s="2">
        <f t="shared" si="21"/>
        <v>80.573675211530713</v>
      </c>
      <c r="T127" s="2">
        <f t="shared" si="25"/>
        <v>4.6397022559563554</v>
      </c>
      <c r="U127" s="1">
        <f t="shared" si="22"/>
        <v>4.5080590866545931</v>
      </c>
      <c r="V127" s="1">
        <f t="shared" si="28"/>
        <v>5.0742044383378069</v>
      </c>
      <c r="W127" s="1">
        <f t="shared" si="30"/>
        <v>4.7859264083059685</v>
      </c>
      <c r="X127" s="1">
        <f t="shared" si="29"/>
        <v>4.6397022559563554</v>
      </c>
      <c r="Y127" s="19"/>
      <c r="Z127" s="1">
        <v>5.6039768277929189</v>
      </c>
      <c r="AA127" s="1">
        <v>5.0310809262044573</v>
      </c>
      <c r="AB127" s="1">
        <v>3.3544740135098698</v>
      </c>
      <c r="AC127" s="1">
        <v>3.1886469982784655</v>
      </c>
      <c r="AD127" s="19"/>
      <c r="AE127" s="19"/>
    </row>
    <row r="128" spans="1:31" x14ac:dyDescent="0.35">
      <c r="A128" s="2">
        <v>2021</v>
      </c>
      <c r="B128" s="14">
        <f t="shared" si="26"/>
        <v>4135630167181.1733</v>
      </c>
      <c r="C128" s="1">
        <v>1.5908425875448433</v>
      </c>
      <c r="D128" s="14">
        <f t="shared" si="27"/>
        <v>3674073832395.1343</v>
      </c>
      <c r="E128" s="4">
        <v>2599647.632996622</v>
      </c>
      <c r="F128" s="4">
        <v>2309514.3800904616</v>
      </c>
      <c r="G128" s="5">
        <v>552143033494.21997</v>
      </c>
      <c r="H128" s="5">
        <v>878372652098.80396</v>
      </c>
      <c r="I128" s="4">
        <v>3698071048767.3301</v>
      </c>
      <c r="J128" s="4">
        <f t="shared" si="24"/>
        <v>3698071048767.3301</v>
      </c>
      <c r="K128" s="4">
        <v>2149082.25</v>
      </c>
      <c r="L128" s="4">
        <v>478283.96875</v>
      </c>
      <c r="M128" s="4">
        <v>877153222732.08301</v>
      </c>
      <c r="N128" s="4">
        <f t="shared" si="16"/>
        <v>877153222732.08301</v>
      </c>
      <c r="O128" s="2">
        <f t="shared" si="17"/>
        <v>100</v>
      </c>
      <c r="P128" s="2">
        <f t="shared" si="18"/>
        <v>100</v>
      </c>
      <c r="Q128" s="2">
        <f t="shared" si="19"/>
        <v>100</v>
      </c>
      <c r="R128" s="2">
        <f t="shared" si="20"/>
        <v>100</v>
      </c>
      <c r="S128" s="2">
        <f t="shared" si="21"/>
        <v>100</v>
      </c>
      <c r="T128" s="2">
        <f t="shared" si="25"/>
        <v>4.2159920900123806</v>
      </c>
      <c r="U128" s="1">
        <f t="shared" si="22"/>
        <v>4.1828190160704768</v>
      </c>
      <c r="V128" s="1">
        <f t="shared" si="28"/>
        <v>4.7082865766590096</v>
      </c>
      <c r="W128" s="1">
        <f t="shared" si="30"/>
        <v>4.4933185940073388</v>
      </c>
      <c r="X128" s="1">
        <f t="shared" si="29"/>
        <v>4.2159920900123806</v>
      </c>
      <c r="Y128" s="19"/>
      <c r="Z128" s="1">
        <v>5.5767223084026378</v>
      </c>
      <c r="AA128" s="1">
        <v>5.2208636336479541</v>
      </c>
      <c r="AB128" s="1">
        <v>3.4712871591918031</v>
      </c>
      <c r="AC128" s="1">
        <v>2.870733415355649</v>
      </c>
      <c r="AD128" s="19"/>
      <c r="AE128" s="19"/>
    </row>
    <row r="129" spans="1:31" x14ac:dyDescent="0.35">
      <c r="A129" s="2">
        <v>2022</v>
      </c>
      <c r="B129" s="14">
        <f t="shared" si="26"/>
        <v>4505181766510.4072</v>
      </c>
      <c r="C129" s="1">
        <v>1.6498287501852931</v>
      </c>
      <c r="D129" s="14">
        <f t="shared" si="27"/>
        <v>4002360242480.4844</v>
      </c>
      <c r="E129" s="4">
        <v>2730696.6047260528</v>
      </c>
      <c r="F129" s="4">
        <v>2425924.6555322651</v>
      </c>
      <c r="G129" s="5">
        <v>567708806854.12195</v>
      </c>
      <c r="H129" s="5">
        <v>936622311281.31995</v>
      </c>
      <c r="I129" s="4">
        <v>4157148449767.4702</v>
      </c>
      <c r="J129" s="4">
        <f t="shared" si="24"/>
        <v>4157148449767.4702</v>
      </c>
      <c r="K129" s="4">
        <v>2259697</v>
      </c>
      <c r="L129" s="4">
        <v>489804.90625</v>
      </c>
      <c r="M129" s="4">
        <v>943966589030.73706</v>
      </c>
      <c r="N129" s="4">
        <f t="shared" si="16"/>
        <v>943966589030.73706</v>
      </c>
      <c r="O129" s="2">
        <f t="shared" si="17"/>
        <v>105.14706917336459</v>
      </c>
      <c r="P129" s="2">
        <f t="shared" si="18"/>
        <v>112.41396920032575</v>
      </c>
      <c r="Q129" s="2">
        <f t="shared" si="19"/>
        <v>108.93521537838393</v>
      </c>
      <c r="R129" s="2">
        <f t="shared" si="20"/>
        <v>108.93579900499466</v>
      </c>
      <c r="S129" s="2">
        <f t="shared" si="21"/>
        <v>107.6170690099672</v>
      </c>
      <c r="T129" s="2">
        <f t="shared" si="25"/>
        <v>4.4039148186759682</v>
      </c>
      <c r="U129" s="1">
        <f t="shared" si="22"/>
        <v>4.2731848198289955</v>
      </c>
      <c r="V129" s="1">
        <f t="shared" si="28"/>
        <v>4.8100303743002009</v>
      </c>
      <c r="W129" s="1">
        <f t="shared" si="30"/>
        <v>4.6134633834121583</v>
      </c>
      <c r="X129" s="1">
        <f t="shared" si="29"/>
        <v>4.4039148186759682</v>
      </c>
      <c r="Y129" s="19"/>
      <c r="Z129" s="1">
        <v>5.5283440355207851</v>
      </c>
      <c r="AA129" s="1">
        <v>5.0347336718804909</v>
      </c>
      <c r="AB129" s="1">
        <v>3.5372870900026863</v>
      </c>
      <c r="AC129" s="1">
        <v>2.9430709169996172</v>
      </c>
      <c r="AD129" s="19"/>
      <c r="AE129" s="19"/>
    </row>
    <row r="130" spans="1:31" x14ac:dyDescent="0.35">
      <c r="A130" s="12">
        <v>2023</v>
      </c>
      <c r="B130" s="14">
        <f t="shared" si="26"/>
        <v>5132625513387.3555</v>
      </c>
      <c r="C130" s="1">
        <f>L214*10^6/G130</f>
        <v>1.8002629328440891</v>
      </c>
      <c r="D130" s="14">
        <f t="shared" si="27"/>
        <v>4559729760948.8936</v>
      </c>
      <c r="E130" s="4">
        <v>2851042.1559803695</v>
      </c>
      <c r="F130" s="2">
        <v>2532813.2228692546</v>
      </c>
      <c r="G130" s="15">
        <v>565719278773.30896</v>
      </c>
      <c r="H130" s="15">
        <f>H129*M130/M129</f>
        <v>994065127600.14697</v>
      </c>
      <c r="I130" s="4">
        <v>4421940307282.9697</v>
      </c>
      <c r="J130" s="4">
        <f t="shared" si="24"/>
        <v>4421940307282.9697</v>
      </c>
      <c r="K130" s="4">
        <v>2341043.25</v>
      </c>
      <c r="L130" s="4">
        <v>483526.5</v>
      </c>
      <c r="M130" s="4">
        <v>1001859828100.2</v>
      </c>
      <c r="N130" s="4">
        <f>M130</f>
        <v>1001859828100.2</v>
      </c>
      <c r="O130" s="2">
        <f t="shared" si="17"/>
        <v>108.9322314211101</v>
      </c>
      <c r="P130" s="2">
        <f t="shared" si="18"/>
        <v>119.57423881179692</v>
      </c>
      <c r="Q130" s="2">
        <f t="shared" si="19"/>
        <v>124.10555609266021</v>
      </c>
      <c r="R130" s="2">
        <f t="shared" si="20"/>
        <v>124.10745898213935</v>
      </c>
      <c r="S130" s="2">
        <f t="shared" si="21"/>
        <v>114.2171974218702</v>
      </c>
      <c r="T130" s="2">
        <f t="shared" si="25"/>
        <v>4.4137315253653568</v>
      </c>
      <c r="U130" s="1">
        <f t="shared" si="22"/>
        <v>4.4771555750430521</v>
      </c>
      <c r="V130" s="1">
        <f>E130*10^6/G130</f>
        <v>5.0396765020320604</v>
      </c>
      <c r="W130" s="1">
        <f t="shared" ref="W130" si="31">K130/L130</f>
        <v>4.8416027870240823</v>
      </c>
      <c r="X130" s="1">
        <f t="shared" si="29"/>
        <v>4.4137315253653568</v>
      </c>
      <c r="Y130" s="19"/>
      <c r="Z130" s="1">
        <v>5.2432317156575134</v>
      </c>
      <c r="AA130" s="1">
        <v>4.8210564112535517</v>
      </c>
      <c r="AB130" s="1">
        <v>3.666829713730432</v>
      </c>
      <c r="AC130" s="1">
        <v>3.0671788993780025</v>
      </c>
      <c r="AD130" s="19"/>
      <c r="AE130" s="19"/>
    </row>
    <row r="131" spans="1:31" x14ac:dyDescent="0.35">
      <c r="E131" s="13"/>
      <c r="F131" s="13"/>
      <c r="S131" s="2"/>
    </row>
    <row r="133" spans="1:31" x14ac:dyDescent="0.35">
      <c r="E133">
        <v>2599647.632996622</v>
      </c>
    </row>
    <row r="134" spans="1:31" x14ac:dyDescent="0.35">
      <c r="E134" s="13">
        <v>2730696.6047260528</v>
      </c>
      <c r="F134" s="13"/>
    </row>
    <row r="135" spans="1:31" x14ac:dyDescent="0.35">
      <c r="E135">
        <v>2851042.1559803695</v>
      </c>
    </row>
    <row r="214" spans="12:12" x14ac:dyDescent="0.35">
      <c r="L214" s="16">
        <v>1018443.44797088</v>
      </c>
    </row>
  </sheetData>
  <mergeCells count="1">
    <mergeCell ref="A1:A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CD92-0D39-4967-9A8B-296CDD7F65C8}">
  <dimension ref="A1:G8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RowHeight="14.5" x14ac:dyDescent="0.35"/>
  <sheetData>
    <row r="1" spans="1:7" x14ac:dyDescent="0.35">
      <c r="A1" t="s">
        <v>63</v>
      </c>
      <c r="B1" t="s">
        <v>64</v>
      </c>
      <c r="C1" t="s">
        <v>71</v>
      </c>
      <c r="D1" t="s">
        <v>72</v>
      </c>
      <c r="E1" t="s">
        <v>65</v>
      </c>
      <c r="F1" t="s">
        <v>67</v>
      </c>
      <c r="G1" t="s">
        <v>68</v>
      </c>
    </row>
    <row r="2" spans="1:7" x14ac:dyDescent="0.35">
      <c r="A2" t="s">
        <v>73</v>
      </c>
      <c r="C2" t="s">
        <v>74</v>
      </c>
      <c r="D2" t="s">
        <v>66</v>
      </c>
      <c r="E2" t="s">
        <v>75</v>
      </c>
      <c r="F2" t="s">
        <v>69</v>
      </c>
      <c r="G2" t="s">
        <v>70</v>
      </c>
    </row>
    <row r="3" spans="1:7" x14ac:dyDescent="0.35">
      <c r="A3" t="s">
        <v>62</v>
      </c>
      <c r="B3">
        <v>1896</v>
      </c>
      <c r="C3" s="32">
        <f>'Comparison Domestic Capital'!N3</f>
        <v>0.23851625954768099</v>
      </c>
      <c r="E3" s="33">
        <f>'Comparison Domestic Capital'!J3</f>
        <v>0.89455562470415528</v>
      </c>
      <c r="F3" s="21">
        <f>E3/C3</f>
        <v>3.7505016488208329</v>
      </c>
    </row>
    <row r="4" spans="1:7" x14ac:dyDescent="0.35">
      <c r="A4" t="s">
        <v>62</v>
      </c>
      <c r="B4">
        <v>1897</v>
      </c>
      <c r="C4" s="32">
        <f>'Comparison Domestic Capital'!N4</f>
        <v>0.25975859121847727</v>
      </c>
      <c r="E4" s="33">
        <f>'Comparison Domestic Capital'!J4</f>
        <v>0.89173992579624084</v>
      </c>
      <c r="F4" s="21">
        <f t="shared" ref="F4:F67" si="0">E4/C4</f>
        <v>3.4329564293264045</v>
      </c>
    </row>
    <row r="5" spans="1:7" x14ac:dyDescent="0.35">
      <c r="A5" t="s">
        <v>62</v>
      </c>
      <c r="B5">
        <v>1898</v>
      </c>
      <c r="C5" s="32">
        <f>'Comparison Domestic Capital'!N5</f>
        <v>0.28267354743028111</v>
      </c>
      <c r="E5" s="33">
        <f>'Comparison Domestic Capital'!J5</f>
        <v>0.93529788141962067</v>
      </c>
      <c r="F5" s="21">
        <f t="shared" si="0"/>
        <v>3.308756301826592</v>
      </c>
    </row>
    <row r="6" spans="1:7" x14ac:dyDescent="0.35">
      <c r="A6" t="s">
        <v>62</v>
      </c>
      <c r="B6">
        <v>1899</v>
      </c>
      <c r="C6" s="32">
        <f>'Comparison Domestic Capital'!N6</f>
        <v>0.28601879651229628</v>
      </c>
      <c r="E6" s="33">
        <f>'Comparison Domestic Capital'!J6</f>
        <v>0.9262923985017214</v>
      </c>
      <c r="F6" s="21">
        <f t="shared" si="0"/>
        <v>3.2385717645025438</v>
      </c>
    </row>
    <row r="7" spans="1:7" x14ac:dyDescent="0.35">
      <c r="A7" t="s">
        <v>62</v>
      </c>
      <c r="B7">
        <v>1900</v>
      </c>
      <c r="C7" s="32">
        <f>'Comparison Domestic Capital'!N7</f>
        <v>0.31980581224064941</v>
      </c>
      <c r="E7" s="33">
        <f>'Comparison Domestic Capital'!J7</f>
        <v>1.0181142425692684</v>
      </c>
      <c r="F7" s="21">
        <f t="shared" si="0"/>
        <v>3.183538896419905</v>
      </c>
    </row>
    <row r="8" spans="1:7" x14ac:dyDescent="0.35">
      <c r="A8" t="s">
        <v>62</v>
      </c>
      <c r="B8">
        <v>1901</v>
      </c>
      <c r="C8" s="32">
        <f>'Comparison Domestic Capital'!N8</f>
        <v>0.33218323384410553</v>
      </c>
      <c r="E8" s="33">
        <f>'Comparison Domestic Capital'!J8</f>
        <v>1.0251555004013382</v>
      </c>
      <c r="F8" s="21">
        <f t="shared" si="0"/>
        <v>3.0861145173944764</v>
      </c>
    </row>
    <row r="9" spans="1:7" x14ac:dyDescent="0.35">
      <c r="A9" t="s">
        <v>62</v>
      </c>
      <c r="B9">
        <v>1902</v>
      </c>
      <c r="C9" s="32">
        <f>'Comparison Domestic Capital'!N9</f>
        <v>0.34205171863605033</v>
      </c>
      <c r="E9" s="33">
        <f>'Comparison Domestic Capital'!J9</f>
        <v>1.0537163480685068</v>
      </c>
      <c r="F9" s="21">
        <f t="shared" si="0"/>
        <v>3.0805760961244619</v>
      </c>
    </row>
    <row r="10" spans="1:7" x14ac:dyDescent="0.35">
      <c r="A10" t="s">
        <v>62</v>
      </c>
      <c r="B10">
        <v>1903</v>
      </c>
      <c r="C10" s="32">
        <f>'Comparison Domestic Capital'!N10</f>
        <v>0.3696500235626754</v>
      </c>
      <c r="E10" s="33">
        <f>'Comparison Domestic Capital'!J10</f>
        <v>1.1311314579001084</v>
      </c>
      <c r="F10" s="21">
        <f t="shared" si="0"/>
        <v>3.0600064542084935</v>
      </c>
    </row>
    <row r="11" spans="1:7" x14ac:dyDescent="0.35">
      <c r="A11" t="s">
        <v>62</v>
      </c>
      <c r="B11">
        <v>1904</v>
      </c>
      <c r="C11" s="32">
        <f>'Comparison Domestic Capital'!N11</f>
        <v>0.39875369057620724</v>
      </c>
      <c r="E11" s="33">
        <f>'Comparison Domestic Capital'!J11</f>
        <v>1.259083311900514</v>
      </c>
      <c r="F11" s="21">
        <f t="shared" si="0"/>
        <v>3.157546479585212</v>
      </c>
    </row>
    <row r="12" spans="1:7" x14ac:dyDescent="0.35">
      <c r="A12" t="s">
        <v>62</v>
      </c>
      <c r="B12">
        <v>1905</v>
      </c>
      <c r="C12" s="32">
        <f>'Comparison Domestic Capital'!N12</f>
        <v>0.43036629440125052</v>
      </c>
      <c r="E12" s="33">
        <f>'Comparison Domestic Capital'!J12</f>
        <v>1.3416990988418296</v>
      </c>
      <c r="F12" s="21">
        <f t="shared" si="0"/>
        <v>3.117574764325993</v>
      </c>
    </row>
    <row r="13" spans="1:7" x14ac:dyDescent="0.35">
      <c r="A13" t="s">
        <v>62</v>
      </c>
      <c r="B13">
        <v>1906</v>
      </c>
      <c r="C13" s="32">
        <f>'Comparison Domestic Capital'!N13</f>
        <v>0.45478661269996118</v>
      </c>
      <c r="E13" s="33">
        <f>'Comparison Domestic Capital'!J13</f>
        <v>1.4057603515428194</v>
      </c>
      <c r="F13" s="21">
        <f t="shared" si="0"/>
        <v>3.0910328322928216</v>
      </c>
    </row>
    <row r="14" spans="1:7" x14ac:dyDescent="0.35">
      <c r="A14" t="s">
        <v>62</v>
      </c>
      <c r="B14">
        <v>1907</v>
      </c>
      <c r="C14" s="32">
        <f>'Comparison Domestic Capital'!N14</f>
        <v>0.47168012056413783</v>
      </c>
      <c r="E14" s="33">
        <f>'Comparison Domestic Capital'!J14</f>
        <v>1.4736177668538268</v>
      </c>
      <c r="F14" s="21">
        <f t="shared" si="0"/>
        <v>3.1241888360513346</v>
      </c>
    </row>
    <row r="15" spans="1:7" x14ac:dyDescent="0.35">
      <c r="A15" t="s">
        <v>62</v>
      </c>
      <c r="B15">
        <v>1908</v>
      </c>
      <c r="C15" s="32">
        <f>'Comparison Domestic Capital'!N15</f>
        <v>0.46733129675751806</v>
      </c>
      <c r="E15" s="33">
        <f>'Comparison Domestic Capital'!J15</f>
        <v>1.5202569312006844</v>
      </c>
      <c r="F15" s="21">
        <f t="shared" si="0"/>
        <v>3.2530603915224039</v>
      </c>
    </row>
    <row r="16" spans="1:7" x14ac:dyDescent="0.35">
      <c r="A16" t="s">
        <v>62</v>
      </c>
      <c r="B16">
        <v>1909</v>
      </c>
      <c r="C16" s="32">
        <f>'Comparison Domestic Capital'!N16</f>
        <v>0.51500109617623413</v>
      </c>
      <c r="E16" s="33">
        <f>'Comparison Domestic Capital'!J16</f>
        <v>1.7233921661437133</v>
      </c>
      <c r="F16" s="21">
        <f t="shared" si="0"/>
        <v>3.3463854328456923</v>
      </c>
    </row>
    <row r="17" spans="1:6" x14ac:dyDescent="0.35">
      <c r="A17" t="s">
        <v>62</v>
      </c>
      <c r="B17">
        <v>1910</v>
      </c>
      <c r="C17" s="32">
        <f>'Comparison Domestic Capital'!N17</f>
        <v>0.53256365385681381</v>
      </c>
      <c r="E17" s="33">
        <f>'Comparison Domestic Capital'!J17</f>
        <v>1.8243854616410971</v>
      </c>
      <c r="F17" s="21">
        <f t="shared" si="0"/>
        <v>3.4256664878065548</v>
      </c>
    </row>
    <row r="18" spans="1:6" x14ac:dyDescent="0.35">
      <c r="A18" t="s">
        <v>62</v>
      </c>
      <c r="B18">
        <v>1911</v>
      </c>
      <c r="C18" s="32">
        <f>'Comparison Domestic Capital'!N18</f>
        <v>0.54209761374055709</v>
      </c>
      <c r="E18" s="33">
        <f>'Comparison Domestic Capital'!J18</f>
        <v>1.8828981270845444</v>
      </c>
      <c r="F18" s="21">
        <f t="shared" si="0"/>
        <v>3.4733562357750611</v>
      </c>
    </row>
    <row r="19" spans="1:6" x14ac:dyDescent="0.35">
      <c r="A19" t="s">
        <v>62</v>
      </c>
      <c r="B19">
        <v>1912</v>
      </c>
      <c r="C19" s="32">
        <f>'Comparison Domestic Capital'!N19</f>
        <v>0.58592037671495567</v>
      </c>
      <c r="E19" s="33">
        <f>'Comparison Domestic Capital'!J19</f>
        <v>2.047980926827345</v>
      </c>
      <c r="F19" s="21">
        <f t="shared" si="0"/>
        <v>3.4953229281931373</v>
      </c>
    </row>
    <row r="20" spans="1:6" x14ac:dyDescent="0.35">
      <c r="A20" t="s">
        <v>62</v>
      </c>
      <c r="B20">
        <v>1913</v>
      </c>
      <c r="C20" s="32">
        <f>'Comparison Domestic Capital'!N20</f>
        <v>0.54711548736357973</v>
      </c>
      <c r="E20" s="33">
        <f>'Comparison Domestic Capital'!J20</f>
        <v>1.9808298388045917</v>
      </c>
      <c r="F20" s="21">
        <f t="shared" si="0"/>
        <v>3.6204967407333739</v>
      </c>
    </row>
    <row r="21" spans="1:6" x14ac:dyDescent="0.35">
      <c r="A21" t="s">
        <v>62</v>
      </c>
      <c r="B21">
        <v>1914</v>
      </c>
      <c r="C21" s="32">
        <f>'Comparison Domestic Capital'!N21</f>
        <v>0.55296967325710622</v>
      </c>
      <c r="E21" s="33">
        <f>'Comparison Domestic Capital'!J21</f>
        <v>2.1162360607418504</v>
      </c>
      <c r="F21" s="21">
        <f t="shared" si="0"/>
        <v>3.8270381959227175</v>
      </c>
    </row>
    <row r="22" spans="1:6" x14ac:dyDescent="0.35">
      <c r="A22" t="s">
        <v>62</v>
      </c>
      <c r="B22">
        <v>1915</v>
      </c>
      <c r="C22" s="32">
        <f>'Comparison Domestic Capital'!N22</f>
        <v>0.61134426973827072</v>
      </c>
      <c r="E22" s="33">
        <f>'Comparison Domestic Capital'!J22</f>
        <v>2.2029657101942908</v>
      </c>
      <c r="F22" s="21">
        <f t="shared" si="0"/>
        <v>3.6034781370199584</v>
      </c>
    </row>
    <row r="23" spans="1:6" x14ac:dyDescent="0.35">
      <c r="A23" t="s">
        <v>62</v>
      </c>
      <c r="B23">
        <v>1916</v>
      </c>
      <c r="C23" s="32">
        <f>'Comparison Domestic Capital'!N23</f>
        <v>0.81473541392479254</v>
      </c>
      <c r="E23" s="33">
        <f>'Comparison Domestic Capital'!J23</f>
        <v>2.7990837842457532</v>
      </c>
      <c r="F23" s="21">
        <f t="shared" si="0"/>
        <v>3.4355739745764065</v>
      </c>
    </row>
    <row r="24" spans="1:6" x14ac:dyDescent="0.35">
      <c r="A24" t="s">
        <v>62</v>
      </c>
      <c r="B24">
        <v>1917</v>
      </c>
      <c r="C24" s="32">
        <f>'Comparison Domestic Capital'!N24</f>
        <v>1.0781737791334864</v>
      </c>
      <c r="E24" s="33">
        <f>'Comparison Domestic Capital'!J24</f>
        <v>3.7427553026378324</v>
      </c>
      <c r="F24" s="21">
        <f t="shared" si="0"/>
        <v>3.4713840895350225</v>
      </c>
    </row>
    <row r="25" spans="1:6" x14ac:dyDescent="0.35">
      <c r="A25" t="s">
        <v>62</v>
      </c>
      <c r="B25">
        <v>1918</v>
      </c>
      <c r="C25" s="32">
        <f>'Comparison Domestic Capital'!N25</f>
        <v>1.3946343422921206</v>
      </c>
      <c r="E25" s="33">
        <f>'Comparison Domestic Capital'!J25</f>
        <v>4.9767238610101874</v>
      </c>
      <c r="F25" s="21">
        <f t="shared" si="0"/>
        <v>3.5684793569838544</v>
      </c>
    </row>
    <row r="26" spans="1:6" x14ac:dyDescent="0.35">
      <c r="A26" t="s">
        <v>62</v>
      </c>
      <c r="B26">
        <v>1919</v>
      </c>
      <c r="C26" s="32">
        <f>'Comparison Domestic Capital'!N26</f>
        <v>1.4498309521453707</v>
      </c>
      <c r="E26" s="33">
        <f>'Comparison Domestic Capital'!J26</f>
        <v>5.2534634151666086</v>
      </c>
      <c r="F26" s="21">
        <f t="shared" si="0"/>
        <v>3.6235006621929657</v>
      </c>
    </row>
    <row r="27" spans="1:6" x14ac:dyDescent="0.35">
      <c r="A27" t="s">
        <v>62</v>
      </c>
      <c r="B27">
        <v>1920</v>
      </c>
      <c r="C27" s="32">
        <f>'Comparison Domestic Capital'!N27</f>
        <v>1.6487060100711723</v>
      </c>
      <c r="E27" s="33">
        <f>'Comparison Domestic Capital'!J27</f>
        <v>6.1250146861782344</v>
      </c>
      <c r="F27" s="21">
        <f t="shared" si="0"/>
        <v>3.7150435849468555</v>
      </c>
    </row>
    <row r="28" spans="1:6" x14ac:dyDescent="0.35">
      <c r="A28" t="s">
        <v>62</v>
      </c>
      <c r="B28">
        <v>1921</v>
      </c>
      <c r="C28" s="32">
        <f>'Comparison Domestic Capital'!N28</f>
        <v>1.12969061499652</v>
      </c>
      <c r="E28" s="33">
        <f>'Comparison Domestic Capital'!J28</f>
        <v>4.2032326356097771</v>
      </c>
      <c r="F28" s="21">
        <f t="shared" si="0"/>
        <v>3.7206935950536555</v>
      </c>
    </row>
    <row r="29" spans="1:6" x14ac:dyDescent="0.35">
      <c r="A29" t="s">
        <v>62</v>
      </c>
      <c r="B29">
        <v>1922</v>
      </c>
      <c r="C29" s="32">
        <f>'Comparison Domestic Capital'!N29</f>
        <v>1.1930830851007073</v>
      </c>
      <c r="E29" s="33">
        <f>'Comparison Domestic Capital'!J29</f>
        <v>4.166058291677369</v>
      </c>
      <c r="F29" s="21">
        <f t="shared" si="0"/>
        <v>3.4918425579101351</v>
      </c>
    </row>
    <row r="30" spans="1:6" x14ac:dyDescent="0.35">
      <c r="A30" t="s">
        <v>62</v>
      </c>
      <c r="B30">
        <v>1923</v>
      </c>
      <c r="C30" s="32">
        <f>'Comparison Domestic Capital'!N30</f>
        <v>1.3109564699453469</v>
      </c>
      <c r="E30" s="33">
        <f>'Comparison Domestic Capital'!J30</f>
        <v>4.5050205650693949</v>
      </c>
      <c r="F30" s="21">
        <f t="shared" si="0"/>
        <v>3.4364379507255545</v>
      </c>
    </row>
    <row r="31" spans="1:6" x14ac:dyDescent="0.35">
      <c r="A31" t="s">
        <v>62</v>
      </c>
      <c r="B31">
        <v>1924</v>
      </c>
      <c r="C31" s="32">
        <f>'Comparison Domestic Capital'!N31</f>
        <v>1.475874877013845</v>
      </c>
      <c r="E31" s="33">
        <f>'Comparison Domestic Capital'!J31</f>
        <v>4.8335617008565306</v>
      </c>
      <c r="F31" s="21">
        <f t="shared" si="0"/>
        <v>3.2750484313658981</v>
      </c>
    </row>
    <row r="32" spans="1:6" x14ac:dyDescent="0.35">
      <c r="A32" t="s">
        <v>62</v>
      </c>
      <c r="B32">
        <v>1925</v>
      </c>
      <c r="C32" s="32">
        <f>'Comparison Domestic Capital'!N32</f>
        <v>1.6146008737627395</v>
      </c>
      <c r="E32" s="33">
        <f>'Comparison Domestic Capital'!J32</f>
        <v>5.335015129891346</v>
      </c>
      <c r="F32" s="21">
        <f t="shared" si="0"/>
        <v>3.3042315389427377</v>
      </c>
    </row>
    <row r="33" spans="1:6" x14ac:dyDescent="0.35">
      <c r="A33" t="s">
        <v>62</v>
      </c>
      <c r="B33">
        <v>1926</v>
      </c>
      <c r="C33" s="32">
        <f>'Comparison Domestic Capital'!N33</f>
        <v>1.6126753871491111</v>
      </c>
      <c r="E33" s="33">
        <f>'Comparison Domestic Capital'!J33</f>
        <v>5.0583363232664418</v>
      </c>
      <c r="F33" s="21">
        <f t="shared" si="0"/>
        <v>3.1366115980777587</v>
      </c>
    </row>
    <row r="34" spans="1:6" x14ac:dyDescent="0.35">
      <c r="A34" t="s">
        <v>62</v>
      </c>
      <c r="B34">
        <v>1927</v>
      </c>
      <c r="C34" s="32">
        <f>'Comparison Domestic Capital'!N34</f>
        <v>1.5377412901855918</v>
      </c>
      <c r="E34" s="33">
        <f>'Comparison Domestic Capital'!J34</f>
        <v>4.8837040751988852</v>
      </c>
      <c r="F34" s="21">
        <f t="shared" si="0"/>
        <v>3.1758944800197599</v>
      </c>
    </row>
    <row r="35" spans="1:6" x14ac:dyDescent="0.35">
      <c r="A35" t="s">
        <v>62</v>
      </c>
      <c r="B35">
        <v>1928</v>
      </c>
      <c r="C35" s="32">
        <f>'Comparison Domestic Capital'!N35</f>
        <v>1.6519566297862749</v>
      </c>
      <c r="E35" s="33">
        <f>'Comparison Domestic Capital'!J35</f>
        <v>5.2160540060932679</v>
      </c>
      <c r="F35" s="21">
        <f t="shared" si="0"/>
        <v>3.1575005735883668</v>
      </c>
    </row>
    <row r="36" spans="1:6" x14ac:dyDescent="0.35">
      <c r="A36" t="s">
        <v>62</v>
      </c>
      <c r="B36">
        <v>1929</v>
      </c>
      <c r="C36" s="32">
        <f>'Comparison Domestic Capital'!N36</f>
        <v>1.9071030476818545</v>
      </c>
      <c r="E36" s="33">
        <f>'Comparison Domestic Capital'!J36</f>
        <v>5.6909958250239274</v>
      </c>
      <c r="F36" s="21">
        <f t="shared" si="0"/>
        <v>2.9841050445289348</v>
      </c>
    </row>
    <row r="37" spans="1:6" x14ac:dyDescent="0.35">
      <c r="A37" t="s">
        <v>62</v>
      </c>
      <c r="B37">
        <v>1930</v>
      </c>
      <c r="C37" s="32">
        <f>'Comparison Domestic Capital'!N37</f>
        <v>1.4224923162883565</v>
      </c>
      <c r="E37" s="33">
        <f>'Comparison Domestic Capital'!J37</f>
        <v>4.8222050144007431</v>
      </c>
      <c r="F37" s="21">
        <f t="shared" si="0"/>
        <v>3.3899691120884925</v>
      </c>
    </row>
    <row r="38" spans="1:6" x14ac:dyDescent="0.35">
      <c r="A38" t="s">
        <v>62</v>
      </c>
      <c r="B38">
        <v>1931</v>
      </c>
      <c r="C38" s="32">
        <f>'Comparison Domestic Capital'!N38</f>
        <v>1.1236265858719405</v>
      </c>
      <c r="E38" s="33">
        <f>'Comparison Domestic Capital'!J38</f>
        <v>4.0824853337097773</v>
      </c>
      <c r="F38" s="21">
        <f t="shared" si="0"/>
        <v>3.6333114444259484</v>
      </c>
    </row>
    <row r="39" spans="1:6" x14ac:dyDescent="0.35">
      <c r="A39" t="s">
        <v>62</v>
      </c>
      <c r="B39">
        <v>1932</v>
      </c>
      <c r="C39" s="32">
        <f>'Comparison Domestic Capital'!N39</f>
        <v>1.013386788241845</v>
      </c>
      <c r="E39" s="33">
        <f>'Comparison Domestic Capital'!J39</f>
        <v>3.713607420192774</v>
      </c>
      <c r="F39" s="21">
        <f t="shared" si="0"/>
        <v>3.6645508539100082</v>
      </c>
    </row>
    <row r="40" spans="1:6" x14ac:dyDescent="0.35">
      <c r="A40" t="s">
        <v>62</v>
      </c>
      <c r="B40">
        <v>1933</v>
      </c>
      <c r="C40" s="32">
        <f>'Comparison Domestic Capital'!N40</f>
        <v>1.0935499691737685</v>
      </c>
      <c r="E40" s="33">
        <f>'Comparison Domestic Capital'!J40</f>
        <v>3.5954108478684796</v>
      </c>
      <c r="F40" s="21">
        <f t="shared" si="0"/>
        <v>3.2878340718028567</v>
      </c>
    </row>
    <row r="41" spans="1:6" x14ac:dyDescent="0.35">
      <c r="A41" t="s">
        <v>62</v>
      </c>
      <c r="B41">
        <v>1934</v>
      </c>
      <c r="C41" s="32">
        <f>'Comparison Domestic Capital'!N41</f>
        <v>1.2963705083798966</v>
      </c>
      <c r="E41" s="33">
        <f>'Comparison Domestic Capital'!J41</f>
        <v>3.9261720426766855</v>
      </c>
      <c r="F41" s="21">
        <f t="shared" si="0"/>
        <v>3.0285879054617735</v>
      </c>
    </row>
    <row r="42" spans="1:6" x14ac:dyDescent="0.35">
      <c r="A42" t="s">
        <v>62</v>
      </c>
      <c r="B42">
        <v>1935</v>
      </c>
      <c r="C42" s="32">
        <f>'Comparison Domestic Capital'!N42</f>
        <v>1.450327495471903</v>
      </c>
      <c r="E42" s="33">
        <f>'Comparison Domestic Capital'!J42</f>
        <v>4.1857101193463695</v>
      </c>
      <c r="F42" s="21">
        <f t="shared" si="0"/>
        <v>2.8860447949960681</v>
      </c>
    </row>
    <row r="43" spans="1:6" x14ac:dyDescent="0.35">
      <c r="A43" t="s">
        <v>62</v>
      </c>
      <c r="B43">
        <v>1936</v>
      </c>
      <c r="C43" s="32">
        <f>'Comparison Domestic Capital'!N43</f>
        <v>1.5988273813184497</v>
      </c>
      <c r="E43" s="33">
        <f>'Comparison Domestic Capital'!J43</f>
        <v>4.5661249277278912</v>
      </c>
      <c r="F43" s="21">
        <f t="shared" si="0"/>
        <v>2.8559211463857359</v>
      </c>
    </row>
    <row r="44" spans="1:6" x14ac:dyDescent="0.35">
      <c r="A44" t="s">
        <v>62</v>
      </c>
      <c r="B44">
        <v>1937</v>
      </c>
      <c r="C44" s="32">
        <f>'Comparison Domestic Capital'!N44</f>
        <v>1.8257196812129592</v>
      </c>
      <c r="E44" s="33">
        <f>'Comparison Domestic Capital'!J44</f>
        <v>5.3882827204859538</v>
      </c>
      <c r="F44" s="21">
        <f t="shared" si="0"/>
        <v>2.9513198416671078</v>
      </c>
    </row>
    <row r="45" spans="1:6" x14ac:dyDescent="0.35">
      <c r="A45" t="s">
        <v>62</v>
      </c>
      <c r="B45">
        <v>1938</v>
      </c>
      <c r="C45" s="32">
        <f>'Comparison Domestic Capital'!N45</f>
        <v>1.8202014534224764</v>
      </c>
      <c r="E45" s="33">
        <f>'Comparison Domestic Capital'!J45</f>
        <v>5.4807774355703369</v>
      </c>
      <c r="F45" s="21">
        <f t="shared" si="0"/>
        <v>3.0110828805597185</v>
      </c>
    </row>
    <row r="46" spans="1:6" x14ac:dyDescent="0.35">
      <c r="A46" t="s">
        <v>62</v>
      </c>
      <c r="B46">
        <v>1939</v>
      </c>
      <c r="C46" s="32">
        <f>'Comparison Domestic Capital'!N46</f>
        <v>1.8247410768640291</v>
      </c>
      <c r="E46" s="33">
        <f>'Comparison Domestic Capital'!J46</f>
        <v>5.6571368279314287</v>
      </c>
      <c r="F46" s="21">
        <f t="shared" si="0"/>
        <v>3.1002408504190049</v>
      </c>
    </row>
    <row r="47" spans="1:6" x14ac:dyDescent="0.35">
      <c r="A47" t="s">
        <v>62</v>
      </c>
      <c r="B47">
        <v>1940</v>
      </c>
      <c r="C47" s="32">
        <f>'Comparison Domestic Capital'!N47</f>
        <v>2.0377922971879188</v>
      </c>
      <c r="E47" s="33">
        <f>'Comparison Domestic Capital'!J47</f>
        <v>6.3113471496815823</v>
      </c>
      <c r="F47" s="21">
        <f t="shared" si="0"/>
        <v>3.0971493799397605</v>
      </c>
    </row>
    <row r="48" spans="1:6" x14ac:dyDescent="0.35">
      <c r="A48" t="s">
        <v>62</v>
      </c>
      <c r="B48">
        <v>1941</v>
      </c>
      <c r="C48" s="32">
        <f>'Comparison Domestic Capital'!N48</f>
        <v>2.1112063790855324</v>
      </c>
      <c r="E48" s="33">
        <f>'Comparison Domestic Capital'!J48</f>
        <v>6.7281684720007284</v>
      </c>
      <c r="F48" s="21">
        <f t="shared" si="0"/>
        <v>3.1868833566688206</v>
      </c>
    </row>
    <row r="49" spans="1:7" x14ac:dyDescent="0.35">
      <c r="A49" t="s">
        <v>62</v>
      </c>
      <c r="B49">
        <v>1942</v>
      </c>
      <c r="C49" s="32">
        <f>'Comparison Domestic Capital'!N49</f>
        <v>2.7156063251005884</v>
      </c>
      <c r="D49" s="31">
        <f>'GDP, CFC, NDP, NNI'!J49</f>
        <v>2.68</v>
      </c>
      <c r="E49" s="33">
        <f>'Comparison Domestic Capital'!J49</f>
        <v>8.9238221358805632</v>
      </c>
      <c r="F49" s="21">
        <f t="shared" si="0"/>
        <v>3.2861251107706186</v>
      </c>
      <c r="G49" s="30">
        <f>E49/D49</f>
        <v>3.3297843790599115</v>
      </c>
    </row>
    <row r="50" spans="1:7" x14ac:dyDescent="0.35">
      <c r="A50" t="s">
        <v>62</v>
      </c>
      <c r="B50">
        <v>1943</v>
      </c>
      <c r="C50" s="32">
        <f>'Comparison Domestic Capital'!N50</f>
        <v>2.9979079764728445</v>
      </c>
      <c r="D50" s="31">
        <f>'GDP, CFC, NDP, NNI'!J50</f>
        <v>3.01</v>
      </c>
      <c r="E50" s="33">
        <f>'Comparison Domestic Capital'!J50</f>
        <v>9.8290086673294645</v>
      </c>
      <c r="F50" s="21">
        <f t="shared" si="0"/>
        <v>3.2786225409405918</v>
      </c>
      <c r="G50" s="30">
        <f t="shared" ref="G50:G86" si="1">E50/D50</f>
        <v>3.2654513844948387</v>
      </c>
    </row>
    <row r="51" spans="1:7" x14ac:dyDescent="0.35">
      <c r="A51" t="s">
        <v>62</v>
      </c>
      <c r="B51">
        <v>1944</v>
      </c>
      <c r="C51" s="32">
        <f>'Comparison Domestic Capital'!N51</f>
        <v>3.5515712715377488</v>
      </c>
      <c r="D51" s="31">
        <f>'GDP, CFC, NDP, NNI'!J51</f>
        <v>3.64</v>
      </c>
      <c r="E51" s="33">
        <f>'Comparison Domestic Capital'!J51</f>
        <v>11.113861537466125</v>
      </c>
      <c r="F51" s="21">
        <f t="shared" si="0"/>
        <v>3.1292801658050573</v>
      </c>
      <c r="G51" s="30">
        <f t="shared" si="1"/>
        <v>3.0532586641390451</v>
      </c>
    </row>
    <row r="52" spans="1:7" x14ac:dyDescent="0.35">
      <c r="A52" t="s">
        <v>62</v>
      </c>
      <c r="B52">
        <v>1945</v>
      </c>
      <c r="C52" s="32">
        <f>'Comparison Domestic Capital'!N52</f>
        <v>4.1488460820369912</v>
      </c>
      <c r="D52" s="31">
        <f>'GDP, CFC, NDP, NNI'!J52</f>
        <v>4.26</v>
      </c>
      <c r="E52" s="33">
        <f>'Comparison Domestic Capital'!J52</f>
        <v>12.890909286206236</v>
      </c>
      <c r="F52" s="21">
        <f t="shared" si="0"/>
        <v>3.1071071404695463</v>
      </c>
      <c r="G52" s="30">
        <f t="shared" si="1"/>
        <v>3.0260350437103845</v>
      </c>
    </row>
    <row r="53" spans="1:7" x14ac:dyDescent="0.35">
      <c r="A53" t="s">
        <v>62</v>
      </c>
      <c r="B53">
        <v>1946</v>
      </c>
      <c r="C53" s="32">
        <f>'Comparison Domestic Capital'!N53</f>
        <v>4.975364617728891</v>
      </c>
      <c r="D53" s="31">
        <f>'GDP, CFC, NDP, NNI'!J53</f>
        <v>5.0999999999999996</v>
      </c>
      <c r="E53" s="33">
        <f>'Comparison Domestic Capital'!J53</f>
        <v>15.385605169420552</v>
      </c>
      <c r="F53" s="21">
        <f t="shared" si="0"/>
        <v>3.0923573147978916</v>
      </c>
      <c r="G53" s="30">
        <f t="shared" si="1"/>
        <v>3.0167853273373635</v>
      </c>
    </row>
    <row r="54" spans="1:7" x14ac:dyDescent="0.35">
      <c r="A54" t="s">
        <v>62</v>
      </c>
      <c r="B54">
        <v>1947</v>
      </c>
      <c r="C54" s="32">
        <f>'Comparison Domestic Capital'!N54</f>
        <v>6.4617853957694189</v>
      </c>
      <c r="D54" s="31">
        <f>'GDP, CFC, NDP, NNI'!J54</f>
        <v>6.78</v>
      </c>
      <c r="E54" s="33">
        <f>'Comparison Domestic Capital'!J54</f>
        <v>20.334285037106024</v>
      </c>
      <c r="F54" s="21">
        <f t="shared" si="0"/>
        <v>3.1468524241642317</v>
      </c>
      <c r="G54" s="30">
        <f t="shared" si="1"/>
        <v>2.9991570851188825</v>
      </c>
    </row>
    <row r="55" spans="1:7" x14ac:dyDescent="0.35">
      <c r="A55" t="s">
        <v>62</v>
      </c>
      <c r="B55">
        <v>1948</v>
      </c>
      <c r="C55" s="32">
        <f>'Comparison Domestic Capital'!N55</f>
        <v>8.2177496444644955</v>
      </c>
      <c r="D55" s="31">
        <f>'GDP, CFC, NDP, NNI'!J55</f>
        <v>8.39</v>
      </c>
      <c r="E55" s="33">
        <f>'Comparison Domestic Capital'!J55</f>
        <v>25.832235022617091</v>
      </c>
      <c r="F55" s="21">
        <f t="shared" si="0"/>
        <v>3.1434682413351172</v>
      </c>
      <c r="G55" s="30">
        <f t="shared" si="1"/>
        <v>3.0789314687267093</v>
      </c>
    </row>
    <row r="56" spans="1:7" x14ac:dyDescent="0.35">
      <c r="A56" t="s">
        <v>62</v>
      </c>
      <c r="B56">
        <v>1949</v>
      </c>
      <c r="C56" s="32">
        <f>'Comparison Domestic Capital'!N56</f>
        <v>11.642150436788466</v>
      </c>
      <c r="D56" s="31">
        <f>'GDP, CFC, NDP, NNI'!J56</f>
        <v>11.94</v>
      </c>
      <c r="E56" s="33">
        <f>'Comparison Domestic Capital'!J56</f>
        <v>35.164995300367664</v>
      </c>
      <c r="F56" s="21">
        <f t="shared" si="0"/>
        <v>3.0204896845559119</v>
      </c>
      <c r="G56" s="30">
        <f t="shared" si="1"/>
        <v>2.9451419849554159</v>
      </c>
    </row>
    <row r="57" spans="1:7" x14ac:dyDescent="0.35">
      <c r="A57" t="s">
        <v>62</v>
      </c>
      <c r="B57">
        <v>1950</v>
      </c>
      <c r="C57" s="32">
        <f>'Comparison Domestic Capital'!N57</f>
        <v>14.550512268951126</v>
      </c>
      <c r="D57" s="31">
        <f>'GDP, CFC, NDP, NNI'!J57</f>
        <v>14.89</v>
      </c>
      <c r="E57" s="33">
        <f>'Comparison Domestic Capital'!J57</f>
        <v>43.057158276639733</v>
      </c>
      <c r="F57" s="21">
        <f t="shared" si="0"/>
        <v>2.9591506801116569</v>
      </c>
      <c r="G57" s="30">
        <f t="shared" si="1"/>
        <v>2.891682892991251</v>
      </c>
    </row>
    <row r="58" spans="1:7" x14ac:dyDescent="0.35">
      <c r="A58" t="s">
        <v>62</v>
      </c>
      <c r="B58">
        <v>1951</v>
      </c>
      <c r="C58" s="32">
        <f>'Comparison Domestic Capital'!N58</f>
        <v>18.283553531395142</v>
      </c>
      <c r="D58" s="31">
        <f>'GDP, CFC, NDP, NNI'!J58</f>
        <v>18.88</v>
      </c>
      <c r="E58" s="33">
        <f>'Comparison Domestic Capital'!J58</f>
        <v>53.291948030558558</v>
      </c>
      <c r="F58" s="21">
        <f t="shared" si="0"/>
        <v>2.9147478327475911</v>
      </c>
      <c r="G58" s="30">
        <f t="shared" si="1"/>
        <v>2.8226667389067033</v>
      </c>
    </row>
    <row r="59" spans="1:7" x14ac:dyDescent="0.35">
      <c r="A59" t="s">
        <v>62</v>
      </c>
      <c r="B59">
        <v>1952</v>
      </c>
      <c r="C59" s="32">
        <f>'Comparison Domestic Capital'!N59</f>
        <v>19.414750355330625</v>
      </c>
      <c r="D59" s="31">
        <f>'GDP, CFC, NDP, NNI'!J59</f>
        <v>20.04</v>
      </c>
      <c r="E59" s="33">
        <f>'Comparison Domestic Capital'!J59</f>
        <v>57.543865038817636</v>
      </c>
      <c r="F59" s="21">
        <f t="shared" si="0"/>
        <v>2.9639250562404507</v>
      </c>
      <c r="G59" s="30">
        <f t="shared" si="1"/>
        <v>2.8714503512384053</v>
      </c>
    </row>
    <row r="60" spans="1:7" x14ac:dyDescent="0.35">
      <c r="A60" t="s">
        <v>62</v>
      </c>
      <c r="B60">
        <v>1953</v>
      </c>
      <c r="C60" s="32">
        <f>'Comparison Domestic Capital'!N60</f>
        <v>20.965214777431978</v>
      </c>
      <c r="D60" s="31">
        <f>'GDP, CFC, NDP, NNI'!J60</f>
        <v>21.65</v>
      </c>
      <c r="E60" s="33">
        <f>'Comparison Domestic Capital'!J60</f>
        <v>63.069983154430304</v>
      </c>
      <c r="F60" s="21">
        <f t="shared" si="0"/>
        <v>3.0083156229967192</v>
      </c>
      <c r="G60" s="30">
        <f t="shared" si="1"/>
        <v>2.9131631942000142</v>
      </c>
    </row>
    <row r="61" spans="1:7" x14ac:dyDescent="0.35">
      <c r="A61" t="s">
        <v>62</v>
      </c>
      <c r="B61">
        <v>1954</v>
      </c>
      <c r="C61" s="32">
        <f>'Comparison Domestic Capital'!N61</f>
        <v>24.521191168002886</v>
      </c>
      <c r="D61" s="31">
        <f>'GDP, CFC, NDP, NNI'!J61</f>
        <v>24.97</v>
      </c>
      <c r="E61" s="33">
        <f>'Comparison Domestic Capital'!J61</f>
        <v>73.976137544394149</v>
      </c>
      <c r="F61" s="21">
        <f t="shared" si="0"/>
        <v>3.0168247960532941</v>
      </c>
      <c r="G61" s="30">
        <f t="shared" si="1"/>
        <v>2.9626006225227934</v>
      </c>
    </row>
    <row r="62" spans="1:7" x14ac:dyDescent="0.35">
      <c r="A62" t="s">
        <v>62</v>
      </c>
      <c r="B62">
        <v>1955</v>
      </c>
      <c r="C62" s="32">
        <f>'Comparison Domestic Capital'!N62</f>
        <v>27.165237596698795</v>
      </c>
      <c r="D62" s="31">
        <f>'GDP, CFC, NDP, NNI'!J62</f>
        <v>27.45</v>
      </c>
      <c r="E62" s="33">
        <f>'Comparison Domestic Capital'!J62</f>
        <v>82.334456611617128</v>
      </c>
      <c r="F62" s="21">
        <f t="shared" si="0"/>
        <v>3.0308756298756863</v>
      </c>
      <c r="G62" s="30">
        <f t="shared" si="1"/>
        <v>2.9994337563430649</v>
      </c>
    </row>
    <row r="63" spans="1:7" x14ac:dyDescent="0.35">
      <c r="A63" t="s">
        <v>62</v>
      </c>
      <c r="B63">
        <v>1956</v>
      </c>
      <c r="C63" s="32">
        <f>'Comparison Domestic Capital'!N63</f>
        <v>30.281762828579435</v>
      </c>
      <c r="D63" s="31">
        <f>'GDP, CFC, NDP, NNI'!J63</f>
        <v>30.75</v>
      </c>
      <c r="E63" s="33">
        <f>'Comparison Domestic Capital'!J63</f>
        <v>94.630130291060311</v>
      </c>
      <c r="F63" s="21">
        <f t="shared" si="0"/>
        <v>3.1249874991342952</v>
      </c>
      <c r="G63" s="30">
        <f t="shared" si="1"/>
        <v>3.0774026110913923</v>
      </c>
    </row>
    <row r="64" spans="1:7" x14ac:dyDescent="0.35">
      <c r="A64" t="s">
        <v>62</v>
      </c>
      <c r="B64">
        <v>1957</v>
      </c>
      <c r="C64" s="32">
        <f>'Comparison Domestic Capital'!N64</f>
        <v>33.13223203536576</v>
      </c>
      <c r="D64" s="31">
        <f>'GDP, CFC, NDP, NNI'!J64</f>
        <v>33.700000000000003</v>
      </c>
      <c r="E64" s="33">
        <f>'Comparison Domestic Capital'!J64</f>
        <v>105.09615892399404</v>
      </c>
      <c r="F64" s="21">
        <f t="shared" si="0"/>
        <v>3.1720216981401399</v>
      </c>
      <c r="G64" s="30">
        <f t="shared" si="1"/>
        <v>3.1185803835013064</v>
      </c>
    </row>
    <row r="65" spans="1:7" x14ac:dyDescent="0.35">
      <c r="A65" t="s">
        <v>62</v>
      </c>
      <c r="B65">
        <v>1958</v>
      </c>
      <c r="C65" s="32">
        <f>'Comparison Domestic Capital'!N65</f>
        <v>36.974448011555374</v>
      </c>
      <c r="D65" s="31">
        <f>'GDP, CFC, NDP, NNI'!J65</f>
        <v>37.4</v>
      </c>
      <c r="E65" s="33">
        <f>'Comparison Domestic Capital'!J65</f>
        <v>126.55542908849962</v>
      </c>
      <c r="F65" s="21">
        <f t="shared" si="0"/>
        <v>3.4227807552109528</v>
      </c>
      <c r="G65" s="30">
        <f t="shared" si="1"/>
        <v>3.3838350023663</v>
      </c>
    </row>
    <row r="66" spans="1:7" x14ac:dyDescent="0.35">
      <c r="A66" t="s">
        <v>62</v>
      </c>
      <c r="B66">
        <v>1959</v>
      </c>
      <c r="C66" s="32">
        <f>'Comparison Domestic Capital'!N66</f>
        <v>43.443279159624382</v>
      </c>
      <c r="D66" s="31">
        <f>'GDP, CFC, NDP, NNI'!J66</f>
        <v>43.73</v>
      </c>
      <c r="E66" s="33">
        <f>'Comparison Domestic Capital'!J66</f>
        <v>151.01141032018955</v>
      </c>
      <c r="F66" s="21">
        <f t="shared" si="0"/>
        <v>3.4760592027440138</v>
      </c>
      <c r="G66" s="30">
        <f t="shared" si="1"/>
        <v>3.4532680155543005</v>
      </c>
    </row>
    <row r="67" spans="1:7" x14ac:dyDescent="0.35">
      <c r="A67" t="s">
        <v>62</v>
      </c>
      <c r="B67">
        <v>1960</v>
      </c>
      <c r="C67" s="32">
        <f>'Comparison Domestic Capital'!N67</f>
        <v>52.21028390376668</v>
      </c>
      <c r="D67" s="31">
        <f>'GDP, CFC, NDP, NNI'!J67</f>
        <v>52.04</v>
      </c>
      <c r="E67" s="33">
        <f>'Comparison Domestic Capital'!J67</f>
        <v>173.33245428024335</v>
      </c>
      <c r="F67" s="21">
        <f t="shared" si="0"/>
        <v>3.3198910505778421</v>
      </c>
      <c r="G67" s="30">
        <f t="shared" si="1"/>
        <v>3.3307543097663981</v>
      </c>
    </row>
    <row r="68" spans="1:7" x14ac:dyDescent="0.35">
      <c r="A68" t="s">
        <v>62</v>
      </c>
      <c r="B68">
        <v>1961</v>
      </c>
      <c r="C68" s="32">
        <f>'Comparison Domestic Capital'!N68</f>
        <v>58.610307459138873</v>
      </c>
      <c r="D68" s="31">
        <f>'GDP, CFC, NDP, NNI'!J68</f>
        <v>58.5</v>
      </c>
      <c r="E68" s="33">
        <f>'Comparison Domestic Capital'!J68</f>
        <v>193.41010835406848</v>
      </c>
      <c r="F68" s="21">
        <f t="shared" ref="F68:F86" si="2">E68/C68</f>
        <v>3.2999333519775078</v>
      </c>
      <c r="G68" s="30">
        <f t="shared" si="1"/>
        <v>3.3061556983601452</v>
      </c>
    </row>
    <row r="69" spans="1:7" x14ac:dyDescent="0.35">
      <c r="A69" t="s">
        <v>62</v>
      </c>
      <c r="B69">
        <v>1962</v>
      </c>
      <c r="C69" s="32">
        <f>'Comparison Domestic Capital'!N69</f>
        <v>67.317678956277291</v>
      </c>
      <c r="D69" s="31">
        <f>'GDP, CFC, NDP, NNI'!J69</f>
        <v>67.349999999999994</v>
      </c>
      <c r="E69" s="33">
        <f>'Comparison Domestic Capital'!J69</f>
        <v>216.45028095791653</v>
      </c>
      <c r="F69" s="21">
        <f t="shared" si="2"/>
        <v>3.215355673485127</v>
      </c>
      <c r="G69" s="30">
        <f t="shared" si="1"/>
        <v>3.2138126348614189</v>
      </c>
    </row>
    <row r="70" spans="1:7" x14ac:dyDescent="0.35">
      <c r="A70" t="s">
        <v>62</v>
      </c>
      <c r="B70">
        <v>1963</v>
      </c>
      <c r="C70" s="32">
        <f>'Comparison Domestic Capital'!N70</f>
        <v>73.870914084721036</v>
      </c>
      <c r="D70" s="31">
        <f>'GDP, CFC, NDP, NNI'!J70</f>
        <v>73.739999999999995</v>
      </c>
      <c r="E70" s="33">
        <f>'Comparison Domestic Capital'!J70</f>
        <v>242.02095557866764</v>
      </c>
      <c r="F70" s="21">
        <f t="shared" si="2"/>
        <v>3.2762685906539448</v>
      </c>
      <c r="G70" s="30">
        <f t="shared" si="1"/>
        <v>3.2820851041316472</v>
      </c>
    </row>
    <row r="71" spans="1:7" x14ac:dyDescent="0.35">
      <c r="A71" t="s">
        <v>62</v>
      </c>
      <c r="B71">
        <v>1964</v>
      </c>
      <c r="C71" s="32">
        <f>'Comparison Domestic Capital'!N71</f>
        <v>89.544896997365484</v>
      </c>
      <c r="D71" s="31">
        <f>'GDP, CFC, NDP, NNI'!J71</f>
        <v>90.36</v>
      </c>
      <c r="E71" s="33">
        <f>'Comparison Domestic Capital'!J71</f>
        <v>290.60597993271887</v>
      </c>
      <c r="F71" s="21">
        <f t="shared" si="2"/>
        <v>3.2453661758220442</v>
      </c>
      <c r="G71" s="30">
        <f t="shared" si="1"/>
        <v>3.2160909687109216</v>
      </c>
    </row>
    <row r="72" spans="1:7" x14ac:dyDescent="0.35">
      <c r="A72" t="s">
        <v>62</v>
      </c>
      <c r="B72">
        <v>1965</v>
      </c>
      <c r="C72" s="32">
        <f>'Comparison Domestic Capital'!N72</f>
        <v>107.30328691024548</v>
      </c>
      <c r="D72" s="31">
        <f>'GDP, CFC, NDP, NNI'!J72</f>
        <v>108.22</v>
      </c>
      <c r="E72" s="33">
        <f>'Comparison Domestic Capital'!J72</f>
        <v>348.80917786003795</v>
      </c>
      <c r="F72" s="21">
        <f t="shared" si="2"/>
        <v>3.2506849315044901</v>
      </c>
      <c r="G72" s="30">
        <f t="shared" si="1"/>
        <v>3.2231489360565324</v>
      </c>
    </row>
    <row r="73" spans="1:7" x14ac:dyDescent="0.35">
      <c r="A73" t="s">
        <v>62</v>
      </c>
      <c r="B73">
        <v>1966</v>
      </c>
      <c r="C73" s="32">
        <f>'Comparison Domestic Capital'!N73</f>
        <v>128.87620245714251</v>
      </c>
      <c r="D73" s="31">
        <f>'GDP, CFC, NDP, NNI'!J73</f>
        <v>129.09</v>
      </c>
      <c r="E73" s="33">
        <f>'Comparison Domestic Capital'!J73</f>
        <v>413.30655664964615</v>
      </c>
      <c r="F73" s="21">
        <f t="shared" si="2"/>
        <v>3.2070044645138447</v>
      </c>
      <c r="G73" s="30">
        <f t="shared" si="1"/>
        <v>3.2016930563920223</v>
      </c>
    </row>
    <row r="74" spans="1:7" x14ac:dyDescent="0.35">
      <c r="A74" t="s">
        <v>62</v>
      </c>
      <c r="B74">
        <v>1967</v>
      </c>
      <c r="C74" s="32">
        <f>'Comparison Domestic Capital'!N74</f>
        <v>149.11326881087231</v>
      </c>
      <c r="D74" s="31">
        <f>'GDP, CFC, NDP, NNI'!J74</f>
        <v>147.56</v>
      </c>
      <c r="E74" s="33">
        <f>'Comparison Domestic Capital'!J74</f>
        <v>487.75399424607997</v>
      </c>
      <c r="F74" s="21">
        <f t="shared" si="2"/>
        <v>3.2710301245204567</v>
      </c>
      <c r="G74" s="30">
        <f t="shared" si="1"/>
        <v>3.3054621458801843</v>
      </c>
    </row>
    <row r="75" spans="1:7" x14ac:dyDescent="0.35">
      <c r="A75" t="s">
        <v>62</v>
      </c>
      <c r="B75">
        <v>1968</v>
      </c>
      <c r="C75" s="32">
        <f>'Comparison Domestic Capital'!N75</f>
        <v>178.17820376279255</v>
      </c>
      <c r="D75" s="31">
        <f>'GDP, CFC, NDP, NNI'!J75</f>
        <v>174.87</v>
      </c>
      <c r="E75" s="33">
        <f>'Comparison Domestic Capital'!J75</f>
        <v>608.61096622755463</v>
      </c>
      <c r="F75" s="21">
        <f t="shared" si="2"/>
        <v>3.4157430784171243</v>
      </c>
      <c r="G75" s="30">
        <f t="shared" si="1"/>
        <v>3.4803623619120181</v>
      </c>
    </row>
    <row r="76" spans="1:7" x14ac:dyDescent="0.35">
      <c r="A76" t="s">
        <v>62</v>
      </c>
      <c r="B76">
        <v>1969</v>
      </c>
      <c r="C76" s="32">
        <f>'Comparison Domestic Capital'!N76</f>
        <v>202.23027068036754</v>
      </c>
      <c r="D76" s="31">
        <f>'GDP, CFC, NDP, NNI'!J76</f>
        <v>199.4</v>
      </c>
      <c r="E76" s="33">
        <f>'Comparison Domestic Capital'!J76</f>
        <v>696.16993631086302</v>
      </c>
      <c r="F76" s="21">
        <f t="shared" si="2"/>
        <v>3.4424615759486645</v>
      </c>
      <c r="G76" s="30">
        <f t="shared" si="1"/>
        <v>3.4913236525118507</v>
      </c>
    </row>
    <row r="77" spans="1:7" x14ac:dyDescent="0.35">
      <c r="A77" t="s">
        <v>62</v>
      </c>
      <c r="B77">
        <v>1970</v>
      </c>
      <c r="C77" s="32">
        <f>'Comparison Domestic Capital'!N77</f>
        <v>234.95030828450373</v>
      </c>
      <c r="D77" s="31">
        <f>'GDP, CFC, NDP, NNI'!J77</f>
        <v>235.23</v>
      </c>
      <c r="E77" s="33">
        <f>'Comparison Domestic Capital'!J77</f>
        <v>817.73283097973581</v>
      </c>
      <c r="F77" s="21">
        <f t="shared" si="2"/>
        <v>3.4804501298612247</v>
      </c>
      <c r="G77" s="30">
        <f t="shared" si="1"/>
        <v>3.476311826636636</v>
      </c>
    </row>
    <row r="78" spans="1:7" x14ac:dyDescent="0.35">
      <c r="A78" t="s">
        <v>62</v>
      </c>
      <c r="B78">
        <v>1971</v>
      </c>
      <c r="C78" s="32">
        <f>'Comparison Domestic Capital'!N78</f>
        <v>260.45858049531785</v>
      </c>
      <c r="D78" s="31">
        <f>'GDP, CFC, NDP, NNI'!J78</f>
        <v>260.12</v>
      </c>
      <c r="E78" s="33">
        <f>'Comparison Domestic Capital'!J78</f>
        <v>909.97540887074263</v>
      </c>
      <c r="F78" s="21">
        <f t="shared" si="2"/>
        <v>3.4937432552240333</v>
      </c>
      <c r="G78" s="30">
        <f t="shared" si="1"/>
        <v>3.498290822969178</v>
      </c>
    </row>
    <row r="79" spans="1:7" x14ac:dyDescent="0.35">
      <c r="A79" t="s">
        <v>62</v>
      </c>
      <c r="B79">
        <v>1972</v>
      </c>
      <c r="C79" s="32">
        <f>'Comparison Domestic Capital'!N79</f>
        <v>292.83750551252422</v>
      </c>
      <c r="D79" s="31">
        <f>'GDP, CFC, NDP, NNI'!J79</f>
        <v>293.92</v>
      </c>
      <c r="E79" s="33">
        <f>'Comparison Domestic Capital'!J79</f>
        <v>1036.4050975107448</v>
      </c>
      <c r="F79" s="21">
        <f t="shared" si="2"/>
        <v>3.5391815529121811</v>
      </c>
      <c r="G79" s="30">
        <f t="shared" si="1"/>
        <v>3.5261469022548475</v>
      </c>
    </row>
    <row r="80" spans="1:7" x14ac:dyDescent="0.35">
      <c r="A80" t="s">
        <v>62</v>
      </c>
      <c r="B80">
        <v>1973</v>
      </c>
      <c r="C80" s="32">
        <f>'Comparison Domestic Capital'!N80</f>
        <v>360.14719708620328</v>
      </c>
      <c r="D80" s="31">
        <f>'GDP, CFC, NDP, NNI'!J80</f>
        <v>366.76</v>
      </c>
      <c r="E80" s="33">
        <f>'Comparison Domestic Capital'!J80</f>
        <v>1286.5295323302855</v>
      </c>
      <c r="F80" s="21">
        <f t="shared" si="2"/>
        <v>3.5722325280858631</v>
      </c>
      <c r="G80" s="30">
        <f t="shared" si="1"/>
        <v>3.507824005699328</v>
      </c>
    </row>
    <row r="81" spans="1:7" x14ac:dyDescent="0.35">
      <c r="A81" t="s">
        <v>62</v>
      </c>
      <c r="B81">
        <v>1974</v>
      </c>
      <c r="C81" s="32">
        <f>'Comparison Domestic Capital'!N81</f>
        <v>492.04034307114779</v>
      </c>
      <c r="D81" s="31">
        <f>'GDP, CFC, NDP, NNI'!J81</f>
        <v>494.18</v>
      </c>
      <c r="E81" s="33">
        <f>'Comparison Domestic Capital'!J81</f>
        <v>1751.6990741516192</v>
      </c>
      <c r="F81" s="21">
        <f t="shared" si="2"/>
        <v>3.5600720526656651</v>
      </c>
      <c r="G81" s="30">
        <f t="shared" si="1"/>
        <v>3.544657967039579</v>
      </c>
    </row>
    <row r="82" spans="1:7" x14ac:dyDescent="0.35">
      <c r="A82" t="s">
        <v>62</v>
      </c>
      <c r="B82">
        <v>1975</v>
      </c>
      <c r="C82" s="32">
        <f>'Comparison Domestic Capital'!N82</f>
        <v>627.09001443519401</v>
      </c>
      <c r="D82" s="31">
        <f>'GDP, CFC, NDP, NNI'!J82</f>
        <v>625.19000000000005</v>
      </c>
      <c r="E82" s="33">
        <f>'Comparison Domestic Capital'!J82</f>
        <v>2313.7226132793589</v>
      </c>
      <c r="F82" s="21">
        <f t="shared" si="2"/>
        <v>3.6896180133936229</v>
      </c>
      <c r="G82" s="30">
        <f t="shared" si="1"/>
        <v>3.7008311285838844</v>
      </c>
    </row>
    <row r="83" spans="1:7" x14ac:dyDescent="0.35">
      <c r="A83" t="s">
        <v>62</v>
      </c>
      <c r="B83">
        <v>1976</v>
      </c>
      <c r="C83" s="32">
        <f>'Comparison Domestic Capital'!N83</f>
        <v>825.18771601349511</v>
      </c>
      <c r="D83" s="31">
        <f>'GDP, CFC, NDP, NNI'!J83</f>
        <v>812.24</v>
      </c>
      <c r="E83" s="33">
        <f>'Comparison Domestic Capital'!J83</f>
        <v>3176.29739396267</v>
      </c>
      <c r="F83" s="21">
        <f t="shared" si="2"/>
        <v>3.8491816253730136</v>
      </c>
      <c r="G83" s="30">
        <f t="shared" si="1"/>
        <v>3.9105404732131759</v>
      </c>
    </row>
    <row r="84" spans="1:7" x14ac:dyDescent="0.35">
      <c r="A84" t="s">
        <v>62</v>
      </c>
      <c r="B84">
        <v>1977</v>
      </c>
      <c r="C84" s="32">
        <f>'Comparison Domestic Capital'!N84</f>
        <v>1124.0307425147512</v>
      </c>
      <c r="D84" s="31">
        <f>'GDP, CFC, NDP, NNI'!J84</f>
        <v>1073.73</v>
      </c>
      <c r="E84" s="33">
        <f>'Comparison Domestic Capital'!J84</f>
        <v>4517.8556095131762</v>
      </c>
      <c r="F84" s="21">
        <f t="shared" si="2"/>
        <v>4.019334559662977</v>
      </c>
      <c r="G84" s="30">
        <f t="shared" si="1"/>
        <v>4.2076272522078888</v>
      </c>
    </row>
    <row r="85" spans="1:7" x14ac:dyDescent="0.35">
      <c r="A85" t="s">
        <v>62</v>
      </c>
      <c r="B85">
        <v>1978</v>
      </c>
      <c r="C85" s="32">
        <f>'Comparison Domestic Capital'!N85</f>
        <v>1791.8332003706184</v>
      </c>
      <c r="D85" s="31">
        <f>'GDP, CFC, NDP, NNI'!J85</f>
        <v>1671.16</v>
      </c>
      <c r="E85" s="33">
        <f>'Comparison Domestic Capital'!J85</f>
        <v>7683.7790608673695</v>
      </c>
      <c r="F85" s="21">
        <f t="shared" si="2"/>
        <v>4.2882222850196516</v>
      </c>
      <c r="G85" s="30">
        <f t="shared" si="1"/>
        <v>4.5978715747548824</v>
      </c>
    </row>
    <row r="86" spans="1:7" x14ac:dyDescent="0.35">
      <c r="A86" t="s">
        <v>62</v>
      </c>
      <c r="B86">
        <v>1979</v>
      </c>
      <c r="C86" s="32">
        <f>'Comparison Domestic Capital'!N86</f>
        <v>3289.1577938625951</v>
      </c>
      <c r="D86" s="31">
        <f>'GDP, CFC, NDP, NNI'!J86</f>
        <v>3071.48</v>
      </c>
      <c r="E86" s="33">
        <f>'Comparison Domestic Capital'!J86</f>
        <v>14087.723231686346</v>
      </c>
      <c r="F86" s="21">
        <f t="shared" si="2"/>
        <v>4.2830791693768351</v>
      </c>
      <c r="G86" s="30">
        <f t="shared" si="1"/>
        <v>4.5866237877786427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GDP, CFC, NDP, NNI</vt:lpstr>
      <vt:lpstr>Comparison Wage Share</vt:lpstr>
      <vt:lpstr>Comparison Mixed Income Share</vt:lpstr>
      <vt:lpstr>Comparison Domestic Capital</vt:lpstr>
      <vt:lpstr>nwnfa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Castillo-García</dc:creator>
  <cp:lastModifiedBy>Pierre Brassac</cp:lastModifiedBy>
  <dcterms:created xsi:type="dcterms:W3CDTF">2026-01-03T17:05:09Z</dcterms:created>
  <dcterms:modified xsi:type="dcterms:W3CDTF">2026-02-18T14:32:05Z</dcterms:modified>
</cp:coreProperties>
</file>