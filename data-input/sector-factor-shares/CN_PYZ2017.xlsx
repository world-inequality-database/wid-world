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Lenovo\Documents\GitHub\wid-world\country-fix\"/>
    </mc:Choice>
  </mc:AlternateContent>
  <xr:revisionPtr revIDLastSave="0" documentId="13_ncr:1_{C9F46A91-6A34-4323-BD4A-67F0E4CAFE94}" xr6:coauthVersionLast="47" xr6:coauthVersionMax="47" xr10:uidLastSave="{00000000-0000-0000-0000-000000000000}"/>
  <bookViews>
    <workbookView xWindow="-30" yWindow="-18120" windowWidth="29040" windowHeight="17520" xr2:uid="{3B226527-26D2-4C15-8401-B7F01827C4E2}"/>
  </bookViews>
  <sheets>
    <sheet name="CN" sheetId="3" r:id="rId1"/>
    <sheet name="AP2" sheetId="4" r:id="rId2"/>
    <sheet name="A30" sheetId="5" r:id="rId3"/>
    <sheet name="A32" sheetId="1" r:id="rId4"/>
    <sheet name="A36"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3" l="1"/>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9" i="3"/>
  <c r="R8" i="3"/>
  <c r="AB24" i="3" l="1"/>
  <c r="AB25" i="3"/>
  <c r="AB32" i="3"/>
  <c r="AB33" i="3"/>
  <c r="AB40" i="3"/>
  <c r="AB41" i="3"/>
  <c r="AC37" i="3"/>
  <c r="AC38" i="3"/>
  <c r="H22" i="3"/>
  <c r="H23" i="3"/>
  <c r="H24" i="3"/>
  <c r="H25" i="3"/>
  <c r="H26" i="3"/>
  <c r="H27" i="3"/>
  <c r="H28" i="3"/>
  <c r="H29" i="3"/>
  <c r="H30" i="3"/>
  <c r="H31" i="3"/>
  <c r="H32" i="3"/>
  <c r="H33" i="3"/>
  <c r="H34" i="3"/>
  <c r="H35" i="3"/>
  <c r="H36" i="3"/>
  <c r="H37" i="3"/>
  <c r="H38" i="3"/>
  <c r="H39" i="3"/>
  <c r="H40" i="3"/>
  <c r="H41" i="3"/>
  <c r="H42" i="3"/>
  <c r="H43" i="3"/>
  <c r="H21" i="3"/>
  <c r="C22" i="3"/>
  <c r="C23" i="3"/>
  <c r="C24" i="3"/>
  <c r="C25" i="3"/>
  <c r="C26" i="3"/>
  <c r="C27" i="3"/>
  <c r="C28" i="3"/>
  <c r="C29" i="3"/>
  <c r="C30" i="3"/>
  <c r="C31" i="3"/>
  <c r="C32" i="3"/>
  <c r="C33" i="3"/>
  <c r="C34" i="3"/>
  <c r="C35" i="3"/>
  <c r="C36" i="3"/>
  <c r="C37" i="3"/>
  <c r="C38" i="3"/>
  <c r="C39" i="3"/>
  <c r="C40" i="3"/>
  <c r="C41" i="3"/>
  <c r="C42" i="3"/>
  <c r="C43" i="3"/>
  <c r="C21" i="3"/>
  <c r="Z22" i="3"/>
  <c r="Z23" i="3"/>
  <c r="Z24" i="3"/>
  <c r="Z25" i="3"/>
  <c r="Z26" i="3"/>
  <c r="Z27" i="3"/>
  <c r="Z28" i="3"/>
  <c r="Z29" i="3"/>
  <c r="Z30" i="3"/>
  <c r="Z31" i="3"/>
  <c r="Z32" i="3"/>
  <c r="Z33" i="3"/>
  <c r="Z34" i="3"/>
  <c r="Z35" i="3"/>
  <c r="Z36" i="3"/>
  <c r="Z37" i="3"/>
  <c r="Z38" i="3"/>
  <c r="Z39" i="3"/>
  <c r="Z40" i="3"/>
  <c r="Z41" i="3"/>
  <c r="Z42" i="3"/>
  <c r="Z43" i="3"/>
  <c r="O9" i="3"/>
  <c r="O8" i="3"/>
  <c r="N8" i="3" s="1"/>
  <c r="O10" i="3"/>
  <c r="O11" i="3"/>
  <c r="O12" i="3"/>
  <c r="N12" i="3" s="1"/>
  <c r="M12" i="3" s="1"/>
  <c r="O13" i="3"/>
  <c r="O14" i="3"/>
  <c r="O15" i="3"/>
  <c r="O16" i="3"/>
  <c r="O17" i="3"/>
  <c r="N17" i="3" s="1"/>
  <c r="M17" i="3" s="1"/>
  <c r="O18" i="3"/>
  <c r="O19" i="3"/>
  <c r="O20" i="3"/>
  <c r="O21" i="3"/>
  <c r="O22" i="3"/>
  <c r="O23" i="3"/>
  <c r="O24" i="3"/>
  <c r="O25" i="3"/>
  <c r="N25" i="3" s="1"/>
  <c r="M25" i="3" s="1"/>
  <c r="AF25" i="3" s="1"/>
  <c r="O26" i="3"/>
  <c r="N26" i="3" s="1"/>
  <c r="M26" i="3" s="1"/>
  <c r="AF26" i="3" s="1"/>
  <c r="O27" i="3"/>
  <c r="O28" i="3"/>
  <c r="O29" i="3"/>
  <c r="O30" i="3"/>
  <c r="O31" i="3"/>
  <c r="O32" i="3"/>
  <c r="N32" i="3" s="1"/>
  <c r="M32" i="3" s="1"/>
  <c r="O33" i="3"/>
  <c r="N33" i="3" s="1"/>
  <c r="M33" i="3" s="1"/>
  <c r="AF33" i="3" s="1"/>
  <c r="O34" i="3"/>
  <c r="N34" i="3" s="1"/>
  <c r="M34" i="3" s="1"/>
  <c r="AF34" i="3" s="1"/>
  <c r="O35" i="3"/>
  <c r="O36" i="3"/>
  <c r="N36" i="3" s="1"/>
  <c r="M36" i="3" s="1"/>
  <c r="O37" i="3"/>
  <c r="O38" i="3"/>
  <c r="O39" i="3"/>
  <c r="O40" i="3"/>
  <c r="N40" i="3" s="1"/>
  <c r="M40" i="3" s="1"/>
  <c r="O41" i="3"/>
  <c r="N41" i="3" s="1"/>
  <c r="M41" i="3" s="1"/>
  <c r="AF41" i="3" s="1"/>
  <c r="O42" i="3"/>
  <c r="N42" i="3" s="1"/>
  <c r="M42" i="3" s="1"/>
  <c r="AF42" i="3" s="1"/>
  <c r="O43" i="3"/>
  <c r="N16" i="3"/>
  <c r="M16" i="3" s="1"/>
  <c r="N9" i="3"/>
  <c r="M9" i="3" s="1"/>
  <c r="N15" i="3"/>
  <c r="M15" i="3" s="1"/>
  <c r="N23" i="3"/>
  <c r="M23" i="3" s="1"/>
  <c r="AF23" i="3" s="1"/>
  <c r="N31" i="3"/>
  <c r="M31" i="3" s="1"/>
  <c r="AF31" i="3" s="1"/>
  <c r="AA22" i="3"/>
  <c r="AA23" i="3"/>
  <c r="AA24" i="3"/>
  <c r="AA25" i="3"/>
  <c r="AA26" i="3"/>
  <c r="AA27" i="3"/>
  <c r="AA28" i="3"/>
  <c r="AA29" i="3"/>
  <c r="AA30" i="3"/>
  <c r="AA31" i="3"/>
  <c r="AA32" i="3"/>
  <c r="AA33" i="3"/>
  <c r="AA34" i="3"/>
  <c r="AA35" i="3"/>
  <c r="AA36" i="3"/>
  <c r="AA37" i="3"/>
  <c r="AA38" i="3"/>
  <c r="AA39" i="3"/>
  <c r="AA40" i="3"/>
  <c r="AA41" i="3"/>
  <c r="AA42" i="3"/>
  <c r="AA43" i="3"/>
  <c r="U8" i="3"/>
  <c r="U43"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9" i="3"/>
  <c r="G8" i="3"/>
  <c r="G9" i="3"/>
  <c r="G10" i="3"/>
  <c r="G11" i="3"/>
  <c r="G12" i="3"/>
  <c r="G13" i="3"/>
  <c r="G14" i="3"/>
  <c r="G15" i="3"/>
  <c r="G16" i="3"/>
  <c r="G17" i="3"/>
  <c r="G18" i="3"/>
  <c r="G19" i="3"/>
  <c r="G20" i="3"/>
  <c r="E24" i="3"/>
  <c r="E29" i="3"/>
  <c r="E32" i="3"/>
  <c r="E37" i="3"/>
  <c r="E40" i="3"/>
  <c r="F22" i="3"/>
  <c r="E22" i="3" s="1"/>
  <c r="F23" i="3"/>
  <c r="E23" i="3" s="1"/>
  <c r="F24" i="3"/>
  <c r="F25" i="3"/>
  <c r="E25" i="3" s="1"/>
  <c r="F26" i="3"/>
  <c r="E26" i="3" s="1"/>
  <c r="F27" i="3"/>
  <c r="E27" i="3" s="1"/>
  <c r="F28" i="3"/>
  <c r="E28" i="3" s="1"/>
  <c r="F29" i="3"/>
  <c r="F30" i="3"/>
  <c r="E30" i="3" s="1"/>
  <c r="F31" i="3"/>
  <c r="E31" i="3" s="1"/>
  <c r="F32" i="3"/>
  <c r="F33" i="3"/>
  <c r="E33" i="3" s="1"/>
  <c r="F34" i="3"/>
  <c r="E34" i="3" s="1"/>
  <c r="F35" i="3"/>
  <c r="E35" i="3" s="1"/>
  <c r="F36" i="3"/>
  <c r="E36" i="3" s="1"/>
  <c r="F37" i="3"/>
  <c r="F38" i="3"/>
  <c r="E38" i="3" s="1"/>
  <c r="F39" i="3"/>
  <c r="E39" i="3" s="1"/>
  <c r="F40" i="3"/>
  <c r="F41" i="3"/>
  <c r="E41" i="3" s="1"/>
  <c r="F42" i="3"/>
  <c r="E42" i="3" s="1"/>
  <c r="F43" i="3"/>
  <c r="E43" i="3" s="1"/>
  <c r="F21" i="3"/>
  <c r="E21" i="3" s="1"/>
  <c r="D22" i="3"/>
  <c r="D23" i="3"/>
  <c r="D24" i="3"/>
  <c r="D25" i="3"/>
  <c r="D26" i="3"/>
  <c r="D27" i="3"/>
  <c r="D28" i="3"/>
  <c r="D29" i="3"/>
  <c r="D30" i="3"/>
  <c r="D31" i="3"/>
  <c r="D32" i="3"/>
  <c r="D33" i="3"/>
  <c r="D34" i="3"/>
  <c r="D35" i="3"/>
  <c r="D36" i="3"/>
  <c r="D37" i="3"/>
  <c r="D38" i="3"/>
  <c r="D39" i="3"/>
  <c r="D40" i="3"/>
  <c r="D41" i="3"/>
  <c r="D42" i="3"/>
  <c r="D43" i="3"/>
  <c r="D21" i="3"/>
  <c r="J25" i="3"/>
  <c r="J28" i="3"/>
  <c r="J33" i="3"/>
  <c r="J36" i="3"/>
  <c r="J41" i="3"/>
  <c r="J21" i="3"/>
  <c r="L22" i="3"/>
  <c r="L23" i="3"/>
  <c r="L24" i="3"/>
  <c r="L25" i="3"/>
  <c r="L26" i="3"/>
  <c r="L27" i="3"/>
  <c r="L28" i="3"/>
  <c r="L29" i="3"/>
  <c r="J29" i="3" s="1"/>
  <c r="L30" i="3"/>
  <c r="L31" i="3"/>
  <c r="L32" i="3"/>
  <c r="L33" i="3"/>
  <c r="L34" i="3"/>
  <c r="L35" i="3"/>
  <c r="L36" i="3"/>
  <c r="L37" i="3"/>
  <c r="J37" i="3" s="1"/>
  <c r="L38" i="3"/>
  <c r="L39" i="3"/>
  <c r="L40" i="3"/>
  <c r="L41" i="3"/>
  <c r="L42" i="3"/>
  <c r="L43" i="3"/>
  <c r="L21" i="3"/>
  <c r="K22" i="3"/>
  <c r="J22" i="3" s="1"/>
  <c r="K23" i="3"/>
  <c r="J23" i="3" s="1"/>
  <c r="K24" i="3"/>
  <c r="J24" i="3" s="1"/>
  <c r="K25" i="3"/>
  <c r="K26" i="3"/>
  <c r="J26" i="3" s="1"/>
  <c r="K27" i="3"/>
  <c r="J27" i="3" s="1"/>
  <c r="K28" i="3"/>
  <c r="K29" i="3"/>
  <c r="K30" i="3"/>
  <c r="J30" i="3" s="1"/>
  <c r="K31" i="3"/>
  <c r="J31" i="3" s="1"/>
  <c r="K32" i="3"/>
  <c r="J32" i="3" s="1"/>
  <c r="K33" i="3"/>
  <c r="K34" i="3"/>
  <c r="J34" i="3" s="1"/>
  <c r="K35" i="3"/>
  <c r="J35" i="3" s="1"/>
  <c r="K36" i="3"/>
  <c r="K37" i="3"/>
  <c r="K38" i="3"/>
  <c r="J38" i="3" s="1"/>
  <c r="K39" i="3"/>
  <c r="J39" i="3" s="1"/>
  <c r="K40" i="3"/>
  <c r="J40" i="3" s="1"/>
  <c r="K41" i="3"/>
  <c r="K42" i="3"/>
  <c r="J42" i="3" s="1"/>
  <c r="K43" i="3"/>
  <c r="J43" i="3" s="1"/>
  <c r="K21" i="3"/>
  <c r="I21" i="3"/>
  <c r="I22" i="3"/>
  <c r="I23" i="3"/>
  <c r="I24" i="3"/>
  <c r="I25" i="3"/>
  <c r="I26" i="3"/>
  <c r="I27" i="3"/>
  <c r="I28" i="3"/>
  <c r="I29" i="3"/>
  <c r="I30" i="3"/>
  <c r="I31" i="3"/>
  <c r="I32" i="3"/>
  <c r="I33" i="3"/>
  <c r="I34" i="3"/>
  <c r="I35" i="3"/>
  <c r="I36" i="3"/>
  <c r="I37" i="3"/>
  <c r="I38" i="3"/>
  <c r="I39" i="3"/>
  <c r="I40" i="3"/>
  <c r="I41" i="3"/>
  <c r="I42" i="3"/>
  <c r="I43" i="3"/>
  <c r="Q10" i="3"/>
  <c r="S10" i="3" s="1"/>
  <c r="T10" i="3" s="1"/>
  <c r="Q11" i="3"/>
  <c r="S11" i="3" s="1"/>
  <c r="T11" i="3" s="1"/>
  <c r="Q12" i="3"/>
  <c r="S12" i="3" s="1"/>
  <c r="T12" i="3" s="1"/>
  <c r="Q13" i="3"/>
  <c r="S13" i="3" s="1"/>
  <c r="T13" i="3" s="1"/>
  <c r="Q14" i="3"/>
  <c r="S14" i="3" s="1"/>
  <c r="T14" i="3" s="1"/>
  <c r="Q15" i="3"/>
  <c r="S15" i="3" s="1"/>
  <c r="T15" i="3" s="1"/>
  <c r="Q16" i="3"/>
  <c r="S16" i="3" s="1"/>
  <c r="T16" i="3" s="1"/>
  <c r="Q17" i="3"/>
  <c r="S17" i="3" s="1"/>
  <c r="T17" i="3" s="1"/>
  <c r="Q18" i="3"/>
  <c r="S18" i="3" s="1"/>
  <c r="T18" i="3" s="1"/>
  <c r="Q19" i="3"/>
  <c r="S19" i="3" s="1"/>
  <c r="T19" i="3" s="1"/>
  <c r="Q20" i="3"/>
  <c r="S20" i="3" s="1"/>
  <c r="T20" i="3" s="1"/>
  <c r="Q21" i="3"/>
  <c r="S21" i="3" s="1"/>
  <c r="T21" i="3" s="1"/>
  <c r="AC22" i="3" s="1"/>
  <c r="Q22" i="3"/>
  <c r="S22" i="3" s="1"/>
  <c r="T22" i="3" s="1"/>
  <c r="AC23" i="3" s="1"/>
  <c r="Q23" i="3"/>
  <c r="S23" i="3" s="1"/>
  <c r="T23" i="3" s="1"/>
  <c r="AC24" i="3" s="1"/>
  <c r="Q24" i="3"/>
  <c r="S24" i="3" s="1"/>
  <c r="T24" i="3" s="1"/>
  <c r="AC25" i="3" s="1"/>
  <c r="Q25" i="3"/>
  <c r="S25" i="3" s="1"/>
  <c r="T25" i="3" s="1"/>
  <c r="AC26" i="3" s="1"/>
  <c r="Q26" i="3"/>
  <c r="S26" i="3" s="1"/>
  <c r="T26" i="3" s="1"/>
  <c r="AC27" i="3" s="1"/>
  <c r="Q27" i="3"/>
  <c r="S27" i="3" s="1"/>
  <c r="T27" i="3" s="1"/>
  <c r="AC28" i="3" s="1"/>
  <c r="Q28" i="3"/>
  <c r="S28" i="3" s="1"/>
  <c r="T28" i="3" s="1"/>
  <c r="AB29" i="3" s="1"/>
  <c r="Q29" i="3"/>
  <c r="S29" i="3" s="1"/>
  <c r="T29" i="3" s="1"/>
  <c r="AC30" i="3" s="1"/>
  <c r="Q30" i="3"/>
  <c r="S30" i="3" s="1"/>
  <c r="T30" i="3" s="1"/>
  <c r="AB31" i="3" s="1"/>
  <c r="Q31" i="3"/>
  <c r="S31" i="3" s="1"/>
  <c r="T31" i="3" s="1"/>
  <c r="AC32" i="3" s="1"/>
  <c r="Q32" i="3"/>
  <c r="S32" i="3" s="1"/>
  <c r="T32" i="3" s="1"/>
  <c r="AC33" i="3" s="1"/>
  <c r="Q33" i="3"/>
  <c r="S33" i="3" s="1"/>
  <c r="T33" i="3" s="1"/>
  <c r="AC34" i="3" s="1"/>
  <c r="Q34" i="3"/>
  <c r="S34" i="3" s="1"/>
  <c r="T34" i="3" s="1"/>
  <c r="AC35" i="3" s="1"/>
  <c r="Q35" i="3"/>
  <c r="S35" i="3" s="1"/>
  <c r="T35" i="3" s="1"/>
  <c r="AC36" i="3" s="1"/>
  <c r="Q36" i="3"/>
  <c r="S36" i="3" s="1"/>
  <c r="T36" i="3" s="1"/>
  <c r="AB37" i="3" s="1"/>
  <c r="Q37" i="3"/>
  <c r="S37" i="3" s="1"/>
  <c r="T37" i="3" s="1"/>
  <c r="AB38" i="3" s="1"/>
  <c r="Q38" i="3"/>
  <c r="S38" i="3" s="1"/>
  <c r="T38" i="3" s="1"/>
  <c r="AB39" i="3" s="1"/>
  <c r="Q39" i="3"/>
  <c r="S39" i="3" s="1"/>
  <c r="T39" i="3" s="1"/>
  <c r="AC40" i="3" s="1"/>
  <c r="Q40" i="3"/>
  <c r="S40" i="3" s="1"/>
  <c r="T40" i="3" s="1"/>
  <c r="AC41" i="3" s="1"/>
  <c r="Q41" i="3"/>
  <c r="S41" i="3" s="1"/>
  <c r="T41" i="3" s="1"/>
  <c r="AC42" i="3" s="1"/>
  <c r="Q42" i="3"/>
  <c r="S42" i="3" s="1"/>
  <c r="T42" i="3" s="1"/>
  <c r="AC43" i="3" s="1"/>
  <c r="Q43" i="3"/>
  <c r="S43" i="3" s="1"/>
  <c r="T43" i="3" s="1"/>
  <c r="Q9" i="3"/>
  <c r="S9" i="3" s="1"/>
  <c r="T9" i="3" s="1"/>
  <c r="Q8" i="3"/>
  <c r="S8" i="3" s="1"/>
  <c r="T8" i="3" s="1"/>
  <c r="N20" i="3"/>
  <c r="M20" i="3" s="1"/>
  <c r="N24" i="3"/>
  <c r="M24" i="3" s="1"/>
  <c r="AF24" i="3" s="1"/>
  <c r="N28" i="3"/>
  <c r="M28" i="3" s="1"/>
  <c r="N39" i="3"/>
  <c r="M39" i="3" s="1"/>
  <c r="AF39" i="3" s="1"/>
  <c r="P10" i="3"/>
  <c r="P11" i="3"/>
  <c r="P12" i="3"/>
  <c r="P13" i="3"/>
  <c r="N13" i="3" s="1"/>
  <c r="M13" i="3" s="1"/>
  <c r="P14" i="3"/>
  <c r="P15" i="3"/>
  <c r="P16" i="3"/>
  <c r="P17" i="3"/>
  <c r="P18" i="3"/>
  <c r="P19" i="3"/>
  <c r="P20" i="3"/>
  <c r="P21" i="3"/>
  <c r="N21" i="3" s="1"/>
  <c r="M21" i="3" s="1"/>
  <c r="P22" i="3"/>
  <c r="P23" i="3"/>
  <c r="P24" i="3"/>
  <c r="P25" i="3"/>
  <c r="P26" i="3"/>
  <c r="P27" i="3"/>
  <c r="P28" i="3"/>
  <c r="P29" i="3"/>
  <c r="P30" i="3"/>
  <c r="P31" i="3"/>
  <c r="P32" i="3"/>
  <c r="P33" i="3"/>
  <c r="P34" i="3"/>
  <c r="P35" i="3"/>
  <c r="P36" i="3"/>
  <c r="P37" i="3"/>
  <c r="P38" i="3"/>
  <c r="P39" i="3"/>
  <c r="P40" i="3"/>
  <c r="P41" i="3"/>
  <c r="P42" i="3"/>
  <c r="P43" i="3"/>
  <c r="P9" i="3"/>
  <c r="P8" i="3"/>
  <c r="N10" i="3"/>
  <c r="M10" i="3" s="1"/>
  <c r="N11" i="3"/>
  <c r="M11" i="3" s="1"/>
  <c r="N14" i="3"/>
  <c r="M14" i="3" s="1"/>
  <c r="N18" i="3"/>
  <c r="M18" i="3" s="1"/>
  <c r="N19" i="3"/>
  <c r="M19" i="3" s="1"/>
  <c r="N22" i="3"/>
  <c r="M22" i="3" s="1"/>
  <c r="N27" i="3"/>
  <c r="M27" i="3" s="1"/>
  <c r="N29" i="3"/>
  <c r="M29" i="3" s="1"/>
  <c r="N30" i="3"/>
  <c r="M30" i="3" s="1"/>
  <c r="N35" i="3"/>
  <c r="M35" i="3" s="1"/>
  <c r="N37" i="3"/>
  <c r="M37" i="3" s="1"/>
  <c r="N38" i="3"/>
  <c r="M38" i="3" s="1"/>
  <c r="N43" i="3"/>
  <c r="M43" i="3" s="1"/>
  <c r="AF43" i="3" s="1"/>
  <c r="G22" i="3"/>
  <c r="G23" i="3"/>
  <c r="G24" i="3"/>
  <c r="G25" i="3"/>
  <c r="G26" i="3"/>
  <c r="G27" i="3"/>
  <c r="G28" i="3"/>
  <c r="G29" i="3"/>
  <c r="G30" i="3"/>
  <c r="G31" i="3"/>
  <c r="G32" i="3"/>
  <c r="G33" i="3"/>
  <c r="G34" i="3"/>
  <c r="G35" i="3"/>
  <c r="G36" i="3"/>
  <c r="G37" i="3"/>
  <c r="G38" i="3"/>
  <c r="G39" i="3"/>
  <c r="G40" i="3"/>
  <c r="G41" i="3"/>
  <c r="G42" i="3"/>
  <c r="G43" i="3"/>
  <c r="G21" i="3"/>
  <c r="DV53" i="4"/>
  <c r="DV54" i="4"/>
  <c r="DV55" i="4"/>
  <c r="DV56" i="4"/>
  <c r="DV57" i="4"/>
  <c r="DV58" i="4"/>
  <c r="DV59" i="4"/>
  <c r="DV60" i="4"/>
  <c r="DV61" i="4"/>
  <c r="DV62" i="4"/>
  <c r="DV63" i="4"/>
  <c r="DV64" i="4"/>
  <c r="DV65" i="4"/>
  <c r="DV66" i="4"/>
  <c r="DV67" i="4"/>
  <c r="DV68" i="4"/>
  <c r="DV69" i="4"/>
  <c r="DV70" i="4"/>
  <c r="DV71" i="4"/>
  <c r="DV72" i="4"/>
  <c r="DV73" i="4"/>
  <c r="DV74" i="4"/>
  <c r="DV52" i="4"/>
  <c r="DU40" i="4"/>
  <c r="DU41" i="4"/>
  <c r="DU42" i="4"/>
  <c r="DU43" i="4"/>
  <c r="DU44" i="4"/>
  <c r="DU45" i="4"/>
  <c r="DU46" i="4"/>
  <c r="DU47" i="4"/>
  <c r="DU48" i="4"/>
  <c r="DU49" i="4"/>
  <c r="DU50" i="4"/>
  <c r="DU51" i="4"/>
  <c r="DU52" i="4"/>
  <c r="DU53" i="4"/>
  <c r="DU54" i="4"/>
  <c r="DU55" i="4"/>
  <c r="DU56" i="4"/>
  <c r="DU57" i="4"/>
  <c r="DU58" i="4"/>
  <c r="DU59" i="4"/>
  <c r="DU60" i="4"/>
  <c r="DU61" i="4"/>
  <c r="DU62" i="4"/>
  <c r="DU63" i="4"/>
  <c r="DU64" i="4"/>
  <c r="DU65" i="4"/>
  <c r="DU66" i="4"/>
  <c r="DU67" i="4"/>
  <c r="DU68" i="4"/>
  <c r="DU69" i="4"/>
  <c r="DU70" i="4"/>
  <c r="DU71" i="4"/>
  <c r="DU72" i="4"/>
  <c r="DU73" i="4"/>
  <c r="DU74" i="4"/>
  <c r="DU75" i="4"/>
  <c r="DU39" i="4"/>
  <c r="AC29" i="3" l="1"/>
  <c r="AB30" i="3"/>
  <c r="AB22" i="3"/>
  <c r="AB36" i="3"/>
  <c r="AB28" i="3"/>
  <c r="AB43" i="3"/>
  <c r="AB35" i="3"/>
  <c r="AB27" i="3"/>
  <c r="AC39" i="3"/>
  <c r="AB42" i="3"/>
  <c r="AB34" i="3"/>
  <c r="AB26" i="3"/>
  <c r="AC31" i="3"/>
  <c r="AB23" i="3"/>
  <c r="AF40" i="3"/>
  <c r="AF32" i="3"/>
  <c r="AF22" i="3"/>
  <c r="AF30" i="3"/>
  <c r="AF38" i="3"/>
  <c r="AF36" i="3"/>
  <c r="AF28" i="3"/>
  <c r="AF37" i="3"/>
  <c r="AF29" i="3"/>
  <c r="AF35" i="3"/>
  <c r="AF27" i="3"/>
</calcChain>
</file>

<file path=xl/sharedStrings.xml><?xml version="1.0" encoding="utf-8"?>
<sst xmlns="http://schemas.openxmlformats.org/spreadsheetml/2006/main" count="1426" uniqueCount="570">
  <si>
    <t>Back to index</t>
  </si>
  <si>
    <t>A32: Structure of national income in China, 1992-2014: decomposition by production sectors</t>
  </si>
  <si>
    <t>[1]</t>
  </si>
  <si>
    <t>[2]</t>
  </si>
  <si>
    <t>[3]</t>
  </si>
  <si>
    <t>[4]</t>
  </si>
  <si>
    <t>[5]</t>
  </si>
  <si>
    <t>[6]</t>
  </si>
  <si>
    <t>[7]</t>
  </si>
  <si>
    <t>[8]</t>
  </si>
  <si>
    <t>[9]</t>
  </si>
  <si>
    <t>[10]</t>
  </si>
  <si>
    <t>[11]</t>
  </si>
  <si>
    <t>[12]</t>
  </si>
  <si>
    <t>[13]</t>
  </si>
  <si>
    <t>% national income Yt</t>
  </si>
  <si>
    <r>
      <t>% factor-price national income Y</t>
    </r>
    <r>
      <rPr>
        <b/>
        <vertAlign val="subscript"/>
        <sz val="10"/>
        <rFont val="Arial"/>
        <family val="2"/>
      </rPr>
      <t xml:space="preserve">t </t>
    </r>
    <r>
      <rPr>
        <b/>
        <sz val="10"/>
        <rFont val="Arial"/>
        <family val="2"/>
      </rPr>
      <t>- T</t>
    </r>
    <r>
      <rPr>
        <b/>
        <vertAlign val="subscript"/>
        <sz val="10"/>
        <rFont val="Arial"/>
        <family val="2"/>
      </rPr>
      <t>pt</t>
    </r>
  </si>
  <si>
    <t xml:space="preserve">  Housholds</t>
  </si>
  <si>
    <t xml:space="preserve">Corporation </t>
  </si>
  <si>
    <t>Government</t>
  </si>
  <si>
    <t>Foreign sector</t>
  </si>
  <si>
    <t>Production taxes</t>
  </si>
  <si>
    <t>Household sector</t>
  </si>
  <si>
    <t>Non-financial corporate sector</t>
  </si>
  <si>
    <t>Govt sector</t>
  </si>
  <si>
    <t>Production tax rate</t>
  </si>
  <si>
    <t xml:space="preserve">incl: housing </t>
  </si>
  <si>
    <t>incl: individual business</t>
  </si>
  <si>
    <t>incl: agriculture</t>
  </si>
  <si>
    <r>
      <t>Y</t>
    </r>
    <r>
      <rPr>
        <vertAlign val="subscript"/>
        <sz val="10"/>
        <rFont val="Arial"/>
        <family val="2"/>
      </rPr>
      <t>hsdt</t>
    </r>
  </si>
  <si>
    <r>
      <t>Y</t>
    </r>
    <r>
      <rPr>
        <i/>
        <vertAlign val="subscript"/>
        <sz val="10"/>
        <rFont val="Arial"/>
        <family val="2"/>
      </rPr>
      <t>ht</t>
    </r>
  </si>
  <si>
    <r>
      <t>Y</t>
    </r>
    <r>
      <rPr>
        <i/>
        <vertAlign val="subscript"/>
        <sz val="10"/>
        <rFont val="Arial"/>
        <family val="2"/>
      </rPr>
      <t>set</t>
    </r>
  </si>
  <si>
    <r>
      <t>Y</t>
    </r>
    <r>
      <rPr>
        <vertAlign val="subscript"/>
        <sz val="10"/>
        <rFont val="Arial"/>
        <family val="2"/>
      </rPr>
      <t>ct</t>
    </r>
  </si>
  <si>
    <r>
      <t>Y</t>
    </r>
    <r>
      <rPr>
        <vertAlign val="subscript"/>
        <sz val="10"/>
        <rFont val="Arial"/>
        <family val="2"/>
      </rPr>
      <t>gt</t>
    </r>
  </si>
  <si>
    <r>
      <t>FY</t>
    </r>
    <r>
      <rPr>
        <vertAlign val="subscript"/>
        <sz val="10"/>
        <rFont val="Arial"/>
        <family val="2"/>
      </rPr>
      <t>t</t>
    </r>
  </si>
  <si>
    <r>
      <t>T</t>
    </r>
    <r>
      <rPr>
        <vertAlign val="subscript"/>
        <sz val="10"/>
        <rFont val="Arial"/>
        <family val="2"/>
      </rPr>
      <t>pt</t>
    </r>
  </si>
  <si>
    <r>
      <t>Y</t>
    </r>
    <r>
      <rPr>
        <vertAlign val="subscript"/>
        <sz val="10"/>
        <rFont val="Arial"/>
        <family val="2"/>
      </rPr>
      <t>ht</t>
    </r>
  </si>
  <si>
    <r>
      <t>Y</t>
    </r>
    <r>
      <rPr>
        <vertAlign val="subscript"/>
        <sz val="10"/>
        <rFont val="Arial"/>
        <family val="2"/>
      </rPr>
      <t>set</t>
    </r>
  </si>
  <si>
    <t>Notes</t>
  </si>
  <si>
    <t>Value added-production tax-depreciation</t>
  </si>
  <si>
    <t xml:space="preserve">Equal to maintance and manage fee, utilities </t>
  </si>
  <si>
    <t>Value added-production tax-depreciation (production tax=0)</t>
  </si>
  <si>
    <t>Notes: the housing sector is under estimated, since the value of the house is measured with the historical construction cost, some research shows that the true value should be higher than 10%.</t>
  </si>
  <si>
    <t>A36: Structure of national income in China, 1992-2014: decomposition of capital income</t>
  </si>
  <si>
    <r>
      <t>% national income Y</t>
    </r>
    <r>
      <rPr>
        <vertAlign val="subscript"/>
        <sz val="10"/>
        <rFont val="Arial"/>
        <family val="2"/>
      </rPr>
      <t>t</t>
    </r>
  </si>
  <si>
    <t xml:space="preserve">Total capital income </t>
  </si>
  <si>
    <t>Corporation capital income</t>
  </si>
  <si>
    <t>Household captial income</t>
  </si>
  <si>
    <t>Government capital income</t>
  </si>
  <si>
    <t>Foreign capital income</t>
  </si>
  <si>
    <t>Private capital income</t>
  </si>
  <si>
    <t>Public captial income</t>
  </si>
  <si>
    <t>Memo: Land Revenue</t>
  </si>
  <si>
    <t xml:space="preserve">Capital income  (net of CFC) </t>
  </si>
  <si>
    <t>Capital income (net of CFC)</t>
  </si>
  <si>
    <t xml:space="preserve">Operation Surplus+House Rent </t>
  </si>
  <si>
    <t>Net Income from Properties</t>
  </si>
  <si>
    <t>private share of capital income</t>
  </si>
  <si>
    <t>public share of capital income</t>
  </si>
  <si>
    <t>Foreign share of capital income</t>
  </si>
  <si>
    <t>Operation Surplus+House Rent</t>
  </si>
  <si>
    <t>Operation Surplus+ House Rent</t>
  </si>
  <si>
    <t>Corporation</t>
  </si>
  <si>
    <t>Household</t>
  </si>
  <si>
    <t>Govement</t>
  </si>
  <si>
    <t>housing</t>
  </si>
  <si>
    <t>other domestic capital</t>
  </si>
  <si>
    <t>interest of bonds, deposit&amp;loans</t>
  </si>
  <si>
    <t>dividen from listed company</t>
  </si>
  <si>
    <t>insurance</t>
  </si>
  <si>
    <t>individual business</t>
  </si>
  <si>
    <t>agriculture lands</t>
  </si>
  <si>
    <r>
      <t>Y</t>
    </r>
    <r>
      <rPr>
        <b/>
        <vertAlign val="subscript"/>
        <sz val="10"/>
        <rFont val="Arial"/>
        <family val="2"/>
      </rPr>
      <t>Kt</t>
    </r>
    <r>
      <rPr>
        <b/>
        <sz val="10"/>
        <rFont val="Arial"/>
        <family val="2"/>
      </rPr>
      <t>*</t>
    </r>
  </si>
  <si>
    <r>
      <t>Y</t>
    </r>
    <r>
      <rPr>
        <vertAlign val="subscript"/>
        <sz val="10"/>
        <rFont val="Arial"/>
        <family val="2"/>
      </rPr>
      <t>Kct</t>
    </r>
  </si>
  <si>
    <r>
      <t>Y</t>
    </r>
    <r>
      <rPr>
        <vertAlign val="subscript"/>
        <sz val="10"/>
        <rFont val="Arial"/>
        <family val="2"/>
      </rPr>
      <t>Kht</t>
    </r>
  </si>
  <si>
    <r>
      <t>Y</t>
    </r>
    <r>
      <rPr>
        <i/>
        <vertAlign val="subscript"/>
        <sz val="10"/>
        <rFont val="Arial"/>
        <family val="2"/>
      </rPr>
      <t>khs</t>
    </r>
  </si>
  <si>
    <r>
      <t>Y</t>
    </r>
    <r>
      <rPr>
        <i/>
        <vertAlign val="subscript"/>
        <sz val="10"/>
        <rFont val="Arial"/>
        <family val="2"/>
      </rPr>
      <t>Kset</t>
    </r>
  </si>
  <si>
    <r>
      <t>Y</t>
    </r>
    <r>
      <rPr>
        <vertAlign val="subscript"/>
        <sz val="10"/>
        <rFont val="Arial"/>
        <family val="2"/>
      </rPr>
      <t>Kgt</t>
    </r>
  </si>
  <si>
    <r>
      <t>FY</t>
    </r>
    <r>
      <rPr>
        <vertAlign val="subscript"/>
        <sz val="10"/>
        <rFont val="Arial"/>
        <family val="2"/>
      </rPr>
      <t>Kt</t>
    </r>
  </si>
  <si>
    <t>equal to Operateion surplus+rent of corp, household, and gov</t>
  </si>
  <si>
    <t>equal to vat-production tax--wage-depreciation (including corp housing rent)</t>
  </si>
  <si>
    <t>only included listed company</t>
  </si>
  <si>
    <t>Net housing value added=maintance and manage fee, utilities (cost approach)</t>
  </si>
  <si>
    <t xml:space="preserve">deviden from negotiable stock in A Stock market* personel share in negotiable stock in A Stock market </t>
  </si>
  <si>
    <t>value added-production tax (include pub. housing rent)</t>
  </si>
  <si>
    <t>public institution, and public enterprise institution</t>
  </si>
  <si>
    <t xml:space="preserve">deviden from nonnegotiable stock in A Stock market* gov share in nonnegotiable stock in A Stock market </t>
  </si>
  <si>
    <t>foreign income from properties</t>
  </si>
  <si>
    <t>includes land rental income (included in Income of Properties in FOF) and land selling revenue (included in Acquisitions Less Disposals of Other Non-financial Assets in FoF), started in 2000 in FoF</t>
  </si>
  <si>
    <t>Goverment Sector</t>
  </si>
  <si>
    <t>Components Goverment Sector</t>
  </si>
  <si>
    <t>Corporate Sector</t>
  </si>
  <si>
    <t>Components Corporate Sector</t>
  </si>
  <si>
    <t>Household Sector</t>
  </si>
  <si>
    <t>Components Household Sector</t>
  </si>
  <si>
    <t>Total Economy</t>
  </si>
  <si>
    <t>Capital Shares</t>
  </si>
  <si>
    <t>Housing</t>
  </si>
  <si>
    <t>Self-employment</t>
  </si>
  <si>
    <t>Compen-sation of employees</t>
  </si>
  <si>
    <t>Mixed-
income and OS</t>
  </si>
  <si>
    <t>Gross
Operating
Surplus</t>
  </si>
  <si>
    <t>Gross
Mixed Income</t>
  </si>
  <si>
    <t>CFC</t>
  </si>
  <si>
    <t>Production Taxes</t>
  </si>
  <si>
    <t>Checks</t>
  </si>
  <si>
    <t>iso</t>
  </si>
  <si>
    <t>year</t>
  </si>
  <si>
    <t>ceugo</t>
  </si>
  <si>
    <t>gsrgo</t>
  </si>
  <si>
    <t>nsrgo</t>
  </si>
  <si>
    <t>cfcgo</t>
  </si>
  <si>
    <t>ceuco</t>
  </si>
  <si>
    <t>gsrco</t>
  </si>
  <si>
    <t>nsrco</t>
  </si>
  <si>
    <t>cfcco</t>
  </si>
  <si>
    <t>gsrhn</t>
  </si>
  <si>
    <t>nsrhn</t>
  </si>
  <si>
    <t>ccshn</t>
  </si>
  <si>
    <t>gvmhn</t>
  </si>
  <si>
    <t>ceuhn</t>
  </si>
  <si>
    <t>gmxhn</t>
  </si>
  <si>
    <t>nmxhn</t>
  </si>
  <si>
    <t>ccmhn</t>
  </si>
  <si>
    <t>comhn</t>
  </si>
  <si>
    <t>confc</t>
  </si>
  <si>
    <t>ptxgo</t>
  </si>
  <si>
    <t>cshare</t>
  </si>
  <si>
    <t>cshare_gross</t>
  </si>
  <si>
    <t>cshare_corp</t>
  </si>
  <si>
    <t>chare_corp_gross</t>
  </si>
  <si>
    <t>check_sector</t>
  </si>
  <si>
    <t>check_total</t>
  </si>
  <si>
    <t>CN</t>
  </si>
  <si>
    <t>AP2: National accounts (flow) and other macro series</t>
  </si>
  <si>
    <r>
      <t xml:space="preserve">Notes: Numbers in </t>
    </r>
    <r>
      <rPr>
        <b/>
        <sz val="11"/>
        <color rgb="FF92D050"/>
        <rFont val="Arial"/>
        <family val="2"/>
      </rPr>
      <t>GREEN</t>
    </r>
    <r>
      <rPr>
        <b/>
        <sz val="11"/>
        <color theme="1"/>
        <rFont val="Arial"/>
        <family val="2"/>
      </rPr>
      <t xml:space="preserve"> color are estimations based on assumpitons</t>
    </r>
  </si>
  <si>
    <t>Title</t>
  </si>
  <si>
    <t>Population</t>
  </si>
  <si>
    <t>Price Index</t>
  </si>
  <si>
    <t>Exchange Rates</t>
  </si>
  <si>
    <t>Financial and Monentary Market</t>
  </si>
  <si>
    <t>Income</t>
  </si>
  <si>
    <t>Depreciation</t>
  </si>
  <si>
    <t>Capital share</t>
  </si>
  <si>
    <t>Saving</t>
  </si>
  <si>
    <t>Tax</t>
  </si>
  <si>
    <t>Gerenal Government</t>
  </si>
  <si>
    <t>Central Government</t>
  </si>
  <si>
    <t>Local Government</t>
  </si>
  <si>
    <t>Sub-title</t>
  </si>
  <si>
    <t>National Population Statistics</t>
  </si>
  <si>
    <t>Population by Provinces</t>
  </si>
  <si>
    <t>Stocks and Funds</t>
  </si>
  <si>
    <t>Bonds</t>
  </si>
  <si>
    <t>Currency</t>
  </si>
  <si>
    <t>National Income</t>
  </si>
  <si>
    <t>Producing Approach GDP</t>
  </si>
  <si>
    <t>Income Approach GDP</t>
  </si>
  <si>
    <t>Expenditure GDP</t>
  </si>
  <si>
    <t>Natioanal KDt</t>
  </si>
  <si>
    <t>Private</t>
  </si>
  <si>
    <t>Domestic</t>
  </si>
  <si>
    <t>Total Housing</t>
  </si>
  <si>
    <t>Household: Housing</t>
  </si>
  <si>
    <t>Household: Agriculture</t>
  </si>
  <si>
    <t>Household: Individual Business</t>
  </si>
  <si>
    <t>Household: Income of Property</t>
  </si>
  <si>
    <t>Memo</t>
  </si>
  <si>
    <t>Corporation: Operation Surplus+House Rent</t>
  </si>
  <si>
    <t>Corporation: Income of Property</t>
  </si>
  <si>
    <t>Government: Operation Surplus+House Rent</t>
  </si>
  <si>
    <t>Government: Income of Property</t>
  </si>
  <si>
    <t xml:space="preserve">Foreign Sector: Capital Income </t>
  </si>
  <si>
    <t>Foreign Sector: Income of Property</t>
  </si>
  <si>
    <t>Domestic Economy</t>
  </si>
  <si>
    <t>National Saving and Investment on Housing</t>
  </si>
  <si>
    <t>Domestic economy</t>
  </si>
  <si>
    <t>Household Saving</t>
  </si>
  <si>
    <t>Government Saving</t>
  </si>
  <si>
    <t>Corporation Saving</t>
  </si>
  <si>
    <t>Foreign Saving</t>
  </si>
  <si>
    <t>Central Government Tax</t>
  </si>
  <si>
    <t>General Government Tax</t>
  </si>
  <si>
    <t>Government Budget</t>
  </si>
  <si>
    <t>Revenue of Government Managed Fund</t>
  </si>
  <si>
    <t>State Owned Capital Management</t>
  </si>
  <si>
    <t>Social Secuity Funds</t>
  </si>
  <si>
    <t>Central Government Budget</t>
  </si>
  <si>
    <t>Revenue of Central Government Managed Fund</t>
  </si>
  <si>
    <t>Central Government State Owned Capital Management</t>
  </si>
  <si>
    <t>Data Source</t>
  </si>
  <si>
    <t>NBS</t>
  </si>
  <si>
    <t>Chinese Census and Population sampling survey</t>
  </si>
  <si>
    <t>China Population and Employment Statistics Yearbook</t>
  </si>
  <si>
    <t>NBS/CSY1997</t>
  </si>
  <si>
    <t>WB indicator</t>
  </si>
  <si>
    <t>Almanac of China's Finance and Banking 2015</t>
  </si>
  <si>
    <t>CYS2014/2016</t>
  </si>
  <si>
    <t>rent corr.</t>
  </si>
  <si>
    <t>NBS IO Table</t>
  </si>
  <si>
    <t>GDP of China 1952-2004 (NBS2004)</t>
  </si>
  <si>
    <t>NBS2004/CYS2014/CYS2016</t>
  </si>
  <si>
    <t>`</t>
  </si>
  <si>
    <t>NBS2004/CYS2006-2013</t>
  </si>
  <si>
    <t>CYS2014</t>
  </si>
  <si>
    <t>CSY1994</t>
  </si>
  <si>
    <t>WB WDI</t>
  </si>
  <si>
    <t>corr. rent</t>
  </si>
  <si>
    <t>CYS2008/2012</t>
  </si>
  <si>
    <t>corr. Rent</t>
  </si>
  <si>
    <t>FoF</t>
  </si>
  <si>
    <t>FoF (corr. Rent)</t>
  </si>
  <si>
    <t>FoF (corr. production tax1992-1999)</t>
  </si>
  <si>
    <t>FoF (corr. Rent and production tax1992-1999)</t>
  </si>
  <si>
    <t>FOF</t>
  </si>
  <si>
    <t>corr. Foreign share of corporate saving</t>
  </si>
  <si>
    <t>FOF (corr. Foreign share of corporate saving)</t>
  </si>
  <si>
    <t>FoF (corr. Production tax 1992-1999)</t>
  </si>
  <si>
    <t>corr. Production tax 1992-1999</t>
  </si>
  <si>
    <t>ICTDGRD June2016</t>
  </si>
  <si>
    <t>Financial Yearbook of China 2015</t>
  </si>
  <si>
    <t xml:space="preserve">Financial Yearbook and MOF </t>
  </si>
  <si>
    <t>Based on FoF</t>
  </si>
  <si>
    <t>Naughton 2017</t>
  </si>
  <si>
    <t>Series</t>
  </si>
  <si>
    <t>Total population</t>
  </si>
  <si>
    <t>Urban Population</t>
  </si>
  <si>
    <t>Rural Population</t>
  </si>
  <si>
    <t>Employed Population</t>
  </si>
  <si>
    <t>Persons per household in rural China</t>
  </si>
  <si>
    <t>% 0-19</t>
  </si>
  <si>
    <t>* 20+</t>
  </si>
  <si>
    <t>Population of adults</t>
  </si>
  <si>
    <t>Population in Guangdong</t>
  </si>
  <si>
    <t>Population in Beijing</t>
  </si>
  <si>
    <t>Population in Hubei</t>
  </si>
  <si>
    <t>Population in Zhejiang</t>
  </si>
  <si>
    <r>
      <t>Population in Shanxi(</t>
    </r>
    <r>
      <rPr>
        <sz val="11"/>
        <rFont val="宋体"/>
        <family val="3"/>
        <charset val="134"/>
      </rPr>
      <t>山西）</t>
    </r>
  </si>
  <si>
    <t>Population in Heilongjiang</t>
  </si>
  <si>
    <t>Young GDP deflator,
(2015=100%)</t>
  </si>
  <si>
    <t>NBS Exchange Rage,Period average</t>
  </si>
  <si>
    <t>PPP conversion factor, GDP (LCU per international $)PPP</t>
  </si>
  <si>
    <t>Total Market Capitalization</t>
  </si>
  <si>
    <t>Negotiable Market Capitalization</t>
  </si>
  <si>
    <t>Capital of Securities Investment Funds</t>
  </si>
  <si>
    <t>Raised Capital by New Issues</t>
  </si>
  <si>
    <t>New Issues</t>
  </si>
  <si>
    <t>Capital gain of total stock market</t>
  </si>
  <si>
    <t>Issued national bonds</t>
  </si>
  <si>
    <t>Payback national bonds</t>
  </si>
  <si>
    <t>Outstanding national bonds</t>
  </si>
  <si>
    <t>Issued financial bonds</t>
  </si>
  <si>
    <t>Payback financial bonds</t>
  </si>
  <si>
    <t>Outstanding financial bonds</t>
  </si>
  <si>
    <t>Issued corporate bonds</t>
  </si>
  <si>
    <t>Payback corporate bonds</t>
  </si>
  <si>
    <t>Outstanding corporatel bonds</t>
  </si>
  <si>
    <t>M0 Supply</t>
  </si>
  <si>
    <t>GNI</t>
  </si>
  <si>
    <t>GDP (Producing approach)</t>
  </si>
  <si>
    <t>GNI minus GDP</t>
  </si>
  <si>
    <t>Total Value Added</t>
  </si>
  <si>
    <t>GDP(Producing approach)</t>
  </si>
  <si>
    <t>NI</t>
  </si>
  <si>
    <t>NI / Adult</t>
  </si>
  <si>
    <t>Producing approach GDP</t>
  </si>
  <si>
    <t xml:space="preserve">Producing approach GDP </t>
  </si>
  <si>
    <t>PrimaryIndustry</t>
  </si>
  <si>
    <t>Secondary Industry</t>
  </si>
  <si>
    <t>Industry</t>
  </si>
  <si>
    <t>Construction</t>
  </si>
  <si>
    <t>Tertiary industry</t>
  </si>
  <si>
    <t xml:space="preserve">Tertiary industry </t>
  </si>
  <si>
    <t>Transport,storage, and post</t>
  </si>
  <si>
    <t>Wholesale and retail trade</t>
  </si>
  <si>
    <t>Hotels and catering service</t>
  </si>
  <si>
    <t>Financial Intermediation</t>
  </si>
  <si>
    <t>Real Estate</t>
  </si>
  <si>
    <t>Others</t>
  </si>
  <si>
    <t>Value-added</t>
  </si>
  <si>
    <t>Compensation of Employees</t>
  </si>
  <si>
    <t>Depreciation of Fixed Assets</t>
  </si>
  <si>
    <t>Net Taxes on Production</t>
  </si>
  <si>
    <t>Operating Surplus</t>
  </si>
  <si>
    <t xml:space="preserve">GDP </t>
  </si>
  <si>
    <t>Statistical discrepancy between GDI and GDP</t>
  </si>
  <si>
    <t>Household consumption</t>
  </si>
  <si>
    <t>Government consumption</t>
  </si>
  <si>
    <t>I (total capital formation)</t>
  </si>
  <si>
    <t>Total fixed capital formation</t>
  </si>
  <si>
    <t>Inventory</t>
  </si>
  <si>
    <t>Net export</t>
  </si>
  <si>
    <t>Capital depreciation of GDP</t>
  </si>
  <si>
    <t>Capital depreciation rate of GDP</t>
  </si>
  <si>
    <t>Implied capital depreciation rate of GDP</t>
  </si>
  <si>
    <t>Depreciation rate of fixed capital of SOE</t>
  </si>
  <si>
    <t>Estimated Depreciation (KDt)</t>
  </si>
  <si>
    <t>Total Estimated Depreciation KDt</t>
  </si>
  <si>
    <t>Depreciation (KDt)</t>
  </si>
  <si>
    <t>KDt on Housing</t>
  </si>
  <si>
    <t>KDt on private owned housing</t>
  </si>
  <si>
    <t>incl: rural housing</t>
  </si>
  <si>
    <t>incl: urban housing</t>
  </si>
  <si>
    <t>KDt on Household ownned domestic capital</t>
  </si>
  <si>
    <t>Incl: productive capital cfc in rural China</t>
  </si>
  <si>
    <t>incl: individual business capital cfc</t>
  </si>
  <si>
    <t>KDt on government non-corporation asset</t>
  </si>
  <si>
    <t>incl: gov owned housing</t>
  </si>
  <si>
    <t>incl: other domestic capital</t>
  </si>
  <si>
    <t>KDt of Corporations Sector</t>
  </si>
  <si>
    <t>incl: corp owned housing</t>
  </si>
  <si>
    <t>KDt</t>
  </si>
  <si>
    <t>Total Rent of Housing</t>
  </si>
  <si>
    <t>Housing output</t>
  </si>
  <si>
    <t>Value added on housing (cost approach=Consumption on housing)</t>
  </si>
  <si>
    <t>Intermediate goods and services consumed</t>
  </si>
  <si>
    <t>Tax on production</t>
  </si>
  <si>
    <t>Net profit</t>
  </si>
  <si>
    <t>Value added on agriculture</t>
  </si>
  <si>
    <t>KDt on productive capital in rural China</t>
  </si>
  <si>
    <t>corr. Compensation of employee</t>
  </si>
  <si>
    <t>corr. Net profit</t>
  </si>
  <si>
    <t>Value added of individual business</t>
  </si>
  <si>
    <t>KDt on individual business capital</t>
  </si>
  <si>
    <t>corr. Compensation of Compensation of Employees</t>
  </si>
  <si>
    <t>Total net income of property</t>
  </si>
  <si>
    <t>incl. net interest</t>
  </si>
  <si>
    <t>incl. net distributed Income of Corporations</t>
  </si>
  <si>
    <t>incl. net rent on Land</t>
  </si>
  <si>
    <t>incl. net other Income from Properties</t>
  </si>
  <si>
    <t>Land selling revenue</t>
  </si>
  <si>
    <t>Value added in corporation sector</t>
  </si>
  <si>
    <t>rent of corp housing</t>
  </si>
  <si>
    <t>KDt in corporation sector</t>
  </si>
  <si>
    <t>adjust for tax on production (diff between NBS and FoF)</t>
  </si>
  <si>
    <t>labor share (before correct tax on production)</t>
  </si>
  <si>
    <t>Net Profit</t>
  </si>
  <si>
    <t>incl. net income from property use</t>
  </si>
  <si>
    <t>incl. corp income tax use</t>
  </si>
  <si>
    <t xml:space="preserve">incl. net other transfer use </t>
  </si>
  <si>
    <t>incl. retainer earnings</t>
  </si>
  <si>
    <t>incl:Private capital gain share</t>
  </si>
  <si>
    <t>incl:Public capital gain share</t>
  </si>
  <si>
    <t>incl:Foreign capital gain share</t>
  </si>
  <si>
    <t>Value added in government secotr</t>
  </si>
  <si>
    <t>rent of pub housing</t>
  </si>
  <si>
    <t>Other net property income</t>
  </si>
  <si>
    <t>incl: net interest</t>
  </si>
  <si>
    <t>incl: rent on land</t>
  </si>
  <si>
    <t>incl: others</t>
  </si>
  <si>
    <t>incl: profit from government owned corporation</t>
  </si>
  <si>
    <t>Net income from properties</t>
  </si>
  <si>
    <t xml:space="preserve"> Net Compensation of Employees</t>
  </si>
  <si>
    <t>Savings Deposit of Urban and Rural Households</t>
  </si>
  <si>
    <t>Total investment on residential housing</t>
  </si>
  <si>
    <t>Net investment on residential housing</t>
  </si>
  <si>
    <t>Gross savings of total economy</t>
  </si>
  <si>
    <t>Gross domestic savings (after net capital transfers paid)</t>
  </si>
  <si>
    <t>Net domestic savings (after net capital transfers paid)</t>
  </si>
  <si>
    <t>incl:net Non-financial assets saving</t>
  </si>
  <si>
    <t>incl:net financial assets saving</t>
  </si>
  <si>
    <t>incl:net capital transfer</t>
  </si>
  <si>
    <t>Gross Personel Savings</t>
  </si>
  <si>
    <t>Net Personel Saving</t>
  </si>
  <si>
    <t>Gross Government Savings</t>
  </si>
  <si>
    <t>Net Government Savings</t>
  </si>
  <si>
    <t>Non-financial corporate Savings</t>
  </si>
  <si>
    <t>Financial corporate Savings</t>
  </si>
  <si>
    <t>Corporate retained earnings</t>
  </si>
  <si>
    <t>Net corporate retained earnings</t>
  </si>
  <si>
    <t>incl:Private saving share</t>
  </si>
  <si>
    <t>incl:Public saving share</t>
  </si>
  <si>
    <t>incl:foreign saving share</t>
  </si>
  <si>
    <t>Total Saving Rest of the World</t>
  </si>
  <si>
    <t>Foreign share of  corporate retain earnings</t>
  </si>
  <si>
    <t>Saving Rest of the World (1+2+3+4)=-(5+6)</t>
  </si>
  <si>
    <t>incl:  Net Export</t>
  </si>
  <si>
    <t>incl: Compensation of Employees</t>
  </si>
  <si>
    <t>incl:  Income from Properties</t>
  </si>
  <si>
    <t>incl:  Current Transfer</t>
  </si>
  <si>
    <t>incl: Capital Transfer</t>
  </si>
  <si>
    <t>incl:  Net Financial Investment</t>
  </si>
  <si>
    <t>Total Revenue_GG (excluding grants and social contribution)</t>
  </si>
  <si>
    <t>1. Non-tax Revenue_GG</t>
  </si>
  <si>
    <t>2. Total Tax_GG</t>
  </si>
  <si>
    <t>2.1 Direct Tax_GG</t>
  </si>
  <si>
    <t>2.1.1 Income Tax_GG</t>
  </si>
  <si>
    <t>2.1.1.1 Individual Income Tax_GG</t>
  </si>
  <si>
    <t>2.1.1.2 Corporate Income Tax_GG</t>
  </si>
  <si>
    <t>2.2 Indirect Tax_GG</t>
  </si>
  <si>
    <t>2.2.1 Tax on Good and Servance_GG</t>
  </si>
  <si>
    <t>2.2.2 Other Tax_GG</t>
  </si>
  <si>
    <t>Income Tax_GG</t>
  </si>
  <si>
    <t>Individual Income Tax_GG</t>
  </si>
  <si>
    <t>Corporate Income Tax_GG</t>
  </si>
  <si>
    <t>Indirect Tax_GG</t>
  </si>
  <si>
    <t>Total tax_GG</t>
  </si>
  <si>
    <t>Total Budget Revenue</t>
  </si>
  <si>
    <t>Non-Tax Revenue</t>
  </si>
  <si>
    <t>Tax Revenue</t>
  </si>
  <si>
    <t>Indirect Tax</t>
  </si>
  <si>
    <t>Value Added Tax</t>
  </si>
  <si>
    <t>Business Tax</t>
  </si>
  <si>
    <t>Excises/Consumer Tax</t>
  </si>
  <si>
    <t>Trade Tax</t>
  </si>
  <si>
    <t>Direct Tax</t>
  </si>
  <si>
    <t>Individual Income Tax</t>
  </si>
  <si>
    <t>Corporate Income Tax</t>
  </si>
  <si>
    <t>Total Tax Revenue</t>
  </si>
  <si>
    <t>Total</t>
  </si>
  <si>
    <t>Tax revenue</t>
  </si>
  <si>
    <t>Non-tax revenue</t>
  </si>
  <si>
    <t>Special Revenue</t>
  </si>
  <si>
    <t>Administrative and Institutional Charges</t>
  </si>
  <si>
    <t>Fines and Penalties</t>
  </si>
  <si>
    <t>Profits of State-owned Enterprises</t>
  </si>
  <si>
    <t>Revenues from the compensated use of state-owned resources (or assets）</t>
  </si>
  <si>
    <t>Other non-tax revenue</t>
  </si>
  <si>
    <t>Railway Construction Fund</t>
  </si>
  <si>
    <t>Local education Surcharges</t>
  </si>
  <si>
    <t>Compensable Payment for Newly Used Land</t>
  </si>
  <si>
    <t>Sale Receipt of State-owned Land-use Rights</t>
  </si>
  <si>
    <t>State-owned Land Return Fund</t>
  </si>
  <si>
    <t>Financial Revenue From Central Special Debt Management</t>
  </si>
  <si>
    <t>Lottery Proceeds</t>
  </si>
  <si>
    <t>Urban Infrastructure Supporting Fees</t>
  </si>
  <si>
    <t>Tolls</t>
  </si>
  <si>
    <t>Other Revenue</t>
  </si>
  <si>
    <t>Profit Revenue</t>
  </si>
  <si>
    <t>Tabacco</t>
  </si>
  <si>
    <t>Petroleum and Petrochemical</t>
  </si>
  <si>
    <t>Telecommunication</t>
  </si>
  <si>
    <t>Eclectricity Power</t>
  </si>
  <si>
    <t>Coal</t>
  </si>
  <si>
    <t>other</t>
  </si>
  <si>
    <t>Interest and Dividend</t>
  </si>
  <si>
    <t>Property Right Transfer (less holding of state-owned stocks)</t>
  </si>
  <si>
    <t>Other</t>
  </si>
  <si>
    <t>Revenue of Social Secuity Funds</t>
  </si>
  <si>
    <t>Off-budget revenue</t>
  </si>
  <si>
    <t>Revenues from the compensated use of state-owned resources (or assets</t>
  </si>
  <si>
    <t>Government Budget (fiscal revenue. Adj. )</t>
  </si>
  <si>
    <t>Revenue of Social Insurance Funds</t>
  </si>
  <si>
    <t>Land Revenue</t>
  </si>
  <si>
    <t>SOE Profit</t>
  </si>
  <si>
    <t>Based on rural household survey. Assuming 2013 to 2015 data is 3.9 equal 2012</t>
  </si>
  <si>
    <t>For a few countries where the official exchange rate does not reflect the rate effectively applied to actual foreign exchange transactions, an alternative conversion factor is used. (WDI notes, online)</t>
  </si>
  <si>
    <t>including centrol gov bonds + local gov bonds</t>
  </si>
  <si>
    <t>For 2015, we use average growth rate in the last 5 years to estimate.</t>
  </si>
  <si>
    <t>Data is concistent with NBS FOF data. Data in 2013 and 2014 is from NBS FOF. Data in 2015 is from CYS2016</t>
  </si>
  <si>
    <t>Data is consistent with FOF. Data in 2013 and 2014 is from NBS FOF value added, which is equal to producing approach GDP. Data in 2013 and 2014 is from NBS FOF. Data in 2015 is from CYS2016.</t>
  </si>
  <si>
    <t xml:space="preserve">TVA is measured at factor cost prices. the summation of value added Input-Output Tables of China is slightly different from GDP, which mainly results from the factors such as different disposal methods on customs duty of import, allocation of insurance service, special treatment on sector of scraps and wases, and so on. </t>
  </si>
  <si>
    <t>Historical data was modified in 2004 by NBS.</t>
  </si>
  <si>
    <t>GNI-KD</t>
  </si>
  <si>
    <t>1952-2002 (NBS2004)
2003-2012 (CYS2014)
2013 is from CYS2015</t>
  </si>
  <si>
    <t>1952-2002 (NBS2004)
2003-2012 (CYS2014)
2013 is from CYS2018</t>
  </si>
  <si>
    <t>sum of the income approach provincial GDP</t>
  </si>
  <si>
    <t>Expenditure GDP-Producing approach GDP</t>
  </si>
  <si>
    <t>Data in 2013 is from FoF 2013, which is equal to FoF household consumption</t>
  </si>
  <si>
    <t>Data in 2013 is from FoF 2013, which is equal to FoF government consumption</t>
  </si>
  <si>
    <t>Data in 2013 is from cys 2015, which is equal to data in FoF 2013, which is equal to fof capital formation+ Acquisitions Less Disposals of Other Non-financial Assets</t>
  </si>
  <si>
    <t>Data in 2013 is from FoF 2013. In 1999, fof net export=2375.7, which is equal to FoF net export</t>
  </si>
  <si>
    <t>Data is measured at factor cost prices</t>
  </si>
  <si>
    <t>equal to capital depreciation/TVA</t>
  </si>
  <si>
    <t>assuming the percentage change linearly between the gap.before 1987, we asuming the depreciation is 11%</t>
  </si>
  <si>
    <t>kdt%*GDP</t>
  </si>
  <si>
    <t>From income approach of GDP by province</t>
  </si>
  <si>
    <t>compution of fixed capital</t>
  </si>
  <si>
    <t>wb appreciation is too samll</t>
  </si>
  <si>
    <t>Depreciation rate is 2% of house current value in urban China, 3% of house current value in rural China (equalt to CV+DC+DF)</t>
  </si>
  <si>
    <t>Assuming depreciation ratio is 5% of market value, before 1992 assuming the growth rate is 10% for domestice capital</t>
  </si>
  <si>
    <t>Including government institutions and administrations. In china these assets do not calculate cfc.</t>
  </si>
  <si>
    <t>Non FA depreciation+corporate owned housing depreciation</t>
  </si>
  <si>
    <t>based on NBS GDP guide book, houseing profit is equal to 0. here we make an adjustment net housing profit is equal to 0.02 housing stock</t>
  </si>
  <si>
    <t>Consumption on housing=Selfowned house depreciation (owner occupied, urban DR is 2%, rural DR is 3%,maintance and manage fee, utilities)</t>
  </si>
  <si>
    <t>maintance and manage fee, utilities, before 2004 assuming it is equal to 50% of CFC,after 2011 it is equal to 20% of CFC.</t>
  </si>
  <si>
    <t>value added on housing =housing output-intermediate goods and service cost</t>
  </si>
  <si>
    <t>2% in urban China, 3% in rural China</t>
  </si>
  <si>
    <t>Based on NBS GDP guide book</t>
  </si>
  <si>
    <t>assuming cfc/productive capital=0.05</t>
  </si>
  <si>
    <t>In NBS GDP guide book, net profit of household agriculture is 0</t>
  </si>
  <si>
    <t>30% of  vat-kd-tax</t>
  </si>
  <si>
    <t>in nbs gdp codebook, the wage and profit of individual business owners are included in the profit section.</t>
  </si>
  <si>
    <t>assuming net profit is equal to 5%(vat-kdt-tax)</t>
  </si>
  <si>
    <t>interest rate from deposit and bonds. (deposit interest-loan interest)</t>
  </si>
  <si>
    <t>dividens from listed companies only</t>
  </si>
  <si>
    <t>no info</t>
  </si>
  <si>
    <t>insurance income-insurance payment</t>
  </si>
  <si>
    <t>Before 1999 (incl 1999), we use data from NBS</t>
  </si>
  <si>
    <t>compensation/(compensation+net profit)</t>
  </si>
  <si>
    <t>split tax correction between compensation and net profit based on the before correction share</t>
  </si>
  <si>
    <t>kd in government sector is 0</t>
  </si>
  <si>
    <t xml:space="preserve">deviden of non-tradable share of the A stock market </t>
  </si>
  <si>
    <t>domestic economy value added</t>
  </si>
  <si>
    <t>tax on production in deomestic capital</t>
  </si>
  <si>
    <t>compensation in deomestic capital</t>
  </si>
  <si>
    <t xml:space="preserve">from 2011 to 2014, data is from "Credit balance table of financial institutions, source", before 2011, data is from "urban and rural household savings". For 2015,We use the average growth rate of last 5 years to estimate. </t>
  </si>
  <si>
    <t>gross capital transfers</t>
  </si>
  <si>
    <t>gross capital transfers (including foreign share of corporate saving)</t>
  </si>
  <si>
    <t>including Acquisitions Less Disposals of Other Non-financial Assets=0</t>
  </si>
  <si>
    <t>NFA saving-KDt of household, including Acquisitions Less Disposals of Other Non-financial Assets</t>
  </si>
  <si>
    <t>including Acquisitions Less Disposals of Other Non-financial Assets</t>
  </si>
  <si>
    <t>Non Financial+Financial</t>
  </si>
  <si>
    <t>CRE-KD of corporation sector</t>
  </si>
  <si>
    <t>Central + Local government</t>
  </si>
  <si>
    <t>very close to barry naughton's gov bud rev</t>
  </si>
  <si>
    <t>Including, Special Program Receipts, Charge of Administrative and Institutional Units, Penalty Receipts, and Other Non-tax Receipts</t>
  </si>
  <si>
    <t>Data is consistent with CompendiumOfStatistics 1949-2008 (table 0116). Data after 1997 is consistent with finance year book</t>
  </si>
  <si>
    <t>data before 1998, including 1998 is from Tax Yearbook of China</t>
  </si>
  <si>
    <t>data before 1997 is not consistent with NBS data</t>
  </si>
  <si>
    <t>consistent with NBS data</t>
  </si>
  <si>
    <t>inclued in other non-tax revenue before 2014</t>
  </si>
  <si>
    <t>in 1992, we exclude revenue from SOEs ect. After 1993, revenue from SOEs are excluded from off budget revenue.</t>
  </si>
  <si>
    <t>Unit</t>
  </si>
  <si>
    <t>10000 persons</t>
  </si>
  <si>
    <t>person</t>
  </si>
  <si>
    <t>%</t>
  </si>
  <si>
    <t>USD to Yuan</t>
  </si>
  <si>
    <t>International Dollar to Yuan</t>
  </si>
  <si>
    <t>100 million current yuan</t>
  </si>
  <si>
    <t>100 million yuan</t>
  </si>
  <si>
    <t>100 millions by current yuan</t>
  </si>
  <si>
    <t>100 million 2015 yuans</t>
  </si>
  <si>
    <t>2015 yuans</t>
  </si>
  <si>
    <t>100 millions current yuan</t>
  </si>
  <si>
    <t>100 millions current yuans</t>
  </si>
  <si>
    <t>% of TVA</t>
  </si>
  <si>
    <t>% of fixed capital in SOE</t>
  </si>
  <si>
    <t>100 millions 2015 yuan</t>
  </si>
  <si>
    <t>current  USD</t>
  </si>
  <si>
    <t>100 million current yuans</t>
  </si>
  <si>
    <t>% of GDP</t>
  </si>
  <si>
    <t>current 100 million yuan</t>
  </si>
  <si>
    <t>current billion yuan</t>
  </si>
  <si>
    <t/>
  </si>
  <si>
    <t xml:space="preserve">Notes:
1. Assuming housing return is 2%. We increase GDP by adding positive housing renturn to GDP. House rent is split into priv. house rent, pub. house rent, and corp. house rent.Corp. house rent gose to compensation (use), then goes to household consumption. Priv. house rent goes to household consumption. Pub. house rent goes to gov. consumption. Savings of household, gov. and corp. do not change. </t>
  </si>
  <si>
    <t>Flow of Funds (FoF). There are two revisions of Flow of Funds since 1992. 
1st revision is in 2006, NBS revised the physical part of FoF for the period of 1992-2004. The results are reported in Flow of Funds Historical Meterial (1992-2004). 
2nd revesion is in 2012, NBS revised the FoF only for the period of 2000-2009, NBS is still working on revising FoF for the period of 1992-1999.
This might explain the jump of the Total Tax of FoF after 1999. (tax on production in non financial corporate droped significantly from 1999 to 2000). Before 1999 (incl 1999) we use tax data from NBS.
We decreased corporate production tax, increased compensation and operation surplusin corporate sector. government tax decreased. domestic saving stay same.</t>
  </si>
  <si>
    <t>wages paid in selfelmployment</t>
  </si>
  <si>
    <t>A30: Structure of national income in China, 1978-2015: national income vs gross domestic product</t>
  </si>
  <si>
    <t>[20]</t>
  </si>
  <si>
    <t>[21]</t>
  </si>
  <si>
    <t>[22]</t>
  </si>
  <si>
    <t>[23]</t>
  </si>
  <si>
    <t>2015 billions yuan</t>
  </si>
  <si>
    <t xml:space="preserve"> National income</t>
  </si>
  <si>
    <t>Net domestic product</t>
  </si>
  <si>
    <t>Net foreign factor income</t>
  </si>
  <si>
    <r>
      <t>% FY</t>
    </r>
    <r>
      <rPr>
        <b/>
        <vertAlign val="subscript"/>
        <sz val="10"/>
        <rFont val="Arial"/>
        <family val="2"/>
      </rPr>
      <t>t</t>
    </r>
    <r>
      <rPr>
        <b/>
        <sz val="10"/>
        <rFont val="Arial"/>
        <family val="2"/>
      </rPr>
      <t>/Y</t>
    </r>
    <r>
      <rPr>
        <b/>
        <vertAlign val="subscript"/>
        <sz val="10"/>
        <rFont val="Arial"/>
        <family val="2"/>
      </rPr>
      <t>t</t>
    </r>
  </si>
  <si>
    <r>
      <t>Net foreign capital income FY</t>
    </r>
    <r>
      <rPr>
        <vertAlign val="subscript"/>
        <sz val="10"/>
        <rFont val="Arial"/>
        <family val="2"/>
      </rPr>
      <t>Kt</t>
    </r>
    <r>
      <rPr>
        <sz val="10"/>
        <rFont val="Arial"/>
        <family val="2"/>
      </rPr>
      <t xml:space="preserve">       (% Y</t>
    </r>
    <r>
      <rPr>
        <vertAlign val="subscript"/>
        <sz val="10"/>
        <rFont val="Arial"/>
        <family val="2"/>
      </rPr>
      <t>t</t>
    </r>
    <r>
      <rPr>
        <sz val="10"/>
        <rFont val="Arial"/>
        <family val="2"/>
      </rPr>
      <t>)</t>
    </r>
  </si>
  <si>
    <r>
      <t>incl: gross capital income inflow      (% Y</t>
    </r>
    <r>
      <rPr>
        <i/>
        <vertAlign val="subscript"/>
        <sz val="10"/>
        <rFont val="Arial"/>
        <family val="2"/>
      </rPr>
      <t>t</t>
    </r>
    <r>
      <rPr>
        <i/>
        <sz val="10"/>
        <rFont val="Arial"/>
        <family val="2"/>
      </rPr>
      <t>)</t>
    </r>
  </si>
  <si>
    <r>
      <t>incl: gross capital income outflow     (% Y</t>
    </r>
    <r>
      <rPr>
        <i/>
        <vertAlign val="subscript"/>
        <sz val="10"/>
        <rFont val="Arial"/>
        <family val="2"/>
      </rPr>
      <t>t</t>
    </r>
    <r>
      <rPr>
        <i/>
        <sz val="10"/>
        <rFont val="Arial"/>
        <family val="2"/>
      </rPr>
      <t>)</t>
    </r>
  </si>
  <si>
    <t>Net foreign labor income (% Yt)</t>
  </si>
  <si>
    <t>Net foreign taxes &amp; transfers (current transfer) (% Yt)</t>
  </si>
  <si>
    <t>Gross domestic product</t>
  </si>
  <si>
    <t>Capital depreciat. (CFC)</t>
  </si>
  <si>
    <r>
      <t>% KD</t>
    </r>
    <r>
      <rPr>
        <b/>
        <vertAlign val="subscript"/>
        <sz val="10"/>
        <rFont val="Arial"/>
        <family val="2"/>
      </rPr>
      <t>t</t>
    </r>
    <r>
      <rPr>
        <b/>
        <sz val="10"/>
        <rFont val="Arial"/>
        <family val="2"/>
      </rPr>
      <t>/GDP</t>
    </r>
    <r>
      <rPr>
        <b/>
        <vertAlign val="subscript"/>
        <sz val="10"/>
        <rFont val="Arial"/>
        <family val="2"/>
      </rPr>
      <t>t</t>
    </r>
  </si>
  <si>
    <r>
      <t>%    Y</t>
    </r>
    <r>
      <rPr>
        <b/>
        <vertAlign val="subscript"/>
        <sz val="10"/>
        <rFont val="Arial"/>
        <family val="2"/>
      </rPr>
      <t>t</t>
    </r>
    <r>
      <rPr>
        <b/>
        <sz val="10"/>
        <rFont val="Arial"/>
        <family val="2"/>
      </rPr>
      <t xml:space="preserve">/GDPt </t>
    </r>
  </si>
  <si>
    <t>GDP-NI</t>
  </si>
  <si>
    <t>BoP</t>
  </si>
  <si>
    <r>
      <t>Y</t>
    </r>
    <r>
      <rPr>
        <b/>
        <vertAlign val="subscript"/>
        <sz val="10"/>
        <rFont val="Arial"/>
        <family val="2"/>
      </rPr>
      <t>t</t>
    </r>
    <r>
      <rPr>
        <b/>
        <sz val="10"/>
        <rFont val="Arial"/>
        <family val="2"/>
      </rPr>
      <t xml:space="preserve">        </t>
    </r>
  </si>
  <si>
    <r>
      <t>Y</t>
    </r>
    <r>
      <rPr>
        <vertAlign val="subscript"/>
        <sz val="10"/>
        <rFont val="Arial"/>
        <family val="2"/>
      </rPr>
      <t>pt</t>
    </r>
    <r>
      <rPr>
        <sz val="10"/>
        <rFont val="Arial"/>
        <family val="2"/>
      </rPr>
      <t xml:space="preserve"> </t>
    </r>
  </si>
  <si>
    <r>
      <t>GDP</t>
    </r>
    <r>
      <rPr>
        <vertAlign val="subscript"/>
        <sz val="10"/>
        <rFont val="Arial"/>
        <family val="2"/>
      </rPr>
      <t>t</t>
    </r>
  </si>
  <si>
    <r>
      <t>KD</t>
    </r>
    <r>
      <rPr>
        <vertAlign val="subscript"/>
        <sz val="10"/>
        <rFont val="Arial"/>
        <family val="2"/>
      </rPr>
      <t>t</t>
    </r>
  </si>
  <si>
    <t>FYt</t>
  </si>
  <si>
    <t>Net income from Property</t>
  </si>
  <si>
    <t>Net compensation of employees</t>
  </si>
  <si>
    <t>assume 10 household value added are paid direclty as wages%</t>
  </si>
  <si>
    <t>gvago</t>
  </si>
  <si>
    <t>gvahn</t>
  </si>
  <si>
    <t>gvaco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</si>
</sst>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
    <numFmt numFmtId="166" formatCode="#,##0_ "/>
    <numFmt numFmtId="167" formatCode="0_ "/>
    <numFmt numFmtId="168" formatCode="0.000%"/>
    <numFmt numFmtId="169" formatCode="0.00_ "/>
    <numFmt numFmtId="170" formatCode="#,##0.0_ "/>
    <numFmt numFmtId="171" formatCode="&quot;[&quot;0&quot;]&quot;"/>
  </numFmts>
  <fonts count="63">
    <font>
      <sz val="11"/>
      <color theme="1"/>
      <name val="Aptos Narrow"/>
      <family val="2"/>
      <scheme val="minor"/>
    </font>
    <font>
      <sz val="11"/>
      <color theme="1"/>
      <name val="Aptos Narrow"/>
      <family val="2"/>
      <scheme val="minor"/>
    </font>
    <font>
      <sz val="11"/>
      <color theme="1"/>
      <name val="Aptos Narrow"/>
      <family val="2"/>
      <charset val="134"/>
      <scheme val="minor"/>
    </font>
    <font>
      <u/>
      <sz val="12"/>
      <color theme="10"/>
      <name val="Arial"/>
      <family val="2"/>
    </font>
    <font>
      <u/>
      <sz val="12"/>
      <color indexed="12"/>
      <name val="Calibri"/>
      <family val="2"/>
    </font>
    <font>
      <u/>
      <sz val="10"/>
      <color indexed="12"/>
      <name val="Arial"/>
      <family val="2"/>
    </font>
    <font>
      <sz val="10"/>
      <name val="Arial"/>
      <family val="2"/>
    </font>
    <font>
      <b/>
      <sz val="10"/>
      <color rgb="FFFF0000"/>
      <name val="Arial"/>
      <family val="2"/>
    </font>
    <font>
      <b/>
      <sz val="14"/>
      <name val="Arial"/>
      <family val="2"/>
    </font>
    <font>
      <sz val="8"/>
      <name val="Arial"/>
      <family val="2"/>
    </font>
    <font>
      <b/>
      <sz val="10"/>
      <name val="Arial"/>
      <family val="2"/>
    </font>
    <font>
      <b/>
      <vertAlign val="subscript"/>
      <sz val="10"/>
      <name val="Arial"/>
      <family val="2"/>
    </font>
    <font>
      <vertAlign val="subscript"/>
      <sz val="10"/>
      <name val="Arial"/>
      <family val="2"/>
    </font>
    <font>
      <sz val="12"/>
      <color theme="1"/>
      <name val="Arial"/>
      <family val="2"/>
    </font>
    <font>
      <sz val="11"/>
      <name val="Calibri"/>
      <family val="2"/>
    </font>
    <font>
      <i/>
      <sz val="10"/>
      <name val="Arial"/>
      <family val="2"/>
    </font>
    <font>
      <sz val="10"/>
      <color theme="1"/>
      <name val="Arial"/>
      <family val="2"/>
    </font>
    <font>
      <sz val="10"/>
      <name val="宋体"/>
      <family val="3"/>
      <charset val="134"/>
    </font>
    <font>
      <sz val="12"/>
      <name val="宋体"/>
      <family val="3"/>
      <charset val="134"/>
    </font>
    <font>
      <u/>
      <sz val="12"/>
      <color indexed="12"/>
      <name val="宋体"/>
      <family val="3"/>
      <charset val="134"/>
    </font>
    <font>
      <sz val="12"/>
      <color theme="1"/>
      <name val="Aptos Narrow"/>
      <family val="2"/>
      <scheme val="minor"/>
    </font>
    <font>
      <sz val="14"/>
      <name val="Arial"/>
      <family val="2"/>
    </font>
    <font>
      <sz val="12"/>
      <color indexed="8"/>
      <name val="Calibri"/>
      <family val="2"/>
    </font>
    <font>
      <i/>
      <sz val="10"/>
      <name val="Arial Narrow"/>
      <family val="2"/>
    </font>
    <font>
      <b/>
      <i/>
      <sz val="10"/>
      <name val="Arial"/>
      <family val="2"/>
    </font>
    <font>
      <i/>
      <vertAlign val="subscript"/>
      <sz val="10"/>
      <name val="Arial"/>
      <family val="2"/>
    </font>
    <font>
      <sz val="11"/>
      <color theme="1"/>
      <name val="Times New Roman"/>
      <family val="1"/>
    </font>
    <font>
      <sz val="11"/>
      <name val="Times New Roman"/>
      <family val="1"/>
    </font>
    <font>
      <sz val="11"/>
      <color rgb="FFFF0000"/>
      <name val="Times New Roman"/>
      <family val="1"/>
    </font>
    <font>
      <sz val="10"/>
      <color theme="1"/>
      <name val="Times New Roman"/>
      <family val="1"/>
    </font>
    <font>
      <sz val="8"/>
      <color theme="1"/>
      <name val="Times New Roman"/>
      <family val="1"/>
    </font>
    <font>
      <sz val="8"/>
      <name val="Times New Roman"/>
      <family val="1"/>
    </font>
    <font>
      <b/>
      <sz val="11"/>
      <color theme="1"/>
      <name val="Times New Roman"/>
      <family val="1"/>
    </font>
    <font>
      <b/>
      <sz val="11"/>
      <name val="Times New Roman"/>
      <family val="1"/>
    </font>
    <font>
      <b/>
      <sz val="14"/>
      <name val="Times New Roman"/>
      <family val="1"/>
    </font>
    <font>
      <b/>
      <sz val="11"/>
      <color theme="1"/>
      <name val="Arial"/>
      <family val="2"/>
    </font>
    <font>
      <sz val="11"/>
      <color theme="1"/>
      <name val="Aptos Narrow"/>
      <family val="3"/>
      <charset val="134"/>
      <scheme val="minor"/>
    </font>
    <font>
      <b/>
      <sz val="8"/>
      <color theme="1"/>
      <name val="Times New Roman"/>
      <family val="1"/>
    </font>
    <font>
      <sz val="11"/>
      <color rgb="FF92D050"/>
      <name val="Times New Roman"/>
      <family val="1"/>
    </font>
    <font>
      <b/>
      <u/>
      <sz val="14"/>
      <name val="Times New Roman"/>
      <family val="1"/>
    </font>
    <font>
      <i/>
      <sz val="11"/>
      <color theme="1"/>
      <name val="Times New Roman"/>
      <family val="1"/>
    </font>
    <font>
      <b/>
      <u/>
      <sz val="14"/>
      <color theme="1"/>
      <name val="Times New Roman"/>
      <family val="1"/>
    </font>
    <font>
      <i/>
      <sz val="8"/>
      <color theme="1"/>
      <name val="Times New Roman"/>
      <family val="1"/>
    </font>
    <font>
      <i/>
      <sz val="11"/>
      <name val="Times New Roman"/>
      <family val="1"/>
    </font>
    <font>
      <i/>
      <sz val="10"/>
      <color theme="1"/>
      <name val="Times New Roman"/>
      <family val="1"/>
    </font>
    <font>
      <i/>
      <sz val="10"/>
      <name val="Times New Roman"/>
      <family val="1"/>
    </font>
    <font>
      <i/>
      <sz val="10"/>
      <color rgb="FF92D050"/>
      <name val="Times New Roman"/>
      <family val="1"/>
    </font>
    <font>
      <i/>
      <sz val="11"/>
      <color rgb="FF92D050"/>
      <name val="Times New Roman"/>
      <family val="1"/>
    </font>
    <font>
      <sz val="10"/>
      <color rgb="FF92D050"/>
      <name val="Times New Roman"/>
      <family val="1"/>
    </font>
    <font>
      <b/>
      <sz val="10"/>
      <name val="Aptos Display"/>
      <family val="3"/>
      <charset val="134"/>
      <scheme val="major"/>
    </font>
    <font>
      <sz val="10"/>
      <name val="Aptos Display"/>
      <family val="3"/>
      <charset val="134"/>
      <scheme val="major"/>
    </font>
    <font>
      <b/>
      <i/>
      <sz val="11"/>
      <color theme="1"/>
      <name val="Times New Roman"/>
      <family val="1"/>
    </font>
    <font>
      <sz val="11"/>
      <name val="宋体"/>
      <family val="3"/>
      <charset val="134"/>
    </font>
    <font>
      <b/>
      <i/>
      <sz val="10"/>
      <color theme="1"/>
      <name val="Times New Roman"/>
      <family val="1"/>
    </font>
    <font>
      <b/>
      <sz val="14"/>
      <name val="Aptos Display"/>
      <family val="3"/>
      <charset val="134"/>
      <scheme val="major"/>
    </font>
    <font>
      <sz val="14"/>
      <name val="Aptos Display"/>
      <family val="3"/>
      <charset val="134"/>
      <scheme val="major"/>
    </font>
    <font>
      <sz val="10"/>
      <color rgb="FFFF0000"/>
      <name val="Aptos Display"/>
      <family val="3"/>
      <charset val="134"/>
      <scheme val="major"/>
    </font>
    <font>
      <b/>
      <sz val="11"/>
      <color rgb="FF92D050"/>
      <name val="Arial"/>
      <family val="2"/>
    </font>
    <font>
      <b/>
      <i/>
      <sz val="10"/>
      <name val="Times New Roman"/>
      <family val="1"/>
    </font>
    <font>
      <sz val="11"/>
      <color rgb="FF92D050"/>
      <name val="Arial Narrow"/>
      <family val="2"/>
    </font>
    <font>
      <i/>
      <sz val="8"/>
      <name val="Times New Roman"/>
      <family val="1"/>
    </font>
    <font>
      <b/>
      <sz val="11"/>
      <color rgb="FF92D050"/>
      <name val="Times New Roman"/>
      <family val="1"/>
    </font>
    <font>
      <sz val="11"/>
      <color theme="0" tint="-0.34998626667073579"/>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07">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bottom style="thin">
        <color auto="1"/>
      </bottom>
      <diagonal/>
    </border>
    <border>
      <left/>
      <right style="thick">
        <color auto="1"/>
      </right>
      <top/>
      <bottom style="thin">
        <color auto="1"/>
      </bottom>
      <diagonal/>
    </border>
    <border>
      <left style="thick">
        <color auto="1"/>
      </left>
      <right style="medium">
        <color auto="1"/>
      </right>
      <top/>
      <bottom/>
      <diagonal/>
    </border>
    <border>
      <left style="medium">
        <color auto="1"/>
      </left>
      <right style="medium">
        <color auto="1"/>
      </right>
      <top style="thin">
        <color auto="1"/>
      </top>
      <bottom/>
      <diagonal/>
    </border>
    <border>
      <left/>
      <right/>
      <top style="thin">
        <color auto="1"/>
      </top>
      <bottom/>
      <diagonal/>
    </border>
    <border>
      <left style="medium">
        <color auto="1"/>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ck">
        <color auto="1"/>
      </right>
      <top style="thin">
        <color auto="1"/>
      </top>
      <bottom/>
      <diagonal/>
    </border>
    <border>
      <left style="medium">
        <color auto="1"/>
      </left>
      <right style="medium">
        <color auto="1"/>
      </right>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style="medium">
        <color auto="1"/>
      </right>
      <top/>
      <bottom/>
      <diagonal/>
    </border>
    <border>
      <left/>
      <right style="thin">
        <color auto="1"/>
      </right>
      <top/>
      <bottom/>
      <diagonal/>
    </border>
    <border>
      <left style="thin">
        <color auto="1"/>
      </left>
      <right/>
      <top/>
      <bottom/>
      <diagonal/>
    </border>
    <border>
      <left style="medium">
        <color auto="1"/>
      </left>
      <right/>
      <top/>
      <bottom/>
      <diagonal/>
    </border>
    <border>
      <left style="thick">
        <color auto="1"/>
      </left>
      <right/>
      <top/>
      <bottom style="dashed">
        <color auto="1"/>
      </bottom>
      <diagonal/>
    </border>
    <border>
      <left style="medium">
        <color auto="1"/>
      </left>
      <right style="medium">
        <color auto="1"/>
      </right>
      <top/>
      <bottom style="dashed">
        <color auto="1"/>
      </bottom>
      <diagonal/>
    </border>
    <border>
      <left/>
      <right/>
      <top/>
      <bottom style="dashed">
        <color auto="1"/>
      </bottom>
      <diagonal/>
    </border>
    <border>
      <left/>
      <right style="thin">
        <color auto="1"/>
      </right>
      <top/>
      <bottom style="dashed">
        <color auto="1"/>
      </bottom>
      <diagonal/>
    </border>
    <border>
      <left style="thin">
        <color auto="1"/>
      </left>
      <right/>
      <top/>
      <bottom style="dashed">
        <color auto="1"/>
      </bottom>
      <diagonal/>
    </border>
    <border>
      <left style="medium">
        <color auto="1"/>
      </left>
      <right/>
      <top/>
      <bottom style="dashed">
        <color auto="1"/>
      </bottom>
      <diagonal/>
    </border>
    <border>
      <left/>
      <right style="thick">
        <color auto="1"/>
      </right>
      <top/>
      <bottom style="dashed">
        <color auto="1"/>
      </bottom>
      <diagonal/>
    </border>
    <border>
      <left style="thick">
        <color auto="1"/>
      </left>
      <right/>
      <top style="dashed">
        <color auto="1"/>
      </top>
      <bottom/>
      <diagonal/>
    </border>
    <border>
      <left/>
      <right/>
      <top style="dashed">
        <color auto="1"/>
      </top>
      <bottom/>
      <diagonal/>
    </border>
    <border>
      <left/>
      <right style="thin">
        <color auto="1"/>
      </right>
      <top style="dashed">
        <color auto="1"/>
      </top>
      <bottom/>
      <diagonal/>
    </border>
    <border>
      <left style="thick">
        <color auto="1"/>
      </left>
      <right style="medium">
        <color auto="1"/>
      </right>
      <top/>
      <bottom style="dashed">
        <color auto="1"/>
      </bottom>
      <diagonal/>
    </border>
    <border>
      <left style="thin">
        <color auto="1"/>
      </left>
      <right style="thin">
        <color auto="1"/>
      </right>
      <top/>
      <bottom/>
      <diagonal/>
    </border>
    <border>
      <left style="thick">
        <color auto="1"/>
      </left>
      <right style="medium">
        <color auto="1"/>
      </right>
      <top/>
      <bottom style="thick">
        <color auto="1"/>
      </bottom>
      <diagonal/>
    </border>
    <border>
      <left style="medium">
        <color auto="1"/>
      </left>
      <right style="medium">
        <color auto="1"/>
      </right>
      <top/>
      <bottom style="thick">
        <color auto="1"/>
      </bottom>
      <diagonal/>
    </border>
    <border>
      <left/>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style="medium">
        <color auto="1"/>
      </left>
      <right/>
      <top/>
      <bottom style="thick">
        <color auto="1"/>
      </bottom>
      <diagonal/>
    </border>
    <border>
      <left/>
      <right style="thick">
        <color auto="1"/>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right style="medium">
        <color auto="1"/>
      </right>
      <top/>
      <bottom style="dashed">
        <color auto="1"/>
      </bottom>
      <diagonal/>
    </border>
    <border>
      <left/>
      <right style="medium">
        <color auto="1"/>
      </right>
      <top/>
      <bottom style="thick">
        <color auto="1"/>
      </bottom>
      <diagonal/>
    </border>
    <border>
      <left style="thin">
        <color auto="1"/>
      </left>
      <right style="medium">
        <color auto="1"/>
      </right>
      <top/>
      <bottom/>
      <diagonal/>
    </border>
    <border>
      <left style="thin">
        <color auto="1"/>
      </left>
      <right style="medium">
        <color auto="1"/>
      </right>
      <top/>
      <bottom style="thick">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dashed">
        <color auto="1"/>
      </bottom>
      <diagonal/>
    </border>
    <border>
      <left style="thick">
        <color auto="1"/>
      </left>
      <right/>
      <top/>
      <bottom style="thick">
        <color auto="1"/>
      </bottom>
      <diagonal/>
    </border>
    <border>
      <left style="thin">
        <color auto="1"/>
      </left>
      <right style="thin">
        <color auto="1"/>
      </right>
      <top style="dashed">
        <color auto="1"/>
      </top>
      <bottom/>
      <diagonal/>
    </border>
    <border>
      <left style="thin">
        <color auto="1"/>
      </left>
      <right style="thin">
        <color auto="1"/>
      </right>
      <top style="thin">
        <color auto="1"/>
      </top>
      <bottom/>
      <diagonal/>
    </border>
    <border>
      <left style="thin">
        <color auto="1"/>
      </left>
      <right style="medium">
        <color auto="1"/>
      </right>
      <top/>
      <bottom style="dashed">
        <color auto="1"/>
      </bottom>
      <diagonal/>
    </border>
    <border>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style="thick">
        <color auto="1"/>
      </right>
      <top/>
      <bottom/>
      <diagonal/>
    </border>
    <border>
      <left style="thin">
        <color auto="1"/>
      </left>
      <right style="thick">
        <color auto="1"/>
      </right>
      <top/>
      <bottom style="dashed">
        <color auto="1"/>
      </bottom>
      <diagonal/>
    </border>
    <border>
      <left style="thin">
        <color auto="1"/>
      </left>
      <right style="medium">
        <color auto="1"/>
      </right>
      <top style="dashed">
        <color auto="1"/>
      </top>
      <bottom/>
      <diagonal/>
    </border>
    <border>
      <left style="thin">
        <color auto="1"/>
      </left>
      <right style="thick">
        <color auto="1"/>
      </right>
      <top style="dashed">
        <color auto="1"/>
      </top>
      <bottom/>
      <diagonal/>
    </border>
    <border>
      <left style="medium">
        <color auto="1"/>
      </left>
      <right style="thin">
        <color auto="1"/>
      </right>
      <top/>
      <bottom/>
      <diagonal/>
    </border>
    <border>
      <left style="thin">
        <color auto="1"/>
      </left>
      <right style="thin">
        <color auto="1"/>
      </right>
      <top/>
      <bottom style="thick">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ck">
        <color auto="1"/>
      </left>
      <right/>
      <top/>
      <bottom style="thin">
        <color auto="1"/>
      </bottom>
      <diagonal/>
    </border>
    <border>
      <left style="medium">
        <color auto="1"/>
      </left>
      <right style="thin">
        <color auto="1"/>
      </right>
      <top style="thin">
        <color auto="1"/>
      </top>
      <bottom/>
      <diagonal/>
    </border>
    <border>
      <left style="thin">
        <color auto="1"/>
      </left>
      <right style="thick">
        <color auto="1"/>
      </right>
      <top/>
      <bottom style="thick">
        <color auto="1"/>
      </bottom>
      <diagonal/>
    </border>
    <border>
      <left style="medium">
        <color auto="1"/>
      </left>
      <right style="thin">
        <color auto="1"/>
      </right>
      <top/>
      <bottom style="dashed">
        <color auto="1"/>
      </bottom>
      <diagonal/>
    </border>
    <border>
      <left/>
      <right/>
      <top style="medium">
        <color auto="1"/>
      </top>
      <bottom style="thin">
        <color auto="1"/>
      </bottom>
      <diagonal/>
    </border>
    <border>
      <left/>
      <right style="dashed">
        <color auto="1"/>
      </right>
      <top style="thin">
        <color auto="1"/>
      </top>
      <bottom/>
      <diagonal/>
    </border>
    <border>
      <left/>
      <right style="dashed">
        <color auto="1"/>
      </right>
      <top/>
      <bottom/>
      <diagonal/>
    </border>
    <border>
      <left/>
      <right style="dashed">
        <color auto="1"/>
      </right>
      <top/>
      <bottom style="thin">
        <color auto="1"/>
      </bottom>
      <diagonal/>
    </border>
    <border>
      <left style="thin">
        <color auto="1"/>
      </left>
      <right/>
      <top style="thin">
        <color auto="1"/>
      </top>
      <bottom style="dashed">
        <color auto="1"/>
      </bottom>
      <diagonal/>
    </border>
    <border>
      <left/>
      <right style="dashed">
        <color auto="1"/>
      </right>
      <top/>
      <bottom style="thick">
        <color auto="1"/>
      </bottom>
      <diagonal/>
    </border>
    <border>
      <left style="dashed">
        <color auto="1"/>
      </left>
      <right/>
      <top/>
      <bottom/>
      <diagonal/>
    </border>
    <border>
      <left/>
      <right style="dashed">
        <color auto="1"/>
      </right>
      <top style="thin">
        <color auto="1"/>
      </top>
      <bottom style="thin">
        <color auto="1"/>
      </bottom>
      <diagonal/>
    </border>
    <border>
      <left/>
      <right style="medium">
        <color auto="1"/>
      </right>
      <top style="medium">
        <color auto="1"/>
      </top>
      <bottom style="medium">
        <color auto="1"/>
      </bottom>
      <diagonal/>
    </border>
    <border>
      <left style="thick">
        <color auto="1"/>
      </left>
      <right/>
      <top/>
      <bottom style="dotted">
        <color auto="1"/>
      </bottom>
      <diagonal/>
    </border>
    <border>
      <left/>
      <right/>
      <top style="thin">
        <color auto="1"/>
      </top>
      <bottom style="dashed">
        <color auto="1"/>
      </bottom>
      <diagonal/>
    </border>
    <border>
      <left/>
      <right style="dashed">
        <color auto="1"/>
      </right>
      <top/>
      <bottom style="dashed">
        <color auto="1"/>
      </bottom>
      <diagonal/>
    </border>
    <border>
      <left style="dashed">
        <color auto="1"/>
      </left>
      <right/>
      <top style="thin">
        <color auto="1"/>
      </top>
      <bottom/>
      <diagonal/>
    </border>
    <border>
      <left style="dashed">
        <color auto="1"/>
      </left>
      <right/>
      <top/>
      <bottom style="thin">
        <color auto="1"/>
      </bottom>
      <diagonal/>
    </border>
    <border>
      <left style="dashed">
        <color auto="1"/>
      </left>
      <right/>
      <top/>
      <bottom style="dashed">
        <color auto="1"/>
      </bottom>
      <diagonal/>
    </border>
    <border>
      <left style="dashed">
        <color auto="1"/>
      </left>
      <right/>
      <top/>
      <bottom style="thick">
        <color auto="1"/>
      </bottom>
      <diagonal/>
    </border>
    <border>
      <left style="thick">
        <color auto="1"/>
      </left>
      <right style="medium">
        <color auto="1"/>
      </right>
      <top/>
      <bottom style="thin">
        <color auto="1"/>
      </bottom>
      <diagonal/>
    </border>
    <border>
      <left/>
      <right style="thick">
        <color auto="1"/>
      </right>
      <top/>
      <bottom style="medium">
        <color auto="1"/>
      </bottom>
      <diagonal/>
    </border>
    <border>
      <left style="dashed">
        <color auto="1"/>
      </left>
      <right/>
      <top style="thin">
        <color auto="1"/>
      </top>
      <bottom style="thin">
        <color auto="1"/>
      </bottom>
      <diagonal/>
    </border>
    <border>
      <left style="dashed">
        <color auto="1"/>
      </left>
      <right style="dashed">
        <color auto="1"/>
      </right>
      <top/>
      <bottom/>
      <diagonal/>
    </border>
    <border>
      <left style="dashed">
        <color auto="1"/>
      </left>
      <right style="dashed">
        <color auto="1"/>
      </right>
      <top style="thin">
        <color auto="1"/>
      </top>
      <bottom style="thin">
        <color auto="1"/>
      </bottom>
      <diagonal/>
    </border>
    <border>
      <left style="thin">
        <color auto="1"/>
      </left>
      <right style="dashed">
        <color auto="1"/>
      </right>
      <top/>
      <bottom/>
      <diagonal/>
    </border>
    <border>
      <left style="thin">
        <color auto="1"/>
      </left>
      <right/>
      <top/>
      <bottom style="medium">
        <color auto="1"/>
      </bottom>
      <diagonal/>
    </border>
    <border>
      <left style="medium">
        <color auto="1"/>
      </left>
      <right/>
      <top style="thin">
        <color auto="1"/>
      </top>
      <bottom style="dashed">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thin">
        <color auto="1"/>
      </left>
      <right/>
      <top style="medium">
        <color auto="1"/>
      </top>
      <bottom/>
      <diagonal/>
    </border>
  </borders>
  <cellStyleXfs count="25">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6" fillId="0" borderId="0"/>
    <xf numFmtId="9" fontId="13" fillId="0" borderId="0" applyFont="0" applyFill="0" applyBorder="0" applyAlignment="0" applyProtection="0"/>
    <xf numFmtId="9" fontId="14" fillId="0" borderId="0" applyFont="0" applyFill="0" applyBorder="0" applyAlignment="0" applyProtection="0"/>
    <xf numFmtId="0" fontId="13" fillId="0" borderId="0"/>
    <xf numFmtId="0" fontId="13" fillId="0" borderId="0"/>
    <xf numFmtId="0" fontId="2" fillId="0" borderId="0">
      <alignment vertical="center"/>
    </xf>
    <xf numFmtId="0" fontId="6" fillId="0" borderId="0"/>
    <xf numFmtId="0" fontId="13" fillId="0" borderId="0"/>
    <xf numFmtId="9" fontId="13" fillId="0" borderId="0" applyFont="0" applyFill="0" applyBorder="0" applyAlignment="0" applyProtection="0"/>
    <xf numFmtId="0" fontId="18" fillId="0" borderId="0">
      <alignment vertical="center"/>
    </xf>
    <xf numFmtId="0" fontId="19" fillId="0" borderId="0" applyNumberFormat="0" applyFill="0" applyBorder="0" applyAlignment="0" applyProtection="0">
      <alignment vertical="top"/>
      <protection locked="0"/>
    </xf>
    <xf numFmtId="0" fontId="18" fillId="0" borderId="0">
      <alignment vertical="center"/>
    </xf>
    <xf numFmtId="9" fontId="1" fillId="0" borderId="0" applyFont="0" applyFill="0" applyBorder="0" applyAlignment="0" applyProtection="0">
      <alignment vertical="center"/>
    </xf>
    <xf numFmtId="0" fontId="6" fillId="0" borderId="0"/>
    <xf numFmtId="0" fontId="6" fillId="0" borderId="0"/>
    <xf numFmtId="0" fontId="22" fillId="0" borderId="0"/>
    <xf numFmtId="0" fontId="20" fillId="0" borderId="0"/>
    <xf numFmtId="0" fontId="36" fillId="0" borderId="0">
      <alignment vertical="center"/>
    </xf>
    <xf numFmtId="164" fontId="36" fillId="0" borderId="0" applyFont="0" applyFill="0" applyBorder="0" applyAlignment="0" applyProtection="0">
      <alignment vertical="center"/>
    </xf>
    <xf numFmtId="0" fontId="18" fillId="0" borderId="0">
      <alignment vertical="center"/>
    </xf>
    <xf numFmtId="0" fontId="19" fillId="0" borderId="0" applyNumberFormat="0" applyFill="0" applyBorder="0" applyAlignment="0" applyProtection="0">
      <alignment vertical="top"/>
      <protection locked="0"/>
    </xf>
  </cellStyleXfs>
  <cellXfs count="668">
    <xf numFmtId="0" fontId="0" fillId="0" borderId="0" xfId="0"/>
    <xf numFmtId="0" fontId="3" fillId="0" borderId="0" xfId="2"/>
    <xf numFmtId="0" fontId="7" fillId="0" borderId="0" xfId="4" applyFont="1"/>
    <xf numFmtId="0" fontId="6" fillId="0" borderId="4" xfId="4" applyBorder="1"/>
    <xf numFmtId="0" fontId="6" fillId="0" borderId="5" xfId="4" applyBorder="1"/>
    <xf numFmtId="0" fontId="6" fillId="0" borderId="4" xfId="4" applyBorder="1" applyAlignment="1">
      <alignment horizontal="center" vertical="justify"/>
    </xf>
    <xf numFmtId="3" fontId="6" fillId="0" borderId="0" xfId="4" applyNumberFormat="1" applyAlignment="1">
      <alignment horizontal="center"/>
    </xf>
    <xf numFmtId="0" fontId="6" fillId="0" borderId="30" xfId="4" applyBorder="1" applyAlignment="1">
      <alignment horizontal="center" vertical="justify"/>
    </xf>
    <xf numFmtId="165" fontId="6" fillId="0" borderId="0" xfId="4" applyNumberFormat="1" applyAlignment="1">
      <alignment horizontal="center"/>
    </xf>
    <xf numFmtId="9" fontId="6" fillId="0" borderId="0" xfId="4" applyNumberFormat="1" applyAlignment="1">
      <alignment horizontal="center"/>
    </xf>
    <xf numFmtId="0" fontId="6" fillId="0" borderId="23" xfId="4" applyBorder="1" applyAlignment="1">
      <alignment horizontal="center" vertical="justify"/>
    </xf>
    <xf numFmtId="0" fontId="6" fillId="0" borderId="0" xfId="4" applyAlignment="1">
      <alignment horizontal="center"/>
    </xf>
    <xf numFmtId="3" fontId="6" fillId="0" borderId="0" xfId="4" applyNumberFormat="1"/>
    <xf numFmtId="0" fontId="10" fillId="0" borderId="0" xfId="4" applyFont="1"/>
    <xf numFmtId="9" fontId="6" fillId="0" borderId="61" xfId="4" applyNumberFormat="1" applyBorder="1" applyAlignment="1">
      <alignment horizontal="center"/>
    </xf>
    <xf numFmtId="0" fontId="6" fillId="0" borderId="4" xfId="4" applyBorder="1" applyAlignment="1">
      <alignment horizontal="center"/>
    </xf>
    <xf numFmtId="0" fontId="6" fillId="0" borderId="66" xfId="4" applyBorder="1" applyAlignment="1">
      <alignment horizontal="center" vertical="center" wrapText="1"/>
    </xf>
    <xf numFmtId="0" fontId="6" fillId="0" borderId="51" xfId="4" applyBorder="1" applyAlignment="1">
      <alignment horizontal="center" vertical="center" wrapText="1"/>
    </xf>
    <xf numFmtId="0" fontId="6" fillId="0" borderId="17" xfId="4" applyBorder="1" applyAlignment="1">
      <alignment horizontal="center" vertical="center" wrapText="1"/>
    </xf>
    <xf numFmtId="0" fontId="6" fillId="0" borderId="67" xfId="4" applyBorder="1" applyAlignment="1">
      <alignment horizontal="center" vertical="center" wrapText="1"/>
    </xf>
    <xf numFmtId="9" fontId="6" fillId="0" borderId="71" xfId="4" applyNumberFormat="1" applyBorder="1" applyAlignment="1">
      <alignment horizontal="center"/>
    </xf>
    <xf numFmtId="9" fontId="6" fillId="0" borderId="34" xfId="4" applyNumberFormat="1" applyBorder="1" applyAlignment="1">
      <alignment horizontal="center"/>
    </xf>
    <xf numFmtId="9" fontId="6" fillId="0" borderId="70" xfId="4" applyNumberFormat="1" applyBorder="1" applyAlignment="1">
      <alignment horizontal="center"/>
    </xf>
    <xf numFmtId="9" fontId="6" fillId="0" borderId="32" xfId="4" applyNumberFormat="1" applyBorder="1" applyAlignment="1">
      <alignment horizontal="center"/>
    </xf>
    <xf numFmtId="9" fontId="6" fillId="0" borderId="54" xfId="4" applyNumberFormat="1" applyBorder="1" applyAlignment="1">
      <alignment horizontal="center"/>
    </xf>
    <xf numFmtId="9" fontId="6" fillId="0" borderId="20" xfId="4" applyNumberFormat="1" applyBorder="1" applyAlignment="1">
      <alignment horizontal="center"/>
    </xf>
    <xf numFmtId="9" fontId="6" fillId="0" borderId="68" xfId="4" applyNumberFormat="1" applyBorder="1" applyAlignment="1">
      <alignment horizontal="center"/>
    </xf>
    <xf numFmtId="9" fontId="6" fillId="0" borderId="59" xfId="4" applyNumberFormat="1" applyBorder="1" applyAlignment="1">
      <alignment horizontal="center"/>
    </xf>
    <xf numFmtId="9" fontId="6" fillId="0" borderId="63" xfId="4" applyNumberFormat="1" applyBorder="1" applyAlignment="1">
      <alignment horizontal="center"/>
    </xf>
    <xf numFmtId="9" fontId="6" fillId="0" borderId="26" xfId="4" applyNumberFormat="1" applyBorder="1" applyAlignment="1">
      <alignment horizontal="center"/>
    </xf>
    <xf numFmtId="9" fontId="6" fillId="0" borderId="69" xfId="4" applyNumberFormat="1" applyBorder="1" applyAlignment="1">
      <alignment horizontal="center"/>
    </xf>
    <xf numFmtId="0" fontId="6" fillId="0" borderId="30" xfId="4" applyBorder="1" applyAlignment="1">
      <alignment horizontal="center"/>
    </xf>
    <xf numFmtId="0" fontId="6" fillId="0" borderId="60" xfId="4" applyBorder="1" applyAlignment="1">
      <alignment horizontal="center"/>
    </xf>
    <xf numFmtId="0" fontId="17" fillId="0" borderId="0" xfId="4" applyFont="1"/>
    <xf numFmtId="165" fontId="10" fillId="0" borderId="0" xfId="4" applyNumberFormat="1" applyFont="1"/>
    <xf numFmtId="165" fontId="6" fillId="0" borderId="34" xfId="4" applyNumberFormat="1" applyBorder="1" applyAlignment="1">
      <alignment horizontal="center"/>
    </xf>
    <xf numFmtId="165" fontId="6" fillId="0" borderId="59" xfId="4" applyNumberFormat="1" applyBorder="1" applyAlignment="1">
      <alignment horizontal="center"/>
    </xf>
    <xf numFmtId="0" fontId="6" fillId="0" borderId="66" xfId="0" applyFont="1" applyBorder="1" applyAlignment="1">
      <alignment horizontal="center" vertical="center" wrapText="1"/>
    </xf>
    <xf numFmtId="0" fontId="6" fillId="0" borderId="4" xfId="4" applyBorder="1" applyAlignment="1">
      <alignment horizontal="center" vertical="center" wrapText="1"/>
    </xf>
    <xf numFmtId="9" fontId="6" fillId="0" borderId="0" xfId="16" applyFont="1" applyBorder="1" applyAlignment="1"/>
    <xf numFmtId="9" fontId="6" fillId="0" borderId="0" xfId="16" applyFont="1" applyFill="1" applyBorder="1" applyAlignment="1">
      <alignment horizontal="center"/>
    </xf>
    <xf numFmtId="9" fontId="6" fillId="0" borderId="6" xfId="16" applyFont="1" applyBorder="1" applyAlignment="1">
      <alignment horizontal="center"/>
    </xf>
    <xf numFmtId="9" fontId="6" fillId="0" borderId="73" xfId="4" applyNumberFormat="1" applyBorder="1" applyAlignment="1">
      <alignment horizontal="center"/>
    </xf>
    <xf numFmtId="9" fontId="6" fillId="0" borderId="38" xfId="4" applyNumberFormat="1" applyBorder="1" applyAlignment="1">
      <alignment horizontal="center"/>
    </xf>
    <xf numFmtId="9" fontId="3" fillId="0" borderId="0" xfId="16" applyFont="1" applyAlignment="1"/>
    <xf numFmtId="9" fontId="6" fillId="0" borderId="7" xfId="16" applyFont="1" applyBorder="1" applyAlignment="1">
      <alignment horizontal="center"/>
    </xf>
    <xf numFmtId="9" fontId="6" fillId="0" borderId="78" xfId="4" applyNumberFormat="1" applyBorder="1" applyAlignment="1">
      <alignment horizontal="center"/>
    </xf>
    <xf numFmtId="9" fontId="6" fillId="0" borderId="31" xfId="4" applyNumberFormat="1" applyBorder="1" applyAlignment="1">
      <alignment horizontal="center"/>
    </xf>
    <xf numFmtId="0" fontId="21" fillId="0" borderId="0" xfId="4" applyFont="1"/>
    <xf numFmtId="0" fontId="6" fillId="0" borderId="18" xfId="0" applyFont="1" applyBorder="1" applyAlignment="1">
      <alignment horizontal="center" vertical="center" wrapText="1"/>
    </xf>
    <xf numFmtId="0" fontId="6" fillId="0" borderId="0" xfId="0" applyFont="1" applyAlignment="1">
      <alignment horizontal="center" vertical="top" wrapText="1"/>
    </xf>
    <xf numFmtId="9" fontId="6" fillId="0" borderId="25" xfId="4" applyNumberFormat="1" applyBorder="1" applyAlignment="1">
      <alignment horizontal="center"/>
    </xf>
    <xf numFmtId="0" fontId="6" fillId="0" borderId="20" xfId="0" applyFont="1" applyBorder="1" applyAlignment="1">
      <alignment horizontal="center" vertical="top" wrapText="1"/>
    </xf>
    <xf numFmtId="0" fontId="6" fillId="0" borderId="54" xfId="4" applyBorder="1" applyAlignment="1">
      <alignment horizontal="center" vertical="top" wrapText="1"/>
    </xf>
    <xf numFmtId="0" fontId="6" fillId="0" borderId="20" xfId="4" applyBorder="1" applyAlignment="1">
      <alignment horizontal="center" vertical="top" wrapText="1"/>
    </xf>
    <xf numFmtId="0" fontId="6" fillId="0" borderId="34" xfId="4" applyBorder="1" applyAlignment="1">
      <alignment horizontal="center" vertical="top" wrapText="1"/>
    </xf>
    <xf numFmtId="0" fontId="6" fillId="0" borderId="68" xfId="4" applyBorder="1" applyAlignment="1">
      <alignment horizontal="center" vertical="top" wrapText="1"/>
    </xf>
    <xf numFmtId="0" fontId="6" fillId="0" borderId="101" xfId="0" applyFont="1" applyBorder="1" applyAlignment="1">
      <alignment horizontal="center" vertical="center" wrapText="1"/>
    </xf>
    <xf numFmtId="10" fontId="54" fillId="0" borderId="0" xfId="4" applyNumberFormat="1" applyFont="1" applyAlignment="1">
      <alignment horizontal="center" vertical="center" wrapText="1"/>
    </xf>
    <xf numFmtId="0" fontId="55" fillId="0" borderId="0" xfId="4" applyFont="1"/>
    <xf numFmtId="10" fontId="50" fillId="0" borderId="0" xfId="4" applyNumberFormat="1" applyFont="1" applyAlignment="1">
      <alignment horizontal="center"/>
    </xf>
    <xf numFmtId="10" fontId="49" fillId="0" borderId="0" xfId="4" applyNumberFormat="1" applyFont="1" applyAlignment="1">
      <alignment horizontal="center"/>
    </xf>
    <xf numFmtId="10" fontId="50" fillId="0" borderId="0" xfId="4" applyNumberFormat="1" applyFont="1" applyAlignment="1">
      <alignment horizontal="center" vertical="center" wrapText="1"/>
    </xf>
    <xf numFmtId="9" fontId="50" fillId="0" borderId="0" xfId="4" applyNumberFormat="1" applyFont="1"/>
    <xf numFmtId="10" fontId="56" fillId="0" borderId="0" xfId="4" applyNumberFormat="1" applyFont="1" applyAlignment="1">
      <alignment horizontal="center"/>
    </xf>
    <xf numFmtId="10" fontId="50" fillId="0" borderId="0" xfId="4" applyNumberFormat="1" applyFont="1" applyAlignment="1">
      <alignment horizontal="left" vertical="center" wrapText="1"/>
    </xf>
    <xf numFmtId="9" fontId="15" fillId="0" borderId="92" xfId="16" applyFont="1" applyBorder="1" applyAlignment="1">
      <alignment horizontal="center" vertical="center" wrapText="1"/>
    </xf>
    <xf numFmtId="9" fontId="15" fillId="0" borderId="10" xfId="16" applyFont="1" applyBorder="1" applyAlignment="1">
      <alignment horizontal="center" vertical="center" wrapText="1"/>
    </xf>
    <xf numFmtId="9" fontId="15" fillId="0" borderId="12" xfId="16" applyFont="1" applyBorder="1" applyAlignment="1">
      <alignment horizontal="center" vertical="center" wrapText="1"/>
    </xf>
    <xf numFmtId="9" fontId="15" fillId="0" borderId="93" xfId="16" applyFont="1" applyBorder="1" applyAlignment="1">
      <alignment horizontal="center" vertical="center" wrapText="1"/>
    </xf>
    <xf numFmtId="9" fontId="15" fillId="0" borderId="6" xfId="16" applyFont="1" applyBorder="1" applyAlignment="1">
      <alignment horizontal="center" vertical="center" wrapText="1"/>
    </xf>
    <xf numFmtId="9" fontId="15" fillId="0" borderId="17" xfId="16" applyFont="1" applyBorder="1" applyAlignment="1">
      <alignment horizontal="center" vertical="center" wrapText="1"/>
    </xf>
    <xf numFmtId="9" fontId="15" fillId="0" borderId="98" xfId="16" applyFont="1" applyBorder="1" applyAlignment="1">
      <alignment horizontal="center" vertical="top" wrapText="1"/>
    </xf>
    <xf numFmtId="9" fontId="15" fillId="0" borderId="0" xfId="16" applyFont="1" applyBorder="1" applyAlignment="1">
      <alignment horizontal="center" vertical="top" wrapText="1"/>
    </xf>
    <xf numFmtId="9" fontId="15" fillId="0" borderId="20" xfId="16" applyFont="1" applyBorder="1" applyAlignment="1">
      <alignment horizontal="center" vertical="top" wrapText="1"/>
    </xf>
    <xf numFmtId="9" fontId="15" fillId="0" borderId="86" xfId="16" applyFont="1" applyBorder="1" applyAlignment="1">
      <alignment horizontal="center" vertical="justify"/>
    </xf>
    <xf numFmtId="9" fontId="15" fillId="0" borderId="0" xfId="16" applyFont="1" applyBorder="1" applyAlignment="1">
      <alignment horizontal="center" vertical="justify"/>
    </xf>
    <xf numFmtId="9" fontId="15" fillId="0" borderId="20" xfId="16" applyFont="1" applyBorder="1" applyAlignment="1">
      <alignment horizontal="center" vertical="justify"/>
    </xf>
    <xf numFmtId="9" fontId="15" fillId="0" borderId="94" xfId="16" applyFont="1" applyBorder="1" applyAlignment="1">
      <alignment horizontal="center" vertical="justify"/>
    </xf>
    <xf numFmtId="9" fontId="15" fillId="0" borderId="31" xfId="16" applyFont="1" applyBorder="1" applyAlignment="1">
      <alignment horizontal="center" vertical="justify"/>
    </xf>
    <xf numFmtId="9" fontId="15" fillId="0" borderId="32" xfId="16" applyFont="1" applyBorder="1" applyAlignment="1">
      <alignment horizontal="center" vertical="justify"/>
    </xf>
    <xf numFmtId="9" fontId="15" fillId="0" borderId="25" xfId="16" applyFont="1" applyBorder="1" applyAlignment="1">
      <alignment horizontal="center" vertical="justify"/>
    </xf>
    <xf numFmtId="9" fontId="15" fillId="0" borderId="26" xfId="16" applyFont="1" applyBorder="1" applyAlignment="1">
      <alignment horizontal="center" vertical="justify"/>
    </xf>
    <xf numFmtId="9" fontId="15" fillId="0" borderId="95" xfId="16" applyFont="1" applyBorder="1" applyAlignment="1">
      <alignment horizontal="center" vertical="justify"/>
    </xf>
    <xf numFmtId="9" fontId="15" fillId="0" borderId="37" xfId="16" applyFont="1" applyBorder="1" applyAlignment="1">
      <alignment horizontal="center" vertical="justify"/>
    </xf>
    <xf numFmtId="9" fontId="15" fillId="0" borderId="38" xfId="16" applyFont="1" applyBorder="1" applyAlignment="1">
      <alignment horizontal="center" vertical="justify"/>
    </xf>
    <xf numFmtId="165" fontId="6" fillId="0" borderId="66" xfId="4" applyNumberFormat="1" applyBorder="1" applyAlignment="1">
      <alignment horizontal="center" vertical="center" wrapText="1"/>
    </xf>
    <xf numFmtId="9" fontId="6" fillId="0" borderId="37" xfId="4" applyNumberFormat="1" applyBorder="1" applyAlignment="1">
      <alignment horizontal="center"/>
    </xf>
    <xf numFmtId="165" fontId="6" fillId="0" borderId="73" xfId="4" applyNumberFormat="1" applyBorder="1" applyAlignment="1">
      <alignment horizontal="center"/>
    </xf>
    <xf numFmtId="9" fontId="6" fillId="0" borderId="55" xfId="4" applyNumberFormat="1" applyBorder="1" applyAlignment="1">
      <alignment horizontal="center"/>
    </xf>
    <xf numFmtId="165" fontId="15" fillId="0" borderId="86" xfId="16" applyNumberFormat="1" applyFont="1" applyBorder="1" applyAlignment="1">
      <alignment horizontal="center" vertical="justify"/>
    </xf>
    <xf numFmtId="165" fontId="15" fillId="0" borderId="94" xfId="16" applyNumberFormat="1" applyFont="1" applyBorder="1" applyAlignment="1">
      <alignment horizontal="center" vertical="justify"/>
    </xf>
    <xf numFmtId="0" fontId="23" fillId="0" borderId="0" xfId="4" applyFont="1" applyAlignment="1">
      <alignment horizontal="center"/>
    </xf>
    <xf numFmtId="9" fontId="15" fillId="0" borderId="48" xfId="16" applyFont="1" applyBorder="1" applyAlignment="1">
      <alignment horizontal="center" vertical="top" wrapText="1"/>
    </xf>
    <xf numFmtId="9" fontId="15" fillId="0" borderId="18" xfId="16" applyFont="1" applyBorder="1" applyAlignment="1">
      <alignment horizontal="center" vertical="center" wrapText="1"/>
    </xf>
    <xf numFmtId="9" fontId="6" fillId="0" borderId="22" xfId="16" applyFont="1" applyBorder="1" applyAlignment="1">
      <alignment horizontal="center" vertical="top" wrapText="1"/>
    </xf>
    <xf numFmtId="0" fontId="6" fillId="0" borderId="8" xfId="4" applyBorder="1" applyAlignment="1">
      <alignment horizontal="center"/>
    </xf>
    <xf numFmtId="0" fontId="6" fillId="0" borderId="0" xfId="4" applyAlignment="1">
      <alignment horizontal="center" vertical="center" wrapText="1"/>
    </xf>
    <xf numFmtId="9" fontId="0" fillId="0" borderId="0" xfId="0" applyNumberFormat="1"/>
    <xf numFmtId="0" fontId="6" fillId="0" borderId="89" xfId="4" applyBorder="1" applyAlignment="1">
      <alignment horizontal="center"/>
    </xf>
    <xf numFmtId="0" fontId="6" fillId="0" borderId="23" xfId="4" applyBorder="1" applyAlignment="1">
      <alignment horizontal="center"/>
    </xf>
    <xf numFmtId="166" fontId="10" fillId="0" borderId="22" xfId="4" applyNumberFormat="1" applyFont="1" applyBorder="1" applyAlignment="1">
      <alignment horizontal="center"/>
    </xf>
    <xf numFmtId="9" fontId="10" fillId="0" borderId="22" xfId="16" applyFont="1" applyBorder="1" applyAlignment="1">
      <alignment horizontal="center"/>
    </xf>
    <xf numFmtId="9" fontId="10" fillId="0" borderId="28" xfId="16" applyFont="1" applyBorder="1" applyAlignment="1">
      <alignment horizontal="center"/>
    </xf>
    <xf numFmtId="9" fontId="6" fillId="0" borderId="22" xfId="4" applyNumberFormat="1" applyBorder="1" applyAlignment="1">
      <alignment horizontal="center"/>
    </xf>
    <xf numFmtId="9" fontId="6" fillId="0" borderId="28" xfId="4" applyNumberFormat="1" applyBorder="1" applyAlignment="1">
      <alignment horizontal="center"/>
    </xf>
    <xf numFmtId="9" fontId="10" fillId="0" borderId="40" xfId="16" applyFont="1" applyBorder="1" applyAlignment="1">
      <alignment horizontal="center"/>
    </xf>
    <xf numFmtId="9" fontId="6" fillId="0" borderId="40" xfId="4" applyNumberFormat="1" applyBorder="1" applyAlignment="1">
      <alignment horizontal="center"/>
    </xf>
    <xf numFmtId="9" fontId="6" fillId="0" borderId="0" xfId="16" applyFont="1" applyBorder="1" applyAlignment="1">
      <alignment horizontal="center"/>
    </xf>
    <xf numFmtId="9" fontId="6" fillId="0" borderId="0" xfId="16" applyFont="1" applyBorder="1" applyAlignment="1">
      <alignment horizontal="center" vertical="center" wrapText="1"/>
    </xf>
    <xf numFmtId="0" fontId="6" fillId="0" borderId="0" xfId="0" applyFont="1"/>
    <xf numFmtId="9" fontId="6" fillId="0" borderId="21" xfId="16" applyFont="1" applyBorder="1" applyAlignment="1">
      <alignment horizontal="center" vertical="center" wrapText="1"/>
    </xf>
    <xf numFmtId="166" fontId="10" fillId="0" borderId="28" xfId="4" applyNumberFormat="1" applyFont="1" applyBorder="1" applyAlignment="1">
      <alignment horizontal="center"/>
    </xf>
    <xf numFmtId="9" fontId="15" fillId="0" borderId="0" xfId="16" applyFont="1" applyBorder="1" applyAlignment="1">
      <alignment horizontal="center"/>
    </xf>
    <xf numFmtId="9" fontId="15" fillId="0" borderId="25" xfId="16" applyFont="1" applyBorder="1" applyAlignment="1">
      <alignment horizontal="center"/>
    </xf>
    <xf numFmtId="9" fontId="15" fillId="0" borderId="37" xfId="16" applyFont="1" applyBorder="1" applyAlignment="1">
      <alignment horizontal="center"/>
    </xf>
    <xf numFmtId="0" fontId="6" fillId="0" borderId="4" xfId="4" applyBorder="1" applyAlignment="1">
      <alignment horizontal="center" vertical="top" wrapText="1"/>
    </xf>
    <xf numFmtId="9" fontId="15" fillId="0" borderId="0" xfId="16" applyFont="1" applyBorder="1" applyAlignment="1"/>
    <xf numFmtId="9" fontId="15" fillId="0" borderId="10" xfId="16" applyFont="1" applyBorder="1" applyAlignment="1">
      <alignment horizontal="center" vertical="top" wrapText="1"/>
    </xf>
    <xf numFmtId="9" fontId="15" fillId="0" borderId="84" xfId="16" applyFont="1" applyBorder="1" applyAlignment="1">
      <alignment horizontal="center" vertical="top" wrapText="1"/>
    </xf>
    <xf numFmtId="9" fontId="15" fillId="0" borderId="21" xfId="16" applyFont="1" applyBorder="1" applyAlignment="1">
      <alignment horizontal="center"/>
    </xf>
    <xf numFmtId="9" fontId="15" fillId="0" borderId="27" xfId="16" applyFont="1" applyBorder="1" applyAlignment="1">
      <alignment horizontal="center"/>
    </xf>
    <xf numFmtId="9" fontId="15" fillId="0" borderId="39" xfId="16" applyFont="1" applyBorder="1" applyAlignment="1">
      <alignment horizontal="center"/>
    </xf>
    <xf numFmtId="166" fontId="6" fillId="0" borderId="22" xfId="4" applyNumberFormat="1" applyBorder="1" applyAlignment="1">
      <alignment horizontal="center" vertical="top" wrapText="1"/>
    </xf>
    <xf numFmtId="9" fontId="6" fillId="0" borderId="25" xfId="16" applyFont="1" applyBorder="1" applyAlignment="1">
      <alignment horizontal="center"/>
    </xf>
    <xf numFmtId="9" fontId="6" fillId="0" borderId="37" xfId="16" applyFont="1" applyBorder="1" applyAlignment="1">
      <alignment horizontal="center"/>
    </xf>
    <xf numFmtId="165" fontId="6" fillId="0" borderId="86" xfId="16" applyNumberFormat="1" applyFont="1" applyBorder="1" applyAlignment="1">
      <alignment horizontal="center" vertical="center" wrapText="1"/>
    </xf>
    <xf numFmtId="0" fontId="10" fillId="0" borderId="16" xfId="4" applyFont="1" applyBorder="1" applyAlignment="1">
      <alignment horizontal="center" vertical="center" wrapText="1"/>
    </xf>
    <xf numFmtId="0" fontId="6" fillId="0" borderId="22" xfId="4" applyBorder="1" applyAlignment="1">
      <alignment horizontal="center" vertical="top" wrapText="1"/>
    </xf>
    <xf numFmtId="166" fontId="10" fillId="0" borderId="16" xfId="4" applyNumberFormat="1" applyFont="1" applyBorder="1" applyAlignment="1">
      <alignment horizontal="center" vertical="center" wrapText="1"/>
    </xf>
    <xf numFmtId="0" fontId="6" fillId="0" borderId="16" xfId="0" applyFont="1" applyBorder="1" applyAlignment="1">
      <alignment horizontal="center" vertical="center" wrapText="1"/>
    </xf>
    <xf numFmtId="9" fontId="6" fillId="0" borderId="6" xfId="16" applyFont="1" applyBorder="1" applyAlignment="1">
      <alignment horizontal="center" vertical="center" wrapText="1"/>
    </xf>
    <xf numFmtId="9" fontId="15" fillId="0" borderId="86" xfId="16" applyFont="1" applyBorder="1" applyAlignment="1">
      <alignment horizontal="center"/>
    </xf>
    <xf numFmtId="9" fontId="15" fillId="0" borderId="94" xfId="16" applyFont="1" applyBorder="1" applyAlignment="1">
      <alignment horizontal="center"/>
    </xf>
    <xf numFmtId="9" fontId="15" fillId="0" borderId="95" xfId="16" applyFont="1" applyBorder="1" applyAlignment="1">
      <alignment horizontal="center"/>
    </xf>
    <xf numFmtId="9" fontId="6" fillId="0" borderId="0" xfId="16" applyFont="1" applyBorder="1" applyAlignment="1">
      <alignment vertical="center"/>
    </xf>
    <xf numFmtId="171" fontId="6" fillId="0" borderId="6" xfId="4" applyNumberFormat="1" applyBorder="1" applyAlignment="1">
      <alignment horizontal="center"/>
    </xf>
    <xf numFmtId="171" fontId="6" fillId="0" borderId="7" xfId="4" applyNumberFormat="1" applyBorder="1" applyAlignment="1">
      <alignment horizontal="center"/>
    </xf>
    <xf numFmtId="9" fontId="6" fillId="0" borderId="93" xfId="16" applyFont="1" applyBorder="1" applyAlignment="1">
      <alignment horizontal="center" vertical="center" wrapText="1"/>
    </xf>
    <xf numFmtId="9" fontId="6" fillId="0" borderId="83" xfId="16" applyFont="1" applyBorder="1" applyAlignment="1">
      <alignment horizontal="center" vertical="center" wrapText="1"/>
    </xf>
    <xf numFmtId="9" fontId="15" fillId="0" borderId="90" xfId="16" applyFont="1" applyBorder="1" applyAlignment="1">
      <alignment horizontal="center" vertical="top" wrapText="1"/>
    </xf>
    <xf numFmtId="9" fontId="15" fillId="0" borderId="86" xfId="16" applyFont="1" applyBorder="1" applyAlignment="1">
      <alignment horizontal="center" vertical="top" wrapText="1"/>
    </xf>
    <xf numFmtId="9" fontId="6" fillId="0" borderId="22" xfId="16" applyFont="1" applyBorder="1" applyAlignment="1">
      <alignment horizontal="center"/>
    </xf>
    <xf numFmtId="9" fontId="6" fillId="0" borderId="0" xfId="16" applyFont="1" applyBorder="1" applyAlignment="1">
      <alignment horizontal="center" vertical="center"/>
    </xf>
    <xf numFmtId="9" fontId="15" fillId="0" borderId="82" xfId="16" applyFont="1" applyBorder="1" applyAlignment="1">
      <alignment horizontal="center" vertical="top" wrapText="1"/>
    </xf>
    <xf numFmtId="9" fontId="6" fillId="0" borderId="28" xfId="16" applyFont="1" applyBorder="1" applyAlignment="1">
      <alignment horizontal="center"/>
    </xf>
    <xf numFmtId="9" fontId="6" fillId="0" borderId="79" xfId="16" applyFont="1" applyBorder="1" applyAlignment="1">
      <alignment horizontal="center"/>
    </xf>
    <xf numFmtId="9" fontId="6" fillId="0" borderId="2" xfId="16" applyFont="1" applyBorder="1" applyAlignment="1">
      <alignment horizontal="center"/>
    </xf>
    <xf numFmtId="9" fontId="6" fillId="0" borderId="3" xfId="16" applyFont="1" applyBorder="1" applyAlignment="1">
      <alignment horizontal="center"/>
    </xf>
    <xf numFmtId="9" fontId="6" fillId="0" borderId="5" xfId="16" applyFont="1" applyBorder="1" applyAlignment="1">
      <alignment horizontal="center"/>
    </xf>
    <xf numFmtId="9" fontId="15" fillId="0" borderId="13" xfId="16" applyFont="1" applyBorder="1" applyAlignment="1">
      <alignment vertical="top" wrapText="1"/>
    </xf>
    <xf numFmtId="9" fontId="15" fillId="0" borderId="81" xfId="16" applyFont="1" applyBorder="1" applyAlignment="1">
      <alignment vertical="top" wrapText="1"/>
    </xf>
    <xf numFmtId="9" fontId="15" fillId="0" borderId="10" xfId="16" applyFont="1" applyBorder="1" applyAlignment="1">
      <alignment vertical="top" wrapText="1"/>
    </xf>
    <xf numFmtId="9" fontId="6" fillId="0" borderId="18" xfId="16" applyFont="1" applyBorder="1" applyAlignment="1">
      <alignment horizontal="center" vertical="center" wrapText="1"/>
    </xf>
    <xf numFmtId="9" fontId="6" fillId="0" borderId="16" xfId="16" applyFont="1" applyBorder="1" applyAlignment="1">
      <alignment horizontal="center" vertical="center" wrapText="1"/>
    </xf>
    <xf numFmtId="9" fontId="6" fillId="0" borderId="18" xfId="16" applyFont="1" applyBorder="1" applyAlignment="1">
      <alignment vertical="center" wrapText="1"/>
    </xf>
    <xf numFmtId="9" fontId="6" fillId="0" borderId="6" xfId="16" applyFont="1" applyBorder="1" applyAlignment="1">
      <alignment vertical="center" wrapText="1"/>
    </xf>
    <xf numFmtId="9" fontId="6" fillId="0" borderId="13" xfId="16" applyFont="1" applyBorder="1" applyAlignment="1">
      <alignment horizontal="center" vertical="center" wrapText="1"/>
    </xf>
    <xf numFmtId="9" fontId="6" fillId="0" borderId="82" xfId="16" applyFont="1" applyBorder="1" applyAlignment="1">
      <alignment horizontal="center" vertical="center" wrapText="1"/>
    </xf>
    <xf numFmtId="9" fontId="6" fillId="0" borderId="86" xfId="16" applyFont="1" applyBorder="1" applyAlignment="1">
      <alignment horizontal="center" vertical="center" wrapText="1"/>
    </xf>
    <xf numFmtId="9" fontId="6" fillId="0" borderId="103" xfId="16" applyFont="1" applyBorder="1" applyAlignment="1">
      <alignment horizontal="center" vertical="top" wrapText="1"/>
    </xf>
    <xf numFmtId="9" fontId="6" fillId="0" borderId="11" xfId="16" applyFont="1" applyBorder="1" applyAlignment="1">
      <alignment horizontal="center" vertical="top"/>
    </xf>
    <xf numFmtId="9" fontId="6" fillId="0" borderId="10" xfId="16" applyFont="1" applyBorder="1" applyAlignment="1">
      <alignment horizontal="center" vertical="top"/>
    </xf>
    <xf numFmtId="9" fontId="6" fillId="0" borderId="14" xfId="16" applyFont="1" applyBorder="1" applyAlignment="1">
      <alignment horizontal="center" vertical="top"/>
    </xf>
    <xf numFmtId="9" fontId="6" fillId="0" borderId="21" xfId="16" applyFont="1" applyBorder="1" applyAlignment="1">
      <alignment horizontal="center" vertical="center"/>
    </xf>
    <xf numFmtId="9" fontId="6" fillId="0" borderId="82" xfId="16" applyFont="1" applyBorder="1" applyAlignment="1">
      <alignment horizontal="center" vertical="center"/>
    </xf>
    <xf numFmtId="9" fontId="6" fillId="0" borderId="86" xfId="16" applyFont="1" applyBorder="1" applyAlignment="1">
      <alignment horizontal="center" vertical="center"/>
    </xf>
    <xf numFmtId="9" fontId="6" fillId="0" borderId="21" xfId="16" applyFont="1" applyBorder="1" applyAlignment="1">
      <alignment horizontal="center"/>
    </xf>
    <xf numFmtId="9" fontId="6" fillId="0" borderId="27" xfId="16" applyFont="1" applyBorder="1" applyAlignment="1">
      <alignment horizontal="center" vertical="center"/>
    </xf>
    <xf numFmtId="9" fontId="6" fillId="0" borderId="91" xfId="16" applyFont="1" applyBorder="1" applyAlignment="1">
      <alignment horizontal="center" vertical="center"/>
    </xf>
    <xf numFmtId="9" fontId="6" fillId="0" borderId="94" xfId="16" applyFont="1" applyBorder="1" applyAlignment="1">
      <alignment horizontal="center" vertical="center"/>
    </xf>
    <xf numFmtId="9" fontId="6" fillId="0" borderId="25" xfId="16" applyFont="1" applyBorder="1" applyAlignment="1">
      <alignment horizontal="center" vertical="center"/>
    </xf>
    <xf numFmtId="9" fontId="6" fillId="0" borderId="52" xfId="16" applyFont="1" applyBorder="1" applyAlignment="1">
      <alignment horizontal="center" vertical="center"/>
    </xf>
    <xf numFmtId="9" fontId="6" fillId="0" borderId="27" xfId="16" applyFont="1" applyBorder="1" applyAlignment="1">
      <alignment horizontal="center"/>
    </xf>
    <xf numFmtId="9" fontId="6" fillId="0" borderId="29" xfId="16" applyFont="1" applyBorder="1" applyAlignment="1">
      <alignment horizontal="center"/>
    </xf>
    <xf numFmtId="9" fontId="6" fillId="0" borderId="39" xfId="16" applyFont="1" applyBorder="1" applyAlignment="1">
      <alignment horizontal="center" vertical="center"/>
    </xf>
    <xf numFmtId="9" fontId="6" fillId="0" borderId="85" xfId="16" applyFont="1" applyBorder="1" applyAlignment="1">
      <alignment horizontal="center" vertical="center"/>
    </xf>
    <xf numFmtId="9" fontId="6" fillId="0" borderId="95" xfId="16" applyFont="1" applyBorder="1" applyAlignment="1">
      <alignment horizontal="center" vertical="center"/>
    </xf>
    <xf numFmtId="9" fontId="6" fillId="0" borderId="37" xfId="16" applyFont="1" applyBorder="1" applyAlignment="1">
      <alignment horizontal="center" vertical="center"/>
    </xf>
    <xf numFmtId="9" fontId="6" fillId="0" borderId="40" xfId="16" applyFont="1" applyBorder="1" applyAlignment="1">
      <alignment horizontal="center"/>
    </xf>
    <xf numFmtId="9" fontId="6" fillId="0" borderId="53" xfId="16" applyFont="1" applyBorder="1" applyAlignment="1">
      <alignment horizontal="center" vertical="center"/>
    </xf>
    <xf numFmtId="9" fontId="6" fillId="0" borderId="39" xfId="16" applyFont="1" applyBorder="1" applyAlignment="1">
      <alignment horizontal="center"/>
    </xf>
    <xf numFmtId="9" fontId="6" fillId="0" borderId="41" xfId="16" applyFont="1" applyBorder="1" applyAlignment="1">
      <alignment horizontal="center"/>
    </xf>
    <xf numFmtId="0" fontId="23" fillId="0" borderId="0" xfId="4" applyFont="1" applyAlignment="1">
      <alignment vertical="top"/>
    </xf>
    <xf numFmtId="9" fontId="23" fillId="0" borderId="0" xfId="16" applyFont="1" applyAlignment="1">
      <alignment horizontal="center"/>
    </xf>
    <xf numFmtId="9" fontId="15" fillId="0" borderId="21" xfId="16" applyFont="1" applyBorder="1" applyAlignment="1">
      <alignment horizontal="center" vertical="top" wrapText="1"/>
    </xf>
    <xf numFmtId="9" fontId="6" fillId="0" borderId="18" xfId="16" applyFont="1" applyBorder="1" applyAlignment="1">
      <alignment horizontal="center"/>
    </xf>
    <xf numFmtId="9" fontId="6" fillId="0" borderId="49" xfId="16" applyFont="1" applyBorder="1" applyAlignment="1">
      <alignment horizontal="center"/>
    </xf>
    <xf numFmtId="9" fontId="6" fillId="0" borderId="21" xfId="16" applyFont="1" applyBorder="1" applyAlignment="1">
      <alignment vertical="top"/>
    </xf>
    <xf numFmtId="9" fontId="6" fillId="0" borderId="48" xfId="16" applyFont="1" applyBorder="1" applyAlignment="1">
      <alignment vertical="top"/>
    </xf>
    <xf numFmtId="9" fontId="6" fillId="0" borderId="48" xfId="16" applyFont="1" applyBorder="1" applyAlignment="1">
      <alignment horizontal="center"/>
    </xf>
    <xf numFmtId="9" fontId="6" fillId="0" borderId="52" xfId="16" applyFont="1" applyBorder="1" applyAlignment="1">
      <alignment horizontal="center"/>
    </xf>
    <xf numFmtId="9" fontId="6" fillId="0" borderId="53" xfId="16" applyFont="1" applyBorder="1" applyAlignment="1">
      <alignment horizontal="center"/>
    </xf>
    <xf numFmtId="0" fontId="23" fillId="0" borderId="0" xfId="4" applyFont="1" applyAlignment="1">
      <alignment vertical="top" wrapText="1"/>
    </xf>
    <xf numFmtId="165" fontId="6" fillId="0" borderId="0" xfId="16" applyNumberFormat="1" applyFont="1" applyBorder="1" applyAlignment="1">
      <alignment vertical="center"/>
    </xf>
    <xf numFmtId="165" fontId="15" fillId="0" borderId="86" xfId="16" applyNumberFormat="1" applyFont="1" applyBorder="1" applyAlignment="1">
      <alignment horizontal="center" vertical="top" wrapText="1"/>
    </xf>
    <xf numFmtId="165" fontId="6" fillId="0" borderId="93" xfId="16" applyNumberFormat="1" applyFont="1" applyBorder="1" applyAlignment="1">
      <alignment vertical="center" wrapText="1"/>
    </xf>
    <xf numFmtId="165" fontId="6" fillId="0" borderId="86" xfId="16" applyNumberFormat="1" applyFont="1" applyBorder="1" applyAlignment="1">
      <alignment horizontal="center" vertical="center"/>
    </xf>
    <xf numFmtId="165" fontId="6" fillId="0" borderId="94" xfId="16" applyNumberFormat="1" applyFont="1" applyBorder="1" applyAlignment="1">
      <alignment horizontal="center" vertical="center"/>
    </xf>
    <xf numFmtId="165" fontId="6" fillId="0" borderId="95" xfId="16" applyNumberFormat="1" applyFont="1" applyBorder="1" applyAlignment="1">
      <alignment horizontal="center" vertical="center"/>
    </xf>
    <xf numFmtId="0" fontId="6" fillId="0" borderId="74" xfId="0" applyFont="1" applyBorder="1" applyAlignment="1">
      <alignment wrapText="1"/>
    </xf>
    <xf numFmtId="0" fontId="6" fillId="0" borderId="88" xfId="0" applyFont="1" applyBorder="1" applyAlignment="1">
      <alignment wrapText="1"/>
    </xf>
    <xf numFmtId="0" fontId="6" fillId="0" borderId="105" xfId="0" applyFont="1" applyBorder="1" applyAlignment="1">
      <alignment horizontal="left" vertical="center" wrapText="1"/>
    </xf>
    <xf numFmtId="0" fontId="0" fillId="0" borderId="42" xfId="0" applyBorder="1"/>
    <xf numFmtId="0" fontId="0" fillId="0" borderId="22" xfId="0" applyBorder="1"/>
    <xf numFmtId="0" fontId="0" fillId="0" borderId="48" xfId="0" applyBorder="1"/>
    <xf numFmtId="0" fontId="0" fillId="3" borderId="44" xfId="0" applyFill="1" applyBorder="1"/>
    <xf numFmtId="0" fontId="0" fillId="0" borderId="19" xfId="0" applyBorder="1"/>
    <xf numFmtId="0" fontId="6" fillId="0" borderId="22" xfId="0" applyFont="1" applyBorder="1" applyAlignment="1">
      <alignment wrapText="1"/>
    </xf>
    <xf numFmtId="0" fontId="0" fillId="0" borderId="48" xfId="0" applyBorder="1" applyAlignment="1">
      <alignment wrapText="1"/>
    </xf>
    <xf numFmtId="0" fontId="0" fillId="0" borderId="43" xfId="0" applyBorder="1"/>
    <xf numFmtId="0" fontId="0" fillId="0" borderId="44" xfId="0" applyBorder="1"/>
    <xf numFmtId="0" fontId="0" fillId="3" borderId="48" xfId="0" applyFill="1" applyBorder="1"/>
    <xf numFmtId="0" fontId="6" fillId="0" borderId="22" xfId="0" applyFont="1" applyBorder="1"/>
    <xf numFmtId="0" fontId="6" fillId="0" borderId="48" xfId="0" applyFont="1" applyBorder="1"/>
    <xf numFmtId="0" fontId="6" fillId="0" borderId="19" xfId="0" applyFont="1" applyBorder="1"/>
    <xf numFmtId="9" fontId="0" fillId="0" borderId="42" xfId="1" applyFont="1" applyBorder="1"/>
    <xf numFmtId="9" fontId="0" fillId="0" borderId="43" xfId="1" applyFont="1" applyBorder="1"/>
    <xf numFmtId="9" fontId="0" fillId="0" borderId="44" xfId="1" applyFont="1" applyBorder="1"/>
    <xf numFmtId="9" fontId="0" fillId="0" borderId="22" xfId="1" applyFont="1" applyBorder="1"/>
    <xf numFmtId="9" fontId="0" fillId="0" borderId="0" xfId="1" applyFont="1" applyBorder="1"/>
    <xf numFmtId="9" fontId="0" fillId="0" borderId="48" xfId="1" applyFont="1" applyBorder="1"/>
    <xf numFmtId="9" fontId="0" fillId="0" borderId="21" xfId="1" applyFont="1" applyBorder="1"/>
    <xf numFmtId="166" fontId="32" fillId="0" borderId="98" xfId="0" applyNumberFormat="1" applyFont="1" applyBorder="1" applyAlignment="1">
      <alignment horizontal="center" vertical="center" wrapText="1"/>
    </xf>
    <xf numFmtId="3" fontId="26" fillId="0" borderId="6" xfId="0" applyNumberFormat="1" applyFont="1" applyBorder="1" applyAlignment="1">
      <alignment horizontal="center" vertical="center" wrapText="1"/>
    </xf>
    <xf numFmtId="3" fontId="26" fillId="0" borderId="98" xfId="0" applyNumberFormat="1" applyFont="1" applyBorder="1" applyAlignment="1">
      <alignment horizontal="center" vertical="center" wrapText="1"/>
    </xf>
    <xf numFmtId="166" fontId="32" fillId="0" borderId="56" xfId="0" applyNumberFormat="1" applyFont="1" applyBorder="1" applyAlignment="1">
      <alignment horizontal="center" vertical="center" wrapText="1"/>
    </xf>
    <xf numFmtId="3" fontId="26" fillId="0" borderId="0" xfId="0" applyNumberFormat="1" applyFont="1" applyAlignment="1">
      <alignment horizontal="center" vertical="center" wrapText="1"/>
    </xf>
    <xf numFmtId="0" fontId="27" fillId="0" borderId="0" xfId="0" applyFont="1" applyAlignment="1">
      <alignment horizontal="center" vertical="center" wrapText="1"/>
    </xf>
    <xf numFmtId="0" fontId="30" fillId="0" borderId="0" xfId="0" applyFont="1" applyAlignment="1">
      <alignment horizontal="center" vertical="top" wrapText="1"/>
    </xf>
    <xf numFmtId="0" fontId="31" fillId="0" borderId="0" xfId="0" applyFont="1" applyAlignment="1">
      <alignment horizontal="center" vertical="top" wrapText="1"/>
    </xf>
    <xf numFmtId="0" fontId="26" fillId="0" borderId="0" xfId="0" applyFont="1" applyAlignment="1">
      <alignment vertical="top" wrapText="1"/>
    </xf>
    <xf numFmtId="166" fontId="27" fillId="0" borderId="0" xfId="0" applyNumberFormat="1" applyFont="1" applyAlignment="1">
      <alignment horizontal="center" vertical="center" wrapText="1"/>
    </xf>
    <xf numFmtId="166" fontId="33" fillId="0" borderId="0" xfId="0" applyNumberFormat="1" applyFont="1" applyAlignment="1">
      <alignment horizontal="center" vertical="center" wrapText="1"/>
    </xf>
    <xf numFmtId="166" fontId="26" fillId="0" borderId="0" xfId="0" applyNumberFormat="1" applyFont="1" applyAlignment="1">
      <alignment horizontal="center" vertical="top" wrapText="1"/>
    </xf>
    <xf numFmtId="166" fontId="32" fillId="0" borderId="0" xfId="0" applyNumberFormat="1" applyFont="1" applyAlignment="1">
      <alignment horizontal="center" vertical="top" wrapText="1"/>
    </xf>
    <xf numFmtId="166" fontId="27" fillId="0" borderId="0" xfId="0" applyNumberFormat="1" applyFont="1" applyAlignment="1">
      <alignment horizontal="center" vertical="top" wrapText="1"/>
    </xf>
    <xf numFmtId="170" fontId="27" fillId="0" borderId="0" xfId="0" applyNumberFormat="1" applyFont="1" applyAlignment="1">
      <alignment horizontal="center" vertical="top" wrapText="1"/>
    </xf>
    <xf numFmtId="0" fontId="26" fillId="0" borderId="0" xfId="0" applyFont="1" applyAlignment="1">
      <alignment horizontal="center" vertical="top" wrapText="1"/>
    </xf>
    <xf numFmtId="9" fontId="26" fillId="0" borderId="0" xfId="0" applyNumberFormat="1" applyFont="1" applyAlignment="1">
      <alignment horizontal="center" vertical="top" wrapText="1"/>
    </xf>
    <xf numFmtId="0" fontId="27" fillId="0" borderId="0" xfId="0" applyFont="1" applyAlignment="1">
      <alignment horizontal="center" vertical="top" wrapText="1"/>
    </xf>
    <xf numFmtId="166" fontId="26" fillId="0" borderId="86" xfId="0" applyNumberFormat="1" applyFont="1" applyBorder="1" applyAlignment="1">
      <alignment horizontal="center" vertical="top" wrapText="1"/>
    </xf>
    <xf numFmtId="166" fontId="26" fillId="0" borderId="82" xfId="0" applyNumberFormat="1" applyFont="1" applyBorder="1" applyAlignment="1">
      <alignment horizontal="center" vertical="top" wrapText="1"/>
    </xf>
    <xf numFmtId="166" fontId="26" fillId="0" borderId="0" xfId="0" applyNumberFormat="1" applyFont="1" applyAlignment="1">
      <alignment horizontal="center" vertical="center" wrapText="1"/>
    </xf>
    <xf numFmtId="166" fontId="27" fillId="0" borderId="86" xfId="0" applyNumberFormat="1" applyFont="1" applyBorder="1" applyAlignment="1">
      <alignment horizontal="center" vertical="center" wrapText="1"/>
    </xf>
    <xf numFmtId="166" fontId="27" fillId="0" borderId="82" xfId="0" applyNumberFormat="1" applyFont="1" applyBorder="1" applyAlignment="1">
      <alignment horizontal="center" vertical="top" wrapText="1"/>
    </xf>
    <xf numFmtId="166" fontId="27" fillId="0" borderId="82" xfId="0" applyNumberFormat="1" applyFont="1" applyBorder="1" applyAlignment="1">
      <alignment horizontal="center" vertical="center" wrapText="1"/>
    </xf>
    <xf numFmtId="166" fontId="32" fillId="0" borderId="0" xfId="0" applyNumberFormat="1" applyFont="1" applyAlignment="1">
      <alignment horizontal="center" vertical="center" wrapText="1"/>
    </xf>
    <xf numFmtId="166" fontId="40" fillId="0" borderId="0" xfId="0" applyNumberFormat="1" applyFont="1" applyAlignment="1">
      <alignment horizontal="center" vertical="top" wrapText="1"/>
    </xf>
    <xf numFmtId="166" fontId="43" fillId="0" borderId="0" xfId="0" applyNumberFormat="1" applyFont="1" applyAlignment="1">
      <alignment horizontal="center" vertical="center" wrapText="1"/>
    </xf>
    <xf numFmtId="166" fontId="44" fillId="0" borderId="0" xfId="0" applyNumberFormat="1" applyFont="1" applyAlignment="1">
      <alignment horizontal="center" vertical="top" wrapText="1"/>
    </xf>
    <xf numFmtId="166" fontId="45" fillId="0" borderId="0" xfId="0" applyNumberFormat="1" applyFont="1" applyAlignment="1">
      <alignment horizontal="center" vertical="center" wrapText="1"/>
    </xf>
    <xf numFmtId="166" fontId="44" fillId="0" borderId="0" xfId="0" applyNumberFormat="1" applyFont="1" applyAlignment="1">
      <alignment horizontal="center" vertical="center" wrapText="1"/>
    </xf>
    <xf numFmtId="166" fontId="43" fillId="0" borderId="0" xfId="0" applyNumberFormat="1" applyFont="1" applyAlignment="1">
      <alignment horizontal="center" vertical="top" wrapText="1"/>
    </xf>
    <xf numFmtId="166" fontId="27" fillId="0" borderId="86" xfId="0" applyNumberFormat="1" applyFont="1" applyBorder="1" applyAlignment="1">
      <alignment horizontal="center" vertical="top" wrapText="1"/>
    </xf>
    <xf numFmtId="166" fontId="40" fillId="0" borderId="0" xfId="0" applyNumberFormat="1" applyFont="1" applyAlignment="1">
      <alignment horizontal="center" vertical="center" wrapText="1"/>
    </xf>
    <xf numFmtId="166" fontId="40" fillId="0" borderId="82" xfId="0" applyNumberFormat="1" applyFont="1" applyBorder="1" applyAlignment="1">
      <alignment horizontal="center" vertical="top" wrapText="1"/>
    </xf>
    <xf numFmtId="166" fontId="44" fillId="0" borderId="86" xfId="0" applyNumberFormat="1" applyFont="1" applyBorder="1" applyAlignment="1">
      <alignment horizontal="center" vertical="top" wrapText="1"/>
    </xf>
    <xf numFmtId="166" fontId="44" fillId="0" borderId="82" xfId="0" applyNumberFormat="1" applyFont="1" applyBorder="1" applyAlignment="1">
      <alignment horizontal="center" vertical="top" wrapText="1"/>
    </xf>
    <xf numFmtId="166" fontId="30" fillId="0" borderId="0" xfId="0" applyNumberFormat="1" applyFont="1" applyAlignment="1">
      <alignment horizontal="center" vertical="top" wrapText="1"/>
    </xf>
    <xf numFmtId="0" fontId="30" fillId="0" borderId="0" xfId="0" applyFont="1" applyAlignment="1">
      <alignment vertical="top" wrapText="1"/>
    </xf>
    <xf numFmtId="166" fontId="30" fillId="0" borderId="86" xfId="0" applyNumberFormat="1" applyFont="1" applyBorder="1" applyAlignment="1">
      <alignment horizontal="center" vertical="top" wrapText="1"/>
    </xf>
    <xf numFmtId="166" fontId="26" fillId="0" borderId="86" xfId="0" applyNumberFormat="1" applyFont="1" applyBorder="1" applyAlignment="1">
      <alignment horizontal="center" vertical="center" wrapText="1"/>
    </xf>
    <xf numFmtId="9" fontId="27" fillId="0" borderId="0" xfId="0" applyNumberFormat="1" applyFont="1" applyAlignment="1">
      <alignment horizontal="center" vertical="top" wrapText="1"/>
    </xf>
    <xf numFmtId="9" fontId="27" fillId="0" borderId="0" xfId="0" applyNumberFormat="1" applyFont="1" applyAlignment="1">
      <alignment horizontal="center" vertical="center" wrapText="1"/>
    </xf>
    <xf numFmtId="166" fontId="45" fillId="0" borderId="82" xfId="0" applyNumberFormat="1" applyFont="1" applyBorder="1" applyAlignment="1">
      <alignment horizontal="center" vertical="center" wrapText="1"/>
    </xf>
    <xf numFmtId="9" fontId="26" fillId="0" borderId="0" xfId="16" applyFont="1" applyBorder="1" applyAlignment="1">
      <alignment vertical="top" wrapText="1"/>
    </xf>
    <xf numFmtId="166" fontId="27" fillId="0" borderId="0" xfId="0" applyNumberFormat="1" applyFont="1" applyAlignment="1">
      <alignment vertical="top" wrapText="1"/>
    </xf>
    <xf numFmtId="166" fontId="33" fillId="0" borderId="0" xfId="0" applyNumberFormat="1" applyFont="1" applyAlignment="1">
      <alignment horizontal="center" vertical="top" wrapText="1"/>
    </xf>
    <xf numFmtId="166" fontId="27" fillId="0" borderId="0" xfId="9" applyNumberFormat="1" applyFont="1" applyAlignment="1">
      <alignment horizontal="center" vertical="top" wrapText="1"/>
    </xf>
    <xf numFmtId="166" fontId="27" fillId="0" borderId="0" xfId="0" applyNumberFormat="1" applyFont="1" applyAlignment="1">
      <alignment horizontal="left" vertical="top" wrapText="1"/>
    </xf>
    <xf numFmtId="166" fontId="26" fillId="0" borderId="0" xfId="0" applyNumberFormat="1" applyFont="1" applyAlignment="1">
      <alignment vertical="top" wrapText="1"/>
    </xf>
    <xf numFmtId="170" fontId="27" fillId="0" borderId="0" xfId="0" applyNumberFormat="1" applyFont="1" applyAlignment="1">
      <alignment horizontal="center" vertical="center" wrapText="1"/>
    </xf>
    <xf numFmtId="9" fontId="27" fillId="0" borderId="6" xfId="0" applyNumberFormat="1" applyFont="1" applyBorder="1" applyAlignment="1">
      <alignment horizontal="center" vertical="center" wrapText="1"/>
    </xf>
    <xf numFmtId="170" fontId="26" fillId="0" borderId="0" xfId="0" applyNumberFormat="1" applyFont="1" applyAlignment="1">
      <alignment horizontal="center" vertical="top" wrapText="1"/>
    </xf>
    <xf numFmtId="9" fontId="26" fillId="0" borderId="0" xfId="16" applyFont="1" applyBorder="1" applyAlignment="1">
      <alignment horizontal="center" vertical="top" wrapText="1"/>
    </xf>
    <xf numFmtId="0" fontId="26" fillId="0" borderId="0" xfId="0" applyFont="1" applyAlignment="1">
      <alignment vertical="center" wrapText="1"/>
    </xf>
    <xf numFmtId="166" fontId="31" fillId="0" borderId="0" xfId="0" applyNumberFormat="1" applyFont="1" applyAlignment="1">
      <alignment horizontal="center" vertical="top" wrapText="1"/>
    </xf>
    <xf numFmtId="170" fontId="31" fillId="0" borderId="0" xfId="0" applyNumberFormat="1" applyFont="1" applyAlignment="1">
      <alignment horizontal="center" vertical="top" wrapText="1"/>
    </xf>
    <xf numFmtId="9" fontId="31" fillId="0" borderId="0" xfId="0" applyNumberFormat="1" applyFont="1" applyAlignment="1">
      <alignment horizontal="center" vertical="top" wrapText="1"/>
    </xf>
    <xf numFmtId="166" fontId="30" fillId="0" borderId="0" xfId="0" applyNumberFormat="1" applyFont="1" applyAlignment="1">
      <alignment vertical="top" wrapText="1"/>
    </xf>
    <xf numFmtId="166" fontId="31" fillId="0" borderId="0" xfId="0" applyNumberFormat="1" applyFont="1" applyAlignment="1">
      <alignment vertical="top" wrapText="1"/>
    </xf>
    <xf numFmtId="166" fontId="26" fillId="0" borderId="0" xfId="0" applyNumberFormat="1" applyFont="1" applyAlignment="1">
      <alignment vertical="center" wrapText="1"/>
    </xf>
    <xf numFmtId="0" fontId="34" fillId="0" borderId="0" xfId="0" applyFont="1" applyAlignment="1">
      <alignment horizontal="center" vertical="center" wrapText="1"/>
    </xf>
    <xf numFmtId="166" fontId="27" fillId="0" borderId="0" xfId="0" applyNumberFormat="1" applyFont="1" applyAlignment="1">
      <alignment horizontal="left" vertical="center" wrapText="1"/>
    </xf>
    <xf numFmtId="170" fontId="27" fillId="0" borderId="0" xfId="0" applyNumberFormat="1" applyFont="1" applyAlignment="1">
      <alignment horizontal="left" vertical="center" wrapText="1"/>
    </xf>
    <xf numFmtId="9" fontId="27" fillId="0" borderId="0" xfId="0" applyNumberFormat="1" applyFont="1" applyAlignment="1">
      <alignment horizontal="left" vertical="center" wrapText="1"/>
    </xf>
    <xf numFmtId="0" fontId="33" fillId="0" borderId="0" xfId="0" applyFont="1" applyAlignment="1">
      <alignment horizontal="left" vertical="center" wrapText="1"/>
    </xf>
    <xf numFmtId="166" fontId="26" fillId="0" borderId="0" xfId="0" applyNumberFormat="1" applyFont="1" applyAlignment="1">
      <alignment horizontal="left" vertical="center" wrapText="1"/>
    </xf>
    <xf numFmtId="0" fontId="26" fillId="0" borderId="0" xfId="0" applyFont="1" applyAlignment="1">
      <alignment horizontal="left" vertical="center" wrapText="1"/>
    </xf>
    <xf numFmtId="166" fontId="33" fillId="0" borderId="0" xfId="0" applyNumberFormat="1" applyFont="1" applyAlignment="1">
      <alignment horizontal="left" vertical="center" wrapText="1"/>
    </xf>
    <xf numFmtId="169" fontId="27" fillId="0" borderId="0" xfId="0" applyNumberFormat="1" applyFont="1" applyAlignment="1">
      <alignment horizontal="center" vertical="top" wrapText="1"/>
    </xf>
    <xf numFmtId="169" fontId="31" fillId="0" borderId="0" xfId="0" applyNumberFormat="1" applyFont="1" applyAlignment="1">
      <alignment horizontal="center" vertical="top" wrapText="1"/>
    </xf>
    <xf numFmtId="169" fontId="27" fillId="0" borderId="0" xfId="0" applyNumberFormat="1" applyFont="1" applyAlignment="1">
      <alignment horizontal="center" vertical="center" wrapText="1"/>
    </xf>
    <xf numFmtId="169" fontId="26" fillId="0" borderId="0" xfId="0" applyNumberFormat="1" applyFont="1" applyAlignment="1">
      <alignment horizontal="center" vertical="top" wrapText="1"/>
    </xf>
    <xf numFmtId="0" fontId="26" fillId="2" borderId="0" xfId="0" applyFont="1" applyFill="1" applyAlignment="1">
      <alignment vertical="top" wrapText="1"/>
    </xf>
    <xf numFmtId="0" fontId="33" fillId="2" borderId="0" xfId="0" applyFont="1" applyFill="1" applyAlignment="1">
      <alignment horizontal="left" vertical="center" wrapText="1"/>
    </xf>
    <xf numFmtId="0" fontId="26" fillId="2" borderId="0" xfId="0" applyFont="1" applyFill="1" applyAlignment="1">
      <alignment vertical="center" wrapText="1"/>
    </xf>
    <xf numFmtId="0" fontId="30" fillId="2" borderId="0" xfId="0" applyFont="1" applyFill="1" applyAlignment="1">
      <alignment vertical="top" wrapText="1"/>
    </xf>
    <xf numFmtId="0" fontId="26" fillId="0" borderId="0" xfId="0" applyFont="1" applyAlignment="1">
      <alignment horizontal="center" vertical="center" wrapText="1"/>
    </xf>
    <xf numFmtId="3" fontId="27" fillId="0" borderId="0" xfId="0" applyNumberFormat="1" applyFont="1" applyAlignment="1">
      <alignment horizontal="center" vertical="top" wrapText="1"/>
    </xf>
    <xf numFmtId="170" fontId="38" fillId="0" borderId="0" xfId="0" applyNumberFormat="1" applyFont="1" applyAlignment="1">
      <alignment horizontal="center" vertical="top" wrapText="1"/>
    </xf>
    <xf numFmtId="11" fontId="27" fillId="0" borderId="0" xfId="0" applyNumberFormat="1" applyFont="1" applyAlignment="1">
      <alignment horizontal="center" vertical="top" wrapText="1"/>
    </xf>
    <xf numFmtId="11" fontId="31" fillId="0" borderId="0" xfId="0" applyNumberFormat="1" applyFont="1" applyAlignment="1">
      <alignment horizontal="center" vertical="top" wrapText="1"/>
    </xf>
    <xf numFmtId="11" fontId="27" fillId="0" borderId="0" xfId="0" applyNumberFormat="1" applyFont="1" applyAlignment="1">
      <alignment horizontal="center" vertical="center" wrapText="1"/>
    </xf>
    <xf numFmtId="11" fontId="33" fillId="0" borderId="0" xfId="0" applyNumberFormat="1" applyFont="1" applyAlignment="1">
      <alignment horizontal="center" vertical="center" wrapText="1"/>
    </xf>
    <xf numFmtId="166" fontId="28" fillId="0" borderId="0" xfId="0" applyNumberFormat="1" applyFont="1" applyAlignment="1">
      <alignment horizontal="center" vertical="center" wrapText="1"/>
    </xf>
    <xf numFmtId="11" fontId="26" fillId="0" borderId="0" xfId="0" applyNumberFormat="1" applyFont="1" applyAlignment="1">
      <alignment horizontal="center" vertical="top" wrapText="1"/>
    </xf>
    <xf numFmtId="9" fontId="38" fillId="0" borderId="0" xfId="0" applyNumberFormat="1" applyFont="1" applyAlignment="1">
      <alignment horizontal="center" vertical="top" wrapText="1"/>
    </xf>
    <xf numFmtId="166" fontId="38" fillId="0" borderId="0" xfId="0" applyNumberFormat="1" applyFont="1" applyAlignment="1">
      <alignment horizontal="center" vertical="top" wrapText="1"/>
    </xf>
    <xf numFmtId="166" fontId="45" fillId="0" borderId="0" xfId="0" applyNumberFormat="1" applyFont="1" applyAlignment="1">
      <alignment horizontal="center" vertical="top" wrapText="1"/>
    </xf>
    <xf numFmtId="9" fontId="26" fillId="0" borderId="0" xfId="0" applyNumberFormat="1" applyFont="1" applyAlignment="1">
      <alignment horizontal="center" vertical="center" wrapText="1"/>
    </xf>
    <xf numFmtId="9" fontId="30" fillId="0" borderId="0" xfId="0" applyNumberFormat="1" applyFont="1" applyAlignment="1">
      <alignment horizontal="center" vertical="top" wrapText="1"/>
    </xf>
    <xf numFmtId="1" fontId="38" fillId="0" borderId="0" xfId="0" applyNumberFormat="1" applyFont="1" applyAlignment="1">
      <alignment horizontal="center" vertical="top" wrapText="1"/>
    </xf>
    <xf numFmtId="1" fontId="26" fillId="0" borderId="0" xfId="0" applyNumberFormat="1" applyFont="1" applyAlignment="1">
      <alignment horizontal="center" vertical="top" wrapText="1"/>
    </xf>
    <xf numFmtId="166" fontId="27" fillId="0" borderId="10" xfId="0" applyNumberFormat="1" applyFont="1" applyBorder="1" applyAlignment="1">
      <alignment horizontal="center" vertical="top" wrapText="1"/>
    </xf>
    <xf numFmtId="166" fontId="27" fillId="0" borderId="81" xfId="0" applyNumberFormat="1" applyFont="1" applyBorder="1" applyAlignment="1">
      <alignment horizontal="center" vertical="top" wrapText="1"/>
    </xf>
    <xf numFmtId="166" fontId="30" fillId="0" borderId="82" xfId="0" applyNumberFormat="1" applyFont="1" applyBorder="1" applyAlignment="1">
      <alignment horizontal="center" vertical="top" wrapText="1"/>
    </xf>
    <xf numFmtId="166" fontId="38" fillId="0" borderId="82" xfId="0" applyNumberFormat="1" applyFont="1" applyBorder="1" applyAlignment="1">
      <alignment horizontal="center" vertical="top" wrapText="1"/>
    </xf>
    <xf numFmtId="166" fontId="27" fillId="0" borderId="92" xfId="0" applyNumberFormat="1" applyFont="1" applyBorder="1" applyAlignment="1">
      <alignment horizontal="center" vertical="top" wrapText="1"/>
    </xf>
    <xf numFmtId="166" fontId="53" fillId="0" borderId="0" xfId="0" applyNumberFormat="1" applyFont="1" applyAlignment="1">
      <alignment horizontal="center" vertical="top" wrapText="1"/>
    </xf>
    <xf numFmtId="166" fontId="44" fillId="0" borderId="0" xfId="0" applyNumberFormat="1" applyFont="1" applyAlignment="1">
      <alignment vertical="top" wrapText="1"/>
    </xf>
    <xf numFmtId="166" fontId="45" fillId="0" borderId="0" xfId="0" applyNumberFormat="1" applyFont="1" applyAlignment="1">
      <alignment vertical="top" wrapText="1"/>
    </xf>
    <xf numFmtId="166" fontId="26" fillId="0" borderId="6" xfId="0" applyNumberFormat="1" applyFont="1" applyBorder="1" applyAlignment="1">
      <alignment vertical="center" wrapText="1"/>
    </xf>
    <xf numFmtId="166" fontId="26" fillId="0" borderId="6" xfId="0" applyNumberFormat="1" applyFont="1" applyBorder="1" applyAlignment="1">
      <alignment horizontal="center" vertical="center" wrapText="1"/>
    </xf>
    <xf numFmtId="166" fontId="33" fillId="0" borderId="56" xfId="0" applyNumberFormat="1" applyFont="1" applyBorder="1" applyAlignment="1">
      <alignment vertical="center" wrapText="1"/>
    </xf>
    <xf numFmtId="166" fontId="45" fillId="0" borderId="82" xfId="0" applyNumberFormat="1" applyFont="1" applyBorder="1" applyAlignment="1">
      <alignment horizontal="center" vertical="top" wrapText="1"/>
    </xf>
    <xf numFmtId="166" fontId="31" fillId="0" borderId="86" xfId="0" applyNumberFormat="1" applyFont="1" applyBorder="1" applyAlignment="1">
      <alignment horizontal="center" vertical="top" wrapText="1"/>
    </xf>
    <xf numFmtId="0" fontId="44" fillId="0" borderId="82" xfId="0" applyFont="1" applyBorder="1" applyAlignment="1">
      <alignment vertical="top" wrapText="1"/>
    </xf>
    <xf numFmtId="0" fontId="44" fillId="0" borderId="82" xfId="0" applyFont="1" applyBorder="1" applyAlignment="1">
      <alignment vertical="center" wrapText="1"/>
    </xf>
    <xf numFmtId="166" fontId="32" fillId="0" borderId="0" xfId="0" applyNumberFormat="1" applyFont="1" applyAlignment="1">
      <alignment vertical="center" wrapText="1"/>
    </xf>
    <xf numFmtId="0" fontId="34" fillId="0" borderId="0" xfId="0" applyFont="1" applyAlignment="1">
      <alignment horizontal="left" vertical="center"/>
    </xf>
    <xf numFmtId="167" fontId="35" fillId="0" borderId="0" xfId="0" applyNumberFormat="1" applyFont="1" applyAlignment="1">
      <alignment horizontal="left"/>
    </xf>
    <xf numFmtId="166" fontId="17" fillId="0" borderId="0" xfId="0" applyNumberFormat="1" applyFont="1" applyAlignment="1">
      <alignment horizontal="right" vertical="center"/>
    </xf>
    <xf numFmtId="168" fontId="26" fillId="0" borderId="0" xfId="16" applyNumberFormat="1" applyFont="1" applyAlignment="1">
      <alignment vertical="top" wrapText="1"/>
    </xf>
    <xf numFmtId="9" fontId="26" fillId="0" borderId="0" xfId="16" applyFont="1" applyAlignment="1">
      <alignment horizontal="center" vertical="top" wrapText="1"/>
    </xf>
    <xf numFmtId="166" fontId="46" fillId="0" borderId="0" xfId="0" applyNumberFormat="1" applyFont="1" applyAlignment="1">
      <alignment horizontal="center" vertical="top" wrapText="1"/>
    </xf>
    <xf numFmtId="9" fontId="38" fillId="0" borderId="0" xfId="16" applyFont="1" applyBorder="1" applyAlignment="1">
      <alignment horizontal="center" vertical="top" wrapText="1"/>
    </xf>
    <xf numFmtId="166" fontId="39" fillId="0" borderId="0" xfId="0" applyNumberFormat="1" applyFont="1" applyAlignment="1">
      <alignment vertical="center" wrapText="1"/>
    </xf>
    <xf numFmtId="166" fontId="58" fillId="0" borderId="0" xfId="0" applyNumberFormat="1" applyFont="1" applyAlignment="1">
      <alignment horizontal="center" vertical="top" wrapText="1"/>
    </xf>
    <xf numFmtId="166" fontId="32" fillId="0" borderId="87" xfId="0" applyNumberFormat="1" applyFont="1" applyBorder="1" applyAlignment="1">
      <alignment vertical="center" wrapText="1"/>
    </xf>
    <xf numFmtId="166" fontId="33" fillId="0" borderId="82" xfId="0" applyNumberFormat="1" applyFont="1" applyBorder="1" applyAlignment="1">
      <alignment horizontal="center" vertical="top" wrapText="1"/>
    </xf>
    <xf numFmtId="166" fontId="31" fillId="0" borderId="82" xfId="0" applyNumberFormat="1" applyFont="1" applyBorder="1" applyAlignment="1">
      <alignment horizontal="center" vertical="top" wrapText="1"/>
    </xf>
    <xf numFmtId="166" fontId="59" fillId="0" borderId="82" xfId="0" applyNumberFormat="1" applyFont="1" applyBorder="1" applyAlignment="1">
      <alignment horizontal="center" vertical="center"/>
    </xf>
    <xf numFmtId="166" fontId="59" fillId="0" borderId="0" xfId="0" applyNumberFormat="1" applyFont="1" applyAlignment="1">
      <alignment horizontal="center" vertical="center"/>
    </xf>
    <xf numFmtId="166" fontId="40" fillId="0" borderId="0" xfId="0" applyNumberFormat="1" applyFont="1" applyAlignment="1">
      <alignment vertical="top" wrapText="1"/>
    </xf>
    <xf numFmtId="10" fontId="26" fillId="0" borderId="0" xfId="0" applyNumberFormat="1" applyFont="1" applyAlignment="1">
      <alignment vertical="top" wrapText="1"/>
    </xf>
    <xf numFmtId="165" fontId="27" fillId="0" borderId="0" xfId="16" applyNumberFormat="1" applyFont="1" applyBorder="1" applyAlignment="1">
      <alignment horizontal="center" vertical="top" wrapText="1"/>
    </xf>
    <xf numFmtId="165" fontId="31" fillId="0" borderId="0" xfId="16" applyNumberFormat="1" applyFont="1" applyBorder="1" applyAlignment="1">
      <alignment horizontal="center" vertical="top" wrapText="1"/>
    </xf>
    <xf numFmtId="165" fontId="27" fillId="0" borderId="0" xfId="16" applyNumberFormat="1" applyFont="1" applyBorder="1" applyAlignment="1">
      <alignment horizontal="center" vertical="center" wrapText="1"/>
    </xf>
    <xf numFmtId="165" fontId="26" fillId="0" borderId="0" xfId="16" applyNumberFormat="1" applyFont="1" applyAlignment="1">
      <alignment horizontal="center" vertical="top" wrapText="1"/>
    </xf>
    <xf numFmtId="165" fontId="40" fillId="0" borderId="0" xfId="16" applyNumberFormat="1" applyFont="1" applyAlignment="1">
      <alignment horizontal="center" vertical="top" wrapText="1"/>
    </xf>
    <xf numFmtId="165" fontId="40" fillId="0" borderId="0" xfId="16" applyNumberFormat="1" applyFont="1" applyAlignment="1">
      <alignment horizontal="center" vertical="center" wrapText="1"/>
    </xf>
    <xf numFmtId="165" fontId="43" fillId="0" borderId="0" xfId="16" applyNumberFormat="1" applyFont="1" applyBorder="1" applyAlignment="1">
      <alignment horizontal="center" vertical="top" wrapText="1"/>
    </xf>
    <xf numFmtId="165" fontId="60" fillId="0" borderId="0" xfId="16" applyNumberFormat="1" applyFont="1" applyBorder="1" applyAlignment="1">
      <alignment horizontal="center" vertical="top" wrapText="1"/>
    </xf>
    <xf numFmtId="165" fontId="43" fillId="0" borderId="0" xfId="16" applyNumberFormat="1" applyFont="1" applyBorder="1" applyAlignment="1">
      <alignment horizontal="center" vertical="center" wrapText="1"/>
    </xf>
    <xf numFmtId="165" fontId="44" fillId="0" borderId="0" xfId="16" applyNumberFormat="1" applyFont="1" applyAlignment="1">
      <alignment horizontal="center" vertical="top" wrapText="1"/>
    </xf>
    <xf numFmtId="165" fontId="44" fillId="0" borderId="0" xfId="16" applyNumberFormat="1" applyFont="1" applyAlignment="1">
      <alignment horizontal="center" vertical="center" wrapText="1"/>
    </xf>
    <xf numFmtId="165" fontId="45" fillId="0" borderId="0" xfId="16" applyNumberFormat="1" applyFont="1" applyBorder="1" applyAlignment="1">
      <alignment horizontal="center" vertical="top" wrapText="1"/>
    </xf>
    <xf numFmtId="165" fontId="45" fillId="0" borderId="0" xfId="16" applyNumberFormat="1" applyFont="1" applyBorder="1" applyAlignment="1">
      <alignment horizontal="center" vertical="center" wrapText="1"/>
    </xf>
    <xf numFmtId="165" fontId="51" fillId="0" borderId="0" xfId="16" applyNumberFormat="1" applyFont="1" applyAlignment="1">
      <alignment horizontal="center" vertical="top" wrapText="1"/>
    </xf>
    <xf numFmtId="3" fontId="26" fillId="0" borderId="0" xfId="0" applyNumberFormat="1" applyFont="1" applyAlignment="1">
      <alignment horizontal="center" vertical="top" wrapText="1"/>
    </xf>
    <xf numFmtId="3" fontId="30" fillId="0" borderId="0" xfId="0" applyNumberFormat="1" applyFont="1" applyAlignment="1">
      <alignment horizontal="center" vertical="top" wrapText="1"/>
    </xf>
    <xf numFmtId="3" fontId="40" fillId="0" borderId="0" xfId="0" applyNumberFormat="1" applyFont="1" applyAlignment="1">
      <alignment horizontal="center" vertical="top" wrapText="1"/>
    </xf>
    <xf numFmtId="3" fontId="40" fillId="0" borderId="0" xfId="0" applyNumberFormat="1" applyFont="1" applyAlignment="1">
      <alignment horizontal="center" vertical="center" wrapText="1"/>
    </xf>
    <xf numFmtId="3" fontId="42" fillId="0" borderId="0" xfId="0" applyNumberFormat="1" applyFont="1" applyAlignment="1">
      <alignment horizontal="center" vertical="top" wrapText="1"/>
    </xf>
    <xf numFmtId="3" fontId="44" fillId="0" borderId="0" xfId="0" applyNumberFormat="1" applyFont="1" applyAlignment="1">
      <alignment horizontal="center" vertical="top" wrapText="1"/>
    </xf>
    <xf numFmtId="3" fontId="44" fillId="0" borderId="0" xfId="0" applyNumberFormat="1" applyFont="1" applyAlignment="1">
      <alignment horizontal="center" vertical="center" wrapText="1"/>
    </xf>
    <xf numFmtId="3" fontId="27" fillId="0" borderId="0" xfId="16" applyNumberFormat="1" applyFont="1" applyBorder="1" applyAlignment="1">
      <alignment horizontal="center" vertical="top" wrapText="1"/>
    </xf>
    <xf numFmtId="3" fontId="45" fillId="0" borderId="0" xfId="16" applyNumberFormat="1" applyFont="1" applyBorder="1" applyAlignment="1">
      <alignment horizontal="center" vertical="top" wrapText="1"/>
    </xf>
    <xf numFmtId="3" fontId="26" fillId="0" borderId="0" xfId="16" applyNumberFormat="1" applyFont="1" applyAlignment="1">
      <alignment horizontal="center" vertical="top" wrapText="1"/>
    </xf>
    <xf numFmtId="3" fontId="45" fillId="0" borderId="0" xfId="0" applyNumberFormat="1" applyFont="1" applyAlignment="1">
      <alignment horizontal="center" vertical="top" wrapText="1"/>
    </xf>
    <xf numFmtId="1" fontId="26" fillId="0" borderId="0" xfId="0" applyNumberFormat="1" applyFont="1" applyAlignment="1">
      <alignment horizontal="center" vertical="center" wrapText="1"/>
    </xf>
    <xf numFmtId="1" fontId="30" fillId="0" borderId="0" xfId="0" applyNumberFormat="1" applyFont="1" applyAlignment="1">
      <alignment horizontal="center" vertical="top" wrapText="1"/>
    </xf>
    <xf numFmtId="3" fontId="26" fillId="0" borderId="0" xfId="0" applyNumberFormat="1" applyFont="1" applyAlignment="1">
      <alignment vertical="top" wrapText="1"/>
    </xf>
    <xf numFmtId="3" fontId="40" fillId="0" borderId="6" xfId="0" applyNumberFormat="1" applyFont="1" applyBorder="1" applyAlignment="1">
      <alignment horizontal="center" vertical="center" wrapText="1"/>
    </xf>
    <xf numFmtId="3" fontId="44" fillId="0" borderId="6" xfId="0" applyNumberFormat="1" applyFont="1" applyBorder="1" applyAlignment="1">
      <alignment horizontal="center" vertical="center" wrapText="1"/>
    </xf>
    <xf numFmtId="3" fontId="32" fillId="0" borderId="0" xfId="0" applyNumberFormat="1" applyFont="1" applyAlignment="1">
      <alignment horizontal="center" vertical="top" wrapText="1"/>
    </xf>
    <xf numFmtId="3" fontId="37" fillId="0" borderId="0" xfId="0" applyNumberFormat="1" applyFont="1" applyAlignment="1">
      <alignment horizontal="center" vertical="top" wrapText="1"/>
    </xf>
    <xf numFmtId="3" fontId="32" fillId="0" borderId="0" xfId="0" applyNumberFormat="1" applyFont="1" applyAlignment="1">
      <alignment horizontal="center" vertical="center" wrapText="1"/>
    </xf>
    <xf numFmtId="166" fontId="33" fillId="0" borderId="98" xfId="0" applyNumberFormat="1" applyFont="1" applyBorder="1" applyAlignment="1">
      <alignment vertical="center" wrapText="1"/>
    </xf>
    <xf numFmtId="166" fontId="32" fillId="0" borderId="56" xfId="0" applyNumberFormat="1" applyFont="1" applyBorder="1" applyAlignment="1">
      <alignment vertical="center" wrapText="1"/>
    </xf>
    <xf numFmtId="166" fontId="33" fillId="0" borderId="86" xfId="0" applyNumberFormat="1" applyFont="1" applyBorder="1" applyAlignment="1">
      <alignment horizontal="center" vertical="top" wrapText="1"/>
    </xf>
    <xf numFmtId="166" fontId="45" fillId="0" borderId="86" xfId="0" applyNumberFormat="1" applyFont="1" applyBorder="1" applyAlignment="1">
      <alignment horizontal="center" vertical="top" wrapText="1"/>
    </xf>
    <xf numFmtId="166" fontId="45" fillId="0" borderId="86" xfId="0" applyNumberFormat="1" applyFont="1" applyBorder="1" applyAlignment="1">
      <alignment horizontal="center" vertical="center" wrapText="1"/>
    </xf>
    <xf numFmtId="166" fontId="33" fillId="0" borderId="10" xfId="0" applyNumberFormat="1" applyFont="1" applyBorder="1" applyAlignment="1">
      <alignment horizontal="center" vertical="top" wrapText="1"/>
    </xf>
    <xf numFmtId="166" fontId="44" fillId="0" borderId="6" xfId="0" applyNumberFormat="1" applyFont="1" applyBorder="1" applyAlignment="1">
      <alignment horizontal="center" vertical="center" wrapText="1"/>
    </xf>
    <xf numFmtId="166" fontId="40" fillId="0" borderId="6" xfId="0" applyNumberFormat="1" applyFont="1" applyBorder="1" applyAlignment="1">
      <alignment horizontal="center" vertical="center" wrapText="1"/>
    </xf>
    <xf numFmtId="3" fontId="26" fillId="0" borderId="86" xfId="0" applyNumberFormat="1" applyFont="1" applyBorder="1" applyAlignment="1">
      <alignment horizontal="center" vertical="top" wrapText="1"/>
    </xf>
    <xf numFmtId="0" fontId="30" fillId="0" borderId="86" xfId="0" applyFont="1" applyBorder="1" applyAlignment="1">
      <alignment vertical="top" wrapText="1"/>
    </xf>
    <xf numFmtId="0" fontId="26" fillId="0" borderId="82" xfId="0" applyFont="1" applyBorder="1" applyAlignment="1">
      <alignment vertical="center" wrapText="1"/>
    </xf>
    <xf numFmtId="166" fontId="60" fillId="0" borderId="0" xfId="0" applyNumberFormat="1" applyFont="1" applyAlignment="1">
      <alignment horizontal="center" vertical="top" wrapText="1"/>
    </xf>
    <xf numFmtId="166" fontId="45" fillId="0" borderId="92" xfId="0" applyNumberFormat="1" applyFont="1" applyBorder="1" applyAlignment="1">
      <alignment horizontal="center" vertical="top" wrapText="1"/>
    </xf>
    <xf numFmtId="166" fontId="45" fillId="0" borderId="10" xfId="0" applyNumberFormat="1" applyFont="1" applyBorder="1" applyAlignment="1">
      <alignment horizontal="center" vertical="top" wrapText="1"/>
    </xf>
    <xf numFmtId="166" fontId="45" fillId="0" borderId="81" xfId="0" applyNumberFormat="1" applyFont="1" applyBorder="1" applyAlignment="1">
      <alignment horizontal="center" vertical="top" wrapText="1"/>
    </xf>
    <xf numFmtId="3" fontId="26" fillId="0" borderId="0" xfId="0" applyNumberFormat="1" applyFont="1" applyAlignment="1">
      <alignment horizontal="left" vertical="center" wrapText="1"/>
    </xf>
    <xf numFmtId="3" fontId="26" fillId="0" borderId="0" xfId="0" applyNumberFormat="1" applyFont="1" applyAlignment="1">
      <alignment vertical="center" wrapText="1"/>
    </xf>
    <xf numFmtId="3" fontId="30" fillId="0" borderId="0" xfId="0" applyNumberFormat="1" applyFont="1" applyAlignment="1">
      <alignment vertical="top" wrapText="1"/>
    </xf>
    <xf numFmtId="3" fontId="26" fillId="0" borderId="0" xfId="0" applyNumberFormat="1" applyFont="1" applyAlignment="1">
      <alignment horizontal="right" vertical="top" wrapText="1"/>
    </xf>
    <xf numFmtId="3" fontId="38" fillId="0" borderId="0" xfId="0" applyNumberFormat="1" applyFont="1" applyAlignment="1">
      <alignment horizontal="center" vertical="top" wrapText="1"/>
    </xf>
    <xf numFmtId="3" fontId="38" fillId="0" borderId="0" xfId="0" applyNumberFormat="1" applyFont="1" applyAlignment="1">
      <alignment vertical="top" wrapText="1"/>
    </xf>
    <xf numFmtId="3" fontId="45" fillId="0" borderId="0" xfId="16" applyNumberFormat="1" applyFont="1" applyBorder="1" applyAlignment="1">
      <alignment horizontal="left" vertical="center" wrapText="1"/>
    </xf>
    <xf numFmtId="3" fontId="45" fillId="0" borderId="0" xfId="16" applyNumberFormat="1" applyFont="1" applyBorder="1" applyAlignment="1">
      <alignment horizontal="center" vertical="center" wrapText="1"/>
    </xf>
    <xf numFmtId="3" fontId="27" fillId="0" borderId="0" xfId="0" applyNumberFormat="1" applyFont="1" applyAlignment="1">
      <alignment horizontal="center" vertical="center" wrapText="1"/>
    </xf>
    <xf numFmtId="3" fontId="27" fillId="0" borderId="0" xfId="16" applyNumberFormat="1" applyFont="1" applyBorder="1" applyAlignment="1">
      <alignment horizontal="center" vertical="center" wrapText="1"/>
    </xf>
    <xf numFmtId="3" fontId="29" fillId="0" borderId="0" xfId="0" applyNumberFormat="1" applyFont="1" applyAlignment="1">
      <alignment horizontal="center" vertical="top" wrapText="1"/>
    </xf>
    <xf numFmtId="3" fontId="29" fillId="0" borderId="0" xfId="0" applyNumberFormat="1" applyFont="1" applyAlignment="1">
      <alignment horizontal="center" vertical="center" wrapText="1"/>
    </xf>
    <xf numFmtId="3" fontId="29" fillId="0" borderId="0" xfId="0" applyNumberFormat="1" applyFont="1" applyAlignment="1">
      <alignment vertical="top" wrapText="1"/>
    </xf>
    <xf numFmtId="3" fontId="44" fillId="0" borderId="0" xfId="0" applyNumberFormat="1" applyFont="1" applyAlignment="1">
      <alignment vertical="top" wrapText="1"/>
    </xf>
    <xf numFmtId="3" fontId="44" fillId="0" borderId="82" xfId="0" applyNumberFormat="1" applyFont="1" applyBorder="1" applyAlignment="1">
      <alignment horizontal="center" vertical="top" wrapText="1"/>
    </xf>
    <xf numFmtId="3" fontId="45" fillId="0" borderId="82" xfId="16" applyNumberFormat="1" applyFont="1" applyBorder="1" applyAlignment="1">
      <alignment horizontal="center" vertical="center" wrapText="1"/>
    </xf>
    <xf numFmtId="3" fontId="44" fillId="0" borderId="82" xfId="0" applyNumberFormat="1" applyFont="1" applyBorder="1" applyAlignment="1">
      <alignment horizontal="center" vertical="center" wrapText="1"/>
    </xf>
    <xf numFmtId="3" fontId="27" fillId="0" borderId="86" xfId="16" applyNumberFormat="1" applyFont="1" applyBorder="1" applyAlignment="1">
      <alignment horizontal="center" vertical="center" wrapText="1"/>
    </xf>
    <xf numFmtId="3" fontId="30" fillId="0" borderId="86" xfId="0" applyNumberFormat="1" applyFont="1" applyBorder="1" applyAlignment="1">
      <alignment horizontal="center" vertical="top" wrapText="1"/>
    </xf>
    <xf numFmtId="3" fontId="26" fillId="0" borderId="86" xfId="0" applyNumberFormat="1" applyFont="1" applyBorder="1" applyAlignment="1">
      <alignment horizontal="center" vertical="center" wrapText="1"/>
    </xf>
    <xf numFmtId="3" fontId="26" fillId="0" borderId="100" xfId="0" applyNumberFormat="1" applyFont="1" applyBorder="1" applyAlignment="1">
      <alignment horizontal="center" vertical="center" wrapText="1"/>
    </xf>
    <xf numFmtId="3" fontId="26" fillId="0" borderId="99" xfId="0" applyNumberFormat="1" applyFont="1" applyBorder="1" applyAlignment="1">
      <alignment horizontal="center" vertical="top" wrapText="1"/>
    </xf>
    <xf numFmtId="3" fontId="27" fillId="0" borderId="99" xfId="16" applyNumberFormat="1" applyFont="1" applyBorder="1" applyAlignment="1">
      <alignment horizontal="center" vertical="center" wrapText="1"/>
    </xf>
    <xf numFmtId="3" fontId="30" fillId="0" borderId="99" xfId="0" applyNumberFormat="1" applyFont="1" applyBorder="1" applyAlignment="1">
      <alignment horizontal="center" vertical="top" wrapText="1"/>
    </xf>
    <xf numFmtId="3" fontId="26" fillId="0" borderId="99" xfId="0" applyNumberFormat="1" applyFont="1" applyBorder="1" applyAlignment="1">
      <alignment horizontal="center" vertical="center" wrapText="1"/>
    </xf>
    <xf numFmtId="3" fontId="30" fillId="0" borderId="86" xfId="0" applyNumberFormat="1" applyFont="1" applyBorder="1" applyAlignment="1">
      <alignment vertical="top" wrapText="1"/>
    </xf>
    <xf numFmtId="3" fontId="26" fillId="0" borderId="86" xfId="0" applyNumberFormat="1" applyFont="1" applyBorder="1" applyAlignment="1">
      <alignment vertical="top" wrapText="1"/>
    </xf>
    <xf numFmtId="3" fontId="44" fillId="0" borderId="82" xfId="0" applyNumberFormat="1" applyFont="1" applyBorder="1" applyAlignment="1">
      <alignment vertical="top" wrapText="1"/>
    </xf>
    <xf numFmtId="3" fontId="30" fillId="0" borderId="86" xfId="0" applyNumberFormat="1" applyFont="1" applyBorder="1" applyAlignment="1">
      <alignment horizontal="right" vertical="top" wrapText="1"/>
    </xf>
    <xf numFmtId="3" fontId="30" fillId="0" borderId="0" xfId="0" applyNumberFormat="1" applyFont="1" applyAlignment="1">
      <alignment horizontal="right" vertical="top" wrapText="1"/>
    </xf>
    <xf numFmtId="3" fontId="26" fillId="0" borderId="86" xfId="0" applyNumberFormat="1" applyFont="1" applyBorder="1" applyAlignment="1">
      <alignment horizontal="right" vertical="top" wrapText="1"/>
    </xf>
    <xf numFmtId="3" fontId="29" fillId="0" borderId="0" xfId="0" applyNumberFormat="1" applyFont="1" applyAlignment="1">
      <alignment horizontal="right" vertical="top" wrapText="1"/>
    </xf>
    <xf numFmtId="3" fontId="32" fillId="0" borderId="56" xfId="0" applyNumberFormat="1" applyFont="1" applyBorder="1" applyAlignment="1">
      <alignment horizontal="center" vertical="center" wrapText="1"/>
    </xf>
    <xf numFmtId="3" fontId="28" fillId="0" borderId="0" xfId="0" applyNumberFormat="1" applyFont="1" applyAlignment="1">
      <alignment horizontal="center" vertical="top" wrapText="1"/>
    </xf>
    <xf numFmtId="3" fontId="48" fillId="0" borderId="0" xfId="0" applyNumberFormat="1" applyFont="1" applyAlignment="1">
      <alignment vertical="top" wrapText="1"/>
    </xf>
    <xf numFmtId="3" fontId="27" fillId="0" borderId="99" xfId="0" applyNumberFormat="1" applyFont="1" applyBorder="1" applyAlignment="1">
      <alignment horizontal="center" vertical="top" wrapText="1"/>
    </xf>
    <xf numFmtId="9" fontId="26" fillId="0" borderId="0" xfId="16" applyFont="1" applyFill="1" applyBorder="1" applyAlignment="1">
      <alignment horizontal="center" vertical="top" wrapText="1"/>
    </xf>
    <xf numFmtId="168" fontId="26" fillId="0" borderId="0" xfId="16" applyNumberFormat="1" applyFont="1" applyFill="1" applyAlignment="1">
      <alignment vertical="top" wrapText="1"/>
    </xf>
    <xf numFmtId="9" fontId="26" fillId="0" borderId="0" xfId="16" applyFont="1" applyFill="1" applyBorder="1" applyAlignment="1">
      <alignment vertical="top" wrapText="1"/>
    </xf>
    <xf numFmtId="165" fontId="26" fillId="0" borderId="0" xfId="16" applyNumberFormat="1" applyFont="1" applyFill="1" applyAlignment="1">
      <alignment horizontal="center" vertical="top" wrapText="1"/>
    </xf>
    <xf numFmtId="165" fontId="40" fillId="0" borderId="0" xfId="16" applyNumberFormat="1" applyFont="1" applyFill="1" applyAlignment="1">
      <alignment horizontal="center" vertical="top" wrapText="1"/>
    </xf>
    <xf numFmtId="165" fontId="44" fillId="0" borderId="0" xfId="16" applyNumberFormat="1" applyFont="1" applyFill="1" applyAlignment="1">
      <alignment horizontal="center" vertical="top" wrapText="1"/>
    </xf>
    <xf numFmtId="3" fontId="26" fillId="0" borderId="0" xfId="16" applyNumberFormat="1" applyFont="1" applyFill="1" applyAlignment="1">
      <alignment horizontal="center" vertical="top" wrapText="1"/>
    </xf>
    <xf numFmtId="3" fontId="46" fillId="0" borderId="0" xfId="0" applyNumberFormat="1" applyFont="1" applyAlignment="1">
      <alignment horizontal="center" vertical="top" wrapText="1"/>
    </xf>
    <xf numFmtId="3" fontId="38" fillId="0" borderId="86" xfId="0" applyNumberFormat="1" applyFont="1" applyBorder="1" applyAlignment="1">
      <alignment horizontal="right" vertical="top" wrapText="1"/>
    </xf>
    <xf numFmtId="166" fontId="32" fillId="0" borderId="98" xfId="0" applyNumberFormat="1" applyFont="1" applyBorder="1" applyAlignment="1">
      <alignment vertical="center" wrapText="1"/>
    </xf>
    <xf numFmtId="3" fontId="33" fillId="0" borderId="0" xfId="0" applyNumberFormat="1" applyFont="1" applyAlignment="1">
      <alignment horizontal="center" vertical="center" wrapText="1"/>
    </xf>
    <xf numFmtId="3" fontId="37" fillId="0" borderId="0" xfId="0" applyNumberFormat="1" applyFont="1" applyAlignment="1">
      <alignment vertical="top" wrapText="1"/>
    </xf>
    <xf numFmtId="3" fontId="61" fillId="0" borderId="0" xfId="0" applyNumberFormat="1" applyFont="1" applyAlignment="1">
      <alignment vertical="top" wrapText="1"/>
    </xf>
    <xf numFmtId="166" fontId="47" fillId="0" borderId="0" xfId="0" applyNumberFormat="1" applyFont="1" applyAlignment="1">
      <alignment horizontal="center" vertical="top" wrapText="1"/>
    </xf>
    <xf numFmtId="165" fontId="0" fillId="0" borderId="48" xfId="1" applyNumberFormat="1" applyFont="1" applyBorder="1"/>
    <xf numFmtId="0" fontId="6" fillId="0" borderId="45" xfId="0" applyFont="1" applyBorder="1"/>
    <xf numFmtId="0" fontId="6" fillId="0" borderId="46" xfId="0" applyFont="1" applyBorder="1"/>
    <xf numFmtId="0" fontId="6" fillId="0" borderId="47" xfId="0" applyFont="1" applyBorder="1"/>
    <xf numFmtId="9" fontId="0" fillId="0" borderId="45" xfId="1" applyFont="1" applyBorder="1"/>
    <xf numFmtId="0" fontId="10" fillId="0" borderId="0" xfId="0" applyFont="1"/>
    <xf numFmtId="9" fontId="0" fillId="0" borderId="102" xfId="1" applyFont="1" applyBorder="1"/>
    <xf numFmtId="0" fontId="10" fillId="0" borderId="15" xfId="4" applyFont="1" applyBorder="1" applyAlignment="1">
      <alignment horizontal="center" vertical="center" wrapText="1"/>
    </xf>
    <xf numFmtId="0" fontId="10" fillId="0" borderId="9" xfId="4" applyFont="1" applyBorder="1" applyAlignment="1">
      <alignment horizontal="center" vertical="center" wrapText="1"/>
    </xf>
    <xf numFmtId="0" fontId="6" fillId="3" borderId="0" xfId="0" applyFont="1" applyFill="1"/>
    <xf numFmtId="9" fontId="0" fillId="0" borderId="46" xfId="1" applyFont="1" applyBorder="1"/>
    <xf numFmtId="0" fontId="0" fillId="3" borderId="0" xfId="0" applyFill="1"/>
    <xf numFmtId="0" fontId="6" fillId="0" borderId="0" xfId="0" applyFont="1" applyAlignment="1">
      <alignment wrapText="1"/>
    </xf>
    <xf numFmtId="9" fontId="0" fillId="0" borderId="47" xfId="1" applyFont="1" applyBorder="1"/>
    <xf numFmtId="0" fontId="5" fillId="0" borderId="0" xfId="3" applyFont="1"/>
    <xf numFmtId="0" fontId="6" fillId="0" borderId="6" xfId="4" applyBorder="1" applyAlignment="1">
      <alignment horizontal="center"/>
    </xf>
    <xf numFmtId="0" fontId="6" fillId="0" borderId="10" xfId="4" applyBorder="1" applyAlignment="1">
      <alignment horizontal="center" vertical="center" wrapText="1"/>
    </xf>
    <xf numFmtId="0" fontId="6" fillId="0" borderId="6" xfId="4" applyBorder="1" applyAlignment="1">
      <alignment horizontal="center" vertical="center" wrapText="1"/>
    </xf>
    <xf numFmtId="3" fontId="10" fillId="0" borderId="19" xfId="4" applyNumberFormat="1" applyFont="1" applyBorder="1" applyAlignment="1">
      <alignment horizontal="center"/>
    </xf>
    <xf numFmtId="9" fontId="10" fillId="0" borderId="22" xfId="4" applyNumberFormat="1" applyFont="1" applyBorder="1" applyAlignment="1">
      <alignment horizontal="center"/>
    </xf>
    <xf numFmtId="9" fontId="10" fillId="0" borderId="5" xfId="4" applyNumberFormat="1" applyFont="1" applyBorder="1" applyAlignment="1">
      <alignment horizontal="center"/>
    </xf>
    <xf numFmtId="3" fontId="6" fillId="0" borderId="25" xfId="4" applyNumberFormat="1" applyBorder="1" applyAlignment="1">
      <alignment horizontal="center"/>
    </xf>
    <xf numFmtId="9" fontId="10" fillId="0" borderId="29" xfId="4" applyNumberFormat="1" applyFont="1" applyBorder="1" applyAlignment="1">
      <alignment horizontal="center"/>
    </xf>
    <xf numFmtId="165" fontId="10" fillId="0" borderId="19" xfId="4" applyNumberFormat="1" applyFont="1" applyBorder="1" applyAlignment="1">
      <alignment horizontal="center"/>
    </xf>
    <xf numFmtId="165" fontId="10" fillId="0" borderId="24" xfId="4" applyNumberFormat="1" applyFont="1" applyBorder="1" applyAlignment="1">
      <alignment horizontal="center"/>
    </xf>
    <xf numFmtId="0" fontId="6" fillId="0" borderId="8" xfId="4" applyBorder="1" applyAlignment="1">
      <alignment horizontal="center" vertical="justify"/>
    </xf>
    <xf numFmtId="0" fontId="6" fillId="0" borderId="33" xfId="4" applyBorder="1" applyAlignment="1">
      <alignment horizontal="center"/>
    </xf>
    <xf numFmtId="0" fontId="6" fillId="0" borderId="35" xfId="4" applyBorder="1" applyAlignment="1">
      <alignment horizontal="center" vertical="justify"/>
    </xf>
    <xf numFmtId="165" fontId="10" fillId="0" borderId="36" xfId="4" applyNumberFormat="1" applyFont="1" applyBorder="1" applyAlignment="1">
      <alignment horizontal="center"/>
    </xf>
    <xf numFmtId="3" fontId="6" fillId="0" borderId="37" xfId="4" applyNumberFormat="1" applyBorder="1" applyAlignment="1">
      <alignment horizontal="center"/>
    </xf>
    <xf numFmtId="9" fontId="10" fillId="0" borderId="0" xfId="4" applyNumberFormat="1" applyFont="1" applyAlignment="1">
      <alignment horizontal="center"/>
    </xf>
    <xf numFmtId="10" fontId="6" fillId="0" borderId="0" xfId="4" applyNumberFormat="1"/>
    <xf numFmtId="165" fontId="10" fillId="0" borderId="0" xfId="4" applyNumberFormat="1" applyFont="1" applyAlignment="1">
      <alignment horizontal="center"/>
    </xf>
    <xf numFmtId="165" fontId="10" fillId="0" borderId="25" xfId="4" applyNumberFormat="1" applyFont="1" applyBorder="1" applyAlignment="1">
      <alignment horizontal="center"/>
    </xf>
    <xf numFmtId="165" fontId="6" fillId="0" borderId="0" xfId="4" applyNumberFormat="1"/>
    <xf numFmtId="0" fontId="6" fillId="0" borderId="7" xfId="4" applyBorder="1" applyAlignment="1">
      <alignment horizontal="center"/>
    </xf>
    <xf numFmtId="0" fontId="10" fillId="0" borderId="19" xfId="4" applyFont="1" applyBorder="1" applyAlignment="1">
      <alignment horizontal="center" vertical="center" wrapText="1"/>
    </xf>
    <xf numFmtId="0" fontId="10" fillId="0" borderId="5" xfId="4" applyFont="1" applyBorder="1" applyAlignment="1">
      <alignment horizontal="center" vertical="center" wrapText="1"/>
    </xf>
    <xf numFmtId="0" fontId="10" fillId="0" borderId="22" xfId="4" applyFont="1" applyBorder="1" applyAlignment="1">
      <alignment horizontal="center" vertical="center" wrapText="1"/>
    </xf>
    <xf numFmtId="9" fontId="10" fillId="0" borderId="40" xfId="4" applyNumberFormat="1" applyFont="1" applyBorder="1" applyAlignment="1">
      <alignment horizontal="center"/>
    </xf>
    <xf numFmtId="9" fontId="10" fillId="0" borderId="41" xfId="4" applyNumberFormat="1" applyFont="1" applyBorder="1" applyAlignment="1">
      <alignment horizontal="center"/>
    </xf>
    <xf numFmtId="165" fontId="6" fillId="0" borderId="6" xfId="4" applyNumberFormat="1" applyBorder="1" applyAlignment="1">
      <alignment horizontal="center"/>
    </xf>
    <xf numFmtId="165" fontId="6" fillId="0" borderId="0" xfId="4" applyNumberFormat="1" applyAlignment="1">
      <alignment horizontal="center" vertical="center" wrapText="1"/>
    </xf>
    <xf numFmtId="165" fontId="6" fillId="0" borderId="54" xfId="4" applyNumberFormat="1" applyBorder="1" applyAlignment="1">
      <alignment horizontal="center" vertical="center" wrapText="1"/>
    </xf>
    <xf numFmtId="165" fontId="10" fillId="0" borderId="54" xfId="4" applyNumberFormat="1" applyFont="1" applyBorder="1" applyAlignment="1">
      <alignment horizontal="center"/>
    </xf>
    <xf numFmtId="165" fontId="10" fillId="0" borderId="63" xfId="4" applyNumberFormat="1" applyFont="1" applyBorder="1" applyAlignment="1">
      <alignment horizontal="center"/>
    </xf>
    <xf numFmtId="165" fontId="6" fillId="0" borderId="54" xfId="4" applyNumberFormat="1" applyBorder="1" applyAlignment="1">
      <alignment horizontal="center"/>
    </xf>
    <xf numFmtId="166" fontId="6" fillId="0" borderId="0" xfId="4" applyNumberFormat="1"/>
    <xf numFmtId="166" fontId="6" fillId="0" borderId="6" xfId="4" applyNumberFormat="1" applyBorder="1" applyAlignment="1">
      <alignment horizontal="center"/>
    </xf>
    <xf numFmtId="166" fontId="6" fillId="0" borderId="18" xfId="0" applyNumberFormat="1" applyFont="1" applyBorder="1" applyAlignment="1">
      <alignment horizontal="center" vertical="center" wrapText="1"/>
    </xf>
    <xf numFmtId="166" fontId="6" fillId="0" borderId="19" xfId="4" applyNumberFormat="1" applyBorder="1" applyAlignment="1">
      <alignment horizontal="center" vertical="center" wrapText="1"/>
    </xf>
    <xf numFmtId="166" fontId="6" fillId="0" borderId="19" xfId="4" applyNumberFormat="1" applyBorder="1" applyAlignment="1">
      <alignment horizontal="center"/>
    </xf>
    <xf numFmtId="166" fontId="6" fillId="0" borderId="24" xfId="4" applyNumberFormat="1" applyBorder="1" applyAlignment="1">
      <alignment horizontal="center"/>
    </xf>
    <xf numFmtId="3" fontId="10" fillId="0" borderId="24" xfId="4" applyNumberFormat="1" applyFont="1" applyBorder="1" applyAlignment="1">
      <alignment horizontal="center"/>
    </xf>
    <xf numFmtId="165" fontId="6" fillId="0" borderId="25" xfId="4" applyNumberFormat="1" applyBorder="1" applyAlignment="1">
      <alignment horizontal="center"/>
    </xf>
    <xf numFmtId="165" fontId="6" fillId="0" borderId="63" xfId="4" applyNumberFormat="1" applyBorder="1" applyAlignment="1">
      <alignment horizontal="center"/>
    </xf>
    <xf numFmtId="9" fontId="10" fillId="0" borderId="28" xfId="4" applyNumberFormat="1" applyFont="1" applyBorder="1" applyAlignment="1">
      <alignment horizontal="center"/>
    </xf>
    <xf numFmtId="3" fontId="10" fillId="0" borderId="36" xfId="4" applyNumberFormat="1" applyFont="1" applyBorder="1" applyAlignment="1">
      <alignment horizontal="center"/>
    </xf>
    <xf numFmtId="165" fontId="6" fillId="0" borderId="37" xfId="4" applyNumberFormat="1" applyBorder="1" applyAlignment="1">
      <alignment horizontal="center"/>
    </xf>
    <xf numFmtId="165" fontId="6" fillId="0" borderId="55" xfId="4" applyNumberFormat="1" applyBorder="1" applyAlignment="1">
      <alignment horizontal="center"/>
    </xf>
    <xf numFmtId="166" fontId="6" fillId="0" borderId="36" xfId="4" applyNumberFormat="1" applyBorder="1" applyAlignment="1">
      <alignment horizontal="center"/>
    </xf>
    <xf numFmtId="3" fontId="6" fillId="0" borderId="53" xfId="4" applyNumberFormat="1" applyBorder="1" applyAlignment="1">
      <alignment horizontal="center"/>
    </xf>
    <xf numFmtId="165" fontId="6" fillId="0" borderId="22" xfId="4" applyNumberFormat="1" applyBorder="1" applyAlignment="1">
      <alignment horizontal="center"/>
    </xf>
    <xf numFmtId="165" fontId="6" fillId="0" borderId="28" xfId="4" applyNumberFormat="1" applyBorder="1" applyAlignment="1">
      <alignment horizontal="center"/>
    </xf>
    <xf numFmtId="165" fontId="6" fillId="0" borderId="40" xfId="4" applyNumberFormat="1" applyBorder="1" applyAlignment="1">
      <alignment horizontal="center"/>
    </xf>
    <xf numFmtId="0" fontId="8" fillId="0" borderId="0" xfId="4" applyFont="1" applyAlignment="1">
      <alignment horizontal="center" vertical="center" wrapText="1"/>
    </xf>
    <xf numFmtId="0" fontId="10" fillId="0" borderId="0" xfId="4" applyFont="1" applyAlignment="1">
      <alignment horizontal="center" vertical="center" wrapText="1"/>
    </xf>
    <xf numFmtId="165" fontId="15" fillId="0" borderId="0" xfId="4" applyNumberFormat="1" applyFont="1" applyAlignment="1">
      <alignment horizontal="center" vertical="center" wrapText="1"/>
    </xf>
    <xf numFmtId="0" fontId="15" fillId="0" borderId="0" xfId="4" applyFont="1" applyAlignment="1">
      <alignment horizontal="center" vertical="center" wrapText="1"/>
    </xf>
    <xf numFmtId="165" fontId="24" fillId="0" borderId="0" xfId="4" applyNumberFormat="1" applyFont="1" applyAlignment="1">
      <alignment horizontal="center"/>
    </xf>
    <xf numFmtId="165" fontId="24" fillId="0" borderId="25" xfId="4" applyNumberFormat="1" applyFont="1" applyBorder="1" applyAlignment="1">
      <alignment horizontal="center"/>
    </xf>
    <xf numFmtId="165" fontId="15" fillId="0" borderId="0" xfId="4" applyNumberFormat="1" applyFont="1" applyAlignment="1">
      <alignment horizontal="center"/>
    </xf>
    <xf numFmtId="165" fontId="15" fillId="0" borderId="25" xfId="4" applyNumberFormat="1" applyFont="1" applyBorder="1" applyAlignment="1">
      <alignment horizontal="center"/>
    </xf>
    <xf numFmtId="165" fontId="15" fillId="0" borderId="37" xfId="4" applyNumberFormat="1" applyFont="1" applyBorder="1" applyAlignment="1">
      <alignment horizontal="center"/>
    </xf>
    <xf numFmtId="166" fontId="16" fillId="0" borderId="13" xfId="0" applyNumberFormat="1" applyFont="1" applyBorder="1" applyAlignment="1">
      <alignment horizontal="center" vertical="top" wrapText="1"/>
    </xf>
    <xf numFmtId="0" fontId="6" fillId="0" borderId="10" xfId="4" applyBorder="1" applyAlignment="1">
      <alignment horizontal="center" vertical="top" wrapText="1"/>
    </xf>
    <xf numFmtId="165" fontId="6" fillId="0" borderId="26" xfId="4" applyNumberFormat="1" applyBorder="1" applyAlignment="1">
      <alignment horizontal="center"/>
    </xf>
    <xf numFmtId="9" fontId="50" fillId="0" borderId="0" xfId="4" applyNumberFormat="1" applyFont="1" applyAlignment="1">
      <alignment horizontal="center" vertical="top"/>
    </xf>
    <xf numFmtId="0" fontId="50" fillId="0" borderId="0" xfId="4" applyFont="1" applyAlignment="1">
      <alignment horizontal="center" vertical="top"/>
    </xf>
    <xf numFmtId="9" fontId="55" fillId="0" borderId="0" xfId="4" applyNumberFormat="1" applyFont="1" applyAlignment="1">
      <alignment horizontal="center" vertical="top"/>
    </xf>
    <xf numFmtId="0" fontId="55" fillId="0" borderId="0" xfId="4" applyFont="1" applyAlignment="1">
      <alignment horizontal="center" vertical="top"/>
    </xf>
    <xf numFmtId="0" fontId="50" fillId="0" borderId="0" xfId="4" applyFont="1" applyAlignment="1">
      <alignment horizontal="center" vertical="top" wrapText="1"/>
    </xf>
    <xf numFmtId="10" fontId="50" fillId="0" borderId="0" xfId="16" applyNumberFormat="1" applyFont="1" applyBorder="1" applyAlignment="1">
      <alignment horizontal="center" vertical="top"/>
    </xf>
    <xf numFmtId="10" fontId="50" fillId="0" borderId="0" xfId="4" applyNumberFormat="1" applyFont="1" applyAlignment="1">
      <alignment horizontal="center" vertical="top"/>
    </xf>
    <xf numFmtId="3" fontId="50" fillId="0" borderId="0" xfId="4" applyNumberFormat="1" applyFont="1" applyAlignment="1">
      <alignment horizontal="center" vertical="top"/>
    </xf>
    <xf numFmtId="168" fontId="50" fillId="0" borderId="0" xfId="4" applyNumberFormat="1" applyFont="1" applyAlignment="1">
      <alignment horizontal="center" vertical="top"/>
    </xf>
    <xf numFmtId="3" fontId="6" fillId="0" borderId="48" xfId="4" applyNumberFormat="1" applyBorder="1" applyAlignment="1">
      <alignment horizontal="center"/>
    </xf>
    <xf numFmtId="165" fontId="62" fillId="0" borderId="48" xfId="1" applyNumberFormat="1" applyFont="1" applyBorder="1"/>
    <xf numFmtId="9" fontId="62" fillId="0" borderId="0" xfId="1" applyFont="1" applyBorder="1"/>
    <xf numFmtId="9" fontId="62" fillId="0" borderId="42" xfId="1" applyFont="1" applyBorder="1"/>
    <xf numFmtId="9" fontId="62" fillId="0" borderId="43" xfId="1" applyFont="1" applyBorder="1"/>
    <xf numFmtId="9" fontId="62" fillId="0" borderId="44" xfId="1" applyFont="1" applyBorder="1"/>
    <xf numFmtId="9" fontId="62" fillId="0" borderId="21" xfId="1" applyFont="1" applyBorder="1"/>
    <xf numFmtId="9" fontId="62" fillId="0" borderId="106" xfId="1" applyFont="1" applyBorder="1"/>
    <xf numFmtId="9" fontId="62" fillId="0" borderId="22" xfId="1" applyFont="1" applyBorder="1"/>
    <xf numFmtId="9" fontId="62" fillId="0" borderId="48" xfId="1" applyFont="1" applyBorder="1"/>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6" fillId="0" borderId="88" xfId="0" applyFont="1" applyBorder="1" applyAlignment="1">
      <alignment horizontal="center" vertical="center"/>
    </xf>
    <xf numFmtId="0" fontId="0" fillId="0" borderId="75" xfId="0" applyBorder="1" applyAlignment="1">
      <alignment horizontal="center" vertical="center"/>
    </xf>
    <xf numFmtId="0" fontId="0" fillId="0" borderId="8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166" fontId="32" fillId="0" borderId="56" xfId="0" applyNumberFormat="1" applyFont="1" applyBorder="1" applyAlignment="1">
      <alignment horizontal="center" vertical="center" wrapText="1"/>
    </xf>
    <xf numFmtId="166" fontId="33" fillId="0" borderId="56" xfId="0" applyNumberFormat="1" applyFont="1" applyBorder="1" applyAlignment="1">
      <alignment horizontal="center" vertical="center" wrapText="1"/>
    </xf>
    <xf numFmtId="3" fontId="26" fillId="0" borderId="56" xfId="0" applyNumberFormat="1" applyFont="1" applyBorder="1" applyAlignment="1">
      <alignment horizontal="center" vertical="center" wrapText="1"/>
    </xf>
    <xf numFmtId="3" fontId="26" fillId="0" borderId="87" xfId="0" applyNumberFormat="1" applyFont="1" applyBorder="1" applyAlignment="1">
      <alignment horizontal="center" vertical="center" wrapText="1"/>
    </xf>
    <xf numFmtId="166" fontId="26" fillId="0" borderId="0" xfId="0" applyNumberFormat="1" applyFont="1" applyAlignment="1">
      <alignment horizontal="center" vertical="center" wrapText="1"/>
    </xf>
    <xf numFmtId="166" fontId="41" fillId="0" borderId="0" xfId="0" applyNumberFormat="1" applyFont="1" applyAlignment="1">
      <alignment horizontal="center" vertical="center"/>
    </xf>
    <xf numFmtId="166" fontId="39" fillId="0" borderId="0" xfId="0" applyNumberFormat="1" applyFont="1" applyAlignment="1">
      <alignment horizontal="center" vertical="center" wrapText="1"/>
    </xf>
    <xf numFmtId="166" fontId="32" fillId="0" borderId="98" xfId="0" applyNumberFormat="1" applyFont="1" applyBorder="1" applyAlignment="1">
      <alignment horizontal="center" vertical="center" wrapText="1"/>
    </xf>
    <xf numFmtId="166" fontId="33" fillId="0" borderId="98" xfId="0" applyNumberFormat="1" applyFont="1" applyBorder="1" applyAlignment="1">
      <alignment horizontal="center" vertical="center" wrapText="1"/>
    </xf>
    <xf numFmtId="166" fontId="39" fillId="0" borderId="6" xfId="0" applyNumberFormat="1" applyFont="1" applyBorder="1" applyAlignment="1">
      <alignment horizontal="center" vertical="center"/>
    </xf>
    <xf numFmtId="0" fontId="26" fillId="0" borderId="0" xfId="0" applyFont="1" applyAlignment="1">
      <alignment horizontal="left" vertical="top" wrapText="1"/>
    </xf>
    <xf numFmtId="166" fontId="32" fillId="0" borderId="87" xfId="0" applyNumberFormat="1" applyFont="1" applyBorder="1" applyAlignment="1">
      <alignment horizontal="center" vertical="center" wrapText="1"/>
    </xf>
    <xf numFmtId="166" fontId="39" fillId="0" borderId="0" xfId="0" applyNumberFormat="1" applyFont="1" applyAlignment="1">
      <alignment horizontal="center" vertical="center"/>
    </xf>
    <xf numFmtId="0" fontId="26" fillId="0" borderId="1" xfId="0" applyFont="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26" fillId="0" borderId="5" xfId="0" applyFont="1" applyBorder="1" applyAlignment="1">
      <alignment horizontal="left" vertical="top" wrapText="1"/>
    </xf>
    <xf numFmtId="0" fontId="26" fillId="0" borderId="60" xfId="0" applyFont="1" applyBorder="1" applyAlignment="1">
      <alignment horizontal="left" vertical="top" wrapText="1"/>
    </xf>
    <xf numFmtId="0" fontId="26" fillId="0" borderId="37" xfId="0" applyFont="1" applyBorder="1" applyAlignment="1">
      <alignment horizontal="left" vertical="top" wrapText="1"/>
    </xf>
    <xf numFmtId="0" fontId="26" fillId="0" borderId="41" xfId="0" applyFont="1" applyBorder="1" applyAlignment="1">
      <alignment horizontal="left" vertical="top" wrapText="1"/>
    </xf>
    <xf numFmtId="166" fontId="27" fillId="0" borderId="56" xfId="0" applyNumberFormat="1" applyFont="1" applyBorder="1" applyAlignment="1">
      <alignment horizontal="center" vertical="center" wrapText="1"/>
    </xf>
    <xf numFmtId="3" fontId="26" fillId="0" borderId="0" xfId="0" applyNumberFormat="1" applyFont="1" applyAlignment="1">
      <alignment horizontal="center" vertical="center" wrapText="1"/>
    </xf>
    <xf numFmtId="0" fontId="32" fillId="0" borderId="6" xfId="0" applyFont="1" applyBorder="1" applyAlignment="1">
      <alignment horizontal="center" vertical="center" wrapText="1"/>
    </xf>
    <xf numFmtId="3" fontId="32" fillId="0" borderId="6" xfId="0" applyNumberFormat="1" applyFont="1" applyBorder="1" applyAlignment="1">
      <alignment horizontal="center" vertical="center" wrapText="1"/>
    </xf>
    <xf numFmtId="3" fontId="26" fillId="0" borderId="6" xfId="0" applyNumberFormat="1" applyFont="1" applyBorder="1" applyAlignment="1">
      <alignment horizontal="center" vertical="center" wrapText="1"/>
    </xf>
    <xf numFmtId="167" fontId="39" fillId="0" borderId="0" xfId="0" applyNumberFormat="1" applyFont="1" applyAlignment="1">
      <alignment horizontal="left" vertical="center"/>
    </xf>
    <xf numFmtId="166" fontId="33" fillId="0" borderId="87" xfId="0" applyNumberFormat="1" applyFont="1" applyBorder="1" applyAlignment="1">
      <alignment horizontal="center" vertical="center" wrapText="1"/>
    </xf>
    <xf numFmtId="169" fontId="39" fillId="0" borderId="0" xfId="0" applyNumberFormat="1" applyFont="1" applyAlignment="1">
      <alignment horizontal="center" vertical="center"/>
    </xf>
    <xf numFmtId="165" fontId="32" fillId="0" borderId="56" xfId="16" applyNumberFormat="1" applyFont="1" applyBorder="1" applyAlignment="1">
      <alignment horizontal="center" vertical="center" wrapText="1"/>
    </xf>
    <xf numFmtId="3" fontId="32" fillId="0" borderId="6" xfId="16" applyNumberFormat="1" applyFont="1" applyBorder="1" applyAlignment="1">
      <alignment horizontal="center" vertical="center" wrapText="1"/>
    </xf>
    <xf numFmtId="3" fontId="26" fillId="0" borderId="98" xfId="0" applyNumberFormat="1" applyFont="1" applyBorder="1" applyAlignment="1">
      <alignment horizontal="center" vertical="center" wrapText="1"/>
    </xf>
    <xf numFmtId="3" fontId="26" fillId="0" borderId="92" xfId="0" applyNumberFormat="1" applyFont="1" applyBorder="1" applyAlignment="1">
      <alignment horizontal="center" vertical="center" wrapText="1"/>
    </xf>
    <xf numFmtId="3" fontId="26" fillId="0" borderId="10" xfId="0" applyNumberFormat="1" applyFont="1" applyBorder="1" applyAlignment="1">
      <alignment horizontal="center" vertical="center" wrapText="1"/>
    </xf>
    <xf numFmtId="0" fontId="8" fillId="0" borderId="1" xfId="4" applyFont="1" applyBorder="1" applyAlignment="1">
      <alignment horizontal="center" vertical="center" wrapText="1"/>
    </xf>
    <xf numFmtId="0" fontId="8" fillId="0" borderId="2" xfId="4" applyFont="1" applyBorder="1" applyAlignment="1">
      <alignment horizontal="center" vertical="center" wrapText="1"/>
    </xf>
    <xf numFmtId="0" fontId="8" fillId="0" borderId="3" xfId="4" applyFont="1" applyBorder="1" applyAlignment="1">
      <alignment horizontal="center" vertical="center" wrapText="1"/>
    </xf>
    <xf numFmtId="0" fontId="9" fillId="0" borderId="8" xfId="4" applyFont="1" applyBorder="1" applyAlignment="1">
      <alignment horizontal="center" vertical="center" wrapText="1"/>
    </xf>
    <xf numFmtId="0" fontId="9" fillId="0" borderId="96" xfId="4" applyFont="1" applyBorder="1" applyAlignment="1">
      <alignment horizontal="center" vertical="center" wrapText="1"/>
    </xf>
    <xf numFmtId="0" fontId="10" fillId="0" borderId="9" xfId="4" applyFont="1" applyBorder="1" applyAlignment="1">
      <alignment horizontal="center" vertical="center" wrapText="1"/>
    </xf>
    <xf numFmtId="0" fontId="10" fillId="0" borderId="15" xfId="4" applyFont="1" applyBorder="1" applyAlignment="1">
      <alignment horizontal="center" vertical="center" wrapText="1"/>
    </xf>
    <xf numFmtId="0" fontId="10" fillId="0" borderId="11" xfId="4" applyFont="1" applyBorder="1" applyAlignment="1">
      <alignment horizontal="center" vertical="center" wrapText="1"/>
    </xf>
    <xf numFmtId="0" fontId="10" fillId="0" borderId="16" xfId="4" applyFont="1" applyBorder="1" applyAlignment="1">
      <alignment horizontal="center" vertical="center" wrapText="1"/>
    </xf>
    <xf numFmtId="0" fontId="10" fillId="0" borderId="14" xfId="4" applyFont="1" applyBorder="1" applyAlignment="1">
      <alignment horizontal="center" vertical="center" wrapText="1"/>
    </xf>
    <xf numFmtId="0" fontId="10" fillId="0" borderId="7" xfId="4" applyFont="1" applyBorder="1" applyAlignment="1">
      <alignment horizontal="center" vertical="center" wrapText="1"/>
    </xf>
    <xf numFmtId="0" fontId="6" fillId="0" borderId="11" xfId="0" applyFont="1" applyBorder="1" applyAlignment="1">
      <alignment horizontal="center" vertical="top" wrapText="1"/>
    </xf>
    <xf numFmtId="0" fontId="6" fillId="0" borderId="16" xfId="0" applyFont="1" applyBorder="1" applyAlignment="1">
      <alignment horizontal="center" vertical="top" wrapText="1"/>
    </xf>
    <xf numFmtId="0" fontId="15" fillId="0" borderId="10" xfId="0" applyFont="1" applyBorder="1" applyAlignment="1">
      <alignment horizontal="center" vertical="center" wrapText="1"/>
    </xf>
    <xf numFmtId="0" fontId="15" fillId="0" borderId="6" xfId="0" applyFont="1" applyBorder="1" applyAlignment="1">
      <alignment horizontal="center" vertical="center" wrapText="1"/>
    </xf>
    <xf numFmtId="0" fontId="6" fillId="0" borderId="12" xfId="4" applyBorder="1" applyAlignment="1">
      <alignment horizontal="center" vertical="top" wrapText="1"/>
    </xf>
    <xf numFmtId="0" fontId="6" fillId="0" borderId="17" xfId="4" applyBorder="1" applyAlignment="1">
      <alignment horizontal="center" vertical="top" wrapText="1"/>
    </xf>
    <xf numFmtId="0" fontId="6" fillId="0" borderId="50" xfId="4" applyBorder="1" applyAlignment="1">
      <alignment horizontal="center" vertical="top" wrapText="1"/>
    </xf>
    <xf numFmtId="0" fontId="6" fillId="0" borderId="51" xfId="4" applyBorder="1" applyAlignment="1">
      <alignment horizontal="center" vertical="top" wrapText="1"/>
    </xf>
    <xf numFmtId="0" fontId="6" fillId="0" borderId="65" xfId="4" applyBorder="1" applyAlignment="1">
      <alignment horizontal="center" vertical="top" wrapText="1"/>
    </xf>
    <xf numFmtId="0" fontId="6" fillId="0" borderId="68" xfId="4" applyBorder="1" applyAlignment="1">
      <alignment horizontal="center" vertical="top" wrapText="1"/>
    </xf>
    <xf numFmtId="0" fontId="6" fillId="0" borderId="42" xfId="4" applyBorder="1" applyAlignment="1">
      <alignment horizontal="left" vertical="top" wrapText="1"/>
    </xf>
    <xf numFmtId="0" fontId="6" fillId="0" borderId="43" xfId="4" applyBorder="1" applyAlignment="1">
      <alignment horizontal="left" vertical="top" wrapText="1"/>
    </xf>
    <xf numFmtId="0" fontId="6" fillId="0" borderId="44" xfId="4" applyBorder="1" applyAlignment="1">
      <alignment horizontal="left" vertical="top" wrapText="1"/>
    </xf>
    <xf numFmtId="0" fontId="6" fillId="0" borderId="22" xfId="4" applyBorder="1" applyAlignment="1">
      <alignment horizontal="left" vertical="top" wrapText="1"/>
    </xf>
    <xf numFmtId="0" fontId="6" fillId="0" borderId="0" xfId="4" applyAlignment="1">
      <alignment horizontal="left" vertical="top" wrapText="1"/>
    </xf>
    <xf numFmtId="0" fontId="6" fillId="0" borderId="48" xfId="4" applyBorder="1" applyAlignment="1">
      <alignment horizontal="left" vertical="top" wrapText="1"/>
    </xf>
    <xf numFmtId="0" fontId="6" fillId="0" borderId="45" xfId="4" applyBorder="1" applyAlignment="1">
      <alignment horizontal="left" vertical="top" wrapText="1"/>
    </xf>
    <xf numFmtId="0" fontId="6" fillId="0" borderId="46" xfId="4" applyBorder="1" applyAlignment="1">
      <alignment horizontal="left" vertical="top" wrapText="1"/>
    </xf>
    <xf numFmtId="0" fontId="6" fillId="0" borderId="47" xfId="4" applyBorder="1" applyAlignment="1">
      <alignment horizontal="left" vertical="top" wrapText="1"/>
    </xf>
    <xf numFmtId="0" fontId="10" fillId="0" borderId="56" xfId="4" applyFont="1" applyBorder="1" applyAlignment="1">
      <alignment horizontal="center"/>
    </xf>
    <xf numFmtId="0" fontId="10" fillId="0" borderId="64" xfId="4" applyFont="1" applyBorder="1" applyAlignment="1">
      <alignment horizontal="center"/>
    </xf>
    <xf numFmtId="0" fontId="6" fillId="0" borderId="4" xfId="4" applyBorder="1" applyAlignment="1">
      <alignment horizontal="center"/>
    </xf>
    <xf numFmtId="0" fontId="6" fillId="0" borderId="76" xfId="4" applyBorder="1" applyAlignment="1">
      <alignment horizontal="center"/>
    </xf>
    <xf numFmtId="0" fontId="10" fillId="0" borderId="6" xfId="4" applyFont="1" applyBorder="1" applyAlignment="1">
      <alignment horizontal="center"/>
    </xf>
    <xf numFmtId="0" fontId="10" fillId="0" borderId="49" xfId="4" applyFont="1" applyBorder="1" applyAlignment="1">
      <alignment horizontal="center"/>
    </xf>
    <xf numFmtId="0" fontId="6" fillId="0" borderId="13" xfId="0" applyFont="1" applyBorder="1" applyAlignment="1">
      <alignment horizontal="left" vertical="center" wrapText="1"/>
    </xf>
    <xf numFmtId="0" fontId="6" fillId="0" borderId="10" xfId="0" applyFont="1" applyBorder="1" applyAlignment="1">
      <alignment horizontal="left" vertical="center" wrapText="1"/>
    </xf>
    <xf numFmtId="0" fontId="6" fillId="0" borderId="12" xfId="0" applyFont="1" applyBorder="1" applyAlignment="1">
      <alignment horizontal="left" vertical="center" wrapText="1"/>
    </xf>
    <xf numFmtId="0" fontId="6" fillId="0" borderId="62" xfId="0" applyFont="1" applyBorder="1" applyAlignment="1">
      <alignment horizontal="center" vertical="top" wrapText="1"/>
    </xf>
    <xf numFmtId="0" fontId="6" fillId="0" borderId="34" xfId="0" applyFont="1" applyBorder="1" applyAlignment="1">
      <alignment horizontal="center" vertical="top" wrapText="1"/>
    </xf>
    <xf numFmtId="165" fontId="6" fillId="0" borderId="62" xfId="4" applyNumberFormat="1" applyBorder="1" applyAlignment="1">
      <alignment horizontal="center" vertical="top" wrapText="1"/>
    </xf>
    <xf numFmtId="165" fontId="6" fillId="0" borderId="34" xfId="4" applyNumberFormat="1" applyBorder="1" applyAlignment="1">
      <alignment horizontal="center" vertical="top" wrapText="1"/>
    </xf>
    <xf numFmtId="0" fontId="6" fillId="0" borderId="54" xfId="4" applyBorder="1" applyAlignment="1">
      <alignment horizontal="center" vertical="top" wrapText="1"/>
    </xf>
    <xf numFmtId="0" fontId="6" fillId="0" borderId="77" xfId="4" applyBorder="1" applyAlignment="1">
      <alignment horizontal="center" vertical="top" wrapText="1"/>
    </xf>
    <xf numFmtId="0" fontId="6" fillId="0" borderId="72" xfId="4" applyBorder="1" applyAlignment="1">
      <alignment horizontal="center" vertical="top" wrapText="1"/>
    </xf>
    <xf numFmtId="0" fontId="6" fillId="0" borderId="62" xfId="4" applyBorder="1" applyAlignment="1">
      <alignment horizontal="center" vertical="top" wrapText="1"/>
    </xf>
    <xf numFmtId="0" fontId="6" fillId="0" borderId="34" xfId="4" applyBorder="1" applyAlignment="1">
      <alignment horizontal="center" vertical="top" wrapText="1"/>
    </xf>
    <xf numFmtId="9" fontId="10" fillId="0" borderId="5" xfId="16" applyFont="1" applyBorder="1" applyAlignment="1">
      <alignment horizontal="center" vertical="center" wrapText="1"/>
    </xf>
    <xf numFmtId="0" fontId="6" fillId="0" borderId="22" xfId="4" applyBorder="1" applyAlignment="1">
      <alignment horizontal="center" vertical="center" wrapText="1"/>
    </xf>
    <xf numFmtId="0" fontId="6" fillId="0" borderId="0" xfId="4" applyAlignment="1">
      <alignment horizontal="center" vertical="center" wrapText="1"/>
    </xf>
    <xf numFmtId="0" fontId="6" fillId="0" borderId="5" xfId="4" applyBorder="1" applyAlignment="1">
      <alignment horizontal="center" vertical="center" wrapText="1"/>
    </xf>
    <xf numFmtId="0" fontId="6" fillId="0" borderId="45" xfId="4" applyBorder="1" applyAlignment="1">
      <alignment horizontal="center" vertical="center" wrapText="1"/>
    </xf>
    <xf numFmtId="0" fontId="6" fillId="0" borderId="46" xfId="4" applyBorder="1" applyAlignment="1">
      <alignment horizontal="center" vertical="center" wrapText="1"/>
    </xf>
    <xf numFmtId="0" fontId="6" fillId="0" borderId="97" xfId="4" applyBorder="1" applyAlignment="1">
      <alignment horizontal="center" vertical="center" wrapText="1"/>
    </xf>
    <xf numFmtId="0" fontId="23" fillId="0" borderId="4" xfId="4" applyFont="1" applyBorder="1" applyAlignment="1">
      <alignment horizontal="center" vertical="center" wrapText="1"/>
    </xf>
    <xf numFmtId="0" fontId="23" fillId="0" borderId="0" xfId="4" applyFont="1" applyAlignment="1">
      <alignment horizontal="center" vertical="center" wrapText="1"/>
    </xf>
    <xf numFmtId="0" fontId="23" fillId="0" borderId="4" xfId="4" applyFont="1" applyBorder="1" applyAlignment="1">
      <alignment horizontal="center"/>
    </xf>
    <xf numFmtId="0" fontId="23" fillId="0" borderId="0" xfId="4" applyFont="1" applyAlignment="1">
      <alignment horizontal="center"/>
    </xf>
    <xf numFmtId="9" fontId="15" fillId="0" borderId="48" xfId="16" applyFont="1" applyBorder="1" applyAlignment="1">
      <alignment horizontal="center" vertical="top" wrapText="1"/>
    </xf>
    <xf numFmtId="0" fontId="10" fillId="0" borderId="42" xfId="4" applyFont="1" applyBorder="1" applyAlignment="1">
      <alignment horizontal="center" vertical="center" wrapText="1"/>
    </xf>
    <xf numFmtId="0" fontId="10" fillId="0" borderId="80" xfId="4" applyFont="1" applyBorder="1" applyAlignment="1">
      <alignment horizontal="center" vertical="center" wrapText="1"/>
    </xf>
    <xf numFmtId="0" fontId="10" fillId="0" borderId="104" xfId="4" applyFont="1" applyBorder="1" applyAlignment="1">
      <alignment horizontal="center" vertical="center" wrapText="1"/>
    </xf>
    <xf numFmtId="9" fontId="10" fillId="0" borderId="42" xfId="16" applyFont="1" applyBorder="1" applyAlignment="1">
      <alignment horizontal="center" vertical="center" wrapText="1"/>
    </xf>
    <xf numFmtId="9" fontId="10" fillId="0" borderId="43" xfId="16" applyFont="1" applyBorder="1" applyAlignment="1">
      <alignment horizontal="center" vertical="center" wrapText="1"/>
    </xf>
    <xf numFmtId="9" fontId="15" fillId="0" borderId="57" xfId="16" applyFont="1" applyBorder="1" applyAlignment="1">
      <alignment horizontal="center" vertical="center" wrapText="1"/>
    </xf>
    <xf numFmtId="9" fontId="15" fillId="0" borderId="58" xfId="16" applyFont="1" applyBorder="1" applyAlignment="1">
      <alignment horizontal="center" vertical="center" wrapText="1"/>
    </xf>
    <xf numFmtId="9" fontId="10" fillId="0" borderId="42" xfId="16" applyFont="1" applyBorder="1" applyAlignment="1">
      <alignment horizontal="center" vertical="top" wrapText="1"/>
    </xf>
    <xf numFmtId="9" fontId="10" fillId="0" borderId="43" xfId="16" applyFont="1" applyBorder="1" applyAlignment="1">
      <alignment horizontal="center" vertical="top" wrapText="1"/>
    </xf>
    <xf numFmtId="9" fontId="10" fillId="0" borderId="44" xfId="16" applyFont="1" applyBorder="1" applyAlignment="1">
      <alignment horizontal="center" vertical="top" wrapText="1"/>
    </xf>
    <xf numFmtId="9" fontId="10" fillId="0" borderId="22" xfId="16" applyFont="1" applyBorder="1" applyAlignment="1">
      <alignment horizontal="center" vertical="center" wrapText="1"/>
    </xf>
    <xf numFmtId="9" fontId="10" fillId="0" borderId="0" xfId="16" applyFont="1" applyBorder="1" applyAlignment="1">
      <alignment horizontal="center" vertical="center" wrapText="1"/>
    </xf>
    <xf numFmtId="9" fontId="15" fillId="0" borderId="93" xfId="16" applyFont="1" applyBorder="1" applyAlignment="1">
      <alignment horizontal="center" vertical="center" wrapText="1"/>
    </xf>
    <xf numFmtId="9" fontId="15" fillId="0" borderId="6" xfId="16" applyFont="1" applyBorder="1" applyAlignment="1">
      <alignment horizontal="center" vertical="center" wrapText="1"/>
    </xf>
    <xf numFmtId="9" fontId="15" fillId="0" borderId="83" xfId="16" applyFont="1" applyBorder="1" applyAlignment="1">
      <alignment horizontal="center" vertical="center" wrapText="1"/>
    </xf>
    <xf numFmtId="9" fontId="15" fillId="0" borderId="0" xfId="16" applyFont="1" applyBorder="1" applyAlignment="1">
      <alignment horizontal="center" vertical="top" wrapText="1"/>
    </xf>
    <xf numFmtId="9" fontId="15" fillId="0" borderId="56" xfId="16" applyFont="1" applyBorder="1" applyAlignment="1">
      <alignment horizontal="center" vertical="center" wrapText="1"/>
    </xf>
    <xf numFmtId="9" fontId="15" fillId="0" borderId="98" xfId="16" applyFont="1" applyBorder="1" applyAlignment="1">
      <alignment horizontal="center" vertical="center" wrapText="1"/>
    </xf>
    <xf numFmtId="9" fontId="15" fillId="0" borderId="18" xfId="16" applyFont="1" applyBorder="1" applyAlignment="1">
      <alignment horizontal="center" vertical="center" wrapText="1"/>
    </xf>
    <xf numFmtId="9" fontId="6" fillId="0" borderId="22" xfId="16" applyFont="1" applyBorder="1" applyAlignment="1">
      <alignment horizontal="center" vertical="top" wrapText="1"/>
    </xf>
    <xf numFmtId="166" fontId="10" fillId="0" borderId="11" xfId="4" applyNumberFormat="1" applyFont="1" applyBorder="1" applyAlignment="1">
      <alignment horizontal="center" vertical="top" wrapText="1"/>
    </xf>
    <xf numFmtId="166" fontId="10" fillId="0" borderId="22" xfId="4" applyNumberFormat="1" applyFont="1" applyBorder="1" applyAlignment="1">
      <alignment horizontal="center" vertical="top" wrapText="1"/>
    </xf>
    <xf numFmtId="0" fontId="6" fillId="0" borderId="8" xfId="4" applyBorder="1" applyAlignment="1">
      <alignment horizontal="center"/>
    </xf>
  </cellXfs>
  <cellStyles count="25">
    <cellStyle name="Hyperlink" xfId="2" builtinId="8"/>
    <cellStyle name="Hyperlink 2" xfId="24" xr:uid="{2DCA66F3-9205-434B-B3B8-EBB0CBA55045}"/>
    <cellStyle name="Lien hypertexte 2" xfId="3" xr:uid="{80D26CDF-333D-4D1B-9E06-2F77A54AB607}"/>
    <cellStyle name="Normal" xfId="0" builtinId="0"/>
    <cellStyle name="Normal 11" xfId="8" xr:uid="{B9086849-CA4B-482F-B6D6-50C9ED31B0E9}"/>
    <cellStyle name="Normal 11 2" xfId="11" xr:uid="{4BBE8178-3C56-4984-AA45-28C18C60D1E4}"/>
    <cellStyle name="Normal 2" xfId="20" xr:uid="{0E10CDF5-96D1-4459-A1D5-EDBD08A8A2C1}"/>
    <cellStyle name="Normal 2 2" xfId="18" xr:uid="{ABE28505-0022-473D-A687-957DEF1CFF9B}"/>
    <cellStyle name="Normal 2 3" xfId="4" xr:uid="{116EC60A-8AD8-4628-B59C-4B395538A9D3}"/>
    <cellStyle name="Normal 2 4" xfId="7" xr:uid="{8079D476-D12E-4BB7-B55A-E994B98946A4}"/>
    <cellStyle name="Normal 2_AccumulationEquation" xfId="17" xr:uid="{D34CB570-C7DA-4DAA-A16E-D226226C3012}"/>
    <cellStyle name="Normal 3" xfId="19" xr:uid="{36F59A96-2C79-4052-B44D-73F5C2ADA8BF}"/>
    <cellStyle name="Normal 4" xfId="23" xr:uid="{BFA2A619-07EF-4AC4-AEFA-7BCECA0119D2}"/>
    <cellStyle name="Per cent" xfId="1" builtinId="5"/>
    <cellStyle name="Per cent 2" xfId="16" xr:uid="{674C0988-6D33-4FAC-99AE-1D24F6F10C09}"/>
    <cellStyle name="Pourcentage 10" xfId="5" xr:uid="{CF12044C-92C0-4A10-8DAE-5FA4997967BF}"/>
    <cellStyle name="Pourcentage 10 2" xfId="12" xr:uid="{DB87C93E-8971-4842-A71D-8CA8BB6A672C}"/>
    <cellStyle name="Pourcentage 2" xfId="6" xr:uid="{4F9CA2ED-65A3-4A74-B572-EE57BCC2DCAB}"/>
    <cellStyle name="千位分隔 2" xfId="22" xr:uid="{EB6C79B7-0608-4052-A370-48391A87E41C}"/>
    <cellStyle name="常规 2" xfId="9" xr:uid="{2D1FADA1-A477-40A7-AC41-F8DF48AF387D}"/>
    <cellStyle name="常规 3" xfId="10" xr:uid="{43CAB875-FFAF-40BA-9AEB-E85DAD28CE0F}"/>
    <cellStyle name="常规 4" xfId="13" xr:uid="{73ADF897-66E4-4F3E-AD8C-1F8F0E46D41A}"/>
    <cellStyle name="常规 5" xfId="15" xr:uid="{7EC64196-33F5-4398-BC51-D7E393B780EA}"/>
    <cellStyle name="常规 6" xfId="21" xr:uid="{F320ADF7-8D56-492C-8448-7DB1648856EF}"/>
    <cellStyle name="超链接 2" xfId="14" xr:uid="{5B12001C-94BD-4509-9CE5-DB8BB7104F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2B5A-6F43-483A-9B2F-131276219E80}">
  <dimension ref="A3:AH45"/>
  <sheetViews>
    <sheetView tabSelected="1" zoomScale="70" zoomScaleNormal="70" workbookViewId="0">
      <selection activeCell="F49" sqref="F49"/>
    </sheetView>
  </sheetViews>
  <sheetFormatPr defaultRowHeight="14.4"/>
  <cols>
    <col min="17" max="17" width="10.6640625" bestFit="1" customWidth="1"/>
  </cols>
  <sheetData>
    <row r="3" spans="1:34" ht="15" thickBot="1"/>
    <row r="4" spans="1:34" ht="27.6" thickBot="1">
      <c r="C4" s="200" t="s">
        <v>89</v>
      </c>
      <c r="D4" s="541" t="s">
        <v>90</v>
      </c>
      <c r="E4" s="542"/>
      <c r="F4" s="542"/>
      <c r="G4" s="543"/>
      <c r="H4" s="201" t="s">
        <v>91</v>
      </c>
      <c r="I4" s="542" t="s">
        <v>92</v>
      </c>
      <c r="J4" s="542"/>
      <c r="K4" s="542"/>
      <c r="L4" s="542"/>
      <c r="M4" s="202" t="s">
        <v>93</v>
      </c>
      <c r="N4" s="542" t="s">
        <v>94</v>
      </c>
      <c r="O4" s="542"/>
      <c r="P4" s="542"/>
      <c r="Q4" s="542"/>
      <c r="R4" s="542"/>
      <c r="S4" s="542"/>
      <c r="T4" s="542"/>
      <c r="U4" s="543"/>
      <c r="V4" s="541" t="s">
        <v>95</v>
      </c>
      <c r="W4" s="542"/>
      <c r="X4" s="544"/>
      <c r="Y4" s="544"/>
      <c r="Z4" s="544"/>
      <c r="AA4" s="545"/>
      <c r="AB4" s="541" t="s">
        <v>96</v>
      </c>
      <c r="AC4" s="544"/>
      <c r="AD4" s="544"/>
      <c r="AE4" s="545"/>
    </row>
    <row r="5" spans="1:34" ht="60" customHeight="1">
      <c r="C5" s="203"/>
      <c r="D5" s="203"/>
      <c r="E5" s="210"/>
      <c r="F5" s="210"/>
      <c r="G5" s="211"/>
      <c r="H5" s="206"/>
      <c r="I5" s="456"/>
      <c r="J5" s="456"/>
      <c r="K5" s="456"/>
      <c r="L5" s="456"/>
      <c r="M5" s="207"/>
      <c r="N5" s="546" t="s">
        <v>97</v>
      </c>
      <c r="O5" s="547"/>
      <c r="P5" s="548"/>
      <c r="Q5" s="549" t="s">
        <v>98</v>
      </c>
      <c r="R5" s="549"/>
      <c r="S5" s="549"/>
      <c r="T5" s="549"/>
      <c r="U5" s="550"/>
      <c r="V5" s="208" t="s">
        <v>99</v>
      </c>
      <c r="W5" s="457" t="s">
        <v>100</v>
      </c>
      <c r="X5" s="457" t="s">
        <v>101</v>
      </c>
      <c r="Y5" s="457" t="s">
        <v>102</v>
      </c>
      <c r="Z5" s="457" t="s">
        <v>103</v>
      </c>
      <c r="AA5" s="209" t="s">
        <v>104</v>
      </c>
      <c r="AB5" s="203"/>
      <c r="AC5" s="210"/>
      <c r="AD5" s="210"/>
      <c r="AE5" s="211"/>
      <c r="AG5" s="110" t="s">
        <v>105</v>
      </c>
    </row>
    <row r="6" spans="1:34">
      <c r="A6" s="110" t="s">
        <v>38</v>
      </c>
      <c r="C6" s="204"/>
      <c r="D6" s="204"/>
      <c r="G6" s="205"/>
      <c r="H6" s="212"/>
      <c r="I6" s="454"/>
      <c r="J6" s="456"/>
      <c r="K6" s="456"/>
      <c r="L6" s="456"/>
      <c r="M6" s="207"/>
      <c r="N6" s="204"/>
      <c r="P6" s="205"/>
      <c r="R6" s="454" t="s">
        <v>566</v>
      </c>
      <c r="S6" s="454"/>
      <c r="U6" s="205"/>
      <c r="V6" s="204"/>
      <c r="AA6" s="205"/>
      <c r="AB6" s="204"/>
      <c r="AC6" s="110"/>
      <c r="AE6" s="205"/>
    </row>
    <row r="7" spans="1:34" ht="15" thickBot="1">
      <c r="A7" s="110" t="s">
        <v>106</v>
      </c>
      <c r="B7" t="s">
        <v>107</v>
      </c>
      <c r="C7" s="213" t="s">
        <v>567</v>
      </c>
      <c r="D7" s="446" t="s">
        <v>108</v>
      </c>
      <c r="E7" s="447" t="s">
        <v>109</v>
      </c>
      <c r="F7" s="447" t="s">
        <v>110</v>
      </c>
      <c r="G7" s="448" t="s">
        <v>111</v>
      </c>
      <c r="H7" s="214" t="s">
        <v>569</v>
      </c>
      <c r="I7" s="110" t="s">
        <v>112</v>
      </c>
      <c r="J7" s="110" t="s">
        <v>113</v>
      </c>
      <c r="K7" s="110" t="s">
        <v>114</v>
      </c>
      <c r="L7" s="110" t="s">
        <v>115</v>
      </c>
      <c r="M7" s="215" t="s">
        <v>568</v>
      </c>
      <c r="N7" s="446" t="s">
        <v>116</v>
      </c>
      <c r="O7" s="447" t="s">
        <v>117</v>
      </c>
      <c r="P7" s="448" t="s">
        <v>118</v>
      </c>
      <c r="Q7" s="110" t="s">
        <v>119</v>
      </c>
      <c r="R7" s="110" t="s">
        <v>120</v>
      </c>
      <c r="S7" s="110" t="s">
        <v>121</v>
      </c>
      <c r="T7" s="110" t="s">
        <v>122</v>
      </c>
      <c r="U7" s="214" t="s">
        <v>123</v>
      </c>
      <c r="V7" s="213" t="s">
        <v>124</v>
      </c>
      <c r="W7" s="110"/>
      <c r="X7" s="450"/>
      <c r="Y7" s="110" t="s">
        <v>121</v>
      </c>
      <c r="Z7" s="110" t="s">
        <v>125</v>
      </c>
      <c r="AA7" s="214" t="s">
        <v>126</v>
      </c>
      <c r="AB7" s="213" t="s">
        <v>127</v>
      </c>
      <c r="AC7" s="110" t="s">
        <v>128</v>
      </c>
      <c r="AD7" s="110" t="s">
        <v>129</v>
      </c>
      <c r="AE7" s="214" t="s">
        <v>130</v>
      </c>
      <c r="AF7" s="110" t="s">
        <v>131</v>
      </c>
      <c r="AG7" s="110" t="s">
        <v>132</v>
      </c>
      <c r="AH7" s="110"/>
    </row>
    <row r="8" spans="1:34">
      <c r="A8" s="110" t="s">
        <v>133</v>
      </c>
      <c r="B8">
        <v>1979</v>
      </c>
      <c r="C8" s="216"/>
      <c r="D8" s="219"/>
      <c r="E8" s="220"/>
      <c r="F8" s="220"/>
      <c r="G8" s="532">
        <f>'AP2'!DK39 / ('AP2'!CG39*'AP2'!T39)</f>
        <v>3.6624803450432926E-3</v>
      </c>
      <c r="H8" s="533"/>
      <c r="I8" s="534"/>
      <c r="J8" s="535"/>
      <c r="K8" s="535"/>
      <c r="L8" s="536"/>
      <c r="M8" s="535"/>
      <c r="N8" s="537">
        <f t="shared" ref="N8:N43" si="0">O8+P8</f>
        <v>1.550828586549189E-2</v>
      </c>
      <c r="O8" s="533">
        <f>'AP2'!EE39 / ('AP2'!CG39*'AP2'!T39)</f>
        <v>5.648748611125097E-3</v>
      </c>
      <c r="P8" s="533">
        <f>'AP2'!EB39 / ('AP2'!CG39*'AP2'!T39)</f>
        <v>9.8595372543667931E-3</v>
      </c>
      <c r="Q8" s="538">
        <f>('AP2'!EF39+'AP2'!EM39- 'AP2'!EQ39) / ('AP2'!CG39*'AP2'!T39)</f>
        <v>0.27519609373127046</v>
      </c>
      <c r="R8" s="220">
        <f>0.1*Q8</f>
        <v>2.7519609373127047E-2</v>
      </c>
      <c r="S8" s="535">
        <f>Q8-R8</f>
        <v>0.24767648435814341</v>
      </c>
      <c r="T8" s="533">
        <f>S8-U8</f>
        <v>0.24384157258005015</v>
      </c>
      <c r="U8" s="532">
        <f>('AP2'!EN39+'AP2'!EG39 ) / ('AP2'!CG39*'AP2'!T39)</f>
        <v>3.8349117780932629E-3</v>
      </c>
      <c r="V8" s="216"/>
      <c r="W8" s="217"/>
      <c r="X8" s="217"/>
      <c r="Y8" s="217"/>
      <c r="Z8" s="217"/>
      <c r="AA8" s="218"/>
      <c r="AB8" s="217"/>
      <c r="AC8" s="217"/>
      <c r="AD8" s="217"/>
      <c r="AE8" s="218"/>
      <c r="AG8" s="98"/>
    </row>
    <row r="9" spans="1:34">
      <c r="A9" s="110" t="s">
        <v>133</v>
      </c>
      <c r="B9">
        <v>1980</v>
      </c>
      <c r="C9" s="219"/>
      <c r="D9" s="219"/>
      <c r="E9" s="220"/>
      <c r="F9" s="220"/>
      <c r="G9" s="532">
        <f>'AP2'!DK40 / ('AP2'!CG40*'AP2'!T40)</f>
        <v>3.6923716596744074E-3</v>
      </c>
      <c r="H9" s="533"/>
      <c r="I9" s="539"/>
      <c r="J9" s="533"/>
      <c r="K9" s="533"/>
      <c r="L9" s="540"/>
      <c r="M9" s="533">
        <f>N9+Q9</f>
        <v>0.28078731549973268</v>
      </c>
      <c r="N9" s="537">
        <f t="shared" si="0"/>
        <v>1.6103579017284417E-2</v>
      </c>
      <c r="O9" s="533">
        <f>'AP2'!EE40 / ('AP2'!CG40*'AP2'!T40)</f>
        <v>5.7921339064468383E-3</v>
      </c>
      <c r="P9" s="533">
        <f>'AP2'!EB40 / ('AP2'!CG40*'AP2'!T40)</f>
        <v>1.0311445110837578E-2</v>
      </c>
      <c r="Q9" s="533">
        <f>('AP2'!EF40+'AP2'!EM40 -'AP2'!EQ40 ) / ('AP2'!CG40*'AP2'!T40)</f>
        <v>0.26468373648244825</v>
      </c>
      <c r="R9" s="220">
        <f>0.1*Q9</f>
        <v>2.6468373648244826E-2</v>
      </c>
      <c r="S9" s="533">
        <f>Q9-R9</f>
        <v>0.23821536283420341</v>
      </c>
      <c r="T9" s="533">
        <f>S9-U9</f>
        <v>0.23328627155434759</v>
      </c>
      <c r="U9" s="532">
        <f>('AP2'!EN40+'AP2'!EG40 ) / ('AP2'!CG40*'AP2'!T40)</f>
        <v>4.9290912798558425E-3</v>
      </c>
      <c r="V9" s="219"/>
      <c r="W9" s="220"/>
      <c r="X9" s="220"/>
      <c r="Y9" s="220"/>
      <c r="Z9" s="220"/>
      <c r="AA9" s="221"/>
      <c r="AB9" s="220"/>
      <c r="AC9" s="220"/>
      <c r="AD9" s="220"/>
      <c r="AE9" s="221"/>
      <c r="AG9" s="98"/>
    </row>
    <row r="10" spans="1:34">
      <c r="A10" s="110" t="s">
        <v>133</v>
      </c>
      <c r="B10">
        <v>1981</v>
      </c>
      <c r="C10" s="219"/>
      <c r="D10" s="219"/>
      <c r="E10" s="220"/>
      <c r="F10" s="220"/>
      <c r="G10" s="532">
        <f>'AP2'!DK41 / ('AP2'!CG41*'AP2'!T41)</f>
        <v>3.6848851903801181E-3</v>
      </c>
      <c r="H10" s="533"/>
      <c r="I10" s="539"/>
      <c r="J10" s="533"/>
      <c r="K10" s="533"/>
      <c r="L10" s="540"/>
      <c r="M10" s="533">
        <f t="shared" ref="M10:M43" si="1">N10+Q10</f>
        <v>0.29258465651252075</v>
      </c>
      <c r="N10" s="537">
        <f t="shared" si="0"/>
        <v>1.7058511918223697E-2</v>
      </c>
      <c r="O10" s="533">
        <f>'AP2'!EE41 / ('AP2'!CG41*'AP2'!T41)</f>
        <v>6.3348442175387978E-3</v>
      </c>
      <c r="P10" s="533">
        <f>'AP2'!EB41 / ('AP2'!CG41*'AP2'!T41)</f>
        <v>1.07236677006849E-2</v>
      </c>
      <c r="Q10" s="533">
        <f>('AP2'!EF41+'AP2'!EM41 -'AP2'!EQ41 ) / ('AP2'!CG41*'AP2'!T41)</f>
        <v>0.27552614459429703</v>
      </c>
      <c r="R10" s="220">
        <f t="shared" ref="R10:R43" si="2">0.1*Q10</f>
        <v>2.7552614459429706E-2</v>
      </c>
      <c r="S10" s="533">
        <f t="shared" ref="S10:S43" si="3">Q10-R10</f>
        <v>0.24797353013486734</v>
      </c>
      <c r="T10" s="533">
        <f t="shared" ref="T10:T43" si="4">S10-U10</f>
        <v>0.2421071988968285</v>
      </c>
      <c r="U10" s="532">
        <f>('AP2'!EN41+'AP2'!EG41 ) / ('AP2'!CG41*'AP2'!T41)</f>
        <v>5.8663312380388393E-3</v>
      </c>
      <c r="V10" s="219"/>
      <c r="W10" s="220"/>
      <c r="X10" s="220"/>
      <c r="Y10" s="220"/>
      <c r="Z10" s="220"/>
      <c r="AA10" s="221"/>
      <c r="AB10" s="220"/>
      <c r="AC10" s="220"/>
      <c r="AD10" s="220"/>
      <c r="AE10" s="221"/>
      <c r="AG10" s="98"/>
    </row>
    <row r="11" spans="1:34">
      <c r="A11" s="110" t="s">
        <v>133</v>
      </c>
      <c r="B11">
        <v>1982</v>
      </c>
      <c r="C11" s="219"/>
      <c r="D11" s="219"/>
      <c r="E11" s="220"/>
      <c r="F11" s="220"/>
      <c r="G11" s="532">
        <f>'AP2'!DK42 / ('AP2'!CG42*'AP2'!T42)</f>
        <v>4.0662954309043722E-3</v>
      </c>
      <c r="H11" s="533"/>
      <c r="I11" s="539"/>
      <c r="J11" s="533"/>
      <c r="K11" s="533"/>
      <c r="L11" s="540"/>
      <c r="M11" s="533">
        <f t="shared" si="1"/>
        <v>0.29898435068032059</v>
      </c>
      <c r="N11" s="537">
        <f t="shared" si="0"/>
        <v>1.8013226042635576E-2</v>
      </c>
      <c r="O11" s="533">
        <f>'AP2'!EE42 / ('AP2'!CG42*'AP2'!T42)</f>
        <v>7.0109978237728734E-3</v>
      </c>
      <c r="P11" s="533">
        <f>'AP2'!EB42 / ('AP2'!CG42*'AP2'!T42)</f>
        <v>1.1002228218862703E-2</v>
      </c>
      <c r="Q11" s="533">
        <f>('AP2'!EF42+'AP2'!EM42 -'AP2'!EQ42 ) / ('AP2'!CG42*'AP2'!T42)</f>
        <v>0.28097112463768503</v>
      </c>
      <c r="R11" s="220">
        <f t="shared" si="2"/>
        <v>2.8097112463768503E-2</v>
      </c>
      <c r="S11" s="533">
        <f t="shared" si="3"/>
        <v>0.25287401217391653</v>
      </c>
      <c r="T11" s="533">
        <f t="shared" si="4"/>
        <v>0.24641672392593991</v>
      </c>
      <c r="U11" s="532">
        <f>('AP2'!EN42+'AP2'!EG42 ) / ('AP2'!CG42*'AP2'!T42)</f>
        <v>6.4572882479766204E-3</v>
      </c>
      <c r="V11" s="219"/>
      <c r="W11" s="220"/>
      <c r="X11" s="220"/>
      <c r="Y11" s="220"/>
      <c r="Z11" s="220"/>
      <c r="AA11" s="221"/>
      <c r="AB11" s="220"/>
      <c r="AC11" s="220"/>
      <c r="AD11" s="220"/>
      <c r="AE11" s="221"/>
      <c r="AG11" s="98"/>
    </row>
    <row r="12" spans="1:34">
      <c r="A12" s="110" t="s">
        <v>133</v>
      </c>
      <c r="B12">
        <v>1983</v>
      </c>
      <c r="C12" s="219"/>
      <c r="D12" s="219"/>
      <c r="E12" s="220"/>
      <c r="F12" s="220"/>
      <c r="G12" s="532">
        <f>'AP2'!DK43 / ('AP2'!CG43*'AP2'!T43)</f>
        <v>4.5768806459442661E-3</v>
      </c>
      <c r="H12" s="533"/>
      <c r="I12" s="539"/>
      <c r="J12" s="533"/>
      <c r="K12" s="533"/>
      <c r="L12" s="540"/>
      <c r="M12" s="533">
        <f t="shared" si="1"/>
        <v>0.30078775118370199</v>
      </c>
      <c r="N12" s="537">
        <f t="shared" si="0"/>
        <v>2.0232024383260775E-2</v>
      </c>
      <c r="O12" s="533">
        <f>'AP2'!EE43 / ('AP2'!CG43*'AP2'!T43)</f>
        <v>8.0631785448162067E-3</v>
      </c>
      <c r="P12" s="533">
        <f>'AP2'!EB43 / ('AP2'!CG43*'AP2'!T43)</f>
        <v>1.2168845838444568E-2</v>
      </c>
      <c r="Q12" s="533">
        <f>('AP2'!EF43+'AP2'!EM43 -'AP2'!EQ43 ) / ('AP2'!CG43*'AP2'!T43)</f>
        <v>0.28055572680044122</v>
      </c>
      <c r="R12" s="220">
        <f t="shared" si="2"/>
        <v>2.8055572680044123E-2</v>
      </c>
      <c r="S12" s="533">
        <f t="shared" si="3"/>
        <v>0.25250015412039711</v>
      </c>
      <c r="T12" s="533">
        <f t="shared" si="4"/>
        <v>0.24569691228923821</v>
      </c>
      <c r="U12" s="532">
        <f>('AP2'!EN43+'AP2'!EG43 ) / ('AP2'!CG43*'AP2'!T43)</f>
        <v>6.803241831158895E-3</v>
      </c>
      <c r="V12" s="219"/>
      <c r="W12" s="220"/>
      <c r="X12" s="220"/>
      <c r="Y12" s="220"/>
      <c r="Z12" s="220"/>
      <c r="AA12" s="221"/>
      <c r="AB12" s="220"/>
      <c r="AC12" s="220"/>
      <c r="AD12" s="220"/>
      <c r="AE12" s="221"/>
      <c r="AG12" s="98"/>
    </row>
    <row r="13" spans="1:34">
      <c r="A13" s="110" t="s">
        <v>133</v>
      </c>
      <c r="B13">
        <v>1984</v>
      </c>
      <c r="C13" s="219"/>
      <c r="D13" s="219"/>
      <c r="E13" s="220"/>
      <c r="F13" s="220"/>
      <c r="G13" s="532">
        <f>'AP2'!DK44 / ('AP2'!CG44*'AP2'!T44)</f>
        <v>4.8054409216802627E-3</v>
      </c>
      <c r="H13" s="533"/>
      <c r="I13" s="539"/>
      <c r="J13" s="533"/>
      <c r="K13" s="533"/>
      <c r="L13" s="540"/>
      <c r="M13" s="533">
        <f t="shared" si="1"/>
        <v>0.29861187713050064</v>
      </c>
      <c r="N13" s="537">
        <f t="shared" si="0"/>
        <v>2.1776874048094894E-2</v>
      </c>
      <c r="O13" s="533">
        <f>'AP2'!EE44 / ('AP2'!CG44*'AP2'!T44)</f>
        <v>8.6676508374592849E-3</v>
      </c>
      <c r="P13" s="533">
        <f>'AP2'!EB44 / ('AP2'!CG44*'AP2'!T44)</f>
        <v>1.3109223210635609E-2</v>
      </c>
      <c r="Q13" s="533">
        <f>('AP2'!EF44+'AP2'!EM44 -'AP2'!EQ44 ) / ('AP2'!CG44*'AP2'!T44)</f>
        <v>0.27683500308240572</v>
      </c>
      <c r="R13" s="220">
        <f t="shared" si="2"/>
        <v>2.7683500308240572E-2</v>
      </c>
      <c r="S13" s="533">
        <f t="shared" si="3"/>
        <v>0.24915150277416515</v>
      </c>
      <c r="T13" s="533">
        <f t="shared" si="4"/>
        <v>0.24261140751934948</v>
      </c>
      <c r="U13" s="532">
        <f>('AP2'!EN44+'AP2'!EG44 ) / ('AP2'!CG44*'AP2'!T44)</f>
        <v>6.5400952548156583E-3</v>
      </c>
      <c r="V13" s="219"/>
      <c r="W13" s="220"/>
      <c r="X13" s="220"/>
      <c r="Y13" s="220"/>
      <c r="Z13" s="220"/>
      <c r="AA13" s="221"/>
      <c r="AB13" s="220"/>
      <c r="AC13" s="220"/>
      <c r="AD13" s="220"/>
      <c r="AE13" s="221"/>
      <c r="AG13" s="98"/>
    </row>
    <row r="14" spans="1:34">
      <c r="A14" s="110" t="s">
        <v>133</v>
      </c>
      <c r="B14">
        <v>1985</v>
      </c>
      <c r="C14" s="219"/>
      <c r="D14" s="219"/>
      <c r="E14" s="220"/>
      <c r="F14" s="220"/>
      <c r="G14" s="532">
        <f>'AP2'!DK45 / ('AP2'!CG45*'AP2'!T45)</f>
        <v>5.1582897299587479E-3</v>
      </c>
      <c r="H14" s="533"/>
      <c r="I14" s="539"/>
      <c r="J14" s="533"/>
      <c r="K14" s="533"/>
      <c r="L14" s="540"/>
      <c r="M14" s="533">
        <f t="shared" si="1"/>
        <v>0.27052188206715255</v>
      </c>
      <c r="N14" s="537">
        <f t="shared" si="0"/>
        <v>2.216123238446429E-2</v>
      </c>
      <c r="O14" s="533">
        <f>'AP2'!EE45 / ('AP2'!CG45*'AP2'!T45)</f>
        <v>8.962482549273872E-3</v>
      </c>
      <c r="P14" s="533">
        <f>'AP2'!EB45 / ('AP2'!CG45*'AP2'!T45)</f>
        <v>1.3198749835190418E-2</v>
      </c>
      <c r="Q14" s="533">
        <f>('AP2'!EF45+'AP2'!EM45 -'AP2'!EQ45 ) / ('AP2'!CG45*'AP2'!T45)</f>
        <v>0.24836064968268826</v>
      </c>
      <c r="R14" s="220">
        <f t="shared" si="2"/>
        <v>2.4836064968268828E-2</v>
      </c>
      <c r="S14" s="533">
        <f t="shared" si="3"/>
        <v>0.22352458471441944</v>
      </c>
      <c r="T14" s="533">
        <f t="shared" si="4"/>
        <v>0.21739632065582684</v>
      </c>
      <c r="U14" s="532">
        <f>('AP2'!EN45+'AP2'!EG45 ) / ('AP2'!CG45*'AP2'!T45)</f>
        <v>6.128264058592593E-3</v>
      </c>
      <c r="V14" s="219"/>
      <c r="W14" s="220"/>
      <c r="X14" s="220"/>
      <c r="Y14" s="220"/>
      <c r="Z14" s="220"/>
      <c r="AA14" s="221"/>
      <c r="AB14" s="220"/>
      <c r="AC14" s="220"/>
      <c r="AD14" s="220"/>
      <c r="AE14" s="221"/>
      <c r="AG14" s="98"/>
    </row>
    <row r="15" spans="1:34">
      <c r="A15" s="110" t="s">
        <v>133</v>
      </c>
      <c r="B15">
        <v>1986</v>
      </c>
      <c r="C15" s="219"/>
      <c r="D15" s="219"/>
      <c r="E15" s="220"/>
      <c r="F15" s="220"/>
      <c r="G15" s="532">
        <f>'AP2'!DK46 / ('AP2'!CG46*'AP2'!T46)</f>
        <v>6.0251713390180924E-3</v>
      </c>
      <c r="H15" s="533"/>
      <c r="I15" s="539"/>
      <c r="J15" s="533"/>
      <c r="K15" s="533"/>
      <c r="L15" s="540"/>
      <c r="M15" s="533">
        <f t="shared" si="1"/>
        <v>0.25583398454930578</v>
      </c>
      <c r="N15" s="537">
        <f t="shared" si="0"/>
        <v>2.3497451417418276E-2</v>
      </c>
      <c r="O15" s="533">
        <f>'AP2'!EE46 / ('AP2'!CG46*'AP2'!T46)</f>
        <v>1.0000366835358238E-2</v>
      </c>
      <c r="P15" s="533">
        <f>'AP2'!EB46 / ('AP2'!CG46*'AP2'!T46)</f>
        <v>1.3497084582060039E-2</v>
      </c>
      <c r="Q15" s="533">
        <f>('AP2'!EF46+'AP2'!EM46 -'AP2'!EQ46 ) / ('AP2'!CG46*'AP2'!T46)</f>
        <v>0.23233653313188748</v>
      </c>
      <c r="R15" s="220">
        <f t="shared" si="2"/>
        <v>2.3233653313188749E-2</v>
      </c>
      <c r="S15" s="533">
        <f t="shared" si="3"/>
        <v>0.20910287981869874</v>
      </c>
      <c r="T15" s="533">
        <f t="shared" si="4"/>
        <v>0.2027825915591458</v>
      </c>
      <c r="U15" s="532">
        <f>('AP2'!EN46+'AP2'!EG46 ) / ('AP2'!CG46*'AP2'!T46)</f>
        <v>6.3202882595529471E-3</v>
      </c>
      <c r="V15" s="219"/>
      <c r="W15" s="220"/>
      <c r="X15" s="220"/>
      <c r="Y15" s="220"/>
      <c r="Z15" s="220"/>
      <c r="AA15" s="221"/>
      <c r="AB15" s="220"/>
      <c r="AC15" s="220"/>
      <c r="AD15" s="220"/>
      <c r="AE15" s="221"/>
      <c r="AG15" s="98"/>
    </row>
    <row r="16" spans="1:34">
      <c r="A16" s="110" t="s">
        <v>133</v>
      </c>
      <c r="B16">
        <v>1987</v>
      </c>
      <c r="C16" s="219"/>
      <c r="D16" s="219"/>
      <c r="E16" s="220"/>
      <c r="F16" s="220"/>
      <c r="G16" s="532">
        <f>'AP2'!DK47 / ('AP2'!CG47*'AP2'!T47)</f>
        <v>7.5773106019415689E-3</v>
      </c>
      <c r="H16" s="533"/>
      <c r="I16" s="539"/>
      <c r="J16" s="533"/>
      <c r="K16" s="533"/>
      <c r="L16" s="540"/>
      <c r="M16" s="533">
        <f t="shared" si="1"/>
        <v>0.25388295453975251</v>
      </c>
      <c r="N16" s="537">
        <f t="shared" si="0"/>
        <v>2.257810761020472E-2</v>
      </c>
      <c r="O16" s="533">
        <f>'AP2'!EE47 / ('AP2'!CG47*'AP2'!T47)</f>
        <v>8.7417280347881834E-3</v>
      </c>
      <c r="P16" s="533">
        <f>'AP2'!EB47 / ('AP2'!CG47*'AP2'!T47)</f>
        <v>1.3836379575416535E-2</v>
      </c>
      <c r="Q16" s="533">
        <f>('AP2'!EF47+'AP2'!EM47 -'AP2'!EQ47 ) / ('AP2'!CG47*'AP2'!T47)</f>
        <v>0.23130484692954778</v>
      </c>
      <c r="R16" s="220">
        <f t="shared" si="2"/>
        <v>2.313048469295478E-2</v>
      </c>
      <c r="S16" s="533">
        <f t="shared" si="3"/>
        <v>0.208174362236593</v>
      </c>
      <c r="T16" s="533">
        <f t="shared" si="4"/>
        <v>0.20225110342555686</v>
      </c>
      <c r="U16" s="532">
        <f>('AP2'!EN47+'AP2'!EG47 ) / ('AP2'!CG47*'AP2'!T47)</f>
        <v>5.9232588110361391E-3</v>
      </c>
      <c r="V16" s="219"/>
      <c r="W16" s="220"/>
      <c r="X16" s="220"/>
      <c r="Y16" s="220"/>
      <c r="Z16" s="220"/>
      <c r="AA16" s="221"/>
      <c r="AB16" s="220"/>
      <c r="AC16" s="220"/>
      <c r="AD16" s="220"/>
      <c r="AE16" s="221"/>
      <c r="AG16" s="98"/>
    </row>
    <row r="17" spans="1:33">
      <c r="A17" s="110" t="s">
        <v>133</v>
      </c>
      <c r="B17">
        <v>1988</v>
      </c>
      <c r="C17" s="219"/>
      <c r="D17" s="219"/>
      <c r="E17" s="220"/>
      <c r="F17" s="220"/>
      <c r="G17" s="532">
        <f>'AP2'!DK48 / ('AP2'!CG48*'AP2'!T48)</f>
        <v>6.5405274498861622E-3</v>
      </c>
      <c r="H17" s="533"/>
      <c r="I17" s="539"/>
      <c r="J17" s="533"/>
      <c r="K17" s="533"/>
      <c r="L17" s="540"/>
      <c r="M17" s="533">
        <f t="shared" si="1"/>
        <v>0.24200728415609296</v>
      </c>
      <c r="N17" s="537">
        <f t="shared" si="0"/>
        <v>2.1421775298472293E-2</v>
      </c>
      <c r="O17" s="533">
        <f>'AP2'!EE48 / ('AP2'!CG48*'AP2'!T48)</f>
        <v>8.8672255368707244E-3</v>
      </c>
      <c r="P17" s="533">
        <f>'AP2'!EB48 / ('AP2'!CG48*'AP2'!T48)</f>
        <v>1.255454976160157E-2</v>
      </c>
      <c r="Q17" s="533">
        <f>('AP2'!EF48+'AP2'!EM48 -'AP2'!EQ48 ) / ('AP2'!CG48*'AP2'!T48)</f>
        <v>0.22058550885762065</v>
      </c>
      <c r="R17" s="220">
        <f t="shared" si="2"/>
        <v>2.2058550885762068E-2</v>
      </c>
      <c r="S17" s="533">
        <f t="shared" si="3"/>
        <v>0.1985269579718586</v>
      </c>
      <c r="T17" s="533">
        <f t="shared" si="4"/>
        <v>0.19299325669307571</v>
      </c>
      <c r="U17" s="532">
        <f>('AP2'!EN48+'AP2'!EG48 ) / ('AP2'!CG48*'AP2'!T48)</f>
        <v>5.5337012787828972E-3</v>
      </c>
      <c r="V17" s="219"/>
      <c r="W17" s="220"/>
      <c r="X17" s="220"/>
      <c r="Y17" s="220"/>
      <c r="Z17" s="220"/>
      <c r="AA17" s="221"/>
      <c r="AB17" s="220"/>
      <c r="AC17" s="220"/>
      <c r="AD17" s="220"/>
      <c r="AE17" s="221"/>
      <c r="AG17" s="98"/>
    </row>
    <row r="18" spans="1:33">
      <c r="A18" s="110" t="s">
        <v>133</v>
      </c>
      <c r="B18">
        <v>1989</v>
      </c>
      <c r="C18" s="219"/>
      <c r="D18" s="219"/>
      <c r="E18" s="220"/>
      <c r="F18" s="220"/>
      <c r="G18" s="532">
        <f>'AP2'!DK49 / ('AP2'!CG49*'AP2'!T49)</f>
        <v>7.7611900829063401E-3</v>
      </c>
      <c r="H18" s="533"/>
      <c r="I18" s="539"/>
      <c r="J18" s="533"/>
      <c r="K18" s="533"/>
      <c r="L18" s="540"/>
      <c r="M18" s="533">
        <f t="shared" si="1"/>
        <v>0.23905333570787485</v>
      </c>
      <c r="N18" s="537">
        <f t="shared" si="0"/>
        <v>2.2970399698533185E-2</v>
      </c>
      <c r="O18" s="533">
        <f>'AP2'!EE49 / ('AP2'!CG49*'AP2'!T49)</f>
        <v>9.2948887651388666E-3</v>
      </c>
      <c r="P18" s="533">
        <f>'AP2'!EB49 / ('AP2'!CG49*'AP2'!T49)</f>
        <v>1.3675510933394317E-2</v>
      </c>
      <c r="Q18" s="533">
        <f>('AP2'!EF49+'AP2'!EM49 -'AP2'!EQ49 ) / ('AP2'!CG49*'AP2'!T49)</f>
        <v>0.21608293600934167</v>
      </c>
      <c r="R18" s="220">
        <f t="shared" si="2"/>
        <v>2.1608293600934168E-2</v>
      </c>
      <c r="S18" s="533">
        <f t="shared" si="3"/>
        <v>0.19447464240840751</v>
      </c>
      <c r="T18" s="533">
        <f t="shared" si="4"/>
        <v>0.18919515480660018</v>
      </c>
      <c r="U18" s="532">
        <f>('AP2'!EN49+'AP2'!EG49 ) / ('AP2'!CG49*'AP2'!T49)</f>
        <v>5.2794876018073264E-3</v>
      </c>
      <c r="V18" s="219"/>
      <c r="W18" s="220"/>
      <c r="X18" s="220"/>
      <c r="Y18" s="220"/>
      <c r="Z18" s="220"/>
      <c r="AA18" s="221"/>
      <c r="AB18" s="220"/>
      <c r="AC18" s="220"/>
      <c r="AD18" s="220"/>
      <c r="AE18" s="221"/>
      <c r="AG18" s="98"/>
    </row>
    <row r="19" spans="1:33">
      <c r="A19" s="110" t="s">
        <v>133</v>
      </c>
      <c r="B19">
        <v>1990</v>
      </c>
      <c r="C19" s="219"/>
      <c r="D19" s="219"/>
      <c r="E19" s="220"/>
      <c r="F19" s="220"/>
      <c r="G19" s="532">
        <f>'AP2'!DK50 / ('AP2'!CG50*'AP2'!T50)</f>
        <v>7.9275666993135971E-3</v>
      </c>
      <c r="H19" s="533"/>
      <c r="I19" s="539"/>
      <c r="J19" s="533"/>
      <c r="K19" s="533"/>
      <c r="L19" s="540"/>
      <c r="M19" s="533">
        <f t="shared" si="1"/>
        <v>0.25417555757055593</v>
      </c>
      <c r="N19" s="537">
        <f t="shared" si="0"/>
        <v>2.5526461969524503E-2</v>
      </c>
      <c r="O19" s="533">
        <f>'AP2'!EE50 / ('AP2'!CG50*'AP2'!T50)</f>
        <v>1.0543656688551622E-2</v>
      </c>
      <c r="P19" s="533">
        <f>'AP2'!EB50 / ('AP2'!CG50*'AP2'!T50)</f>
        <v>1.4982805280972879E-2</v>
      </c>
      <c r="Q19" s="533">
        <f>('AP2'!EF50+'AP2'!EM50 -'AP2'!EQ50 ) / ('AP2'!CG50*'AP2'!T50)</f>
        <v>0.22864909560103142</v>
      </c>
      <c r="R19" s="220">
        <f t="shared" si="2"/>
        <v>2.2864909560103144E-2</v>
      </c>
      <c r="S19" s="533">
        <f t="shared" si="3"/>
        <v>0.20578418604092827</v>
      </c>
      <c r="T19" s="533">
        <f t="shared" si="4"/>
        <v>0.20129288733117195</v>
      </c>
      <c r="U19" s="532">
        <f>('AP2'!EN50+'AP2'!EG50 ) / ('AP2'!CG50*'AP2'!T50)</f>
        <v>4.4912987097563192E-3</v>
      </c>
      <c r="V19" s="219"/>
      <c r="W19" s="220"/>
      <c r="X19" s="220"/>
      <c r="Y19" s="220"/>
      <c r="Z19" s="220"/>
      <c r="AA19" s="221"/>
      <c r="AB19" s="220"/>
      <c r="AC19" s="220"/>
      <c r="AD19" s="220"/>
      <c r="AE19" s="221"/>
      <c r="AG19" s="98"/>
    </row>
    <row r="20" spans="1:33">
      <c r="A20" s="110" t="s">
        <v>133</v>
      </c>
      <c r="B20">
        <v>1991</v>
      </c>
      <c r="C20" s="219"/>
      <c r="D20" s="219"/>
      <c r="E20" s="220"/>
      <c r="F20" s="220"/>
      <c r="G20" s="532">
        <f>'AP2'!DK51 / ('AP2'!CG51*'AP2'!T51)</f>
        <v>7.7992499806625228E-3</v>
      </c>
      <c r="H20" s="533"/>
      <c r="I20" s="539"/>
      <c r="J20" s="533"/>
      <c r="K20" s="533"/>
      <c r="L20" s="540"/>
      <c r="M20" s="533">
        <f t="shared" si="1"/>
        <v>0.23431733127265</v>
      </c>
      <c r="N20" s="537">
        <f t="shared" si="0"/>
        <v>2.7879948370316595E-2</v>
      </c>
      <c r="O20" s="533">
        <f>'AP2'!EE51 / ('AP2'!CG51*'AP2'!T51)</f>
        <v>1.142004591291779E-2</v>
      </c>
      <c r="P20" s="533">
        <f>'AP2'!EB51 / ('AP2'!CG51*'AP2'!T51)</f>
        <v>1.6459902457398805E-2</v>
      </c>
      <c r="Q20" s="533">
        <f>('AP2'!EF51+'AP2'!EM51 -'AP2'!EQ51 ) / ('AP2'!CG51*'AP2'!T51)</f>
        <v>0.20643738290233341</v>
      </c>
      <c r="R20" s="220">
        <f t="shared" si="2"/>
        <v>2.0643738290233343E-2</v>
      </c>
      <c r="S20" s="533">
        <f t="shared" si="3"/>
        <v>0.18579364461210007</v>
      </c>
      <c r="T20" s="533">
        <f t="shared" si="4"/>
        <v>0.18196429479897488</v>
      </c>
      <c r="U20" s="532">
        <f>('AP2'!EN51+'AP2'!EG51 ) / ('AP2'!CG51*'AP2'!T51)</f>
        <v>3.8293498131251832E-3</v>
      </c>
      <c r="V20" s="219"/>
      <c r="W20" s="220"/>
      <c r="X20" s="220"/>
      <c r="Y20" s="220"/>
      <c r="Z20" s="220"/>
      <c r="AA20" s="221"/>
      <c r="AB20" s="220"/>
      <c r="AC20" s="220"/>
      <c r="AD20" s="220"/>
      <c r="AE20" s="221"/>
      <c r="AG20" s="98"/>
    </row>
    <row r="21" spans="1:33">
      <c r="A21" s="110" t="s">
        <v>133</v>
      </c>
      <c r="B21">
        <v>1992</v>
      </c>
      <c r="C21" s="219">
        <f>D21+E21</f>
        <v>0.11568857837029008</v>
      </c>
      <c r="D21" s="219">
        <f>'AP2'!FZ52 / ('AP2'!CG52*'AP2'!T52)</f>
        <v>8.0993294501452762E-2</v>
      </c>
      <c r="E21" s="220">
        <f>F21+G21</f>
        <v>3.4695283868837315E-2</v>
      </c>
      <c r="F21" s="220">
        <f>'AP2'!GA52 / ('AP2'!CG52*'AP2'!T52)</f>
        <v>2.6723001019902919E-2</v>
      </c>
      <c r="G21" s="445">
        <f>'AP2'!DK52 / ('AP2'!CG52*'AP2'!T52)</f>
        <v>7.9722828489343957E-3</v>
      </c>
      <c r="H21" s="220">
        <f>I21+J21</f>
        <v>0.49159728264366914</v>
      </c>
      <c r="I21" s="219">
        <f>'AP2'!FF52 / ('AP2'!CG52*'AP2'!T52)</f>
        <v>0.27536522824975257</v>
      </c>
      <c r="J21" s="220">
        <f>K21+L21</f>
        <v>0.21623205439391657</v>
      </c>
      <c r="K21" s="220">
        <f>'AP2'!FG52 / ('AP2'!CG52*'AP2'!T52)</f>
        <v>0.12841635754159014</v>
      </c>
      <c r="L21" s="221">
        <f>'AP2'!FB52 / ('AP2'!CG52*'AP2'!T52)</f>
        <v>8.781569685232643E-2</v>
      </c>
      <c r="M21" s="220">
        <f t="shared" si="1"/>
        <v>0.28091019946369583</v>
      </c>
      <c r="N21" s="222">
        <f t="shared" si="0"/>
        <v>2.7938842948922359E-2</v>
      </c>
      <c r="O21" s="220">
        <f>'AP2'!EE52 / ('AP2'!CG52*'AP2'!T52)</f>
        <v>1.2460042390648737E-2</v>
      </c>
      <c r="P21" s="220">
        <f>'AP2'!EB52 / ('AP2'!CG52*'AP2'!T52)</f>
        <v>1.5478800558273623E-2</v>
      </c>
      <c r="Q21" s="220">
        <f>('AP2'!EF52+'AP2'!EM52 -'AP2'!EQ52 ) / ('AP2'!CG52*'AP2'!T52)</f>
        <v>0.25297135651477348</v>
      </c>
      <c r="R21" s="220">
        <f t="shared" si="2"/>
        <v>2.529713565147735E-2</v>
      </c>
      <c r="S21" s="220">
        <f t="shared" si="3"/>
        <v>0.22767422086329614</v>
      </c>
      <c r="T21" s="220">
        <f>S21-U21</f>
        <v>0.22336417397142494</v>
      </c>
      <c r="U21" s="445">
        <f>('AP2'!EN52+'AP2'!EG52 ) / ('AP2'!CG52*'AP2'!T52)</f>
        <v>4.3100468918712128E-3</v>
      </c>
      <c r="V21" s="219"/>
      <c r="W21" s="220"/>
      <c r="X21" s="220"/>
      <c r="Y21" s="220"/>
      <c r="Z21" s="220"/>
      <c r="AA21" s="221"/>
      <c r="AB21" s="220"/>
      <c r="AC21" s="220"/>
      <c r="AD21" s="220"/>
      <c r="AE21" s="221"/>
      <c r="AG21" s="98"/>
    </row>
    <row r="22" spans="1:33">
      <c r="A22" s="110" t="s">
        <v>133</v>
      </c>
      <c r="B22">
        <v>1993</v>
      </c>
      <c r="C22" s="219">
        <f t="shared" ref="C22:C43" si="5">D22+E22</f>
        <v>0.10117472979083433</v>
      </c>
      <c r="D22" s="219">
        <f>'AP2'!FZ53 / ('AP2'!CG53*'AP2'!T53)</f>
        <v>7.0994141534686098E-2</v>
      </c>
      <c r="E22" s="220">
        <f t="shared" ref="E22:E43" si="6">F22+G22</f>
        <v>3.0180588256148239E-2</v>
      </c>
      <c r="F22" s="220">
        <f>'AP2'!GA53 / ('AP2'!CG53*'AP2'!T53)</f>
        <v>2.1054459281995969E-2</v>
      </c>
      <c r="G22" s="445">
        <f>'AP2'!DK53 / ('AP2'!CG53*'AP2'!T53)</f>
        <v>9.12612897415227E-3</v>
      </c>
      <c r="H22" s="220">
        <f t="shared" ref="H22:H43" si="7">I22+J22</f>
        <v>0.5139950653503097</v>
      </c>
      <c r="I22" s="219">
        <f>'AP2'!FF53 / ('AP2'!CG53*'AP2'!T53)</f>
        <v>0.26436058669966467</v>
      </c>
      <c r="J22" s="220">
        <f t="shared" ref="J22:J43" si="8">K22+L22</f>
        <v>0.24963447865064506</v>
      </c>
      <c r="K22" s="220">
        <f>'AP2'!FG53 / ('AP2'!CG53*'AP2'!T53)</f>
        <v>0.1644098461247841</v>
      </c>
      <c r="L22" s="221">
        <f>'AP2'!FB53 / ('AP2'!CG53*'AP2'!T53)</f>
        <v>8.522463252586096E-2</v>
      </c>
      <c r="M22" s="220">
        <f t="shared" si="1"/>
        <v>0.25047374725530752</v>
      </c>
      <c r="N22" s="222">
        <f t="shared" si="0"/>
        <v>3.0530939525535327E-2</v>
      </c>
      <c r="O22" s="220">
        <f>'AP2'!EE53 / ('AP2'!CG53*'AP2'!T53)</f>
        <v>1.33529481621068E-2</v>
      </c>
      <c r="P22" s="220">
        <f>'AP2'!EB53 / ('AP2'!CG53*'AP2'!T53)</f>
        <v>1.7177991363428527E-2</v>
      </c>
      <c r="Q22" s="220">
        <f>('AP2'!EF53+'AP2'!EM53 -'AP2'!EQ53 ) / ('AP2'!CG53*'AP2'!T53)</f>
        <v>0.21994280772977221</v>
      </c>
      <c r="R22" s="220">
        <f t="shared" si="2"/>
        <v>2.1994280772977222E-2</v>
      </c>
      <c r="S22" s="220">
        <f t="shared" si="3"/>
        <v>0.19794852695679499</v>
      </c>
      <c r="T22" s="220">
        <f t="shared" si="4"/>
        <v>0.19315782179651325</v>
      </c>
      <c r="U22" s="445">
        <f>('AP2'!EN53+'AP2'!EG53 ) / ('AP2'!CG53*'AP2'!T53)</f>
        <v>4.7907051602817359E-3</v>
      </c>
      <c r="V22" s="219"/>
      <c r="W22" s="220"/>
      <c r="X22" s="220"/>
      <c r="Y22" s="220"/>
      <c r="Z22" s="220">
        <f t="shared" ref="Z22:Z42" si="9">U22+P22+L22+G22</f>
        <v>0.1163194580237235</v>
      </c>
      <c r="AA22" s="221">
        <f>'A32'!I25*'A30'!N23</f>
        <v>9.6423848799487191E-2</v>
      </c>
      <c r="AB22" s="220">
        <f>(F21+K21+O21+0.3*T21)/(1-AA22)</f>
        <v>0.25964458317305367</v>
      </c>
      <c r="AC22" s="220">
        <f>(E21+J21+N21+U21+0.3*T21)/(1-AA22)</f>
        <v>0.38755502768605621</v>
      </c>
      <c r="AD22" s="220"/>
      <c r="AE22" s="221"/>
      <c r="AF22" s="98">
        <f t="shared" ref="AF22:AF42" si="10">M22+H22+C22+AA22</f>
        <v>0.96206739119593865</v>
      </c>
      <c r="AG22" s="98"/>
    </row>
    <row r="23" spans="1:33">
      <c r="A23" s="110" t="s">
        <v>133</v>
      </c>
      <c r="B23">
        <v>1994</v>
      </c>
      <c r="C23" s="219">
        <f t="shared" si="5"/>
        <v>8.8527508827489221E-2</v>
      </c>
      <c r="D23" s="219">
        <f>'AP2'!FZ54 / ('AP2'!CG54*'AP2'!T54)</f>
        <v>6.1406672531792349E-2</v>
      </c>
      <c r="E23" s="220">
        <f t="shared" si="6"/>
        <v>2.7120836295696872E-2</v>
      </c>
      <c r="F23" s="220">
        <f>'AP2'!GA54 / ('AP2'!CG54*'AP2'!T54)</f>
        <v>1.8684625637648122E-2</v>
      </c>
      <c r="G23" s="445">
        <f>'AP2'!DK54 / ('AP2'!CG54*'AP2'!T54)</f>
        <v>8.4362106580487504E-3</v>
      </c>
      <c r="H23" s="220">
        <f t="shared" si="7"/>
        <v>0.51969385639573973</v>
      </c>
      <c r="I23" s="219">
        <f>'AP2'!FF54 / ('AP2'!CG54*'AP2'!T54)</f>
        <v>0.28332107239156085</v>
      </c>
      <c r="J23" s="220">
        <f t="shared" si="8"/>
        <v>0.23637278400417888</v>
      </c>
      <c r="K23" s="220">
        <f>'AP2'!FG54 / ('AP2'!CG54*'AP2'!T54)</f>
        <v>0.14666580442896016</v>
      </c>
      <c r="L23" s="221">
        <f>'AP2'!FB54 / ('AP2'!CG54*'AP2'!T54)</f>
        <v>8.970697957521874E-2</v>
      </c>
      <c r="M23" s="220">
        <f t="shared" si="1"/>
        <v>0.2687118884723782</v>
      </c>
      <c r="N23" s="222">
        <f t="shared" si="0"/>
        <v>2.9568788859267406E-2</v>
      </c>
      <c r="O23" s="220">
        <f>'AP2'!EE54 / ('AP2'!CG54*'AP2'!T54)</f>
        <v>1.2476672307517311E-2</v>
      </c>
      <c r="P23" s="220">
        <f>'AP2'!EB54 / ('AP2'!CG54*'AP2'!T54)</f>
        <v>1.7092116551750094E-2</v>
      </c>
      <c r="Q23" s="220">
        <f>('AP2'!EF54+'AP2'!EM54 -'AP2'!EQ54 ) / ('AP2'!CG54*'AP2'!T54)</f>
        <v>0.23914309961311078</v>
      </c>
      <c r="R23" s="220">
        <f t="shared" si="2"/>
        <v>2.3914309961311081E-2</v>
      </c>
      <c r="S23" s="220">
        <f t="shared" si="3"/>
        <v>0.2152287896517997</v>
      </c>
      <c r="T23" s="220">
        <f t="shared" si="4"/>
        <v>0.21074312550915805</v>
      </c>
      <c r="U23" s="445">
        <f>('AP2'!EN54+'AP2'!EG54 ) / ('AP2'!CG54*'AP2'!T54)</f>
        <v>4.485664142641654E-3</v>
      </c>
      <c r="V23" s="219"/>
      <c r="W23" s="220"/>
      <c r="X23" s="220"/>
      <c r="Y23" s="220"/>
      <c r="Z23" s="220">
        <f t="shared" si="9"/>
        <v>0.11972097092765924</v>
      </c>
      <c r="AA23" s="221">
        <f>'A32'!I26*'A30'!N24</f>
        <v>8.7372938119642918E-2</v>
      </c>
      <c r="AB23" s="220">
        <f t="shared" ref="AB23:AB43" si="11">(F22+K22+O22+0.3*T22)/(1-AA23)</f>
        <v>0.28134668676031654</v>
      </c>
      <c r="AC23" s="220">
        <f t="shared" ref="AC23:AC43" si="12">(E22+J22+N22+U22+0.3*T22)/(1-AA23)</f>
        <v>0.40880231774287951</v>
      </c>
      <c r="AD23" s="220"/>
      <c r="AE23" s="221"/>
      <c r="AF23" s="98">
        <f t="shared" si="10"/>
        <v>0.96430619181525001</v>
      </c>
      <c r="AG23" s="98"/>
    </row>
    <row r="24" spans="1:33">
      <c r="A24" s="110" t="s">
        <v>133</v>
      </c>
      <c r="B24">
        <v>1995</v>
      </c>
      <c r="C24" s="219">
        <f t="shared" si="5"/>
        <v>7.9183962802713143E-2</v>
      </c>
      <c r="D24" s="219">
        <f>'AP2'!FZ55 / ('AP2'!CG55*'AP2'!T55)</f>
        <v>5.7396622266891344E-2</v>
      </c>
      <c r="E24" s="220">
        <f t="shared" si="6"/>
        <v>2.1787340535821795E-2</v>
      </c>
      <c r="F24" s="220">
        <f>'AP2'!GA55 / ('AP2'!CG55*'AP2'!T55)</f>
        <v>1.5542845363220908E-2</v>
      </c>
      <c r="G24" s="445">
        <f>'AP2'!DK55 / ('AP2'!CG55*'AP2'!T55)</f>
        <v>6.2444951726008885E-3</v>
      </c>
      <c r="H24" s="220">
        <f t="shared" si="7"/>
        <v>0.54271776031030949</v>
      </c>
      <c r="I24" s="219">
        <f>'AP2'!FF55 / ('AP2'!CG55*'AP2'!T55)</f>
        <v>0.2887941487429489</v>
      </c>
      <c r="J24" s="220">
        <f t="shared" si="8"/>
        <v>0.25392361156736054</v>
      </c>
      <c r="K24" s="220">
        <f>'AP2'!FG55 / ('AP2'!CG55*'AP2'!T55)</f>
        <v>0.15914724801478786</v>
      </c>
      <c r="L24" s="221">
        <f>'AP2'!FB55 / ('AP2'!CG55*'AP2'!T55)</f>
        <v>9.4776363552572712E-2</v>
      </c>
      <c r="M24" s="220">
        <f t="shared" si="1"/>
        <v>0.26355313870609703</v>
      </c>
      <c r="N24" s="222">
        <f t="shared" si="0"/>
        <v>3.1290223890182559E-2</v>
      </c>
      <c r="O24" s="220">
        <f>'AP2'!EE55 / ('AP2'!CG55*'AP2'!T55)</f>
        <v>1.3735745748135353E-2</v>
      </c>
      <c r="P24" s="220">
        <f>'AP2'!EB55 / ('AP2'!CG55*'AP2'!T55)</f>
        <v>1.7554478142047202E-2</v>
      </c>
      <c r="Q24" s="220">
        <f>('AP2'!EF55+'AP2'!EM55 -'AP2'!EQ55 ) / ('AP2'!CG55*'AP2'!T55)</f>
        <v>0.23226291481591449</v>
      </c>
      <c r="R24" s="220">
        <f t="shared" si="2"/>
        <v>2.322629148159145E-2</v>
      </c>
      <c r="S24" s="220">
        <f t="shared" si="3"/>
        <v>0.20903662333432305</v>
      </c>
      <c r="T24" s="220">
        <f t="shared" si="4"/>
        <v>0.20460954760281286</v>
      </c>
      <c r="U24" s="445">
        <f>('AP2'!EN55+'AP2'!EG55 ) / ('AP2'!CG55*'AP2'!T55)</f>
        <v>4.4270757315101753E-3</v>
      </c>
      <c r="V24" s="219"/>
      <c r="W24" s="220"/>
      <c r="X24" s="220"/>
      <c r="Y24" s="220"/>
      <c r="Z24" s="220">
        <f t="shared" si="9"/>
        <v>0.12300241259873099</v>
      </c>
      <c r="AA24" s="221">
        <f>'A32'!I27*'A30'!N25</f>
        <v>8.0216174360027925E-2</v>
      </c>
      <c r="AB24" s="220">
        <f t="shared" si="11"/>
        <v>0.26207249280465866</v>
      </c>
      <c r="AC24" s="220">
        <f t="shared" si="12"/>
        <v>0.39223456740339291</v>
      </c>
      <c r="AD24" s="220"/>
      <c r="AE24" s="221"/>
      <c r="AF24" s="98">
        <f t="shared" si="10"/>
        <v>0.96567103617914751</v>
      </c>
      <c r="AG24" s="98"/>
    </row>
    <row r="25" spans="1:33">
      <c r="A25" s="110" t="s">
        <v>133</v>
      </c>
      <c r="B25">
        <v>1996</v>
      </c>
      <c r="C25" s="219">
        <f t="shared" si="5"/>
        <v>7.3378047827420231E-2</v>
      </c>
      <c r="D25" s="219">
        <f>'AP2'!FZ56 / ('AP2'!CG56*'AP2'!T56)</f>
        <v>4.7771304214034416E-2</v>
      </c>
      <c r="E25" s="220">
        <f t="shared" si="6"/>
        <v>2.5606743613385816E-2</v>
      </c>
      <c r="F25" s="220">
        <f>'AP2'!GA56 / ('AP2'!CG56*'AP2'!T56)</f>
        <v>2.0395672082262339E-2</v>
      </c>
      <c r="G25" s="445">
        <f>'AP2'!DK56 / ('AP2'!CG56*'AP2'!T56)</f>
        <v>5.2110715311234753E-3</v>
      </c>
      <c r="H25" s="220">
        <f t="shared" si="7"/>
        <v>0.53174809571564807</v>
      </c>
      <c r="I25" s="219">
        <f>'AP2'!FF56 / ('AP2'!CG56*'AP2'!T56)</f>
        <v>0.3015518345964121</v>
      </c>
      <c r="J25" s="220">
        <f t="shared" si="8"/>
        <v>0.23019626111923597</v>
      </c>
      <c r="K25" s="220">
        <f>'AP2'!FG56 / ('AP2'!CG56*'AP2'!T56)</f>
        <v>0.13232161306541296</v>
      </c>
      <c r="L25" s="221">
        <f>'AP2'!FB56 / ('AP2'!CG56*'AP2'!T56)</f>
        <v>9.7874648053823024E-2</v>
      </c>
      <c r="M25" s="220">
        <f t="shared" si="1"/>
        <v>0.28048523149323357</v>
      </c>
      <c r="N25" s="222">
        <f t="shared" si="0"/>
        <v>3.5977908211346984E-2</v>
      </c>
      <c r="O25" s="220">
        <f>'AP2'!EE56 / ('AP2'!CG56*'AP2'!T56)</f>
        <v>1.6577585159506743E-2</v>
      </c>
      <c r="P25" s="220">
        <f>'AP2'!EB56 / ('AP2'!CG56*'AP2'!T56)</f>
        <v>1.9400323051840238E-2</v>
      </c>
      <c r="Q25" s="220">
        <f>('AP2'!EF56+'AP2'!EM56 -'AP2'!EQ56 ) / ('AP2'!CG56*'AP2'!T56)</f>
        <v>0.2445073232818866</v>
      </c>
      <c r="R25" s="220">
        <f t="shared" si="2"/>
        <v>2.445073232818866E-2</v>
      </c>
      <c r="S25" s="220">
        <f t="shared" si="3"/>
        <v>0.22005659095369795</v>
      </c>
      <c r="T25" s="220">
        <f t="shared" si="4"/>
        <v>0.21571133776761106</v>
      </c>
      <c r="U25" s="445">
        <f>('AP2'!EN56+'AP2'!EG56 ) / ('AP2'!CG56*'AP2'!T56)</f>
        <v>4.3452531860868997E-3</v>
      </c>
      <c r="V25" s="219"/>
      <c r="W25" s="220"/>
      <c r="X25" s="220"/>
      <c r="Y25" s="220"/>
      <c r="Z25" s="220">
        <f t="shared" si="9"/>
        <v>0.12683129582287364</v>
      </c>
      <c r="AA25" s="221">
        <f>'A32'!I28*'A30'!N26</f>
        <v>7.8337458162273027E-2</v>
      </c>
      <c r="AB25" s="220">
        <f t="shared" si="11"/>
        <v>0.27104139754761852</v>
      </c>
      <c r="AC25" s="220">
        <f t="shared" si="12"/>
        <v>0.40449850035389429</v>
      </c>
      <c r="AD25" s="220"/>
      <c r="AE25" s="221"/>
      <c r="AF25" s="98">
        <f t="shared" si="10"/>
        <v>0.96394883319857483</v>
      </c>
      <c r="AG25" s="98"/>
    </row>
    <row r="26" spans="1:33">
      <c r="A26" s="110" t="s">
        <v>133</v>
      </c>
      <c r="B26">
        <v>1997</v>
      </c>
      <c r="C26" s="219">
        <f t="shared" si="5"/>
        <v>7.4346871980125115E-2</v>
      </c>
      <c r="D26" s="219">
        <f>'AP2'!FZ57 / ('AP2'!CG57*'AP2'!T57)</f>
        <v>5.0731972395597881E-2</v>
      </c>
      <c r="E26" s="220">
        <f t="shared" si="6"/>
        <v>2.3614899584527234E-2</v>
      </c>
      <c r="F26" s="220">
        <f>'AP2'!GA57 / ('AP2'!CG57*'AP2'!T57)</f>
        <v>1.8687255861487909E-2</v>
      </c>
      <c r="G26" s="445">
        <f>'AP2'!DK57 / ('AP2'!CG57*'AP2'!T57)</f>
        <v>4.9276437230393252E-3</v>
      </c>
      <c r="H26" s="220">
        <f t="shared" si="7"/>
        <v>0.52295878266716589</v>
      </c>
      <c r="I26" s="219">
        <f>'AP2'!FF57 / ('AP2'!CG57*'AP2'!T57)</f>
        <v>0.30301067046226365</v>
      </c>
      <c r="J26" s="220">
        <f t="shared" si="8"/>
        <v>0.21994811220490224</v>
      </c>
      <c r="K26" s="220">
        <f>'AP2'!FG57 / ('AP2'!CG57*'AP2'!T57)</f>
        <v>0.12067686818489165</v>
      </c>
      <c r="L26" s="221">
        <f>'AP2'!FB57 / ('AP2'!CG57*'AP2'!T57)</f>
        <v>9.9271244020010585E-2</v>
      </c>
      <c r="M26" s="220">
        <f t="shared" si="1"/>
        <v>0.28778114063299409</v>
      </c>
      <c r="N26" s="222">
        <f t="shared" si="0"/>
        <v>4.2751264604480158E-2</v>
      </c>
      <c r="O26" s="220">
        <f>'AP2'!EE57 / ('AP2'!CG57*'AP2'!T57)</f>
        <v>2.0188693075521281E-2</v>
      </c>
      <c r="P26" s="220">
        <f>'AP2'!EB57 / ('AP2'!CG57*'AP2'!T57)</f>
        <v>2.256257152895888E-2</v>
      </c>
      <c r="Q26" s="220">
        <f>('AP2'!EF57+'AP2'!EM57 -'AP2'!EQ57 ) / ('AP2'!CG57*'AP2'!T57)</f>
        <v>0.24502987602851392</v>
      </c>
      <c r="R26" s="220">
        <f t="shared" si="2"/>
        <v>2.4502987602851394E-2</v>
      </c>
      <c r="S26" s="220">
        <f t="shared" si="3"/>
        <v>0.22052688842566254</v>
      </c>
      <c r="T26" s="220">
        <f t="shared" si="4"/>
        <v>0.21540878409023348</v>
      </c>
      <c r="U26" s="445">
        <f>('AP2'!EN57+'AP2'!EG57 ) / ('AP2'!CG57*'AP2'!T57)</f>
        <v>5.1181043354290691E-3</v>
      </c>
      <c r="V26" s="219"/>
      <c r="W26" s="220"/>
      <c r="X26" s="220"/>
      <c r="Y26" s="220"/>
      <c r="Z26" s="220">
        <f t="shared" si="9"/>
        <v>0.13187956360743786</v>
      </c>
      <c r="AA26" s="221">
        <f>'A32'!I29*'A30'!N27</f>
        <v>8.5800691280005781E-2</v>
      </c>
      <c r="AB26" s="220">
        <f t="shared" si="11"/>
        <v>0.25597073789643243</v>
      </c>
      <c r="AC26" s="220">
        <f t="shared" si="12"/>
        <v>0.39470557898973302</v>
      </c>
      <c r="AD26" s="220"/>
      <c r="AE26" s="221"/>
      <c r="AF26" s="98">
        <f t="shared" si="10"/>
        <v>0.97088748656029089</v>
      </c>
      <c r="AG26" s="98"/>
    </row>
    <row r="27" spans="1:33">
      <c r="A27" s="110" t="s">
        <v>133</v>
      </c>
      <c r="B27">
        <v>1998</v>
      </c>
      <c r="C27" s="219">
        <f t="shared" si="5"/>
        <v>8.0606795173030765E-2</v>
      </c>
      <c r="D27" s="219">
        <f>'AP2'!FZ58 / ('AP2'!CG58*'AP2'!T58)</f>
        <v>5.9670442730072132E-2</v>
      </c>
      <c r="E27" s="220">
        <f t="shared" si="6"/>
        <v>2.093635244295864E-2</v>
      </c>
      <c r="F27" s="220">
        <f>'AP2'!GA58 / ('AP2'!CG58*'AP2'!T58)</f>
        <v>1.6380432425620883E-2</v>
      </c>
      <c r="G27" s="445">
        <f>'AP2'!DK58 / ('AP2'!CG58*'AP2'!T58)</f>
        <v>4.5559200173377577E-3</v>
      </c>
      <c r="H27" s="220">
        <f t="shared" si="7"/>
        <v>0.50602584356565683</v>
      </c>
      <c r="I27" s="219">
        <f>'AP2'!FF58 / ('AP2'!CG58*'AP2'!T58)</f>
        <v>0.28731767731367308</v>
      </c>
      <c r="J27" s="220">
        <f t="shared" si="8"/>
        <v>0.21870816625198369</v>
      </c>
      <c r="K27" s="220">
        <f>'AP2'!FG58 / ('AP2'!CG58*'AP2'!T58)</f>
        <v>0.11412523453396674</v>
      </c>
      <c r="L27" s="221">
        <f>'AP2'!FB58 / ('AP2'!CG58*'AP2'!T58)</f>
        <v>0.10458293171801696</v>
      </c>
      <c r="M27" s="220">
        <f t="shared" si="1"/>
        <v>0.30025608186067471</v>
      </c>
      <c r="N27" s="222">
        <f t="shared" si="0"/>
        <v>4.856432108215919E-2</v>
      </c>
      <c r="O27" s="220">
        <f>'AP2'!EE58 / ('AP2'!CG58*'AP2'!T58)</f>
        <v>2.3232131383485208E-2</v>
      </c>
      <c r="P27" s="220">
        <f>'AP2'!EB58 / ('AP2'!CG58*'AP2'!T58)</f>
        <v>2.5332189698673978E-2</v>
      </c>
      <c r="Q27" s="220">
        <f>('AP2'!EF58+'AP2'!EM58 -'AP2'!EQ58 ) / ('AP2'!CG58*'AP2'!T58)</f>
        <v>0.25169176077851552</v>
      </c>
      <c r="R27" s="220">
        <f t="shared" si="2"/>
        <v>2.5169176077851553E-2</v>
      </c>
      <c r="S27" s="220">
        <f t="shared" si="3"/>
        <v>0.22652258470066397</v>
      </c>
      <c r="T27" s="220">
        <f t="shared" si="4"/>
        <v>0.22087555140054213</v>
      </c>
      <c r="U27" s="445">
        <f>('AP2'!EN58+'AP2'!EG58 ) / ('AP2'!CG58*'AP2'!T58)</f>
        <v>5.6470333001218459E-3</v>
      </c>
      <c r="V27" s="219"/>
      <c r="W27" s="220"/>
      <c r="X27" s="220"/>
      <c r="Y27" s="220"/>
      <c r="Z27" s="220">
        <f t="shared" si="9"/>
        <v>0.14011807473415053</v>
      </c>
      <c r="AA27" s="221">
        <f>'A32'!I30*'A30'!N28</f>
        <v>9.1507706749957562E-2</v>
      </c>
      <c r="AB27" s="220">
        <f t="shared" si="11"/>
        <v>0.24675548049725893</v>
      </c>
      <c r="AC27" s="220">
        <f t="shared" si="12"/>
        <v>0.39191858709407068</v>
      </c>
      <c r="AD27" s="220"/>
      <c r="AE27" s="221"/>
      <c r="AF27" s="98">
        <f t="shared" si="10"/>
        <v>0.97839642734931986</v>
      </c>
      <c r="AG27" s="98"/>
    </row>
    <row r="28" spans="1:33">
      <c r="A28" s="110" t="s">
        <v>133</v>
      </c>
      <c r="B28">
        <v>1999</v>
      </c>
      <c r="C28" s="219">
        <f t="shared" si="5"/>
        <v>8.2203605192969903E-2</v>
      </c>
      <c r="D28" s="219">
        <f>'AP2'!FZ59 / ('AP2'!CG59*'AP2'!T59)</f>
        <v>6.5176290302630516E-2</v>
      </c>
      <c r="E28" s="220">
        <f t="shared" si="6"/>
        <v>1.7027314890339391E-2</v>
      </c>
      <c r="F28" s="220">
        <f>'AP2'!GA59 / ('AP2'!CG59*'AP2'!T59)</f>
        <v>1.2634743696080865E-2</v>
      </c>
      <c r="G28" s="445">
        <f>'AP2'!DK59 / ('AP2'!CG59*'AP2'!T59)</f>
        <v>4.3925711942585264E-3</v>
      </c>
      <c r="H28" s="220">
        <f t="shared" si="7"/>
        <v>0.49488925184360183</v>
      </c>
      <c r="I28" s="219">
        <f>'AP2'!FF59 / ('AP2'!CG59*'AP2'!T59)</f>
        <v>0.27337219502663807</v>
      </c>
      <c r="J28" s="220">
        <f t="shared" si="8"/>
        <v>0.22151705681696376</v>
      </c>
      <c r="K28" s="220">
        <f>'AP2'!FG59 / ('AP2'!CG59*'AP2'!T59)</f>
        <v>0.11173437813488393</v>
      </c>
      <c r="L28" s="221">
        <f>'AP2'!FB59 / ('AP2'!CG59*'AP2'!T59)</f>
        <v>0.10978267868207985</v>
      </c>
      <c r="M28" s="220">
        <f t="shared" si="1"/>
        <v>0.30736792386833228</v>
      </c>
      <c r="N28" s="222">
        <f t="shared" si="0"/>
        <v>5.3086089899886515E-2</v>
      </c>
      <c r="O28" s="220">
        <f>'AP2'!EE59 / ('AP2'!CG59*'AP2'!T59)</f>
        <v>2.5116382478275832E-2</v>
      </c>
      <c r="P28" s="220">
        <f>'AP2'!EB59 / ('AP2'!CG59*'AP2'!T59)</f>
        <v>2.7969707421610684E-2</v>
      </c>
      <c r="Q28" s="220">
        <f>('AP2'!EF59+'AP2'!EM59 -'AP2'!EQ59 ) / ('AP2'!CG59*'AP2'!T59)</f>
        <v>0.25428183396844578</v>
      </c>
      <c r="R28" s="220">
        <f t="shared" si="2"/>
        <v>2.5428183396844578E-2</v>
      </c>
      <c r="S28" s="220">
        <f t="shared" si="3"/>
        <v>0.2288536505716012</v>
      </c>
      <c r="T28" s="220">
        <f t="shared" si="4"/>
        <v>0.22246734186074119</v>
      </c>
      <c r="U28" s="445">
        <f>('AP2'!EN59+'AP2'!EG59 ) / ('AP2'!CG59*'AP2'!T59)</f>
        <v>6.3863087108600152E-3</v>
      </c>
      <c r="V28" s="219"/>
      <c r="W28" s="220"/>
      <c r="X28" s="220"/>
      <c r="Y28" s="220"/>
      <c r="Z28" s="220">
        <f t="shared" si="9"/>
        <v>0.14853126600880909</v>
      </c>
      <c r="AA28" s="221">
        <f>'A32'!I31*'A30'!N29</f>
        <v>0.10176024985546868</v>
      </c>
      <c r="AB28" s="220">
        <f t="shared" si="11"/>
        <v>0.24492399020176547</v>
      </c>
      <c r="AC28" s="220">
        <f t="shared" si="12"/>
        <v>0.40091583392901631</v>
      </c>
      <c r="AD28" s="220"/>
      <c r="AE28" s="221"/>
      <c r="AF28" s="98">
        <f t="shared" si="10"/>
        <v>0.98622103076037271</v>
      </c>
      <c r="AG28" s="98"/>
    </row>
    <row r="29" spans="1:33">
      <c r="A29" s="110" t="s">
        <v>133</v>
      </c>
      <c r="B29">
        <v>2000</v>
      </c>
      <c r="C29" s="219">
        <f t="shared" si="5"/>
        <v>7.9842541812363402E-2</v>
      </c>
      <c r="D29" s="219">
        <f>'AP2'!FZ60 / ('AP2'!CG60*'AP2'!T60)</f>
        <v>6.2805845347303366E-2</v>
      </c>
      <c r="E29" s="220">
        <f t="shared" si="6"/>
        <v>1.7036696465060036E-2</v>
      </c>
      <c r="F29" s="220">
        <f>'AP2'!GA60 / ('AP2'!CG60*'AP2'!T60)</f>
        <v>1.3333078346368691E-2</v>
      </c>
      <c r="G29" s="445">
        <f>'AP2'!DK60 / ('AP2'!CG60*'AP2'!T60)</f>
        <v>3.7036181186913463E-3</v>
      </c>
      <c r="H29" s="220">
        <f t="shared" si="7"/>
        <v>0.47920201896032988</v>
      </c>
      <c r="I29" s="219">
        <f>'AP2'!FF60 / ('AP2'!CG60*'AP2'!T60)</f>
        <v>0.26388109819881361</v>
      </c>
      <c r="J29" s="220">
        <f t="shared" si="8"/>
        <v>0.21532092076151627</v>
      </c>
      <c r="K29" s="220">
        <f>'AP2'!FG60 / ('AP2'!CG60*'AP2'!T60)</f>
        <v>9.8603443035433835E-2</v>
      </c>
      <c r="L29" s="221">
        <f>'AP2'!FB60 / ('AP2'!CG60*'AP2'!T60)</f>
        <v>0.11671747772608243</v>
      </c>
      <c r="M29" s="220">
        <f t="shared" si="1"/>
        <v>0.32867833223647058</v>
      </c>
      <c r="N29" s="222">
        <f t="shared" si="0"/>
        <v>6.0615999251617224E-2</v>
      </c>
      <c r="O29" s="220">
        <f>'AP2'!EE60 / ('AP2'!CG60*'AP2'!T60)</f>
        <v>2.8649369727477982E-2</v>
      </c>
      <c r="P29" s="220">
        <f>'AP2'!EB60 / ('AP2'!CG60*'AP2'!T60)</f>
        <v>3.1966629524139242E-2</v>
      </c>
      <c r="Q29" s="220">
        <f>('AP2'!EF60+'AP2'!EM60 -'AP2'!EQ60 ) / ('AP2'!CG60*'AP2'!T60)</f>
        <v>0.26806233298485338</v>
      </c>
      <c r="R29" s="220">
        <f t="shared" si="2"/>
        <v>2.6806233298485339E-2</v>
      </c>
      <c r="S29" s="220">
        <f t="shared" si="3"/>
        <v>0.24125609968636805</v>
      </c>
      <c r="T29" s="220">
        <f t="shared" si="4"/>
        <v>0.2347663355771874</v>
      </c>
      <c r="U29" s="445">
        <f>('AP2'!EN60+'AP2'!EG60 ) / ('AP2'!CG60*'AP2'!T60)</f>
        <v>6.4897641091806379E-3</v>
      </c>
      <c r="V29" s="219"/>
      <c r="W29" s="220"/>
      <c r="X29" s="220"/>
      <c r="Y29" s="220"/>
      <c r="Z29" s="220">
        <f t="shared" si="9"/>
        <v>0.15887748947809366</v>
      </c>
      <c r="AA29" s="221">
        <f>'A32'!I32*'A30'!N30</f>
        <v>0.11629089786146916</v>
      </c>
      <c r="AB29" s="220">
        <f t="shared" si="11"/>
        <v>0.24467973266791959</v>
      </c>
      <c r="AC29" s="220">
        <f t="shared" si="12"/>
        <v>0.41275683592437701</v>
      </c>
      <c r="AD29" s="220"/>
      <c r="AE29" s="221"/>
      <c r="AF29" s="98">
        <f t="shared" si="10"/>
        <v>1.004013790870633</v>
      </c>
      <c r="AG29" s="98"/>
    </row>
    <row r="30" spans="1:33">
      <c r="A30" s="110" t="s">
        <v>133</v>
      </c>
      <c r="B30">
        <v>2001</v>
      </c>
      <c r="C30" s="219">
        <f t="shared" si="5"/>
        <v>8.327573991234824E-2</v>
      </c>
      <c r="D30" s="219">
        <f>'AP2'!FZ61 / ('AP2'!CG61*'AP2'!T61)</f>
        <v>7.1149567143315301E-2</v>
      </c>
      <c r="E30" s="220">
        <f t="shared" si="6"/>
        <v>1.2126172769032934E-2</v>
      </c>
      <c r="F30" s="220">
        <f>'AP2'!GA61 / ('AP2'!CG61*'AP2'!T61)</f>
        <v>9.2548619296032794E-3</v>
      </c>
      <c r="G30" s="445">
        <f>'AP2'!DK61 / ('AP2'!CG61*'AP2'!T61)</f>
        <v>2.8713108394296544E-3</v>
      </c>
      <c r="H30" s="220">
        <f t="shared" si="7"/>
        <v>0.49031428973764318</v>
      </c>
      <c r="I30" s="219">
        <f>'AP2'!FF61 / ('AP2'!CG61*'AP2'!T61)</f>
        <v>0.25728194544145877</v>
      </c>
      <c r="J30" s="220">
        <f t="shared" si="8"/>
        <v>0.23303234429618441</v>
      </c>
      <c r="K30" s="220">
        <f>'AP2'!FG61 / ('AP2'!CG61*'AP2'!T61)</f>
        <v>0.11784363044903069</v>
      </c>
      <c r="L30" s="221">
        <f>'AP2'!FB61 / ('AP2'!CG61*'AP2'!T61)</f>
        <v>0.11518871384715373</v>
      </c>
      <c r="M30" s="220">
        <f t="shared" si="1"/>
        <v>0.31737181457862301</v>
      </c>
      <c r="N30" s="222">
        <f t="shared" si="0"/>
        <v>6.2975661133646818E-2</v>
      </c>
      <c r="O30" s="220">
        <f>'AP2'!EE61 / ('AP2'!CG61*'AP2'!T61)</f>
        <v>3.0216914364302645E-2</v>
      </c>
      <c r="P30" s="220">
        <f>'AP2'!EB61 / ('AP2'!CG61*'AP2'!T61)</f>
        <v>3.275874676934417E-2</v>
      </c>
      <c r="Q30" s="220">
        <f>('AP2'!EF61+'AP2'!EM61 -'AP2'!EQ61 ) / ('AP2'!CG61*'AP2'!T61)</f>
        <v>0.25439615344497618</v>
      </c>
      <c r="R30" s="220">
        <f t="shared" si="2"/>
        <v>2.543961534449762E-2</v>
      </c>
      <c r="S30" s="220">
        <f t="shared" si="3"/>
        <v>0.22895653810047856</v>
      </c>
      <c r="T30" s="220">
        <f t="shared" si="4"/>
        <v>0.22293684467327465</v>
      </c>
      <c r="U30" s="445">
        <f>('AP2'!EN61+'AP2'!EG61 ) / ('AP2'!CG61*'AP2'!T61)</f>
        <v>6.0196934272039098E-3</v>
      </c>
      <c r="V30" s="219"/>
      <c r="W30" s="220"/>
      <c r="X30" s="220"/>
      <c r="Y30" s="220"/>
      <c r="Z30" s="220">
        <f t="shared" si="9"/>
        <v>0.15683846488313147</v>
      </c>
      <c r="AA30" s="221">
        <f>'A32'!I33*'A30'!N31</f>
        <v>0.11394843781814284</v>
      </c>
      <c r="AB30" s="220">
        <f t="shared" si="11"/>
        <v>0.23815294819053306</v>
      </c>
      <c r="AC30" s="220">
        <f t="shared" si="12"/>
        <v>0.41746247853757723</v>
      </c>
      <c r="AD30" s="220"/>
      <c r="AE30" s="221"/>
      <c r="AF30" s="98">
        <f t="shared" si="10"/>
        <v>1.0049102820467573</v>
      </c>
      <c r="AG30" s="98"/>
    </row>
    <row r="31" spans="1:33">
      <c r="A31" s="110" t="s">
        <v>133</v>
      </c>
      <c r="B31">
        <v>2002</v>
      </c>
      <c r="C31" s="219">
        <f t="shared" si="5"/>
        <v>9.2746821239610922E-2</v>
      </c>
      <c r="D31" s="219">
        <f>'AP2'!FZ62 / ('AP2'!CG62*'AP2'!T62)</f>
        <v>7.7481195706962908E-2</v>
      </c>
      <c r="E31" s="220">
        <f t="shared" si="6"/>
        <v>1.5265625532648017E-2</v>
      </c>
      <c r="F31" s="220">
        <f>'AP2'!GA62 / ('AP2'!CG62*'AP2'!T62)</f>
        <v>1.2958930406017158E-2</v>
      </c>
      <c r="G31" s="445">
        <f>'AP2'!DK62 / ('AP2'!CG62*'AP2'!T62)</f>
        <v>2.3066951266308604E-3</v>
      </c>
      <c r="H31" s="220">
        <f t="shared" si="7"/>
        <v>0.48915891194946248</v>
      </c>
      <c r="I31" s="219">
        <f>'AP2'!FF62 / ('AP2'!CG62*'AP2'!T62)</f>
        <v>0.25572989512050065</v>
      </c>
      <c r="J31" s="220">
        <f t="shared" si="8"/>
        <v>0.23342901682896181</v>
      </c>
      <c r="K31" s="220">
        <f>'AP2'!FG62 / ('AP2'!CG62*'AP2'!T62)</f>
        <v>0.12027131700060933</v>
      </c>
      <c r="L31" s="221">
        <f>'AP2'!FB62 / ('AP2'!CG62*'AP2'!T62)</f>
        <v>0.11315769982835247</v>
      </c>
      <c r="M31" s="220">
        <f t="shared" si="1"/>
        <v>0.29919602598135597</v>
      </c>
      <c r="N31" s="222">
        <f t="shared" si="0"/>
        <v>6.6701774232193617E-2</v>
      </c>
      <c r="O31" s="220">
        <f>'AP2'!EE62 / ('AP2'!CG62*'AP2'!T62)</f>
        <v>3.3696309788069478E-2</v>
      </c>
      <c r="P31" s="220">
        <f>'AP2'!EB62 / ('AP2'!CG62*'AP2'!T62)</f>
        <v>3.3005464444124132E-2</v>
      </c>
      <c r="Q31" s="220">
        <f>('AP2'!EF62+'AP2'!EM62 -'AP2'!EQ62 ) / ('AP2'!CG62*'AP2'!T62)</f>
        <v>0.23249425174916236</v>
      </c>
      <c r="R31" s="220">
        <f t="shared" si="2"/>
        <v>2.3249425174916238E-2</v>
      </c>
      <c r="S31" s="220">
        <f t="shared" si="3"/>
        <v>0.20924482657424612</v>
      </c>
      <c r="T31" s="220">
        <f t="shared" si="4"/>
        <v>0.20410096226389135</v>
      </c>
      <c r="U31" s="445">
        <f>('AP2'!EN62+'AP2'!EG62 ) / ('AP2'!CG62*'AP2'!T62)</f>
        <v>5.1438643103547703E-3</v>
      </c>
      <c r="V31" s="219"/>
      <c r="W31" s="220"/>
      <c r="X31" s="220"/>
      <c r="Y31" s="220"/>
      <c r="Z31" s="220">
        <f t="shared" si="9"/>
        <v>0.15361372370946225</v>
      </c>
      <c r="AA31" s="221">
        <f>'A32'!I34*'A30'!N32</f>
        <v>0.11789258779446379</v>
      </c>
      <c r="AB31" s="220">
        <f t="shared" si="11"/>
        <v>0.25416004563929445</v>
      </c>
      <c r="AC31" s="220">
        <f t="shared" si="12"/>
        <v>0.43195978149117636</v>
      </c>
      <c r="AD31" s="220"/>
      <c r="AE31" s="221"/>
      <c r="AF31" s="98">
        <f t="shared" si="10"/>
        <v>0.99899434696489309</v>
      </c>
      <c r="AG31" s="98"/>
    </row>
    <row r="32" spans="1:33">
      <c r="A32" s="110" t="s">
        <v>133</v>
      </c>
      <c r="B32">
        <v>2003</v>
      </c>
      <c r="C32" s="219">
        <f t="shared" si="5"/>
        <v>8.7992411914736918E-2</v>
      </c>
      <c r="D32" s="219">
        <f>'AP2'!FZ63 / ('AP2'!CG63*'AP2'!T63)</f>
        <v>7.676647361090834E-2</v>
      </c>
      <c r="E32" s="220">
        <f t="shared" si="6"/>
        <v>1.1225938303828582E-2</v>
      </c>
      <c r="F32" s="220">
        <f>'AP2'!GA63 / ('AP2'!CG63*'AP2'!T63)</f>
        <v>9.1342469932075843E-3</v>
      </c>
      <c r="G32" s="445">
        <f>'AP2'!DK63 / ('AP2'!CG63*'AP2'!T63)</f>
        <v>2.0916913106209978E-3</v>
      </c>
      <c r="H32" s="220">
        <f t="shared" si="7"/>
        <v>0.47935929844920222</v>
      </c>
      <c r="I32" s="219">
        <f>'AP2'!FF63 / ('AP2'!CG63*'AP2'!T63)</f>
        <v>0.24868398701054156</v>
      </c>
      <c r="J32" s="220">
        <f t="shared" si="8"/>
        <v>0.23067531143866066</v>
      </c>
      <c r="K32" s="220">
        <f>'AP2'!FG63 / ('AP2'!CG63*'AP2'!T63)</f>
        <v>0.12173372921816653</v>
      </c>
      <c r="L32" s="221">
        <f>'AP2'!FB63 / ('AP2'!CG63*'AP2'!T63)</f>
        <v>0.10894158222049413</v>
      </c>
      <c r="M32" s="220">
        <f t="shared" si="1"/>
        <v>0.30383217554494757</v>
      </c>
      <c r="N32" s="222">
        <f t="shared" si="0"/>
        <v>7.0184605721905657E-2</v>
      </c>
      <c r="O32" s="220">
        <f>'AP2'!EE63 / ('AP2'!CG63*'AP2'!T63)</f>
        <v>3.4632228541449005E-2</v>
      </c>
      <c r="P32" s="220">
        <f>'AP2'!EB63 / ('AP2'!CG63*'AP2'!T63)</f>
        <v>3.5552377180456646E-2</v>
      </c>
      <c r="Q32" s="220">
        <f>('AP2'!EF63+'AP2'!EM63 -'AP2'!EQ63 ) / ('AP2'!CG63*'AP2'!T63)</f>
        <v>0.23364756982304194</v>
      </c>
      <c r="R32" s="220">
        <f t="shared" si="2"/>
        <v>2.3364756982304197E-2</v>
      </c>
      <c r="S32" s="220">
        <f t="shared" si="3"/>
        <v>0.21028281284073774</v>
      </c>
      <c r="T32" s="220">
        <f t="shared" si="4"/>
        <v>0.20506308291077846</v>
      </c>
      <c r="U32" s="445">
        <f>('AP2'!EN63+'AP2'!EG63 ) / ('AP2'!CG63*'AP2'!T63)</f>
        <v>5.2197299299592695E-3</v>
      </c>
      <c r="V32" s="219"/>
      <c r="W32" s="220"/>
      <c r="X32" s="220"/>
      <c r="Y32" s="220"/>
      <c r="Z32" s="220">
        <f t="shared" si="9"/>
        <v>0.15180538064153107</v>
      </c>
      <c r="AA32" s="221">
        <f>'A32'!I35*'A30'!N33</f>
        <v>0.12394241701757845</v>
      </c>
      <c r="AB32" s="220">
        <f t="shared" si="11"/>
        <v>0.2604359009109124</v>
      </c>
      <c r="AC32" s="220">
        <f t="shared" si="12"/>
        <v>0.43578250676586638</v>
      </c>
      <c r="AD32" s="220"/>
      <c r="AE32" s="221"/>
      <c r="AF32" s="98">
        <f t="shared" si="10"/>
        <v>0.9951263029264652</v>
      </c>
      <c r="AG32" s="98"/>
    </row>
    <row r="33" spans="1:33">
      <c r="A33" s="110" t="s">
        <v>133</v>
      </c>
      <c r="B33">
        <v>2004</v>
      </c>
      <c r="C33" s="219">
        <f t="shared" si="5"/>
        <v>8.63278710391433E-2</v>
      </c>
      <c r="D33" s="219">
        <f>'AP2'!FZ64 / ('AP2'!CG64*'AP2'!T64)</f>
        <v>7.6013091850303041E-2</v>
      </c>
      <c r="E33" s="220">
        <f t="shared" si="6"/>
        <v>1.0314779188840254E-2</v>
      </c>
      <c r="F33" s="220">
        <f>'AP2'!GA64 / ('AP2'!CG64*'AP2'!T64)</f>
        <v>8.5046950849499096E-3</v>
      </c>
      <c r="G33" s="445">
        <f>'AP2'!DK64 / ('AP2'!CG64*'AP2'!T64)</f>
        <v>1.8100841038903438E-3</v>
      </c>
      <c r="H33" s="220">
        <f t="shared" si="7"/>
        <v>0.48802878202340916</v>
      </c>
      <c r="I33" s="219">
        <f>'AP2'!FF64 / ('AP2'!CG64*'AP2'!T64)</f>
        <v>0.23096030234820467</v>
      </c>
      <c r="J33" s="220">
        <f t="shared" si="8"/>
        <v>0.25706847967520452</v>
      </c>
      <c r="K33" s="220">
        <f>'AP2'!FG64 / ('AP2'!CG64*'AP2'!T64)</f>
        <v>0.14809318380290878</v>
      </c>
      <c r="L33" s="221">
        <f>'AP2'!FB64 / ('AP2'!CG64*'AP2'!T64)</f>
        <v>0.10897529587229572</v>
      </c>
      <c r="M33" s="220">
        <f t="shared" si="1"/>
        <v>0.29653445668917566</v>
      </c>
      <c r="N33" s="222">
        <f t="shared" si="0"/>
        <v>7.2339834071689507E-2</v>
      </c>
      <c r="O33" s="220">
        <f>'AP2'!EE64 / ('AP2'!CG64*'AP2'!T64)</f>
        <v>3.7717211846112597E-2</v>
      </c>
      <c r="P33" s="220">
        <f>'AP2'!EB64 / ('AP2'!CG64*'AP2'!T64)</f>
        <v>3.462262222557691E-2</v>
      </c>
      <c r="Q33" s="220">
        <f>('AP2'!EF64+'AP2'!EM64 -'AP2'!EQ64 ) / ('AP2'!CG64*'AP2'!T64)</f>
        <v>0.22419462261748618</v>
      </c>
      <c r="R33" s="220">
        <f t="shared" si="2"/>
        <v>2.241946226174862E-2</v>
      </c>
      <c r="S33" s="220">
        <f t="shared" si="3"/>
        <v>0.20177516035573756</v>
      </c>
      <c r="T33" s="220">
        <f t="shared" si="4"/>
        <v>0.19663550251903825</v>
      </c>
      <c r="U33" s="445">
        <f>('AP2'!EN64+'AP2'!EG64 ) / ('AP2'!CG64*'AP2'!T64)</f>
        <v>5.1396578366993051E-3</v>
      </c>
      <c r="V33" s="219"/>
      <c r="W33" s="220"/>
      <c r="X33" s="220"/>
      <c r="Y33" s="220"/>
      <c r="Z33" s="220">
        <f t="shared" si="9"/>
        <v>0.15054766003846226</v>
      </c>
      <c r="AA33" s="221">
        <f>'A32'!I36*'A30'!N34</f>
        <v>0.12348203502357701</v>
      </c>
      <c r="AB33" s="220">
        <f t="shared" si="11"/>
        <v>0.25900111429223605</v>
      </c>
      <c r="AC33" s="220">
        <f t="shared" si="12"/>
        <v>0.43219252246333312</v>
      </c>
      <c r="AD33" s="220"/>
      <c r="AE33" s="221"/>
      <c r="AF33" s="98">
        <f t="shared" si="10"/>
        <v>0.99437314477530514</v>
      </c>
      <c r="AG33" s="98"/>
    </row>
    <row r="34" spans="1:33">
      <c r="A34" s="110" t="s">
        <v>133</v>
      </c>
      <c r="B34">
        <v>2005</v>
      </c>
      <c r="C34" s="219">
        <f t="shared" si="5"/>
        <v>8.7025523837662003E-2</v>
      </c>
      <c r="D34" s="219">
        <f>'AP2'!FZ65 / ('AP2'!CG65*'AP2'!T65)</f>
        <v>7.3813460215765431E-2</v>
      </c>
      <c r="E34" s="220">
        <f t="shared" si="6"/>
        <v>1.3212063621896575E-2</v>
      </c>
      <c r="F34" s="220">
        <f>'AP2'!GA65 / ('AP2'!CG65*'AP2'!T65)</f>
        <v>1.1626126204830086E-2</v>
      </c>
      <c r="G34" s="445">
        <f>'AP2'!DK65 / ('AP2'!CG65*'AP2'!T65)</f>
        <v>1.58593741706649E-3</v>
      </c>
      <c r="H34" s="220">
        <f t="shared" si="7"/>
        <v>0.48225236242862091</v>
      </c>
      <c r="I34" s="219">
        <f>'AP2'!FF65 / ('AP2'!CG65*'AP2'!T65)</f>
        <v>0.2277058725183726</v>
      </c>
      <c r="J34" s="220">
        <f t="shared" si="8"/>
        <v>0.25454648991024831</v>
      </c>
      <c r="K34" s="220">
        <f>'AP2'!FG65 / ('AP2'!CG65*'AP2'!T65)</f>
        <v>0.15134206537589498</v>
      </c>
      <c r="L34" s="221">
        <f>'AP2'!FB65 / ('AP2'!CG65*'AP2'!T65)</f>
        <v>0.10320442453435331</v>
      </c>
      <c r="M34" s="220">
        <f t="shared" si="1"/>
        <v>0.29722234978821915</v>
      </c>
      <c r="N34" s="222">
        <f t="shared" si="0"/>
        <v>7.9214569310741487E-2</v>
      </c>
      <c r="O34" s="220">
        <f>'AP2'!EE65 / ('AP2'!CG65*'AP2'!T65)</f>
        <v>4.0533727471831212E-2</v>
      </c>
      <c r="P34" s="220">
        <f>'AP2'!EB65 / ('AP2'!CG65*'AP2'!T65)</f>
        <v>3.8680841838910275E-2</v>
      </c>
      <c r="Q34" s="220">
        <f>('AP2'!EF65+'AP2'!EM65 -'AP2'!EQ65 ) / ('AP2'!CG65*'AP2'!T65)</f>
        <v>0.21800778047747768</v>
      </c>
      <c r="R34" s="220">
        <f t="shared" si="2"/>
        <v>2.1800778047747771E-2</v>
      </c>
      <c r="S34" s="220">
        <f t="shared" si="3"/>
        <v>0.19620700242972991</v>
      </c>
      <c r="T34" s="220">
        <f t="shared" si="4"/>
        <v>0.19119935145759442</v>
      </c>
      <c r="U34" s="445">
        <f>('AP2'!EN65+'AP2'!EG65 ) / ('AP2'!CG65*'AP2'!T65)</f>
        <v>5.007650972135483E-3</v>
      </c>
      <c r="V34" s="219"/>
      <c r="W34" s="220"/>
      <c r="X34" s="220"/>
      <c r="Y34" s="220"/>
      <c r="Z34" s="220">
        <f t="shared" si="9"/>
        <v>0.14847885476246558</v>
      </c>
      <c r="AA34" s="221">
        <f>'A32'!I37*'A30'!N35</f>
        <v>0.12237061896867525</v>
      </c>
      <c r="AB34" s="220">
        <f t="shared" si="11"/>
        <v>0.2886249560059358</v>
      </c>
      <c r="AC34" s="220">
        <f t="shared" si="12"/>
        <v>0.46016394876566991</v>
      </c>
      <c r="AD34" s="220"/>
      <c r="AE34" s="221"/>
      <c r="AF34" s="98">
        <f t="shared" si="10"/>
        <v>0.9888708550231774</v>
      </c>
      <c r="AG34" s="98"/>
    </row>
    <row r="35" spans="1:33">
      <c r="A35" s="110" t="s">
        <v>133</v>
      </c>
      <c r="B35">
        <v>2006</v>
      </c>
      <c r="C35" s="219">
        <f t="shared" si="5"/>
        <v>8.5061236497626008E-2</v>
      </c>
      <c r="D35" s="219">
        <f>'AP2'!FZ66 / ('AP2'!CG66*'AP2'!T66)</f>
        <v>7.162640430723706E-2</v>
      </c>
      <c r="E35" s="220">
        <f t="shared" si="6"/>
        <v>1.3434832190388941E-2</v>
      </c>
      <c r="F35" s="220">
        <f>'AP2'!GA66 / ('AP2'!CG66*'AP2'!T66)</f>
        <v>1.2082628109250051E-2</v>
      </c>
      <c r="G35" s="445">
        <f>'AP2'!DK66 / ('AP2'!CG66*'AP2'!T66)</f>
        <v>1.3522040811388895E-3</v>
      </c>
      <c r="H35" s="220">
        <f t="shared" si="7"/>
        <v>0.47687668201673183</v>
      </c>
      <c r="I35" s="219">
        <f>'AP2'!FF66 / ('AP2'!CG66*'AP2'!T66)</f>
        <v>0.21812386992201688</v>
      </c>
      <c r="J35" s="220">
        <f t="shared" si="8"/>
        <v>0.25875281209471496</v>
      </c>
      <c r="K35" s="220">
        <f>'AP2'!FG66 / ('AP2'!CG66*'AP2'!T66)</f>
        <v>0.16302389434364856</v>
      </c>
      <c r="L35" s="221">
        <f>'AP2'!FB66 / ('AP2'!CG66*'AP2'!T66)</f>
        <v>9.57289177510664E-2</v>
      </c>
      <c r="M35" s="220">
        <f t="shared" si="1"/>
        <v>0.29157815383923158</v>
      </c>
      <c r="N35" s="222">
        <f t="shared" si="0"/>
        <v>7.8338595314651316E-2</v>
      </c>
      <c r="O35" s="220">
        <f>'AP2'!EE66 / ('AP2'!CG66*'AP2'!T66)</f>
        <v>3.9223220986770543E-2</v>
      </c>
      <c r="P35" s="220">
        <f>'AP2'!EB66 / ('AP2'!CG66*'AP2'!T66)</f>
        <v>3.9115374327880773E-2</v>
      </c>
      <c r="Q35" s="220">
        <f>('AP2'!EF66+'AP2'!EM66 -'AP2'!EQ66 ) / ('AP2'!CG66*'AP2'!T66)</f>
        <v>0.21323955852458026</v>
      </c>
      <c r="R35" s="220">
        <f t="shared" si="2"/>
        <v>2.1323955852458026E-2</v>
      </c>
      <c r="S35" s="220">
        <f t="shared" si="3"/>
        <v>0.19191560267212224</v>
      </c>
      <c r="T35" s="220">
        <f t="shared" si="4"/>
        <v>0.18689779738174031</v>
      </c>
      <c r="U35" s="445">
        <f>('AP2'!EN66+'AP2'!EG66 ) / ('AP2'!CG66*'AP2'!T66)</f>
        <v>5.01780529038194E-3</v>
      </c>
      <c r="V35" s="219"/>
      <c r="W35" s="220"/>
      <c r="X35" s="220"/>
      <c r="Y35" s="220"/>
      <c r="Z35" s="220">
        <f t="shared" si="9"/>
        <v>0.14121430145046801</v>
      </c>
      <c r="AA35" s="221">
        <f>'A32'!I38*'A30'!N36</f>
        <v>0.12232942599026232</v>
      </c>
      <c r="AB35" s="220">
        <f t="shared" si="11"/>
        <v>0.29722054289465144</v>
      </c>
      <c r="AC35" s="220">
        <f t="shared" si="12"/>
        <v>0.46639432991604268</v>
      </c>
      <c r="AD35" s="220"/>
      <c r="AE35" s="221"/>
      <c r="AF35" s="98">
        <f t="shared" si="10"/>
        <v>0.9758454983438517</v>
      </c>
      <c r="AG35" s="98"/>
    </row>
    <row r="36" spans="1:33">
      <c r="A36" s="110" t="s">
        <v>133</v>
      </c>
      <c r="B36">
        <v>2007</v>
      </c>
      <c r="C36" s="219">
        <f t="shared" si="5"/>
        <v>8.6205579738830376E-2</v>
      </c>
      <c r="D36" s="219">
        <f>'AP2'!FZ67 / ('AP2'!CG67*'AP2'!T67)</f>
        <v>7.380760174218351E-2</v>
      </c>
      <c r="E36" s="220">
        <f t="shared" si="6"/>
        <v>1.2397977996646862E-2</v>
      </c>
      <c r="F36" s="220">
        <f>'AP2'!GA67 / ('AP2'!CG67*'AP2'!T67)</f>
        <v>1.126971706262571E-2</v>
      </c>
      <c r="G36" s="445">
        <f>'AP2'!DK67 / ('AP2'!CG67*'AP2'!T67)</f>
        <v>1.1282609340211517E-3</v>
      </c>
      <c r="H36" s="220">
        <f t="shared" si="7"/>
        <v>0.48924434429256891</v>
      </c>
      <c r="I36" s="219">
        <f>'AP2'!FF67 / ('AP2'!CG67*'AP2'!T67)</f>
        <v>0.21712773429166407</v>
      </c>
      <c r="J36" s="220">
        <f t="shared" si="8"/>
        <v>0.27211661000090481</v>
      </c>
      <c r="K36" s="220">
        <f>'AP2'!FG67 / ('AP2'!CG67*'AP2'!T67)</f>
        <v>0.1766889487251592</v>
      </c>
      <c r="L36" s="221">
        <f>'AP2'!FB67 / ('AP2'!CG67*'AP2'!T67)</f>
        <v>9.5427661275745618E-2</v>
      </c>
      <c r="M36" s="220">
        <f t="shared" si="1"/>
        <v>0.2954861178007554</v>
      </c>
      <c r="N36" s="222">
        <f t="shared" si="0"/>
        <v>8.2118372448242688E-2</v>
      </c>
      <c r="O36" s="220">
        <f>'AP2'!EE67 / ('AP2'!CG67*'AP2'!T67)</f>
        <v>4.3904544573171826E-2</v>
      </c>
      <c r="P36" s="220">
        <f>'AP2'!EB67 / ('AP2'!CG67*'AP2'!T67)</f>
        <v>3.8213827875070869E-2</v>
      </c>
      <c r="Q36" s="220">
        <f>('AP2'!EF67+'AP2'!EM67 -'AP2'!EQ67 ) / ('AP2'!CG67*'AP2'!T67)</f>
        <v>0.21336774535251274</v>
      </c>
      <c r="R36" s="220">
        <f t="shared" si="2"/>
        <v>2.1336774535251277E-2</v>
      </c>
      <c r="S36" s="220">
        <f t="shared" si="3"/>
        <v>0.19203097081726145</v>
      </c>
      <c r="T36" s="220">
        <f t="shared" si="4"/>
        <v>0.18716040925311991</v>
      </c>
      <c r="U36" s="445">
        <f>('AP2'!EN67+'AP2'!EG67 ) / ('AP2'!CG67*'AP2'!T67)</f>
        <v>4.8705615641415467E-3</v>
      </c>
      <c r="V36" s="219"/>
      <c r="W36" s="220"/>
      <c r="X36" s="220"/>
      <c r="Y36" s="220"/>
      <c r="Z36" s="220">
        <f t="shared" si="9"/>
        <v>0.13964031164897919</v>
      </c>
      <c r="AA36" s="221">
        <f>'A32'!I39*'A30'!N37</f>
        <v>0.12660026106452446</v>
      </c>
      <c r="AB36" s="220">
        <f t="shared" si="11"/>
        <v>0.30959372965208498</v>
      </c>
      <c r="AC36" s="220">
        <f t="shared" si="12"/>
        <v>0.47127720075385565</v>
      </c>
      <c r="AD36" s="220"/>
      <c r="AE36" s="221"/>
      <c r="AF36" s="98">
        <f t="shared" si="10"/>
        <v>0.99753630289667916</v>
      </c>
      <c r="AG36" s="98"/>
    </row>
    <row r="37" spans="1:33">
      <c r="A37" s="110" t="s">
        <v>133</v>
      </c>
      <c r="B37">
        <v>2008</v>
      </c>
      <c r="C37" s="219">
        <f t="shared" si="5"/>
        <v>8.981369002322713E-2</v>
      </c>
      <c r="D37" s="219">
        <f>'AP2'!FZ68 / ('AP2'!CG68*'AP2'!T68)</f>
        <v>7.259020296476125E-2</v>
      </c>
      <c r="E37" s="220">
        <f t="shared" si="6"/>
        <v>1.7223487058465881E-2</v>
      </c>
      <c r="F37" s="220">
        <f>'AP2'!GA68 / ('AP2'!CG68*'AP2'!T68)</f>
        <v>1.6022052133142353E-2</v>
      </c>
      <c r="G37" s="445">
        <f>'AP2'!DK68 / ('AP2'!CG68*'AP2'!T68)</f>
        <v>1.2014349253235274E-3</v>
      </c>
      <c r="H37" s="220">
        <f t="shared" si="7"/>
        <v>0.49887199249694059</v>
      </c>
      <c r="I37" s="219">
        <f>'AP2'!FF68 / ('AP2'!CG68*'AP2'!T68)</f>
        <v>0.21821030350914641</v>
      </c>
      <c r="J37" s="220">
        <f t="shared" si="8"/>
        <v>0.28066168898779414</v>
      </c>
      <c r="K37" s="220">
        <f>'AP2'!FG68 / ('AP2'!CG68*'AP2'!T68)</f>
        <v>0.19152249815112257</v>
      </c>
      <c r="L37" s="221">
        <f>'AP2'!FB68 / ('AP2'!CG68*'AP2'!T68)</f>
        <v>8.9139190836671572E-2</v>
      </c>
      <c r="M37" s="220">
        <f t="shared" si="1"/>
        <v>0.28525891276651899</v>
      </c>
      <c r="N37" s="222">
        <f t="shared" si="0"/>
        <v>8.0580703904266998E-2</v>
      </c>
      <c r="O37" s="220">
        <f>'AP2'!EE68 / ('AP2'!CG68*'AP2'!T68)</f>
        <v>3.7689608970849824E-2</v>
      </c>
      <c r="P37" s="220">
        <f>'AP2'!EB68 / ('AP2'!CG68*'AP2'!T68)</f>
        <v>4.2891094933417168E-2</v>
      </c>
      <c r="Q37" s="220">
        <f>('AP2'!EF68+'AP2'!EM68 -'AP2'!EQ68 ) / ('AP2'!CG68*'AP2'!T68)</f>
        <v>0.20467820886225199</v>
      </c>
      <c r="R37" s="220">
        <f t="shared" si="2"/>
        <v>2.0467820886225202E-2</v>
      </c>
      <c r="S37" s="220">
        <f t="shared" si="3"/>
        <v>0.18421038797602679</v>
      </c>
      <c r="T37" s="220">
        <f t="shared" si="4"/>
        <v>0.17924008927780463</v>
      </c>
      <c r="U37" s="445">
        <f>('AP2'!EN68+'AP2'!EG68 ) / ('AP2'!CG68*'AP2'!T68)</f>
        <v>4.9702986982221673E-3</v>
      </c>
      <c r="V37" s="219"/>
      <c r="W37" s="220"/>
      <c r="X37" s="220"/>
      <c r="Y37" s="220"/>
      <c r="Z37" s="220">
        <f t="shared" si="9"/>
        <v>0.13820201939363441</v>
      </c>
      <c r="AA37" s="221">
        <f>'A32'!I40*'A30'!N38</f>
        <v>0.12090234224098668</v>
      </c>
      <c r="AB37" s="220">
        <f t="shared" si="11"/>
        <v>0.32762154533671289</v>
      </c>
      <c r="AC37" s="220">
        <f t="shared" si="12"/>
        <v>0.48646659561809902</v>
      </c>
      <c r="AD37" s="220"/>
      <c r="AE37" s="221"/>
      <c r="AF37" s="98">
        <f t="shared" si="10"/>
        <v>0.99484693752767339</v>
      </c>
      <c r="AG37" s="98"/>
    </row>
    <row r="38" spans="1:33">
      <c r="A38" s="110" t="s">
        <v>133</v>
      </c>
      <c r="B38">
        <v>2009</v>
      </c>
      <c r="C38" s="219">
        <f t="shared" si="5"/>
        <v>9.1521018911655663E-2</v>
      </c>
      <c r="D38" s="219">
        <f>'AP2'!FZ69 / ('AP2'!CG69*'AP2'!T69)</f>
        <v>7.5092565722827326E-2</v>
      </c>
      <c r="E38" s="220">
        <f t="shared" si="6"/>
        <v>1.6428453188828337E-2</v>
      </c>
      <c r="F38" s="220">
        <f>'AP2'!GA69 / ('AP2'!CG69*'AP2'!T69)</f>
        <v>1.543918122190217E-2</v>
      </c>
      <c r="G38" s="445">
        <f>'AP2'!DK69 / ('AP2'!CG69*'AP2'!T69)</f>
        <v>9.8927196692616577E-4</v>
      </c>
      <c r="H38" s="220">
        <f t="shared" si="7"/>
        <v>0.47646005809902747</v>
      </c>
      <c r="I38" s="219">
        <f>'AP2'!FF69 / ('AP2'!CG69*'AP2'!T69)</f>
        <v>0.2164213221403983</v>
      </c>
      <c r="J38" s="220">
        <f t="shared" si="8"/>
        <v>0.2600387359586292</v>
      </c>
      <c r="K38" s="220">
        <f>'AP2'!FG69 / ('AP2'!CG69*'AP2'!T69)</f>
        <v>0.16757072943037871</v>
      </c>
      <c r="L38" s="221">
        <f>'AP2'!FB69 / ('AP2'!CG69*'AP2'!T69)</f>
        <v>9.2468006528250477E-2</v>
      </c>
      <c r="M38" s="220">
        <f t="shared" si="1"/>
        <v>0.29593318985636624</v>
      </c>
      <c r="N38" s="222">
        <f t="shared" si="0"/>
        <v>8.1311229524475725E-2</v>
      </c>
      <c r="O38" s="220">
        <f>'AP2'!EE69 / ('AP2'!CG69*'AP2'!T69)</f>
        <v>4.4955846449563748E-2</v>
      </c>
      <c r="P38" s="220">
        <f>'AP2'!EB69 / ('AP2'!CG69*'AP2'!T69)</f>
        <v>3.6355383074911971E-2</v>
      </c>
      <c r="Q38" s="220">
        <f>('AP2'!EF69+'AP2'!EM69 -'AP2'!EQ69 ) / ('AP2'!CG69*'AP2'!T69)</f>
        <v>0.21462196033189052</v>
      </c>
      <c r="R38" s="220">
        <f t="shared" si="2"/>
        <v>2.1462196033189052E-2</v>
      </c>
      <c r="S38" s="220">
        <f t="shared" si="3"/>
        <v>0.19315976429870146</v>
      </c>
      <c r="T38" s="220">
        <f t="shared" si="4"/>
        <v>0.18794049150729547</v>
      </c>
      <c r="U38" s="445">
        <f>('AP2'!EN69+'AP2'!EG69 ) / ('AP2'!CG69*'AP2'!T69)</f>
        <v>5.2192727914059881E-3</v>
      </c>
      <c r="V38" s="219"/>
      <c r="W38" s="220"/>
      <c r="X38" s="220"/>
      <c r="Y38" s="220"/>
      <c r="Z38" s="220">
        <f t="shared" si="9"/>
        <v>0.1350319343614946</v>
      </c>
      <c r="AA38" s="221">
        <f>'A32'!I41*'A30'!N39</f>
        <v>0.11710619120567849</v>
      </c>
      <c r="AB38" s="220">
        <f t="shared" si="11"/>
        <v>0.33866608085832939</v>
      </c>
      <c r="AC38" s="220">
        <f t="shared" si="12"/>
        <v>0.49519908405422103</v>
      </c>
      <c r="AD38" s="220"/>
      <c r="AE38" s="221"/>
      <c r="AF38" s="98">
        <f t="shared" si="10"/>
        <v>0.98102045807272775</v>
      </c>
      <c r="AG38" s="98"/>
    </row>
    <row r="39" spans="1:33">
      <c r="A39" s="110" t="s">
        <v>133</v>
      </c>
      <c r="B39">
        <v>2010</v>
      </c>
      <c r="C39" s="219">
        <f t="shared" si="5"/>
        <v>8.6327274329330433E-2</v>
      </c>
      <c r="D39" s="219">
        <f>'AP2'!FZ70 / ('AP2'!CG70*'AP2'!T70)</f>
        <v>7.297166934974933E-2</v>
      </c>
      <c r="E39" s="220">
        <f t="shared" si="6"/>
        <v>1.3355604979581099E-2</v>
      </c>
      <c r="F39" s="220">
        <f>'AP2'!GA70 / ('AP2'!CG70*'AP2'!T70)</f>
        <v>1.2150719830368631E-2</v>
      </c>
      <c r="G39" s="445">
        <f>'AP2'!DK70 / ('AP2'!CG70*'AP2'!T70)</f>
        <v>1.2048851492124685E-3</v>
      </c>
      <c r="H39" s="220">
        <f t="shared" si="7"/>
        <v>0.47928172257595991</v>
      </c>
      <c r="I39" s="219">
        <f>'AP2'!FF70 / ('AP2'!CG70*'AP2'!T70)</f>
        <v>0.21627150575140483</v>
      </c>
      <c r="J39" s="220">
        <f t="shared" si="8"/>
        <v>0.26301021682455505</v>
      </c>
      <c r="K39" s="220">
        <f>'AP2'!FG70 / ('AP2'!CG70*'AP2'!T70)</f>
        <v>0.17790450890280024</v>
      </c>
      <c r="L39" s="221">
        <f>'AP2'!FB70 / ('AP2'!CG70*'AP2'!T70)</f>
        <v>8.5105707921754828E-2</v>
      </c>
      <c r="M39" s="220">
        <f t="shared" si="1"/>
        <v>0.30644689576751716</v>
      </c>
      <c r="N39" s="222">
        <f t="shared" si="0"/>
        <v>8.6862591234477315E-2</v>
      </c>
      <c r="O39" s="220">
        <f>'AP2'!EE70 / ('AP2'!CG70*'AP2'!T70)</f>
        <v>4.2730259030959422E-2</v>
      </c>
      <c r="P39" s="220">
        <f>'AP2'!EB70 / ('AP2'!CG70*'AP2'!T70)</f>
        <v>4.41323322035179E-2</v>
      </c>
      <c r="Q39" s="220">
        <f>('AP2'!EF70+'AP2'!EM70 -'AP2'!EQ70 ) / ('AP2'!CG70*'AP2'!T70)</f>
        <v>0.21958430453303981</v>
      </c>
      <c r="R39" s="220">
        <f t="shared" si="2"/>
        <v>2.1958430453303982E-2</v>
      </c>
      <c r="S39" s="220">
        <f t="shared" si="3"/>
        <v>0.19762587407973584</v>
      </c>
      <c r="T39" s="220">
        <f t="shared" si="4"/>
        <v>0.1915120343621092</v>
      </c>
      <c r="U39" s="445">
        <f>('AP2'!EN70+'AP2'!EG70 ) / ('AP2'!CG70*'AP2'!T70)</f>
        <v>6.113839717626625E-3</v>
      </c>
      <c r="V39" s="219"/>
      <c r="W39" s="220"/>
      <c r="X39" s="220"/>
      <c r="Y39" s="220"/>
      <c r="Z39" s="220">
        <f t="shared" si="9"/>
        <v>0.13655676499211183</v>
      </c>
      <c r="AA39" s="221">
        <f>'A32'!I42*'A30'!N40</f>
        <v>0.12524094278532746</v>
      </c>
      <c r="AB39" s="220">
        <f t="shared" si="11"/>
        <v>0.3250585429311561</v>
      </c>
      <c r="AC39" s="220">
        <f t="shared" si="12"/>
        <v>0.47942325998987501</v>
      </c>
      <c r="AD39" s="220"/>
      <c r="AE39" s="221"/>
      <c r="AF39" s="98">
        <f t="shared" si="10"/>
        <v>0.99729683545813497</v>
      </c>
      <c r="AG39" s="98"/>
    </row>
    <row r="40" spans="1:33">
      <c r="A40" s="110" t="s">
        <v>133</v>
      </c>
      <c r="B40">
        <v>2011</v>
      </c>
      <c r="C40" s="219">
        <f t="shared" si="5"/>
        <v>8.1981292816549173E-2</v>
      </c>
      <c r="D40" s="219">
        <f>'AP2'!FZ71 / ('AP2'!CG71*'AP2'!T71)</f>
        <v>6.9505838753720045E-2</v>
      </c>
      <c r="E40" s="220">
        <f t="shared" si="6"/>
        <v>1.2475454062829123E-2</v>
      </c>
      <c r="F40" s="220">
        <f>'AP2'!GA71 / ('AP2'!CG71*'AP2'!T71)</f>
        <v>1.1494626223633545E-2</v>
      </c>
      <c r="G40" s="445">
        <f>'AP2'!DK71 / ('AP2'!CG71*'AP2'!T71)</f>
        <v>9.8082783919557792E-4</v>
      </c>
      <c r="H40" s="220">
        <f t="shared" si="7"/>
        <v>0.48410051332493415</v>
      </c>
      <c r="I40" s="219">
        <f>'AP2'!FF71 / ('AP2'!CG71*'AP2'!T71)</f>
        <v>0.21663009840044961</v>
      </c>
      <c r="J40" s="220">
        <f t="shared" si="8"/>
        <v>0.26747041492448453</v>
      </c>
      <c r="K40" s="220">
        <f>'AP2'!FG71 / ('AP2'!CG71*'AP2'!T71)</f>
        <v>0.18530696892952736</v>
      </c>
      <c r="L40" s="221">
        <f>'AP2'!FB71 / ('AP2'!CG71*'AP2'!T71)</f>
        <v>8.2163445994957146E-2</v>
      </c>
      <c r="M40" s="220">
        <f t="shared" si="1"/>
        <v>0.30907866630276942</v>
      </c>
      <c r="N40" s="222">
        <f t="shared" si="0"/>
        <v>8.8332556306443544E-2</v>
      </c>
      <c r="O40" s="220">
        <f>'AP2'!EE71 / ('AP2'!CG71*'AP2'!T71)</f>
        <v>4.2934276533424201E-2</v>
      </c>
      <c r="P40" s="220">
        <f>'AP2'!EB71 / ('AP2'!CG71*'AP2'!T71)</f>
        <v>4.5398279773019336E-2</v>
      </c>
      <c r="Q40" s="220">
        <f>('AP2'!EF71+'AP2'!EM71 -'AP2'!EQ71 ) / ('AP2'!CG71*'AP2'!T71)</f>
        <v>0.22074610999632588</v>
      </c>
      <c r="R40" s="220">
        <f t="shared" si="2"/>
        <v>2.207461099963259E-2</v>
      </c>
      <c r="S40" s="220">
        <f t="shared" si="3"/>
        <v>0.19867149899669329</v>
      </c>
      <c r="T40" s="220">
        <f t="shared" si="4"/>
        <v>0.19182366363257161</v>
      </c>
      <c r="U40" s="445">
        <f>('AP2'!EN71+'AP2'!EG71 ) / ('AP2'!CG71*'AP2'!T71)</f>
        <v>6.8478353641216703E-3</v>
      </c>
      <c r="V40" s="219"/>
      <c r="W40" s="220"/>
      <c r="X40" s="220"/>
      <c r="Y40" s="220"/>
      <c r="Z40" s="220">
        <f t="shared" si="9"/>
        <v>0.13539038897129374</v>
      </c>
      <c r="AA40" s="221">
        <f>'A32'!I43*'A30'!N41</f>
        <v>0.12569608952907377</v>
      </c>
      <c r="AB40" s="220">
        <f t="shared" si="11"/>
        <v>0.33196591550920729</v>
      </c>
      <c r="AC40" s="220">
        <f t="shared" si="12"/>
        <v>0.48815504306161439</v>
      </c>
      <c r="AD40" s="220"/>
      <c r="AE40" s="221"/>
      <c r="AF40" s="98">
        <f t="shared" si="10"/>
        <v>1.0008565619733265</v>
      </c>
      <c r="AG40" s="98"/>
    </row>
    <row r="41" spans="1:33">
      <c r="A41" s="110" t="s">
        <v>133</v>
      </c>
      <c r="B41">
        <v>2012</v>
      </c>
      <c r="C41" s="219">
        <f t="shared" si="5"/>
        <v>7.0890396763677838E-2</v>
      </c>
      <c r="D41" s="219">
        <f>'AP2'!FZ72 / ('AP2'!CG72*'AP2'!T72)</f>
        <v>6.0623910540338444E-2</v>
      </c>
      <c r="E41" s="220">
        <f t="shared" si="6"/>
        <v>1.0266486223339387E-2</v>
      </c>
      <c r="F41" s="220">
        <f>'AP2'!GA72 / ('AP2'!CG72*'AP2'!T72)</f>
        <v>9.4421588211078596E-3</v>
      </c>
      <c r="G41" s="445">
        <f>'AP2'!DK72 / ('AP2'!CG72*'AP2'!T72)</f>
        <v>8.2432740223152817E-4</v>
      </c>
      <c r="H41" s="220">
        <f t="shared" si="7"/>
        <v>0.48512218062435081</v>
      </c>
      <c r="I41" s="219">
        <f>'AP2'!FF72 / ('AP2'!CG72*'AP2'!T72)</f>
        <v>0.23255248199292083</v>
      </c>
      <c r="J41" s="220">
        <f t="shared" si="8"/>
        <v>0.25256969863142997</v>
      </c>
      <c r="K41" s="220">
        <f>'AP2'!FG72 / ('AP2'!CG72*'AP2'!T72)</f>
        <v>0.17306024762207403</v>
      </c>
      <c r="L41" s="221">
        <f>'AP2'!FB72 / ('AP2'!CG72*'AP2'!T72)</f>
        <v>7.9509451009355955E-2</v>
      </c>
      <c r="M41" s="220">
        <f t="shared" si="1"/>
        <v>0.30183969833806035</v>
      </c>
      <c r="N41" s="222">
        <f t="shared" si="0"/>
        <v>8.5429460665981172E-2</v>
      </c>
      <c r="O41" s="220">
        <f>'AP2'!EE72 / ('AP2'!CG72*'AP2'!T72)</f>
        <v>4.2993991548973799E-2</v>
      </c>
      <c r="P41" s="220">
        <f>'AP2'!EB72 / ('AP2'!CG72*'AP2'!T72)</f>
        <v>4.2435469117007373E-2</v>
      </c>
      <c r="Q41" s="220">
        <f>('AP2'!EF72+'AP2'!EM72 -'AP2'!EQ72 ) / ('AP2'!CG72*'AP2'!T72)</f>
        <v>0.21641023767207918</v>
      </c>
      <c r="R41" s="220">
        <f t="shared" si="2"/>
        <v>2.1641023767207918E-2</v>
      </c>
      <c r="S41" s="220">
        <f t="shared" si="3"/>
        <v>0.19476921390487126</v>
      </c>
      <c r="T41" s="220">
        <f t="shared" si="4"/>
        <v>0.18639470416566703</v>
      </c>
      <c r="U41" s="445">
        <f>('AP2'!EN72+'AP2'!EG72 ) / ('AP2'!CG72*'AP2'!T72)</f>
        <v>8.3745097392042347E-3</v>
      </c>
      <c r="V41" s="219"/>
      <c r="W41" s="220"/>
      <c r="X41" s="220"/>
      <c r="Y41" s="220"/>
      <c r="Z41" s="220">
        <f t="shared" si="9"/>
        <v>0.13114375726779909</v>
      </c>
      <c r="AA41" s="221">
        <f>'A32'!I44*'A30'!N42</f>
        <v>0.12650133069871747</v>
      </c>
      <c r="AB41" s="220">
        <f t="shared" si="11"/>
        <v>0.34033591718480261</v>
      </c>
      <c r="AC41" s="220">
        <f t="shared" si="12"/>
        <v>0.49533373656281432</v>
      </c>
      <c r="AD41" s="220"/>
      <c r="AE41" s="221"/>
      <c r="AF41" s="98">
        <f t="shared" si="10"/>
        <v>0.9843536064248064</v>
      </c>
      <c r="AG41" s="98"/>
    </row>
    <row r="42" spans="1:33">
      <c r="A42" s="110" t="s">
        <v>133</v>
      </c>
      <c r="B42">
        <v>2013</v>
      </c>
      <c r="C42" s="219">
        <f t="shared" si="5"/>
        <v>6.9286856223979482E-2</v>
      </c>
      <c r="D42" s="219">
        <f>'AP2'!FZ73 / ('AP2'!CG73*'AP2'!T73)</f>
        <v>6.004787750298974E-2</v>
      </c>
      <c r="E42" s="220">
        <f t="shared" si="6"/>
        <v>9.2389787209897455E-3</v>
      </c>
      <c r="F42" s="220">
        <f>'AP2'!GA73 / ('AP2'!CG73*'AP2'!T73)</f>
        <v>8.4820803138803153E-3</v>
      </c>
      <c r="G42" s="445">
        <f>'AP2'!DK73 / ('AP2'!CG73*'AP2'!T73)</f>
        <v>7.5689840710943014E-4</v>
      </c>
      <c r="H42" s="220">
        <f t="shared" si="7"/>
        <v>0.53566925867689541</v>
      </c>
      <c r="I42" s="219">
        <f>'AP2'!FF73 / ('AP2'!CG73*'AP2'!T73)</f>
        <v>0.25925781461940783</v>
      </c>
      <c r="J42" s="220">
        <f t="shared" si="8"/>
        <v>0.27641144405748763</v>
      </c>
      <c r="K42" s="220">
        <f>'AP2'!FG73 / ('AP2'!CG73*'AP2'!T73)</f>
        <v>0.19550304416243863</v>
      </c>
      <c r="L42" s="221">
        <f>'AP2'!FB73 / ('AP2'!CG73*'AP2'!T73)</f>
        <v>8.0908399895048971E-2</v>
      </c>
      <c r="M42" s="220">
        <f t="shared" si="1"/>
        <v>0.27318126020167871</v>
      </c>
      <c r="N42" s="222">
        <f t="shared" si="0"/>
        <v>8.5840208951199357E-2</v>
      </c>
      <c r="O42" s="220">
        <f>'AP2'!EE73 / ('AP2'!CG73*'AP2'!T73)</f>
        <v>4.3169716380208438E-2</v>
      </c>
      <c r="P42" s="220">
        <f>'AP2'!EB73 / ('AP2'!CG73*'AP2'!T73)</f>
        <v>4.2670492570990919E-2</v>
      </c>
      <c r="Q42" s="220">
        <f>('AP2'!EF73+'AP2'!EM73 -'AP2'!EQ73 ) / ('AP2'!CG73*'AP2'!T73)</f>
        <v>0.18734105125047934</v>
      </c>
      <c r="R42" s="220">
        <f t="shared" si="2"/>
        <v>1.8734105125047935E-2</v>
      </c>
      <c r="S42" s="220">
        <f t="shared" si="3"/>
        <v>0.1686069461254314</v>
      </c>
      <c r="T42" s="220">
        <f t="shared" si="4"/>
        <v>0.15977863775695336</v>
      </c>
      <c r="U42" s="445">
        <f>('AP2'!EN73+'AP2'!EG73 ) / ('AP2'!CG73*'AP2'!T73)</f>
        <v>8.8283083684780241E-3</v>
      </c>
      <c r="V42" s="219"/>
      <c r="W42" s="220"/>
      <c r="X42" s="220"/>
      <c r="Y42" s="220"/>
      <c r="Z42" s="220">
        <f t="shared" si="9"/>
        <v>0.13316409924162734</v>
      </c>
      <c r="AA42" s="221">
        <f>'A32'!I45*'A30'!N43</f>
        <v>0.11941219052228609</v>
      </c>
      <c r="AB42" s="220">
        <f t="shared" si="11"/>
        <v>0.31957609021270234</v>
      </c>
      <c r="AC42" s="220">
        <f t="shared" si="12"/>
        <v>0.46850360869104896</v>
      </c>
      <c r="AD42" s="220"/>
      <c r="AE42" s="221"/>
      <c r="AF42" s="98">
        <f t="shared" si="10"/>
        <v>0.99754956562483976</v>
      </c>
      <c r="AG42" s="98"/>
    </row>
    <row r="43" spans="1:33">
      <c r="A43" s="110" t="s">
        <v>133</v>
      </c>
      <c r="B43">
        <v>2014</v>
      </c>
      <c r="C43" s="219">
        <f t="shared" si="5"/>
        <v>7.0857420296083024E-2</v>
      </c>
      <c r="D43" s="219">
        <f>'AP2'!FZ74 / ('AP2'!CG74*'AP2'!T74)</f>
        <v>6.0640847619272027E-2</v>
      </c>
      <c r="E43" s="220">
        <f t="shared" si="6"/>
        <v>1.0216572676811E-2</v>
      </c>
      <c r="F43" s="220">
        <f>'AP2'!GA74 / ('AP2'!CG74*'AP2'!T74)</f>
        <v>9.5482427747714434E-3</v>
      </c>
      <c r="G43" s="445">
        <f>'AP2'!DK74 / ('AP2'!CG74*'AP2'!T74)</f>
        <v>6.6832990203955671E-4</v>
      </c>
      <c r="H43" s="220">
        <f t="shared" si="7"/>
        <v>0.53941887947315159</v>
      </c>
      <c r="I43" s="219">
        <f>'AP2'!FF74 / ('AP2'!CG74*'AP2'!T74)</f>
        <v>0.26123103435830708</v>
      </c>
      <c r="J43" s="220">
        <f t="shared" si="8"/>
        <v>0.27818784511484446</v>
      </c>
      <c r="K43" s="220">
        <f>'AP2'!FG74 / ('AP2'!CG74*'AP2'!T74)</f>
        <v>0.1992646587236066</v>
      </c>
      <c r="L43" s="221">
        <f>'AP2'!FB74 / ('AP2'!CG74*'AP2'!T74)</f>
        <v>7.892318639123784E-2</v>
      </c>
      <c r="M43" s="220">
        <f t="shared" si="1"/>
        <v>0.2687038391648981</v>
      </c>
      <c r="N43" s="222">
        <f t="shared" si="0"/>
        <v>8.4497486634635216E-2</v>
      </c>
      <c r="O43" s="220">
        <f>'AP2'!EE74 / ('AP2'!CG74*'AP2'!T74)</f>
        <v>4.1523417024134437E-2</v>
      </c>
      <c r="P43" s="220">
        <f>'AP2'!EB74 / ('AP2'!CG74*'AP2'!T74)</f>
        <v>4.2974069610500779E-2</v>
      </c>
      <c r="Q43" s="220">
        <f>('AP2'!EF74+'AP2'!EM74 -'AP2'!EQ74 ) / ('AP2'!CG74*'AP2'!T74)</f>
        <v>0.18420635253026288</v>
      </c>
      <c r="R43" s="220">
        <f t="shared" si="2"/>
        <v>1.8420635253026289E-2</v>
      </c>
      <c r="S43" s="220">
        <f t="shared" si="3"/>
        <v>0.16578571727723659</v>
      </c>
      <c r="T43" s="220">
        <f t="shared" si="4"/>
        <v>0.15544898036952509</v>
      </c>
      <c r="U43" s="445">
        <f>('AP2'!EN74+'AP2'!EG74 ) / ('AP2'!CG74*'AP2'!T74)</f>
        <v>1.0336736907711514E-2</v>
      </c>
      <c r="V43" s="219"/>
      <c r="W43" s="220"/>
      <c r="X43" s="220"/>
      <c r="Y43" s="220"/>
      <c r="Z43" s="220">
        <f>U43+P43+L43+G43</f>
        <v>0.1329023228114897</v>
      </c>
      <c r="AA43" s="221">
        <f>'A32'!I46*'A30'!N44</f>
        <v>0.11683091013433662</v>
      </c>
      <c r="AB43" s="220">
        <f t="shared" si="11"/>
        <v>0.33412450183067277</v>
      </c>
      <c r="AC43" s="220">
        <f t="shared" si="12"/>
        <v>0.48490434769448421</v>
      </c>
      <c r="AD43" s="220"/>
      <c r="AE43" s="221"/>
      <c r="AF43" s="98">
        <f>M43+H43+C43+AA43</f>
        <v>0.9958110490684694</v>
      </c>
      <c r="AG43" s="98"/>
    </row>
    <row r="44" spans="1:33">
      <c r="A44" s="110" t="s">
        <v>133</v>
      </c>
      <c r="B44">
        <v>2015</v>
      </c>
      <c r="C44" s="219"/>
      <c r="D44" s="219"/>
      <c r="E44" s="220"/>
      <c r="F44" s="220"/>
      <c r="G44" s="221"/>
      <c r="H44" s="220"/>
      <c r="I44" s="219"/>
      <c r="J44" s="220"/>
      <c r="K44" s="220"/>
      <c r="L44" s="221"/>
      <c r="M44" s="220"/>
      <c r="N44" s="222"/>
      <c r="O44" s="220"/>
      <c r="P44" s="220"/>
      <c r="Q44" s="220"/>
      <c r="R44" s="220"/>
      <c r="S44" s="220"/>
      <c r="T44" s="220"/>
      <c r="U44" s="221"/>
      <c r="V44" s="219"/>
      <c r="W44" s="220"/>
      <c r="X44" s="220"/>
      <c r="Y44" s="220"/>
      <c r="Z44" s="220"/>
      <c r="AA44" s="221"/>
      <c r="AB44" s="220"/>
      <c r="AC44" s="220"/>
      <c r="AD44" s="220"/>
      <c r="AE44" s="221"/>
      <c r="AG44" s="98"/>
    </row>
    <row r="45" spans="1:33" ht="15" thickBot="1">
      <c r="A45" s="110" t="s">
        <v>133</v>
      </c>
      <c r="B45">
        <v>2016</v>
      </c>
      <c r="C45" s="449"/>
      <c r="D45" s="449"/>
      <c r="E45" s="455"/>
      <c r="F45" s="455"/>
      <c r="G45" s="458"/>
      <c r="H45" s="455"/>
      <c r="I45" s="449"/>
      <c r="J45" s="455"/>
      <c r="K45" s="455"/>
      <c r="L45" s="458"/>
      <c r="M45" s="455"/>
      <c r="N45" s="451"/>
      <c r="O45" s="455"/>
      <c r="P45" s="455"/>
      <c r="Q45" s="455"/>
      <c r="R45" s="455"/>
      <c r="S45" s="455"/>
      <c r="T45" s="455"/>
      <c r="U45" s="458"/>
      <c r="V45" s="449"/>
      <c r="W45" s="455"/>
      <c r="X45" s="455"/>
      <c r="Y45" s="455"/>
      <c r="Z45" s="455"/>
      <c r="AA45" s="458"/>
      <c r="AB45" s="455"/>
      <c r="AC45" s="455"/>
      <c r="AD45" s="455"/>
      <c r="AE45" s="458"/>
      <c r="AG45" s="98"/>
    </row>
  </sheetData>
  <mergeCells count="7">
    <mergeCell ref="N5:P5"/>
    <mergeCell ref="Q5:U5"/>
    <mergeCell ref="D4:G4"/>
    <mergeCell ref="I4:L4"/>
    <mergeCell ref="N4:U4"/>
    <mergeCell ref="V4:AA4"/>
    <mergeCell ref="AB4:A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2A85-2885-4037-97D3-278D501A1FD6}">
  <dimension ref="A1:OE88"/>
  <sheetViews>
    <sheetView zoomScale="70" zoomScaleNormal="70" workbookViewId="0">
      <pane xSplit="1" ySplit="9" topLeftCell="DU49" activePane="bottomRight" state="frozen"/>
      <selection pane="topRight" activeCell="B1" sqref="B1"/>
      <selection pane="bottomLeft" activeCell="A10" sqref="A10"/>
      <selection pane="bottomRight" activeCell="A3" sqref="A3"/>
    </sheetView>
  </sheetViews>
  <sheetFormatPr defaultRowHeight="14.4"/>
  <sheetData>
    <row r="1" spans="1:395" ht="15.6">
      <c r="A1" s="1" t="s">
        <v>0</v>
      </c>
    </row>
    <row r="2" spans="1:395" ht="17.399999999999999">
      <c r="A2" s="331" t="s">
        <v>134</v>
      </c>
      <c r="B2" s="236"/>
      <c r="C2" s="236"/>
      <c r="D2" s="236"/>
      <c r="E2" s="236"/>
      <c r="F2" s="237"/>
      <c r="G2" s="237"/>
      <c r="H2" s="263"/>
      <c r="I2" s="236"/>
      <c r="J2" s="237"/>
      <c r="K2" s="236"/>
      <c r="L2" s="236"/>
      <c r="M2" s="236"/>
      <c r="N2" s="236"/>
      <c r="O2" s="236"/>
      <c r="P2" s="236"/>
      <c r="Q2" s="237"/>
      <c r="R2" s="295"/>
      <c r="T2" s="263"/>
      <c r="U2" s="240"/>
      <c r="V2" s="295"/>
      <c r="X2" s="291"/>
      <c r="Y2" s="291"/>
      <c r="AA2" s="295"/>
      <c r="AC2" s="236"/>
      <c r="AD2" s="236"/>
      <c r="AE2" s="236"/>
      <c r="AV2" s="295"/>
      <c r="AZ2" s="236"/>
      <c r="BA2" s="236"/>
      <c r="BB2" s="236"/>
      <c r="BC2" s="236"/>
      <c r="BD2" s="236"/>
      <c r="BE2" s="236"/>
      <c r="BF2" s="236"/>
      <c r="BG2" s="236"/>
      <c r="BH2" s="236"/>
      <c r="BI2" s="236"/>
      <c r="BJ2" s="236"/>
      <c r="BK2" s="236"/>
      <c r="BL2" s="236"/>
      <c r="BM2" s="236"/>
      <c r="BN2" s="236"/>
      <c r="BO2" s="236"/>
      <c r="BP2" s="236"/>
      <c r="BQ2" s="236"/>
      <c r="BR2" s="236"/>
      <c r="BS2" s="236"/>
      <c r="BT2" s="236"/>
      <c r="BU2" s="236"/>
      <c r="BV2" s="236"/>
      <c r="BW2" s="236"/>
      <c r="BX2" s="236"/>
      <c r="BY2" s="236"/>
      <c r="BZ2" s="236"/>
      <c r="CA2" s="236"/>
      <c r="CB2" s="236"/>
      <c r="CC2" s="236"/>
      <c r="CD2" s="236"/>
      <c r="CE2" s="236"/>
      <c r="CF2" s="236"/>
      <c r="CG2" s="236"/>
      <c r="CH2" s="236"/>
      <c r="CI2" s="236"/>
      <c r="CJ2" s="236"/>
      <c r="CK2" s="236"/>
      <c r="CL2" s="236"/>
      <c r="CM2" s="236"/>
      <c r="CN2" s="236"/>
      <c r="CO2" s="236"/>
      <c r="CP2" s="236"/>
      <c r="CR2" s="295"/>
      <c r="CT2" s="236"/>
      <c r="CU2" s="263"/>
      <c r="CV2" s="263"/>
      <c r="CW2" s="263"/>
      <c r="CX2" s="236"/>
      <c r="CY2" s="236"/>
      <c r="CZ2" s="236"/>
      <c r="DA2" s="302"/>
      <c r="DB2" s="236"/>
      <c r="DC2" s="236"/>
      <c r="DD2" s="236"/>
      <c r="DE2" s="236"/>
      <c r="DF2" s="236"/>
      <c r="DG2" s="236"/>
      <c r="DH2" s="236"/>
      <c r="DI2" s="236"/>
      <c r="DJ2" s="236"/>
      <c r="DK2" s="236"/>
      <c r="DL2" s="236"/>
      <c r="DM2" s="236"/>
      <c r="DN2" s="236"/>
      <c r="DO2" s="236"/>
      <c r="DP2" s="236"/>
      <c r="DQ2" s="236"/>
      <c r="DS2" s="295"/>
      <c r="DT2" s="295"/>
      <c r="GZ2" s="295"/>
      <c r="IV2" s="295"/>
    </row>
    <row r="3" spans="1:395">
      <c r="A3" s="332" t="s">
        <v>135</v>
      </c>
      <c r="B3" s="236"/>
      <c r="C3" s="236"/>
      <c r="D3" s="236"/>
      <c r="E3" s="236"/>
      <c r="F3" s="237"/>
      <c r="G3" s="237"/>
      <c r="H3" s="263"/>
      <c r="I3" s="236"/>
      <c r="J3" s="237"/>
      <c r="K3" s="236"/>
      <c r="L3" s="236"/>
      <c r="M3" s="236"/>
      <c r="N3" s="236"/>
      <c r="O3" s="236"/>
      <c r="P3" s="236"/>
      <c r="Q3" s="237"/>
      <c r="R3" s="295"/>
      <c r="T3" s="263"/>
      <c r="U3" s="240"/>
      <c r="V3" s="295"/>
      <c r="X3" s="291"/>
      <c r="Y3" s="291"/>
      <c r="AA3" s="295"/>
      <c r="AC3" s="236"/>
      <c r="AD3" s="236"/>
      <c r="AE3" s="236"/>
      <c r="AV3" s="295"/>
      <c r="AZ3" s="236"/>
      <c r="BA3" s="236"/>
      <c r="BB3" s="236"/>
      <c r="BC3" s="236"/>
      <c r="BD3" s="236"/>
      <c r="BE3" s="236"/>
      <c r="BF3" s="236"/>
      <c r="BG3" s="236"/>
      <c r="BH3" s="236"/>
      <c r="BI3" s="236"/>
      <c r="BJ3" s="236"/>
      <c r="BK3" s="236"/>
      <c r="BL3" s="236"/>
      <c r="BM3" s="236"/>
      <c r="BN3" s="236"/>
      <c r="BO3" s="236"/>
      <c r="BP3" s="236"/>
      <c r="BQ3" s="236"/>
      <c r="BR3" s="236"/>
      <c r="BS3" s="236"/>
      <c r="BT3" s="236"/>
      <c r="BU3" s="236"/>
      <c r="BV3" s="236"/>
      <c r="BW3" s="236"/>
      <c r="BX3" s="236"/>
      <c r="BY3" s="236"/>
      <c r="BZ3" s="236"/>
      <c r="CA3" s="236"/>
      <c r="CB3" s="236"/>
      <c r="CC3" s="236"/>
      <c r="CD3" s="236"/>
      <c r="CE3" s="236"/>
      <c r="CF3" s="236"/>
      <c r="CG3" s="236"/>
      <c r="CH3" s="236"/>
      <c r="CI3" s="236"/>
      <c r="CJ3" s="236"/>
      <c r="CK3" s="236"/>
      <c r="CL3" s="236"/>
      <c r="CM3" s="236"/>
      <c r="CN3" s="236"/>
      <c r="CO3" s="236"/>
      <c r="CP3" s="236"/>
      <c r="CR3" s="295"/>
      <c r="CT3" s="236"/>
      <c r="CU3" s="263"/>
      <c r="CV3" s="263"/>
      <c r="CW3" s="263"/>
      <c r="CX3" s="236"/>
      <c r="CY3" s="236"/>
      <c r="CZ3" s="236"/>
      <c r="DA3" s="302"/>
      <c r="DB3" s="236"/>
      <c r="DC3" s="236"/>
      <c r="DD3" s="236"/>
      <c r="DE3" s="236"/>
      <c r="DF3" s="236"/>
      <c r="DG3" s="236"/>
      <c r="DH3" s="236"/>
      <c r="DI3" s="236"/>
      <c r="DJ3" s="236"/>
      <c r="DK3" s="236"/>
      <c r="DL3" s="236"/>
      <c r="DM3" s="236"/>
      <c r="DN3" s="236"/>
      <c r="DO3" s="236"/>
      <c r="DP3" s="236"/>
      <c r="DQ3" s="236"/>
      <c r="DS3" s="295"/>
      <c r="DT3" s="295"/>
      <c r="GZ3" s="295"/>
      <c r="IV3" s="295"/>
    </row>
    <row r="4" spans="1:395" ht="17.399999999999999">
      <c r="A4" s="283" t="s">
        <v>136</v>
      </c>
      <c r="B4" s="560" t="s">
        <v>137</v>
      </c>
      <c r="C4" s="560"/>
      <c r="D4" s="284"/>
      <c r="E4" s="284"/>
      <c r="F4" s="285"/>
      <c r="G4" s="285"/>
      <c r="H4" s="286"/>
      <c r="I4" s="284"/>
      <c r="J4" s="285"/>
      <c r="K4" s="284"/>
      <c r="L4" s="284"/>
      <c r="M4" s="284"/>
      <c r="N4" s="284"/>
      <c r="O4" s="284"/>
      <c r="P4" s="284"/>
      <c r="Q4" s="285"/>
      <c r="R4" s="296"/>
      <c r="S4" s="577" t="s">
        <v>138</v>
      </c>
      <c r="T4" s="577"/>
      <c r="U4" s="228"/>
      <c r="V4" s="296"/>
      <c r="W4" s="579" t="s">
        <v>139</v>
      </c>
      <c r="X4" s="579"/>
      <c r="Y4" s="579"/>
      <c r="Z4" s="287"/>
      <c r="AA4" s="296"/>
      <c r="AB4" s="563" t="s">
        <v>140</v>
      </c>
      <c r="AC4" s="563"/>
      <c r="AD4" s="563"/>
      <c r="AE4" s="563"/>
      <c r="AF4" s="563"/>
      <c r="AG4" s="563"/>
      <c r="AH4" s="311"/>
      <c r="AI4" s="311"/>
      <c r="AJ4" s="243"/>
      <c r="AK4" s="243"/>
      <c r="AL4" s="243"/>
      <c r="AM4" s="243"/>
      <c r="AN4" s="243"/>
      <c r="AO4" s="243"/>
      <c r="AP4" s="243"/>
      <c r="AQ4" s="243"/>
      <c r="AR4" s="243"/>
      <c r="AS4" s="243"/>
      <c r="AT4" s="243"/>
      <c r="AU4" s="287"/>
      <c r="AV4" s="296"/>
      <c r="AW4" s="557" t="s">
        <v>141</v>
      </c>
      <c r="AX4" s="557"/>
      <c r="AY4" s="557"/>
      <c r="AZ4" s="338"/>
      <c r="BA4" s="338"/>
      <c r="BB4" s="284"/>
      <c r="BC4" s="284"/>
      <c r="BD4" s="284"/>
      <c r="BE4" s="284"/>
      <c r="BF4" s="284"/>
      <c r="BG4" s="284"/>
      <c r="BH4" s="284"/>
      <c r="BI4" s="284"/>
      <c r="BJ4" s="284"/>
      <c r="BK4" s="290"/>
      <c r="BL4" s="290"/>
      <c r="BM4" s="284"/>
      <c r="BN4" s="284"/>
      <c r="BO4" s="284"/>
      <c r="BP4" s="284"/>
      <c r="BQ4" s="284"/>
      <c r="BR4" s="284"/>
      <c r="BS4" s="284"/>
      <c r="BT4" s="284"/>
      <c r="BU4" s="284"/>
      <c r="BV4" s="284"/>
      <c r="BW4" s="284"/>
      <c r="BX4" s="284"/>
      <c r="BY4" s="284"/>
      <c r="BZ4" s="290"/>
      <c r="CA4" s="284"/>
      <c r="CB4" s="284"/>
      <c r="CC4" s="284"/>
      <c r="CD4" s="284"/>
      <c r="CE4" s="284"/>
      <c r="CF4" s="290"/>
      <c r="CG4" s="290"/>
      <c r="CH4" s="290"/>
      <c r="CI4" s="290"/>
      <c r="CJ4" s="290"/>
      <c r="CK4" s="290"/>
      <c r="CL4" s="284"/>
      <c r="CM4" s="284"/>
      <c r="CN4" s="284"/>
      <c r="CO4" s="284"/>
      <c r="CP4" s="284"/>
      <c r="CQ4" s="287"/>
      <c r="CR4" s="296"/>
      <c r="CS4" s="563" t="s">
        <v>142</v>
      </c>
      <c r="CT4" s="563"/>
      <c r="CU4" s="563"/>
      <c r="CV4" s="563"/>
      <c r="CW4" s="264"/>
      <c r="CX4" s="232"/>
      <c r="CY4" s="232"/>
      <c r="CZ4" s="232"/>
      <c r="DA4" s="305"/>
      <c r="DB4" s="232"/>
      <c r="DC4" s="232"/>
      <c r="DD4" s="232"/>
      <c r="DE4" s="232"/>
      <c r="DF4" s="232"/>
      <c r="DG4" s="232"/>
      <c r="DH4" s="232"/>
      <c r="DI4" s="232"/>
      <c r="DJ4" s="232"/>
      <c r="DK4" s="232"/>
      <c r="DL4" s="232"/>
      <c r="DM4" s="232"/>
      <c r="DN4" s="232"/>
      <c r="DO4" s="232"/>
      <c r="DP4" s="306"/>
      <c r="DQ4" s="306"/>
      <c r="DR4" s="287"/>
      <c r="DS4" s="296"/>
      <c r="DT4" s="296"/>
      <c r="DU4" s="556" t="s">
        <v>143</v>
      </c>
      <c r="DV4" s="556"/>
      <c r="DW4" s="556"/>
      <c r="DX4" s="556"/>
      <c r="DY4" s="556"/>
      <c r="DZ4" s="556"/>
      <c r="EA4" s="556"/>
      <c r="EB4" s="243"/>
      <c r="EC4" s="243"/>
      <c r="ED4" s="243"/>
      <c r="EE4" s="243"/>
      <c r="EF4" s="247"/>
      <c r="EG4" s="243"/>
      <c r="EH4" s="243"/>
      <c r="EI4" s="243"/>
      <c r="EJ4" s="243"/>
      <c r="EK4" s="243"/>
      <c r="EL4" s="243"/>
      <c r="EM4" s="243"/>
      <c r="EN4" s="243"/>
      <c r="EO4" s="243"/>
      <c r="EP4" s="232"/>
      <c r="EQ4" s="243"/>
      <c r="ER4" s="243"/>
      <c r="ES4" s="243"/>
      <c r="ET4" s="252"/>
      <c r="EU4" s="252"/>
      <c r="EV4" s="252"/>
      <c r="EW4" s="252"/>
      <c r="EX4" s="324"/>
      <c r="EY4" s="288"/>
      <c r="EZ4" s="247"/>
      <c r="FA4" s="247"/>
      <c r="FB4" s="243"/>
      <c r="FC4" s="243"/>
      <c r="FD4" s="243"/>
      <c r="FE4" s="243"/>
      <c r="FF4" s="243"/>
      <c r="FG4" s="243"/>
      <c r="FH4" s="243"/>
      <c r="FI4" s="243"/>
      <c r="FJ4" s="243"/>
      <c r="FK4" s="243"/>
      <c r="FL4" s="243"/>
      <c r="FM4" s="252"/>
      <c r="FN4" s="252"/>
      <c r="FO4" s="252"/>
      <c r="FP4" s="252"/>
      <c r="FQ4" s="252"/>
      <c r="FR4" s="252"/>
      <c r="FS4" s="252"/>
      <c r="FT4" s="252"/>
      <c r="FU4" s="288"/>
      <c r="FV4" s="247"/>
      <c r="FW4" s="247"/>
      <c r="FX4" s="243"/>
      <c r="FY4" s="243"/>
      <c r="FZ4" s="243"/>
      <c r="GA4" s="243"/>
      <c r="GB4" s="243"/>
      <c r="GC4" s="243"/>
      <c r="GD4" s="243"/>
      <c r="GE4" s="243"/>
      <c r="GF4" s="243"/>
      <c r="GG4" s="243"/>
      <c r="GH4" s="252"/>
      <c r="GI4" s="252"/>
      <c r="GJ4" s="252"/>
      <c r="GK4" s="252"/>
      <c r="GL4" s="252"/>
      <c r="GM4" s="243"/>
      <c r="GN4" s="233"/>
      <c r="GO4" s="232"/>
      <c r="GP4" s="232"/>
      <c r="GQ4" s="232"/>
      <c r="GR4" s="232"/>
      <c r="GS4" s="232"/>
      <c r="GT4" s="232"/>
      <c r="GU4" s="232"/>
      <c r="GV4" s="232"/>
      <c r="GW4" s="232"/>
      <c r="GX4" s="232"/>
      <c r="GY4" s="287"/>
      <c r="GZ4" s="296"/>
      <c r="HA4" s="557" t="s">
        <v>144</v>
      </c>
      <c r="HB4" s="557"/>
      <c r="HC4" s="557"/>
      <c r="HD4" s="233"/>
      <c r="HE4" s="233"/>
      <c r="HF4" s="290"/>
      <c r="HG4" s="243"/>
      <c r="HH4" s="290"/>
      <c r="HI4" s="243"/>
      <c r="HJ4" s="243"/>
      <c r="HK4" s="243"/>
      <c r="HL4" s="243"/>
      <c r="HM4" s="243"/>
      <c r="HN4" s="243"/>
      <c r="HO4" s="323"/>
      <c r="HP4" s="323"/>
      <c r="HQ4" s="323"/>
      <c r="HR4" s="323"/>
      <c r="HS4" s="323"/>
      <c r="HT4" s="288"/>
      <c r="HU4" s="555"/>
      <c r="HV4" s="555"/>
      <c r="HW4" s="555"/>
      <c r="HX4" s="555"/>
      <c r="HY4" s="555"/>
      <c r="HZ4" s="282"/>
      <c r="IA4" s="243"/>
      <c r="IB4" s="243"/>
      <c r="IC4" s="243"/>
      <c r="ID4" s="243"/>
      <c r="IE4" s="243"/>
      <c r="IF4" s="243"/>
      <c r="IG4" s="243"/>
      <c r="IH4" s="243"/>
      <c r="II4" s="243"/>
      <c r="IJ4" s="243"/>
      <c r="IK4" s="288"/>
      <c r="IL4" s="324"/>
      <c r="IM4" s="387"/>
      <c r="IN4" s="387"/>
      <c r="IO4" s="386"/>
      <c r="IP4" s="386"/>
      <c r="IQ4" s="386"/>
      <c r="IR4" s="386"/>
      <c r="IS4" s="386"/>
      <c r="IT4" s="386"/>
      <c r="IU4" s="287"/>
      <c r="IV4" s="296"/>
      <c r="IW4" s="557" t="s">
        <v>145</v>
      </c>
      <c r="IX4" s="557"/>
      <c r="IY4" s="352"/>
      <c r="IZ4" s="352"/>
      <c r="JA4" s="357"/>
      <c r="JB4" s="357"/>
      <c r="JC4" s="357"/>
      <c r="JD4" s="357"/>
      <c r="JE4" s="352"/>
      <c r="JF4" s="357"/>
      <c r="JG4" s="357"/>
      <c r="JH4" s="289"/>
      <c r="JI4" s="224"/>
      <c r="JJ4" s="224"/>
      <c r="JK4" s="224"/>
      <c r="JL4" s="224"/>
      <c r="JM4" s="224"/>
      <c r="JN4" s="289"/>
      <c r="JO4" s="224"/>
      <c r="JP4" s="224"/>
      <c r="JQ4" s="224"/>
      <c r="JR4" s="375"/>
      <c r="JS4" s="376"/>
      <c r="JT4" s="376"/>
      <c r="JU4" s="376"/>
      <c r="JV4" s="376"/>
      <c r="JW4" s="375"/>
      <c r="JX4" s="376"/>
      <c r="JY4" s="376"/>
      <c r="JZ4" s="289"/>
      <c r="KA4" s="227"/>
      <c r="KB4" s="372"/>
      <c r="KC4" s="575" t="s">
        <v>146</v>
      </c>
      <c r="KD4" s="575"/>
      <c r="KE4" s="575"/>
      <c r="KF4" s="575"/>
      <c r="KG4" s="575"/>
      <c r="KH4" s="575"/>
      <c r="KI4" s="575"/>
      <c r="KJ4" s="575"/>
      <c r="KK4" s="575"/>
      <c r="KL4" s="575"/>
      <c r="KM4" s="575"/>
      <c r="KN4" s="575"/>
      <c r="KO4" s="575"/>
      <c r="KP4" s="575"/>
      <c r="KQ4" s="575"/>
      <c r="KR4" s="575"/>
      <c r="KS4" s="575"/>
      <c r="KT4" s="575"/>
      <c r="KU4" s="575"/>
      <c r="KV4" s="575"/>
      <c r="KW4" s="575"/>
      <c r="KX4" s="575"/>
      <c r="KY4" s="575"/>
      <c r="KZ4" s="575"/>
      <c r="LA4" s="575"/>
      <c r="LB4" s="575"/>
      <c r="LC4" s="575"/>
      <c r="LD4" s="575"/>
      <c r="LE4" s="575"/>
      <c r="LF4" s="575"/>
      <c r="LG4" s="575"/>
      <c r="LH4" s="575"/>
      <c r="LI4" s="575"/>
      <c r="LJ4" s="575"/>
      <c r="LK4" s="227"/>
      <c r="LL4" s="574" t="s">
        <v>147</v>
      </c>
      <c r="LM4" s="574"/>
      <c r="LN4" s="574"/>
      <c r="LO4" s="574"/>
      <c r="LP4" s="574"/>
      <c r="LQ4" s="574"/>
      <c r="LR4" s="574"/>
      <c r="LS4" s="574"/>
      <c r="LT4" s="574"/>
      <c r="LU4" s="574"/>
      <c r="LV4" s="574"/>
      <c r="LW4" s="574"/>
      <c r="LX4" s="574"/>
      <c r="LY4" s="574"/>
      <c r="LZ4" s="574"/>
      <c r="MA4" s="574"/>
      <c r="MB4" s="574"/>
      <c r="MC4" s="574"/>
      <c r="MD4" s="574"/>
      <c r="ME4" s="574"/>
      <c r="MF4" s="574"/>
      <c r="MG4" s="574"/>
      <c r="MH4" s="574"/>
      <c r="MI4" s="574"/>
      <c r="MJ4" s="574"/>
      <c r="MK4" s="574"/>
      <c r="ML4" s="574"/>
      <c r="MM4" s="574"/>
      <c r="MN4" s="574"/>
      <c r="MO4" s="574"/>
      <c r="MP4" s="574"/>
      <c r="MQ4" s="574"/>
      <c r="MR4" s="395"/>
      <c r="MS4" s="576" t="s">
        <v>148</v>
      </c>
      <c r="MT4" s="576"/>
      <c r="MU4" s="576"/>
      <c r="MV4" s="576"/>
      <c r="MW4" s="576"/>
      <c r="MX4" s="576"/>
      <c r="MY4" s="576"/>
      <c r="MZ4" s="576"/>
      <c r="NA4" s="576"/>
      <c r="NB4" s="576"/>
      <c r="NC4" s="576"/>
      <c r="ND4" s="576"/>
      <c r="NE4" s="576"/>
      <c r="NF4" s="576"/>
      <c r="NG4" s="576"/>
      <c r="NH4" s="576"/>
      <c r="NI4" s="576"/>
      <c r="NJ4" s="576"/>
      <c r="NK4" s="576"/>
      <c r="NL4" s="576"/>
      <c r="NM4" s="576"/>
      <c r="NN4" s="576"/>
      <c r="NO4" s="576"/>
      <c r="NP4" s="576"/>
      <c r="NQ4" s="576"/>
      <c r="NR4" s="576"/>
      <c r="NS4" s="576"/>
      <c r="NT4" s="576"/>
      <c r="NU4" s="576"/>
      <c r="NV4" s="576"/>
      <c r="NW4" s="576"/>
      <c r="NX4" s="576"/>
      <c r="NY4" s="395"/>
      <c r="NZ4" s="227"/>
      <c r="OA4" s="227"/>
      <c r="OB4" s="227"/>
      <c r="OC4" s="227"/>
      <c r="OD4" s="299"/>
      <c r="OE4" s="299"/>
    </row>
    <row r="5" spans="1:395" ht="55.2">
      <c r="A5" s="228" t="s">
        <v>149</v>
      </c>
      <c r="B5" s="552" t="s">
        <v>150</v>
      </c>
      <c r="C5" s="552"/>
      <c r="D5" s="552"/>
      <c r="E5" s="552"/>
      <c r="F5" s="552"/>
      <c r="G5" s="552"/>
      <c r="H5" s="552"/>
      <c r="I5" s="552"/>
      <c r="J5" s="272"/>
      <c r="K5" s="552" t="s">
        <v>151</v>
      </c>
      <c r="L5" s="552"/>
      <c r="M5" s="552"/>
      <c r="N5" s="552"/>
      <c r="O5" s="552"/>
      <c r="P5" s="552"/>
      <c r="Q5" s="272"/>
      <c r="R5" s="297"/>
      <c r="S5" s="276"/>
      <c r="T5" s="264"/>
      <c r="U5" s="228"/>
      <c r="V5" s="297"/>
      <c r="W5" s="299"/>
      <c r="X5" s="293"/>
      <c r="Y5" s="293"/>
      <c r="Z5" s="276"/>
      <c r="AA5" s="297"/>
      <c r="AB5" s="276"/>
      <c r="AC5" s="552" t="s">
        <v>152</v>
      </c>
      <c r="AD5" s="552"/>
      <c r="AE5" s="552"/>
      <c r="AF5" s="552"/>
      <c r="AG5" s="552"/>
      <c r="AH5" s="552"/>
      <c r="AI5" s="311"/>
      <c r="AJ5" s="551" t="s">
        <v>153</v>
      </c>
      <c r="AK5" s="551"/>
      <c r="AL5" s="551"/>
      <c r="AM5" s="551"/>
      <c r="AN5" s="551"/>
      <c r="AO5" s="551"/>
      <c r="AP5" s="551"/>
      <c r="AQ5" s="551"/>
      <c r="AR5" s="551"/>
      <c r="AS5" s="243"/>
      <c r="AT5" s="226" t="s">
        <v>154</v>
      </c>
      <c r="AU5" s="276"/>
      <c r="AV5" s="297"/>
      <c r="AW5" s="276"/>
      <c r="AX5" s="552" t="s">
        <v>155</v>
      </c>
      <c r="AY5" s="552"/>
      <c r="AZ5" s="552"/>
      <c r="BA5" s="552"/>
      <c r="BB5" s="552"/>
      <c r="BC5" s="552"/>
      <c r="BD5" s="552"/>
      <c r="BE5" s="552"/>
      <c r="BF5" s="552"/>
      <c r="BG5" s="552"/>
      <c r="BH5" s="552"/>
      <c r="BI5" s="232"/>
      <c r="BJ5" s="552" t="s">
        <v>156</v>
      </c>
      <c r="BK5" s="552"/>
      <c r="BL5" s="552"/>
      <c r="BM5" s="552"/>
      <c r="BN5" s="552"/>
      <c r="BO5" s="552"/>
      <c r="BP5" s="552"/>
      <c r="BQ5" s="552"/>
      <c r="BR5" s="552"/>
      <c r="BS5" s="552"/>
      <c r="BT5" s="552"/>
      <c r="BU5" s="552"/>
      <c r="BV5" s="552"/>
      <c r="BW5" s="552"/>
      <c r="BX5" s="552"/>
      <c r="BY5" s="232"/>
      <c r="BZ5" s="552" t="s">
        <v>157</v>
      </c>
      <c r="CA5" s="552"/>
      <c r="CB5" s="552"/>
      <c r="CC5" s="552"/>
      <c r="CD5" s="552"/>
      <c r="CE5" s="232"/>
      <c r="CF5" s="552" t="s">
        <v>158</v>
      </c>
      <c r="CG5" s="552"/>
      <c r="CH5" s="572"/>
      <c r="CI5" s="572"/>
      <c r="CJ5" s="572"/>
      <c r="CK5" s="572"/>
      <c r="CL5" s="572"/>
      <c r="CM5" s="572"/>
      <c r="CN5" s="572"/>
      <c r="CO5" s="572"/>
      <c r="CP5" s="572"/>
      <c r="CQ5" s="276"/>
      <c r="CR5" s="297"/>
      <c r="CS5" s="276"/>
      <c r="CT5" s="552" t="s">
        <v>159</v>
      </c>
      <c r="CU5" s="552"/>
      <c r="CV5" s="552"/>
      <c r="CW5" s="552"/>
      <c r="CX5" s="552"/>
      <c r="CY5" s="552"/>
      <c r="CZ5" s="552"/>
      <c r="DA5" s="552"/>
      <c r="DB5" s="552"/>
      <c r="DC5" s="232"/>
      <c r="DD5" s="325" t="s">
        <v>97</v>
      </c>
      <c r="DE5" s="559" t="s">
        <v>160</v>
      </c>
      <c r="DF5" s="552"/>
      <c r="DG5" s="552"/>
      <c r="DH5" s="552"/>
      <c r="DI5" s="552"/>
      <c r="DJ5" s="578"/>
      <c r="DK5" s="559" t="s">
        <v>19</v>
      </c>
      <c r="DL5" s="552"/>
      <c r="DM5" s="578"/>
      <c r="DN5" s="559" t="s">
        <v>62</v>
      </c>
      <c r="DO5" s="552"/>
      <c r="DP5" s="552"/>
      <c r="DQ5" s="380" t="s">
        <v>161</v>
      </c>
      <c r="DR5" s="287"/>
      <c r="DS5" s="296"/>
      <c r="DT5" s="296"/>
      <c r="DU5" s="231" t="s">
        <v>537</v>
      </c>
      <c r="DV5" s="231"/>
      <c r="DW5" s="340" t="s">
        <v>162</v>
      </c>
      <c r="DX5" s="381"/>
      <c r="DY5" s="551" t="s">
        <v>163</v>
      </c>
      <c r="DZ5" s="551"/>
      <c r="EA5" s="551"/>
      <c r="EB5" s="551"/>
      <c r="EC5" s="551"/>
      <c r="ED5" s="551"/>
      <c r="EE5" s="562"/>
      <c r="EF5" s="558" t="s">
        <v>164</v>
      </c>
      <c r="EG5" s="551"/>
      <c r="EH5" s="551"/>
      <c r="EI5" s="551"/>
      <c r="EJ5" s="551"/>
      <c r="EK5" s="551"/>
      <c r="EL5" s="562"/>
      <c r="EM5" s="551" t="s">
        <v>165</v>
      </c>
      <c r="EN5" s="551"/>
      <c r="EO5" s="551"/>
      <c r="EP5" s="551"/>
      <c r="EQ5" s="551"/>
      <c r="ER5" s="551"/>
      <c r="ES5" s="558" t="s">
        <v>166</v>
      </c>
      <c r="ET5" s="551"/>
      <c r="EU5" s="551"/>
      <c r="EV5" s="551"/>
      <c r="EW5" s="551"/>
      <c r="EX5" s="223" t="s">
        <v>167</v>
      </c>
      <c r="EY5" s="247"/>
      <c r="EZ5" s="551" t="s">
        <v>168</v>
      </c>
      <c r="FA5" s="551"/>
      <c r="FB5" s="551"/>
      <c r="FC5" s="551"/>
      <c r="FD5" s="551"/>
      <c r="FE5" s="551"/>
      <c r="FF5" s="551"/>
      <c r="FG5" s="551"/>
      <c r="FH5" s="551"/>
      <c r="FI5" s="551"/>
      <c r="FJ5" s="551"/>
      <c r="FK5" s="551"/>
      <c r="FL5" s="558" t="s">
        <v>169</v>
      </c>
      <c r="FM5" s="551"/>
      <c r="FN5" s="551"/>
      <c r="FO5" s="551"/>
      <c r="FP5" s="551"/>
      <c r="FQ5" s="440"/>
      <c r="FR5" s="381"/>
      <c r="FS5" s="226"/>
      <c r="FT5" s="223" t="s">
        <v>167</v>
      </c>
      <c r="FU5" s="247"/>
      <c r="FV5" s="551" t="s">
        <v>170</v>
      </c>
      <c r="FW5" s="551"/>
      <c r="FX5" s="551"/>
      <c r="FY5" s="551"/>
      <c r="FZ5" s="551"/>
      <c r="GA5" s="551"/>
      <c r="GB5" s="551"/>
      <c r="GC5" s="551"/>
      <c r="GD5" s="551"/>
      <c r="GE5" s="551"/>
      <c r="GF5" s="551"/>
      <c r="GG5" s="558" t="s">
        <v>171</v>
      </c>
      <c r="GH5" s="551"/>
      <c r="GI5" s="551"/>
      <c r="GJ5" s="551"/>
      <c r="GK5" s="551"/>
      <c r="GL5" s="223" t="s">
        <v>167</v>
      </c>
      <c r="GM5" s="247"/>
      <c r="GN5" s="552" t="s">
        <v>172</v>
      </c>
      <c r="GO5" s="552"/>
      <c r="GP5" s="559" t="s">
        <v>173</v>
      </c>
      <c r="GQ5" s="552"/>
      <c r="GR5" s="552"/>
      <c r="GS5" s="233"/>
      <c r="GT5" s="552" t="s">
        <v>174</v>
      </c>
      <c r="GU5" s="552"/>
      <c r="GV5" s="552"/>
      <c r="GW5" s="552"/>
      <c r="GX5" s="552"/>
      <c r="GY5" s="276"/>
      <c r="GZ5" s="297"/>
      <c r="HA5" s="276"/>
      <c r="HB5" s="551" t="s">
        <v>175</v>
      </c>
      <c r="HC5" s="551"/>
      <c r="HD5" s="551"/>
      <c r="HE5" s="551"/>
      <c r="HF5" s="282"/>
      <c r="HG5" s="226" t="s">
        <v>95</v>
      </c>
      <c r="HH5" s="330"/>
      <c r="HI5" s="551" t="s">
        <v>176</v>
      </c>
      <c r="HJ5" s="551"/>
      <c r="HK5" s="551"/>
      <c r="HL5" s="551"/>
      <c r="HM5" s="551"/>
      <c r="HN5" s="247"/>
      <c r="HO5" s="551" t="s">
        <v>177</v>
      </c>
      <c r="HP5" s="551"/>
      <c r="HQ5" s="551"/>
      <c r="HR5" s="551"/>
      <c r="HS5" s="551"/>
      <c r="HT5" s="330"/>
      <c r="HU5" s="551" t="s">
        <v>178</v>
      </c>
      <c r="HV5" s="551"/>
      <c r="HW5" s="551"/>
      <c r="HX5" s="551"/>
      <c r="HY5" s="551"/>
      <c r="HZ5" s="330"/>
      <c r="IA5" s="551" t="s">
        <v>179</v>
      </c>
      <c r="IB5" s="551"/>
      <c r="IC5" s="551"/>
      <c r="ID5" s="551"/>
      <c r="IE5" s="551"/>
      <c r="IF5" s="551"/>
      <c r="IG5" s="551"/>
      <c r="IH5" s="551"/>
      <c r="II5" s="551"/>
      <c r="IJ5" s="551"/>
      <c r="IK5" s="330"/>
      <c r="IL5" s="551" t="s">
        <v>180</v>
      </c>
      <c r="IM5" s="551"/>
      <c r="IN5" s="551"/>
      <c r="IO5" s="551"/>
      <c r="IP5" s="551"/>
      <c r="IQ5" s="551"/>
      <c r="IR5" s="551"/>
      <c r="IS5" s="551"/>
      <c r="IT5" s="551"/>
      <c r="IU5" s="276"/>
      <c r="IV5" s="297"/>
      <c r="IW5" s="276"/>
      <c r="IX5" s="580" t="s">
        <v>181</v>
      </c>
      <c r="IY5" s="580"/>
      <c r="IZ5" s="580"/>
      <c r="JA5" s="580"/>
      <c r="JB5" s="580"/>
      <c r="JC5" s="580"/>
      <c r="JD5" s="580"/>
      <c r="JE5" s="580"/>
      <c r="JF5" s="580"/>
      <c r="JG5" s="580"/>
      <c r="JH5" s="276"/>
      <c r="JI5" s="581" t="s">
        <v>182</v>
      </c>
      <c r="JJ5" s="581"/>
      <c r="JK5" s="581"/>
      <c r="JL5" s="581"/>
      <c r="JM5" s="581"/>
      <c r="JN5" s="276"/>
      <c r="JO5" s="575" t="s">
        <v>182</v>
      </c>
      <c r="JP5" s="575"/>
      <c r="JQ5" s="575"/>
      <c r="JR5" s="575"/>
      <c r="JS5" s="575"/>
      <c r="JT5" s="575"/>
      <c r="JU5" s="575"/>
      <c r="JV5" s="575"/>
      <c r="JW5" s="575"/>
      <c r="JX5" s="575"/>
      <c r="JY5" s="575"/>
      <c r="JZ5" s="276"/>
      <c r="KA5" s="427" t="s">
        <v>182</v>
      </c>
      <c r="KB5" s="372"/>
      <c r="KC5" s="553" t="s">
        <v>183</v>
      </c>
      <c r="KD5" s="553"/>
      <c r="KE5" s="553"/>
      <c r="KF5" s="553"/>
      <c r="KG5" s="553"/>
      <c r="KH5" s="553"/>
      <c r="KI5" s="553"/>
      <c r="KJ5" s="553"/>
      <c r="KK5" s="553"/>
      <c r="KL5" s="554"/>
      <c r="KM5" s="582" t="s">
        <v>184</v>
      </c>
      <c r="KN5" s="553"/>
      <c r="KO5" s="553"/>
      <c r="KP5" s="553"/>
      <c r="KQ5" s="553"/>
      <c r="KR5" s="553"/>
      <c r="KS5" s="553"/>
      <c r="KT5" s="553"/>
      <c r="KU5" s="553"/>
      <c r="KV5" s="553"/>
      <c r="KW5" s="554"/>
      <c r="KX5" s="576" t="s">
        <v>185</v>
      </c>
      <c r="KY5" s="576"/>
      <c r="KZ5" s="576"/>
      <c r="LA5" s="576"/>
      <c r="LB5" s="576"/>
      <c r="LC5" s="576"/>
      <c r="LD5" s="576"/>
      <c r="LE5" s="576"/>
      <c r="LF5" s="576"/>
      <c r="LG5" s="576"/>
      <c r="LH5" s="576"/>
      <c r="LI5" s="415" t="s">
        <v>186</v>
      </c>
      <c r="LJ5" s="225"/>
      <c r="LK5" s="227"/>
      <c r="LL5" s="553" t="s">
        <v>187</v>
      </c>
      <c r="LM5" s="553"/>
      <c r="LN5" s="553"/>
      <c r="LO5" s="553"/>
      <c r="LP5" s="553"/>
      <c r="LQ5" s="553"/>
      <c r="LR5" s="553"/>
      <c r="LS5" s="553"/>
      <c r="LT5" s="553"/>
      <c r="LU5" s="553"/>
      <c r="LV5" s="582" t="s">
        <v>188</v>
      </c>
      <c r="LW5" s="553"/>
      <c r="LX5" s="553"/>
      <c r="LY5" s="553"/>
      <c r="LZ5" s="553"/>
      <c r="MA5" s="553"/>
      <c r="MB5" s="553"/>
      <c r="MC5" s="553"/>
      <c r="MD5" s="553"/>
      <c r="ME5" s="553"/>
      <c r="MF5" s="554"/>
      <c r="MG5" s="583" t="s">
        <v>189</v>
      </c>
      <c r="MH5" s="584"/>
      <c r="MI5" s="584"/>
      <c r="MJ5" s="584"/>
      <c r="MK5" s="584"/>
      <c r="ML5" s="584"/>
      <c r="MM5" s="584"/>
      <c r="MN5" s="584"/>
      <c r="MO5" s="584"/>
      <c r="MP5" s="584"/>
      <c r="MQ5" s="584"/>
      <c r="MR5" s="227"/>
      <c r="MS5" s="553" t="s">
        <v>183</v>
      </c>
      <c r="MT5" s="553"/>
      <c r="MU5" s="553"/>
      <c r="MV5" s="553"/>
      <c r="MW5" s="553"/>
      <c r="MX5" s="553"/>
      <c r="MY5" s="553"/>
      <c r="MZ5" s="553"/>
      <c r="NA5" s="553"/>
      <c r="NB5" s="553"/>
      <c r="NC5" s="582" t="s">
        <v>184</v>
      </c>
      <c r="ND5" s="553"/>
      <c r="NE5" s="553"/>
      <c r="NF5" s="553"/>
      <c r="NG5" s="553"/>
      <c r="NH5" s="553"/>
      <c r="NI5" s="553"/>
      <c r="NJ5" s="553"/>
      <c r="NK5" s="553"/>
      <c r="NL5" s="553"/>
      <c r="NM5" s="554"/>
      <c r="NN5" s="573" t="s">
        <v>185</v>
      </c>
      <c r="NO5" s="573"/>
      <c r="NP5" s="573"/>
      <c r="NQ5" s="573"/>
      <c r="NR5" s="573"/>
      <c r="NS5" s="573"/>
      <c r="NT5" s="573"/>
      <c r="NU5" s="573"/>
      <c r="NV5" s="573"/>
      <c r="NW5" s="573"/>
      <c r="NX5" s="573"/>
      <c r="NY5" s="396"/>
      <c r="NZ5" s="396"/>
      <c r="OA5" s="396"/>
      <c r="OB5" s="396"/>
      <c r="OC5" s="396"/>
      <c r="OD5" s="396"/>
      <c r="OE5" s="396"/>
    </row>
    <row r="6" spans="1:395" ht="88.2" customHeight="1">
      <c r="A6" s="240" t="s">
        <v>190</v>
      </c>
      <c r="B6" s="236" t="s">
        <v>191</v>
      </c>
      <c r="C6" s="236" t="s">
        <v>191</v>
      </c>
      <c r="D6" s="236" t="s">
        <v>191</v>
      </c>
      <c r="E6" s="236" t="s">
        <v>191</v>
      </c>
      <c r="F6" s="237" t="s">
        <v>191</v>
      </c>
      <c r="G6" s="263" t="s">
        <v>192</v>
      </c>
      <c r="H6" s="263" t="s">
        <v>192</v>
      </c>
      <c r="I6" s="236"/>
      <c r="J6" s="237"/>
      <c r="K6" s="236" t="s">
        <v>193</v>
      </c>
      <c r="L6" s="236" t="s">
        <v>193</v>
      </c>
      <c r="M6" s="236" t="s">
        <v>193</v>
      </c>
      <c r="N6" s="236" t="s">
        <v>193</v>
      </c>
      <c r="O6" s="236" t="s">
        <v>193</v>
      </c>
      <c r="P6" s="236" t="s">
        <v>193</v>
      </c>
      <c r="Q6" s="237"/>
      <c r="R6" s="295"/>
      <c r="T6" s="263"/>
      <c r="U6" s="300"/>
      <c r="V6" s="295"/>
      <c r="X6" s="291" t="s">
        <v>194</v>
      </c>
      <c r="Y6" s="291" t="s">
        <v>195</v>
      </c>
      <c r="AA6" s="295"/>
      <c r="AC6" s="236" t="s">
        <v>191</v>
      </c>
      <c r="AD6" s="236" t="s">
        <v>191</v>
      </c>
      <c r="AE6" s="236" t="s">
        <v>191</v>
      </c>
      <c r="AF6" s="236" t="s">
        <v>191</v>
      </c>
      <c r="AG6" s="236"/>
      <c r="AH6" s="236"/>
      <c r="AI6" s="236"/>
      <c r="AJ6" s="315" t="s">
        <v>196</v>
      </c>
      <c r="AK6" s="315" t="s">
        <v>196</v>
      </c>
      <c r="AL6" s="316" t="s">
        <v>196</v>
      </c>
      <c r="AM6" s="236" t="s">
        <v>196</v>
      </c>
      <c r="AN6" s="236" t="s">
        <v>196</v>
      </c>
      <c r="AO6" s="236" t="s">
        <v>196</v>
      </c>
      <c r="AP6" s="319" t="s">
        <v>196</v>
      </c>
      <c r="AQ6" s="315" t="s">
        <v>196</v>
      </c>
      <c r="AR6" s="315" t="s">
        <v>196</v>
      </c>
      <c r="AS6" s="236"/>
      <c r="AT6" s="236" t="s">
        <v>191</v>
      </c>
      <c r="AV6" s="295"/>
      <c r="AX6" s="236" t="s">
        <v>197</v>
      </c>
      <c r="AY6" s="236" t="s">
        <v>197</v>
      </c>
      <c r="AZ6" s="268" t="s">
        <v>198</v>
      </c>
      <c r="BA6" s="268" t="s">
        <v>198</v>
      </c>
      <c r="BB6" s="236"/>
      <c r="BC6" s="236" t="s">
        <v>199</v>
      </c>
      <c r="BD6" s="236" t="s">
        <v>200</v>
      </c>
      <c r="BE6" s="236" t="s">
        <v>200</v>
      </c>
      <c r="BF6" s="268" t="s">
        <v>198</v>
      </c>
      <c r="BG6" s="268" t="s">
        <v>198</v>
      </c>
      <c r="BH6" s="268"/>
      <c r="BI6" s="236"/>
      <c r="BJ6" s="236" t="s">
        <v>201</v>
      </c>
      <c r="BK6" s="268" t="s">
        <v>198</v>
      </c>
      <c r="BL6" s="236" t="s">
        <v>201</v>
      </c>
      <c r="BM6" s="236" t="s">
        <v>201</v>
      </c>
      <c r="BN6" s="236" t="s">
        <v>201</v>
      </c>
      <c r="BO6" s="236" t="s">
        <v>201</v>
      </c>
      <c r="BP6" s="236" t="s">
        <v>201</v>
      </c>
      <c r="BQ6" s="268" t="s">
        <v>198</v>
      </c>
      <c r="BR6" s="236" t="s">
        <v>201</v>
      </c>
      <c r="BS6" s="236" t="s">
        <v>201</v>
      </c>
      <c r="BT6" s="236" t="s">
        <v>201</v>
      </c>
      <c r="BU6" s="236" t="s">
        <v>201</v>
      </c>
      <c r="BV6" s="236" t="s">
        <v>201</v>
      </c>
      <c r="BW6" s="268" t="s">
        <v>198</v>
      </c>
      <c r="BX6" s="236" t="s">
        <v>201</v>
      </c>
      <c r="BY6" s="236" t="s">
        <v>202</v>
      </c>
      <c r="BZ6" s="236" t="s">
        <v>203</v>
      </c>
      <c r="CA6" s="236" t="s">
        <v>203</v>
      </c>
      <c r="CB6" s="236" t="s">
        <v>203</v>
      </c>
      <c r="CC6" s="236" t="s">
        <v>203</v>
      </c>
      <c r="CD6" s="236" t="s">
        <v>203</v>
      </c>
      <c r="CE6" s="236"/>
      <c r="CF6" s="236" t="s">
        <v>204</v>
      </c>
      <c r="CG6" s="268" t="s">
        <v>198</v>
      </c>
      <c r="CH6" s="236"/>
      <c r="CI6" s="236" t="s">
        <v>204</v>
      </c>
      <c r="CJ6" s="268" t="s">
        <v>198</v>
      </c>
      <c r="CK6" s="236" t="s">
        <v>204</v>
      </c>
      <c r="CL6" s="268" t="s">
        <v>198</v>
      </c>
      <c r="CM6" s="236" t="s">
        <v>204</v>
      </c>
      <c r="CN6" s="236" t="s">
        <v>204</v>
      </c>
      <c r="CO6" s="236" t="s">
        <v>204</v>
      </c>
      <c r="CP6" s="236" t="s">
        <v>204</v>
      </c>
      <c r="CR6" s="295"/>
      <c r="CT6" s="236" t="s">
        <v>199</v>
      </c>
      <c r="CU6" s="263"/>
      <c r="CV6" s="263"/>
      <c r="CW6" s="263" t="s">
        <v>205</v>
      </c>
      <c r="CX6" s="236"/>
      <c r="CY6" s="236" t="s">
        <v>199</v>
      </c>
      <c r="CZ6" s="236" t="s">
        <v>203</v>
      </c>
      <c r="DA6" s="302" t="s">
        <v>206</v>
      </c>
      <c r="DB6" s="236" t="s">
        <v>206</v>
      </c>
      <c r="DC6" s="236"/>
      <c r="DD6" s="236"/>
      <c r="DE6" s="254"/>
      <c r="DF6" s="236"/>
      <c r="DG6" s="236"/>
      <c r="DH6" s="236"/>
      <c r="DI6" s="236"/>
      <c r="DJ6" s="245"/>
      <c r="DK6" s="254"/>
      <c r="DL6" s="236"/>
      <c r="DM6" s="245"/>
      <c r="DN6" s="236"/>
      <c r="DO6" s="236"/>
      <c r="DP6" s="236"/>
      <c r="DQ6" s="254"/>
      <c r="DS6" s="295"/>
      <c r="DT6" s="295"/>
      <c r="DW6" s="341" t="s">
        <v>207</v>
      </c>
      <c r="DX6" s="268"/>
      <c r="DY6" s="236" t="s">
        <v>208</v>
      </c>
      <c r="EA6" s="268" t="s">
        <v>209</v>
      </c>
      <c r="EB6" s="236"/>
      <c r="EC6" s="236"/>
      <c r="ED6" s="236"/>
      <c r="EE6" s="268" t="s">
        <v>207</v>
      </c>
      <c r="EF6" s="254"/>
      <c r="EG6" s="236"/>
      <c r="EH6" s="236"/>
      <c r="EI6" s="236"/>
      <c r="EJ6" s="236"/>
      <c r="EK6" s="236"/>
      <c r="EL6" s="245"/>
      <c r="EM6" s="236" t="s">
        <v>210</v>
      </c>
      <c r="EN6" s="236"/>
      <c r="EO6" s="236" t="s">
        <v>210</v>
      </c>
      <c r="EQ6" s="236" t="s">
        <v>210</v>
      </c>
      <c r="ER6" s="236"/>
      <c r="ES6" s="254" t="s">
        <v>210</v>
      </c>
      <c r="ET6" s="310" t="s">
        <v>210</v>
      </c>
      <c r="EU6" s="310" t="s">
        <v>210</v>
      </c>
      <c r="EV6" s="310" t="s">
        <v>210</v>
      </c>
      <c r="EW6" s="310" t="s">
        <v>210</v>
      </c>
      <c r="EX6" s="254" t="s">
        <v>210</v>
      </c>
      <c r="EY6" s="236"/>
      <c r="EZ6" s="268" t="s">
        <v>211</v>
      </c>
      <c r="FA6" s="268" t="s">
        <v>207</v>
      </c>
      <c r="FB6" s="236"/>
      <c r="FC6" s="268" t="s">
        <v>212</v>
      </c>
      <c r="FD6" s="268"/>
      <c r="FE6" s="268"/>
      <c r="FF6" s="268" t="s">
        <v>213</v>
      </c>
      <c r="FG6" s="268" t="s">
        <v>213</v>
      </c>
      <c r="FH6" s="236"/>
      <c r="FI6" s="236"/>
      <c r="FJ6" s="236"/>
      <c r="FK6" s="236"/>
      <c r="FL6" s="254" t="s">
        <v>210</v>
      </c>
      <c r="FM6" s="310" t="s">
        <v>210</v>
      </c>
      <c r="FN6" s="310" t="s">
        <v>210</v>
      </c>
      <c r="FO6" s="310" t="s">
        <v>210</v>
      </c>
      <c r="FP6" s="310" t="s">
        <v>210</v>
      </c>
      <c r="FQ6" s="382"/>
      <c r="FR6" s="385"/>
      <c r="FS6" s="268"/>
      <c r="FT6" s="254" t="s">
        <v>210</v>
      </c>
      <c r="FU6" s="236"/>
      <c r="FV6" s="268" t="s">
        <v>211</v>
      </c>
      <c r="FW6" s="268" t="s">
        <v>207</v>
      </c>
      <c r="FX6" s="236"/>
      <c r="FY6" s="236" t="s">
        <v>210</v>
      </c>
      <c r="FZ6" s="236" t="s">
        <v>210</v>
      </c>
      <c r="GA6" s="236"/>
      <c r="GB6" s="319" t="s">
        <v>210</v>
      </c>
      <c r="GC6" s="315" t="s">
        <v>210</v>
      </c>
      <c r="GD6" s="315" t="s">
        <v>210</v>
      </c>
      <c r="GE6" s="315" t="s">
        <v>210</v>
      </c>
      <c r="GF6" s="315" t="s">
        <v>210</v>
      </c>
      <c r="GG6" s="254" t="s">
        <v>210</v>
      </c>
      <c r="GH6" s="310" t="s">
        <v>210</v>
      </c>
      <c r="GI6" s="310" t="s">
        <v>210</v>
      </c>
      <c r="GJ6" s="310" t="s">
        <v>210</v>
      </c>
      <c r="GK6" s="310" t="s">
        <v>210</v>
      </c>
      <c r="GL6" s="254" t="s">
        <v>210</v>
      </c>
      <c r="GM6" s="236"/>
      <c r="GN6" s="236" t="s">
        <v>210</v>
      </c>
      <c r="GO6" s="236" t="s">
        <v>210</v>
      </c>
      <c r="GP6" s="254" t="s">
        <v>210</v>
      </c>
      <c r="GQ6" s="310" t="s">
        <v>210</v>
      </c>
      <c r="GR6" s="310" t="s">
        <v>210</v>
      </c>
      <c r="GT6" s="236" t="s">
        <v>210</v>
      </c>
      <c r="GV6" s="236" t="s">
        <v>210</v>
      </c>
      <c r="GW6" s="236" t="s">
        <v>210</v>
      </c>
      <c r="GZ6" s="295"/>
      <c r="HB6" s="236" t="s">
        <v>191</v>
      </c>
      <c r="HC6" s="236" t="s">
        <v>191</v>
      </c>
      <c r="HD6" s="236" t="s">
        <v>191</v>
      </c>
      <c r="HE6" s="236" t="s">
        <v>191</v>
      </c>
      <c r="HF6" s="236"/>
      <c r="HG6" s="236" t="s">
        <v>214</v>
      </c>
      <c r="HH6" s="236"/>
      <c r="HI6" s="236" t="s">
        <v>214</v>
      </c>
      <c r="HJ6" s="268" t="s">
        <v>215</v>
      </c>
      <c r="HK6" s="236" t="s">
        <v>214</v>
      </c>
      <c r="HL6" s="268" t="s">
        <v>216</v>
      </c>
      <c r="HM6" s="236" t="s">
        <v>214</v>
      </c>
      <c r="HN6" s="236"/>
      <c r="HO6" s="268" t="s">
        <v>217</v>
      </c>
      <c r="HP6" s="268" t="s">
        <v>218</v>
      </c>
      <c r="HQ6" s="236" t="s">
        <v>214</v>
      </c>
      <c r="HR6" s="268" t="s">
        <v>217</v>
      </c>
      <c r="HS6" s="236" t="s">
        <v>214</v>
      </c>
      <c r="HT6" s="267"/>
      <c r="HU6" s="236" t="s">
        <v>214</v>
      </c>
      <c r="HV6" s="268" t="s">
        <v>218</v>
      </c>
      <c r="HW6" s="236" t="s">
        <v>214</v>
      </c>
      <c r="HX6" s="268" t="s">
        <v>217</v>
      </c>
      <c r="HY6" s="236" t="s">
        <v>214</v>
      </c>
      <c r="HZ6" s="267"/>
      <c r="IA6" s="236" t="s">
        <v>214</v>
      </c>
      <c r="IB6" s="236" t="s">
        <v>214</v>
      </c>
      <c r="IC6" s="236" t="s">
        <v>214</v>
      </c>
      <c r="ID6" s="268" t="s">
        <v>217</v>
      </c>
      <c r="IE6" s="236" t="s">
        <v>214</v>
      </c>
      <c r="IF6" s="315" t="s">
        <v>214</v>
      </c>
      <c r="IG6" s="316" t="s">
        <v>214</v>
      </c>
      <c r="IH6" s="236" t="s">
        <v>214</v>
      </c>
      <c r="II6" s="268" t="s">
        <v>217</v>
      </c>
      <c r="IJ6" s="236" t="s">
        <v>214</v>
      </c>
      <c r="IK6" s="267"/>
      <c r="IL6" s="236" t="s">
        <v>210</v>
      </c>
      <c r="IM6" s="253" t="s">
        <v>210</v>
      </c>
      <c r="IN6" s="253" t="s">
        <v>210</v>
      </c>
      <c r="IO6" s="392" t="s">
        <v>210</v>
      </c>
      <c r="IP6" s="393" t="s">
        <v>210</v>
      </c>
      <c r="IQ6" s="393" t="s">
        <v>210</v>
      </c>
      <c r="IR6" s="394" t="s">
        <v>210</v>
      </c>
      <c r="IS6" s="392" t="s">
        <v>210</v>
      </c>
      <c r="IT6" s="393" t="s">
        <v>210</v>
      </c>
      <c r="IV6" s="295"/>
      <c r="IX6" s="347" t="s">
        <v>219</v>
      </c>
      <c r="IY6" s="353" t="s">
        <v>219</v>
      </c>
      <c r="IZ6" s="353" t="s">
        <v>219</v>
      </c>
      <c r="JA6" s="358" t="s">
        <v>219</v>
      </c>
      <c r="JB6" s="358" t="s">
        <v>219</v>
      </c>
      <c r="JC6" s="358" t="s">
        <v>219</v>
      </c>
      <c r="JD6" s="358" t="s">
        <v>219</v>
      </c>
      <c r="JE6" s="353" t="s">
        <v>219</v>
      </c>
      <c r="JF6" s="358" t="s">
        <v>219</v>
      </c>
      <c r="JG6" s="358" t="s">
        <v>219</v>
      </c>
      <c r="JI6" s="368" t="s">
        <v>210</v>
      </c>
      <c r="JJ6" s="368" t="s">
        <v>210</v>
      </c>
      <c r="JK6" s="368" t="s">
        <v>210</v>
      </c>
      <c r="JL6" s="368" t="s">
        <v>210</v>
      </c>
      <c r="JM6" s="368" t="s">
        <v>210</v>
      </c>
      <c r="JO6" s="361" t="s">
        <v>191</v>
      </c>
      <c r="JP6" s="361" t="s">
        <v>191</v>
      </c>
      <c r="JQ6" s="377" t="s">
        <v>191</v>
      </c>
      <c r="JR6" s="363" t="s">
        <v>191</v>
      </c>
      <c r="JS6" s="366" t="s">
        <v>191</v>
      </c>
      <c r="JT6" s="366" t="s">
        <v>191</v>
      </c>
      <c r="JU6" s="366" t="s">
        <v>191</v>
      </c>
      <c r="JV6" s="366" t="s">
        <v>191</v>
      </c>
      <c r="JW6" s="363" t="s">
        <v>191</v>
      </c>
      <c r="JX6" s="366" t="s">
        <v>191</v>
      </c>
      <c r="JY6" s="366" t="s">
        <v>191</v>
      </c>
      <c r="KA6" s="361" t="s">
        <v>220</v>
      </c>
      <c r="KC6" s="361" t="s">
        <v>221</v>
      </c>
      <c r="KD6" s="361" t="s">
        <v>221</v>
      </c>
      <c r="KE6" s="377" t="s">
        <v>210</v>
      </c>
      <c r="KF6" s="361" t="s">
        <v>221</v>
      </c>
      <c r="KG6" s="366" t="s">
        <v>221</v>
      </c>
      <c r="KH6" s="366" t="s">
        <v>221</v>
      </c>
      <c r="KI6" s="366" t="s">
        <v>221</v>
      </c>
      <c r="KJ6" s="366" t="s">
        <v>221</v>
      </c>
      <c r="KK6" s="366" t="s">
        <v>221</v>
      </c>
      <c r="KL6" s="409" t="s">
        <v>221</v>
      </c>
      <c r="KM6" s="388" t="s">
        <v>221</v>
      </c>
      <c r="KN6" s="366" t="s">
        <v>221</v>
      </c>
      <c r="KO6" s="366" t="s">
        <v>221</v>
      </c>
      <c r="KP6" s="366" t="s">
        <v>221</v>
      </c>
      <c r="KQ6" s="366" t="s">
        <v>221</v>
      </c>
      <c r="KR6" s="366" t="s">
        <v>221</v>
      </c>
      <c r="KS6" s="366" t="s">
        <v>221</v>
      </c>
      <c r="KT6" s="366" t="s">
        <v>221</v>
      </c>
      <c r="KU6" s="366" t="s">
        <v>221</v>
      </c>
      <c r="KV6" s="366" t="s">
        <v>221</v>
      </c>
      <c r="KW6" s="409" t="s">
        <v>221</v>
      </c>
      <c r="KX6" s="361" t="s">
        <v>221</v>
      </c>
      <c r="KY6" s="361" t="s">
        <v>221</v>
      </c>
      <c r="KZ6" s="366" t="s">
        <v>221</v>
      </c>
      <c r="LA6" s="366" t="s">
        <v>221</v>
      </c>
      <c r="LB6" s="366" t="s">
        <v>221</v>
      </c>
      <c r="LC6" s="366" t="s">
        <v>221</v>
      </c>
      <c r="LD6" s="366" t="s">
        <v>221</v>
      </c>
      <c r="LE6" s="366" t="s">
        <v>221</v>
      </c>
      <c r="LF6" s="361" t="s">
        <v>221</v>
      </c>
      <c r="LG6" s="361" t="s">
        <v>221</v>
      </c>
      <c r="LH6" s="361" t="s">
        <v>221</v>
      </c>
      <c r="LI6" s="416" t="s">
        <v>221</v>
      </c>
      <c r="LJ6" s="388" t="s">
        <v>221</v>
      </c>
      <c r="LL6" s="361" t="s">
        <v>221</v>
      </c>
      <c r="LM6" s="361" t="s">
        <v>221</v>
      </c>
      <c r="LN6" s="377" t="s">
        <v>222</v>
      </c>
      <c r="LO6" s="361" t="s">
        <v>221</v>
      </c>
      <c r="LP6" s="366" t="s">
        <v>221</v>
      </c>
      <c r="LQ6" s="366" t="s">
        <v>221</v>
      </c>
      <c r="LR6" s="366" t="s">
        <v>221</v>
      </c>
      <c r="LS6" s="366" t="s">
        <v>221</v>
      </c>
      <c r="LT6" s="366" t="s">
        <v>221</v>
      </c>
      <c r="LU6" s="366" t="s">
        <v>221</v>
      </c>
      <c r="LV6" s="388" t="s">
        <v>221</v>
      </c>
      <c r="LW6" s="366" t="s">
        <v>221</v>
      </c>
      <c r="LX6" s="366" t="s">
        <v>221</v>
      </c>
      <c r="LY6" s="366" t="s">
        <v>221</v>
      </c>
      <c r="LZ6" s="366" t="s">
        <v>221</v>
      </c>
      <c r="MA6" s="366" t="s">
        <v>221</v>
      </c>
      <c r="MB6" s="366" t="s">
        <v>221</v>
      </c>
      <c r="MC6" s="366" t="s">
        <v>221</v>
      </c>
      <c r="MD6" s="366" t="s">
        <v>221</v>
      </c>
      <c r="ME6" s="366" t="s">
        <v>221</v>
      </c>
      <c r="MF6" s="409" t="s">
        <v>221</v>
      </c>
      <c r="MG6" s="388" t="s">
        <v>221</v>
      </c>
      <c r="MH6" s="361" t="s">
        <v>221</v>
      </c>
      <c r="MI6" s="405" t="s">
        <v>221</v>
      </c>
      <c r="MJ6" s="405" t="s">
        <v>221</v>
      </c>
      <c r="MK6" s="405" t="s">
        <v>221</v>
      </c>
      <c r="ML6" s="405" t="s">
        <v>221</v>
      </c>
      <c r="MM6" s="405" t="s">
        <v>221</v>
      </c>
      <c r="MN6" s="405" t="s">
        <v>221</v>
      </c>
      <c r="MO6" s="361" t="s">
        <v>221</v>
      </c>
      <c r="MP6" s="361" t="s">
        <v>221</v>
      </c>
      <c r="MQ6" s="361" t="s">
        <v>221</v>
      </c>
      <c r="MR6" s="361"/>
      <c r="MS6" s="361" t="s">
        <v>221</v>
      </c>
      <c r="MT6" s="361" t="s">
        <v>221</v>
      </c>
      <c r="MU6" s="377" t="s">
        <v>222</v>
      </c>
      <c r="MV6" s="361" t="s">
        <v>221</v>
      </c>
      <c r="MW6" s="366" t="s">
        <v>221</v>
      </c>
      <c r="MX6" s="366" t="s">
        <v>221</v>
      </c>
      <c r="MY6" s="366" t="s">
        <v>221</v>
      </c>
      <c r="MZ6" s="366" t="s">
        <v>221</v>
      </c>
      <c r="NA6" s="366" t="s">
        <v>221</v>
      </c>
      <c r="NB6" s="366" t="s">
        <v>221</v>
      </c>
      <c r="NC6" s="388" t="s">
        <v>221</v>
      </c>
      <c r="ND6" s="366" t="s">
        <v>221</v>
      </c>
      <c r="NE6" s="366" t="s">
        <v>221</v>
      </c>
      <c r="NF6" s="366" t="s">
        <v>221</v>
      </c>
      <c r="NG6" s="366" t="s">
        <v>221</v>
      </c>
      <c r="NH6" s="366" t="s">
        <v>221</v>
      </c>
      <c r="NI6" s="366" t="s">
        <v>221</v>
      </c>
      <c r="NJ6" s="366" t="s">
        <v>221</v>
      </c>
      <c r="NK6" s="366" t="s">
        <v>221</v>
      </c>
      <c r="NL6" s="366" t="s">
        <v>221</v>
      </c>
      <c r="NM6" s="409" t="s">
        <v>221</v>
      </c>
      <c r="NN6" s="361" t="s">
        <v>221</v>
      </c>
      <c r="NO6" s="361" t="s">
        <v>221</v>
      </c>
      <c r="NP6" s="405" t="s">
        <v>221</v>
      </c>
      <c r="NQ6" s="405" t="s">
        <v>221</v>
      </c>
      <c r="NR6" s="405" t="s">
        <v>221</v>
      </c>
      <c r="NS6" s="405" t="s">
        <v>221</v>
      </c>
      <c r="NT6" s="405" t="s">
        <v>221</v>
      </c>
      <c r="NU6" s="405" t="s">
        <v>221</v>
      </c>
      <c r="NV6" s="361" t="s">
        <v>221</v>
      </c>
      <c r="NW6" s="361" t="s">
        <v>221</v>
      </c>
      <c r="NX6" s="361" t="s">
        <v>221</v>
      </c>
      <c r="NZ6" s="361" t="s">
        <v>223</v>
      </c>
      <c r="OA6" s="361" t="s">
        <v>223</v>
      </c>
      <c r="OB6" s="361" t="s">
        <v>223</v>
      </c>
      <c r="OC6" s="361" t="s">
        <v>223</v>
      </c>
    </row>
    <row r="7" spans="1:395" ht="108" customHeight="1">
      <c r="A7" s="240" t="s">
        <v>224</v>
      </c>
      <c r="B7" s="236" t="s">
        <v>225</v>
      </c>
      <c r="C7" s="310" t="s">
        <v>226</v>
      </c>
      <c r="D7" s="310" t="s">
        <v>227</v>
      </c>
      <c r="E7" s="236" t="s">
        <v>228</v>
      </c>
      <c r="F7" s="237" t="s">
        <v>229</v>
      </c>
      <c r="G7" s="237" t="s">
        <v>230</v>
      </c>
      <c r="H7" s="263" t="s">
        <v>231</v>
      </c>
      <c r="I7" s="236" t="s">
        <v>232</v>
      </c>
      <c r="J7" s="237"/>
      <c r="K7" s="236" t="s">
        <v>233</v>
      </c>
      <c r="L7" s="236" t="s">
        <v>234</v>
      </c>
      <c r="M7" s="236" t="s">
        <v>235</v>
      </c>
      <c r="N7" s="236" t="s">
        <v>236</v>
      </c>
      <c r="O7" s="236" t="s">
        <v>237</v>
      </c>
      <c r="P7" s="236" t="s">
        <v>238</v>
      </c>
      <c r="Q7" s="237"/>
      <c r="R7" s="295"/>
      <c r="T7" s="263" t="s">
        <v>239</v>
      </c>
      <c r="U7" s="240"/>
      <c r="V7" s="295"/>
      <c r="X7" s="291" t="s">
        <v>240</v>
      </c>
      <c r="Y7" s="291" t="s">
        <v>241</v>
      </c>
      <c r="AA7" s="295"/>
      <c r="AC7" s="236" t="s">
        <v>242</v>
      </c>
      <c r="AD7" s="236" t="s">
        <v>243</v>
      </c>
      <c r="AE7" s="236" t="s">
        <v>244</v>
      </c>
      <c r="AF7" s="236" t="s">
        <v>245</v>
      </c>
      <c r="AG7" s="263" t="s">
        <v>246</v>
      </c>
      <c r="AH7" s="263" t="s">
        <v>247</v>
      </c>
      <c r="AI7" s="263"/>
      <c r="AJ7" s="236" t="s">
        <v>248</v>
      </c>
      <c r="AK7" s="236" t="s">
        <v>249</v>
      </c>
      <c r="AL7" s="245" t="s">
        <v>250</v>
      </c>
      <c r="AM7" s="236" t="s">
        <v>251</v>
      </c>
      <c r="AN7" s="236" t="s">
        <v>252</v>
      </c>
      <c r="AO7" s="236" t="s">
        <v>253</v>
      </c>
      <c r="AP7" s="254" t="s">
        <v>254</v>
      </c>
      <c r="AQ7" s="236" t="s">
        <v>255</v>
      </c>
      <c r="AR7" s="236" t="s">
        <v>256</v>
      </c>
      <c r="AS7" s="236"/>
      <c r="AT7" s="236" t="s">
        <v>257</v>
      </c>
      <c r="AV7" s="295"/>
      <c r="AX7" s="268" t="s">
        <v>258</v>
      </c>
      <c r="AY7" s="268" t="s">
        <v>259</v>
      </c>
      <c r="AZ7" s="268" t="s">
        <v>258</v>
      </c>
      <c r="BA7" s="268" t="s">
        <v>259</v>
      </c>
      <c r="BB7" s="236" t="s">
        <v>260</v>
      </c>
      <c r="BC7" s="236" t="s">
        <v>261</v>
      </c>
      <c r="BD7" s="268" t="s">
        <v>258</v>
      </c>
      <c r="BE7" s="268" t="s">
        <v>262</v>
      </c>
      <c r="BF7" s="268" t="s">
        <v>263</v>
      </c>
      <c r="BG7" s="268" t="s">
        <v>263</v>
      </c>
      <c r="BH7" s="268" t="s">
        <v>264</v>
      </c>
      <c r="BI7" s="268"/>
      <c r="BJ7" s="236" t="s">
        <v>265</v>
      </c>
      <c r="BK7" s="268" t="s">
        <v>266</v>
      </c>
      <c r="BL7" s="236" t="s">
        <v>267</v>
      </c>
      <c r="BM7" s="236" t="s">
        <v>268</v>
      </c>
      <c r="BN7" s="310" t="s">
        <v>269</v>
      </c>
      <c r="BO7" s="310" t="s">
        <v>270</v>
      </c>
      <c r="BP7" s="236" t="s">
        <v>271</v>
      </c>
      <c r="BQ7" s="268" t="s">
        <v>272</v>
      </c>
      <c r="BR7" s="310" t="s">
        <v>273</v>
      </c>
      <c r="BS7" s="310" t="s">
        <v>274</v>
      </c>
      <c r="BT7" s="310" t="s">
        <v>275</v>
      </c>
      <c r="BU7" s="310" t="s">
        <v>276</v>
      </c>
      <c r="BV7" s="310" t="s">
        <v>277</v>
      </c>
      <c r="BW7" s="339" t="s">
        <v>277</v>
      </c>
      <c r="BX7" s="310" t="s">
        <v>278</v>
      </c>
      <c r="BY7" s="236"/>
      <c r="BZ7" s="269" t="s">
        <v>279</v>
      </c>
      <c r="CA7" s="269" t="s">
        <v>280</v>
      </c>
      <c r="CB7" s="269" t="s">
        <v>281</v>
      </c>
      <c r="CC7" s="269" t="s">
        <v>282</v>
      </c>
      <c r="CD7" s="269" t="s">
        <v>283</v>
      </c>
      <c r="CE7" s="236"/>
      <c r="CF7" s="236" t="s">
        <v>284</v>
      </c>
      <c r="CG7" s="268" t="s">
        <v>284</v>
      </c>
      <c r="CH7" s="236" t="s">
        <v>285</v>
      </c>
      <c r="CI7" s="236" t="s">
        <v>286</v>
      </c>
      <c r="CJ7" s="268" t="s">
        <v>286</v>
      </c>
      <c r="CK7" s="236" t="s">
        <v>287</v>
      </c>
      <c r="CL7" s="268" t="s">
        <v>287</v>
      </c>
      <c r="CM7" s="236" t="s">
        <v>288</v>
      </c>
      <c r="CN7" s="310" t="s">
        <v>289</v>
      </c>
      <c r="CO7" s="310" t="s">
        <v>290</v>
      </c>
      <c r="CP7" s="236" t="s">
        <v>291</v>
      </c>
      <c r="CR7" s="295"/>
      <c r="CT7" s="236" t="s">
        <v>292</v>
      </c>
      <c r="CU7" s="263" t="s">
        <v>293</v>
      </c>
      <c r="CV7" s="263" t="s">
        <v>294</v>
      </c>
      <c r="CW7" s="263" t="s">
        <v>295</v>
      </c>
      <c r="CX7" s="236" t="s">
        <v>296</v>
      </c>
      <c r="CY7" s="236" t="s">
        <v>297</v>
      </c>
      <c r="CZ7" s="269" t="s">
        <v>281</v>
      </c>
      <c r="DA7" s="302" t="s">
        <v>298</v>
      </c>
      <c r="DB7" s="302" t="s">
        <v>298</v>
      </c>
      <c r="DC7" s="236"/>
      <c r="DD7" s="236" t="s">
        <v>299</v>
      </c>
      <c r="DE7" s="244" t="s">
        <v>300</v>
      </c>
      <c r="DF7" s="251" t="s">
        <v>301</v>
      </c>
      <c r="DG7" s="251" t="s">
        <v>302</v>
      </c>
      <c r="DH7" s="236" t="s">
        <v>303</v>
      </c>
      <c r="DI7" s="310" t="s">
        <v>304</v>
      </c>
      <c r="DJ7" s="326" t="s">
        <v>305</v>
      </c>
      <c r="DK7" s="254" t="s">
        <v>306</v>
      </c>
      <c r="DL7" s="251" t="s">
        <v>307</v>
      </c>
      <c r="DM7" s="258" t="s">
        <v>308</v>
      </c>
      <c r="DN7" s="236" t="s">
        <v>309</v>
      </c>
      <c r="DO7" s="251" t="s">
        <v>310</v>
      </c>
      <c r="DP7" s="234" t="s">
        <v>308</v>
      </c>
      <c r="DQ7" s="241" t="s">
        <v>311</v>
      </c>
      <c r="DS7" s="295"/>
      <c r="DT7" s="295"/>
      <c r="DW7" s="341" t="s">
        <v>312</v>
      </c>
      <c r="DX7" s="236" t="s">
        <v>313</v>
      </c>
      <c r="DY7" s="236" t="s">
        <v>314</v>
      </c>
      <c r="DZ7" s="236" t="s">
        <v>315</v>
      </c>
      <c r="EA7" s="268" t="s">
        <v>314</v>
      </c>
      <c r="EB7" s="236" t="s">
        <v>299</v>
      </c>
      <c r="EC7" s="236" t="s">
        <v>280</v>
      </c>
      <c r="ED7" s="236" t="s">
        <v>316</v>
      </c>
      <c r="EE7" s="268" t="s">
        <v>317</v>
      </c>
      <c r="EF7" s="254" t="s">
        <v>318</v>
      </c>
      <c r="EG7" s="236" t="s">
        <v>319</v>
      </c>
      <c r="EH7" s="236" t="s">
        <v>316</v>
      </c>
      <c r="EI7" s="236" t="s">
        <v>280</v>
      </c>
      <c r="EJ7" s="236" t="s">
        <v>317</v>
      </c>
      <c r="EK7" s="236" t="s">
        <v>320</v>
      </c>
      <c r="EL7" s="245" t="s">
        <v>321</v>
      </c>
      <c r="EM7" s="236" t="s">
        <v>322</v>
      </c>
      <c r="EN7" s="236" t="s">
        <v>323</v>
      </c>
      <c r="EO7" s="236" t="s">
        <v>280</v>
      </c>
      <c r="EP7" s="236" t="s">
        <v>324</v>
      </c>
      <c r="EQ7" s="236" t="s">
        <v>316</v>
      </c>
      <c r="ER7" s="236" t="s">
        <v>317</v>
      </c>
      <c r="ES7" s="254" t="s">
        <v>325</v>
      </c>
      <c r="ET7" s="310" t="s">
        <v>326</v>
      </c>
      <c r="EU7" s="310" t="s">
        <v>327</v>
      </c>
      <c r="EV7" s="310" t="s">
        <v>328</v>
      </c>
      <c r="EW7" s="310" t="s">
        <v>329</v>
      </c>
      <c r="EX7" s="254" t="s">
        <v>330</v>
      </c>
      <c r="EY7" s="236"/>
      <c r="EZ7" s="268" t="s">
        <v>331</v>
      </c>
      <c r="FA7" s="268" t="s">
        <v>332</v>
      </c>
      <c r="FB7" s="236" t="s">
        <v>333</v>
      </c>
      <c r="FC7" s="268" t="s">
        <v>316</v>
      </c>
      <c r="FD7" s="236" t="s">
        <v>334</v>
      </c>
      <c r="FE7" s="236" t="s">
        <v>335</v>
      </c>
      <c r="FF7" s="268" t="s">
        <v>280</v>
      </c>
      <c r="FG7" s="268" t="s">
        <v>336</v>
      </c>
      <c r="FH7" s="310" t="s">
        <v>337</v>
      </c>
      <c r="FI7" s="310" t="s">
        <v>338</v>
      </c>
      <c r="FJ7" s="310" t="s">
        <v>339</v>
      </c>
      <c r="FK7" s="310" t="s">
        <v>340</v>
      </c>
      <c r="FL7" s="254" t="s">
        <v>325</v>
      </c>
      <c r="FM7" s="310" t="s">
        <v>326</v>
      </c>
      <c r="FN7" s="310" t="s">
        <v>327</v>
      </c>
      <c r="FO7" s="310" t="s">
        <v>328</v>
      </c>
      <c r="FP7" s="310" t="s">
        <v>329</v>
      </c>
      <c r="FQ7" s="383" t="s">
        <v>341</v>
      </c>
      <c r="FR7" s="310" t="s">
        <v>342</v>
      </c>
      <c r="FS7" s="310" t="s">
        <v>343</v>
      </c>
      <c r="FT7" s="254" t="s">
        <v>330</v>
      </c>
      <c r="FU7" s="236"/>
      <c r="FV7" s="268" t="s">
        <v>344</v>
      </c>
      <c r="FW7" s="268" t="s">
        <v>345</v>
      </c>
      <c r="FX7" s="236" t="s">
        <v>333</v>
      </c>
      <c r="FY7" s="236" t="s">
        <v>316</v>
      </c>
      <c r="FZ7" s="236" t="s">
        <v>280</v>
      </c>
      <c r="GA7" s="236" t="s">
        <v>336</v>
      </c>
      <c r="GB7" s="254" t="s">
        <v>346</v>
      </c>
      <c r="GC7" s="310" t="s">
        <v>347</v>
      </c>
      <c r="GD7" s="310" t="s">
        <v>348</v>
      </c>
      <c r="GE7" s="310" t="s">
        <v>349</v>
      </c>
      <c r="GF7" s="310" t="s">
        <v>350</v>
      </c>
      <c r="GG7" s="254" t="s">
        <v>325</v>
      </c>
      <c r="GH7" s="310" t="s">
        <v>326</v>
      </c>
      <c r="GI7" s="310" t="s">
        <v>327</v>
      </c>
      <c r="GJ7" s="310" t="s">
        <v>328</v>
      </c>
      <c r="GK7" s="310" t="s">
        <v>329</v>
      </c>
      <c r="GL7" s="254" t="s">
        <v>330</v>
      </c>
      <c r="GM7" s="236"/>
      <c r="GN7" s="236" t="s">
        <v>351</v>
      </c>
      <c r="GO7" s="236" t="s">
        <v>352</v>
      </c>
      <c r="GP7" s="254" t="s">
        <v>325</v>
      </c>
      <c r="GQ7" s="310" t="s">
        <v>326</v>
      </c>
      <c r="GR7" s="310" t="s">
        <v>327</v>
      </c>
      <c r="GT7" s="236" t="s">
        <v>344</v>
      </c>
      <c r="GU7" s="236" t="s">
        <v>333</v>
      </c>
      <c r="GV7" s="236" t="s">
        <v>316</v>
      </c>
      <c r="GW7" s="236" t="s">
        <v>280</v>
      </c>
      <c r="GX7" s="236" t="s">
        <v>336</v>
      </c>
      <c r="GZ7" s="295"/>
      <c r="HB7" s="236" t="s">
        <v>353</v>
      </c>
      <c r="HC7" s="236" t="s">
        <v>354</v>
      </c>
      <c r="HD7" s="236" t="s">
        <v>354</v>
      </c>
      <c r="HE7" s="236" t="s">
        <v>355</v>
      </c>
      <c r="HF7" s="270"/>
      <c r="HG7" s="236" t="s">
        <v>356</v>
      </c>
      <c r="HH7" s="270"/>
      <c r="HI7" s="236" t="s">
        <v>357</v>
      </c>
      <c r="HJ7" s="236" t="s">
        <v>358</v>
      </c>
      <c r="HK7" s="310" t="s">
        <v>359</v>
      </c>
      <c r="HL7" s="310" t="s">
        <v>360</v>
      </c>
      <c r="HM7" s="310" t="s">
        <v>361</v>
      </c>
      <c r="HN7" s="310"/>
      <c r="HO7" s="270" t="s">
        <v>362</v>
      </c>
      <c r="HP7" s="270" t="s">
        <v>363</v>
      </c>
      <c r="HQ7" s="310" t="s">
        <v>359</v>
      </c>
      <c r="HR7" s="310" t="s">
        <v>360</v>
      </c>
      <c r="HS7" s="310" t="s">
        <v>361</v>
      </c>
      <c r="HT7" s="270"/>
      <c r="HU7" s="236" t="s">
        <v>364</v>
      </c>
      <c r="HV7" s="236" t="s">
        <v>365</v>
      </c>
      <c r="HW7" s="310" t="s">
        <v>359</v>
      </c>
      <c r="HX7" s="310" t="s">
        <v>360</v>
      </c>
      <c r="HY7" s="310" t="s">
        <v>361</v>
      </c>
      <c r="HZ7" s="270"/>
      <c r="IA7" s="236" t="s">
        <v>366</v>
      </c>
      <c r="IB7" s="236" t="s">
        <v>367</v>
      </c>
      <c r="IC7" s="236" t="s">
        <v>368</v>
      </c>
      <c r="ID7" s="268" t="s">
        <v>369</v>
      </c>
      <c r="IE7" s="310" t="s">
        <v>370</v>
      </c>
      <c r="IF7" s="310" t="s">
        <v>371</v>
      </c>
      <c r="IG7" s="326" t="s">
        <v>372</v>
      </c>
      <c r="IH7" s="310" t="s">
        <v>359</v>
      </c>
      <c r="II7" s="310" t="s">
        <v>360</v>
      </c>
      <c r="IJ7" s="310" t="s">
        <v>361</v>
      </c>
      <c r="IK7" s="270"/>
      <c r="IL7" s="236" t="s">
        <v>373</v>
      </c>
      <c r="IM7" s="253" t="s">
        <v>374</v>
      </c>
      <c r="IN7" s="253" t="s">
        <v>375</v>
      </c>
      <c r="IO7" s="383" t="s">
        <v>376</v>
      </c>
      <c r="IP7" s="310" t="s">
        <v>377</v>
      </c>
      <c r="IQ7" s="310" t="s">
        <v>378</v>
      </c>
      <c r="IR7" s="326" t="s">
        <v>379</v>
      </c>
      <c r="IS7" s="383" t="s">
        <v>380</v>
      </c>
      <c r="IT7" s="310" t="s">
        <v>381</v>
      </c>
      <c r="IV7" s="295"/>
      <c r="IX7" s="347" t="s">
        <v>382</v>
      </c>
      <c r="IY7" s="353" t="s">
        <v>383</v>
      </c>
      <c r="IZ7" s="353" t="s">
        <v>384</v>
      </c>
      <c r="JA7" s="358" t="s">
        <v>385</v>
      </c>
      <c r="JB7" s="358" t="s">
        <v>386</v>
      </c>
      <c r="JC7" s="358" t="s">
        <v>387</v>
      </c>
      <c r="JD7" s="358" t="s">
        <v>388</v>
      </c>
      <c r="JE7" s="353" t="s">
        <v>389</v>
      </c>
      <c r="JF7" s="358" t="s">
        <v>390</v>
      </c>
      <c r="JG7" s="358" t="s">
        <v>391</v>
      </c>
      <c r="JI7" s="368" t="s">
        <v>392</v>
      </c>
      <c r="JJ7" s="369" t="s">
        <v>393</v>
      </c>
      <c r="JK7" s="369" t="s">
        <v>394</v>
      </c>
      <c r="JL7" s="368" t="s">
        <v>395</v>
      </c>
      <c r="JM7" s="368" t="s">
        <v>396</v>
      </c>
      <c r="JO7" s="361" t="s">
        <v>397</v>
      </c>
      <c r="JP7" s="361" t="s">
        <v>398</v>
      </c>
      <c r="JQ7" s="377" t="s">
        <v>399</v>
      </c>
      <c r="JR7" s="363" t="s">
        <v>400</v>
      </c>
      <c r="JS7" s="366" t="s">
        <v>401</v>
      </c>
      <c r="JT7" s="366" t="s">
        <v>402</v>
      </c>
      <c r="JU7" s="366" t="s">
        <v>403</v>
      </c>
      <c r="JV7" s="366" t="s">
        <v>404</v>
      </c>
      <c r="JW7" s="363" t="s">
        <v>405</v>
      </c>
      <c r="JX7" s="366" t="s">
        <v>406</v>
      </c>
      <c r="JY7" s="366" t="s">
        <v>407</v>
      </c>
      <c r="KA7" s="361" t="s">
        <v>408</v>
      </c>
      <c r="KC7" s="403" t="s">
        <v>409</v>
      </c>
      <c r="KD7" s="403" t="s">
        <v>410</v>
      </c>
      <c r="KE7" s="441" t="s">
        <v>410</v>
      </c>
      <c r="KF7" s="404" t="s">
        <v>411</v>
      </c>
      <c r="KG7" s="402" t="s">
        <v>412</v>
      </c>
      <c r="KH7" s="402" t="s">
        <v>413</v>
      </c>
      <c r="KI7" s="402" t="s">
        <v>414</v>
      </c>
      <c r="KJ7" s="402" t="s">
        <v>415</v>
      </c>
      <c r="KK7" s="402" t="s">
        <v>416</v>
      </c>
      <c r="KL7" s="410" t="s">
        <v>417</v>
      </c>
      <c r="KM7" s="412" t="s">
        <v>409</v>
      </c>
      <c r="KN7" s="402" t="s">
        <v>418</v>
      </c>
      <c r="KO7" s="402" t="s">
        <v>419</v>
      </c>
      <c r="KP7" s="402" t="s">
        <v>420</v>
      </c>
      <c r="KQ7" s="402" t="s">
        <v>421</v>
      </c>
      <c r="KR7" s="402" t="s">
        <v>422</v>
      </c>
      <c r="KS7" s="402" t="s">
        <v>423</v>
      </c>
      <c r="KT7" s="402" t="s">
        <v>424</v>
      </c>
      <c r="KU7" s="402" t="s">
        <v>425</v>
      </c>
      <c r="KV7" s="402" t="s">
        <v>426</v>
      </c>
      <c r="KW7" s="410" t="s">
        <v>427</v>
      </c>
      <c r="KX7" s="404" t="s">
        <v>409</v>
      </c>
      <c r="KY7" s="404" t="s">
        <v>428</v>
      </c>
      <c r="KZ7" s="401" t="s">
        <v>429</v>
      </c>
      <c r="LA7" s="401" t="s">
        <v>430</v>
      </c>
      <c r="LB7" s="401" t="s">
        <v>431</v>
      </c>
      <c r="LC7" s="401" t="s">
        <v>432</v>
      </c>
      <c r="LD7" s="401" t="s">
        <v>433</v>
      </c>
      <c r="LE7" s="401" t="s">
        <v>434</v>
      </c>
      <c r="LF7" s="404" t="s">
        <v>435</v>
      </c>
      <c r="LG7" s="404" t="s">
        <v>436</v>
      </c>
      <c r="LH7" s="404" t="s">
        <v>437</v>
      </c>
      <c r="LI7" s="417" t="s">
        <v>438</v>
      </c>
      <c r="LJ7" s="412" t="s">
        <v>439</v>
      </c>
      <c r="LK7" s="404"/>
      <c r="LL7" s="231" t="s">
        <v>409</v>
      </c>
      <c r="LM7" s="403" t="s">
        <v>410</v>
      </c>
      <c r="LN7" s="441" t="s">
        <v>410</v>
      </c>
      <c r="LO7" s="404" t="s">
        <v>411</v>
      </c>
      <c r="LP7" s="402" t="s">
        <v>412</v>
      </c>
      <c r="LQ7" s="402" t="s">
        <v>413</v>
      </c>
      <c r="LR7" s="402" t="s">
        <v>414</v>
      </c>
      <c r="LS7" s="402" t="s">
        <v>415</v>
      </c>
      <c r="LT7" s="402" t="s">
        <v>440</v>
      </c>
      <c r="LU7" s="402" t="s">
        <v>417</v>
      </c>
      <c r="LV7" s="412" t="s">
        <v>409</v>
      </c>
      <c r="LW7" s="402" t="s">
        <v>418</v>
      </c>
      <c r="LX7" s="402" t="s">
        <v>419</v>
      </c>
      <c r="LY7" s="402" t="s">
        <v>420</v>
      </c>
      <c r="LZ7" s="402" t="s">
        <v>421</v>
      </c>
      <c r="MA7" s="402" t="s">
        <v>422</v>
      </c>
      <c r="MB7" s="402" t="s">
        <v>423</v>
      </c>
      <c r="MC7" s="402" t="s">
        <v>424</v>
      </c>
      <c r="MD7" s="402" t="s">
        <v>425</v>
      </c>
      <c r="ME7" s="402" t="s">
        <v>426</v>
      </c>
      <c r="MF7" s="410" t="s">
        <v>427</v>
      </c>
      <c r="MG7" s="412" t="s">
        <v>409</v>
      </c>
      <c r="MH7" s="404" t="s">
        <v>428</v>
      </c>
      <c r="MI7" s="402" t="s">
        <v>429</v>
      </c>
      <c r="MJ7" s="402" t="s">
        <v>430</v>
      </c>
      <c r="MK7" s="402" t="s">
        <v>431</v>
      </c>
      <c r="ML7" s="402" t="s">
        <v>432</v>
      </c>
      <c r="MM7" s="402" t="s">
        <v>433</v>
      </c>
      <c r="MN7" s="402" t="s">
        <v>434</v>
      </c>
      <c r="MO7" s="404" t="s">
        <v>435</v>
      </c>
      <c r="MP7" s="404" t="s">
        <v>436</v>
      </c>
      <c r="MQ7" s="404" t="s">
        <v>437</v>
      </c>
      <c r="MR7" s="404"/>
      <c r="MS7" s="361" t="s">
        <v>409</v>
      </c>
      <c r="MT7" s="403" t="s">
        <v>410</v>
      </c>
      <c r="MU7" s="441" t="s">
        <v>410</v>
      </c>
      <c r="MV7" s="404" t="s">
        <v>411</v>
      </c>
      <c r="MW7" s="402" t="s">
        <v>412</v>
      </c>
      <c r="MX7" s="402" t="s">
        <v>413</v>
      </c>
      <c r="MY7" s="402" t="s">
        <v>414</v>
      </c>
      <c r="MZ7" s="402" t="s">
        <v>415</v>
      </c>
      <c r="NA7" s="402" t="s">
        <v>440</v>
      </c>
      <c r="NB7" s="402" t="s">
        <v>417</v>
      </c>
      <c r="NC7" s="412" t="s">
        <v>409</v>
      </c>
      <c r="ND7" s="402" t="s">
        <v>418</v>
      </c>
      <c r="NE7" s="402" t="s">
        <v>419</v>
      </c>
      <c r="NF7" s="402" t="s">
        <v>420</v>
      </c>
      <c r="NG7" s="402" t="s">
        <v>421</v>
      </c>
      <c r="NH7" s="402" t="s">
        <v>422</v>
      </c>
      <c r="NI7" s="402" t="s">
        <v>423</v>
      </c>
      <c r="NJ7" s="402" t="s">
        <v>424</v>
      </c>
      <c r="NK7" s="402" t="s">
        <v>425</v>
      </c>
      <c r="NL7" s="402" t="s">
        <v>426</v>
      </c>
      <c r="NM7" s="410" t="s">
        <v>427</v>
      </c>
      <c r="NN7" s="404" t="s">
        <v>409</v>
      </c>
      <c r="NO7" s="404" t="s">
        <v>428</v>
      </c>
      <c r="NP7" s="401" t="s">
        <v>429</v>
      </c>
      <c r="NQ7" s="401" t="s">
        <v>430</v>
      </c>
      <c r="NR7" s="401" t="s">
        <v>431</v>
      </c>
      <c r="NS7" s="401" t="s">
        <v>432</v>
      </c>
      <c r="NT7" s="401" t="s">
        <v>433</v>
      </c>
      <c r="NU7" s="401" t="s">
        <v>434</v>
      </c>
      <c r="NV7" s="404" t="s">
        <v>435</v>
      </c>
      <c r="NW7" s="404" t="s">
        <v>436</v>
      </c>
      <c r="NX7" s="404" t="s">
        <v>437</v>
      </c>
      <c r="NZ7" s="361" t="s">
        <v>441</v>
      </c>
      <c r="OA7" s="361" t="s">
        <v>442</v>
      </c>
      <c r="OB7" s="361" t="s">
        <v>443</v>
      </c>
      <c r="OC7" s="361" t="s">
        <v>444</v>
      </c>
    </row>
    <row r="8" spans="1:395" ht="73.2" customHeight="1">
      <c r="A8" s="230" t="s">
        <v>38</v>
      </c>
      <c r="B8" s="277"/>
      <c r="C8" s="310"/>
      <c r="D8" s="310"/>
      <c r="E8" s="253"/>
      <c r="F8" s="278" t="s">
        <v>445</v>
      </c>
      <c r="G8" s="278"/>
      <c r="H8" s="279"/>
      <c r="I8" s="277"/>
      <c r="J8" s="278"/>
      <c r="K8" s="277"/>
      <c r="L8" s="277"/>
      <c r="M8" s="277"/>
      <c r="N8" s="277"/>
      <c r="O8" s="277"/>
      <c r="P8" s="277"/>
      <c r="Q8" s="278"/>
      <c r="R8" s="298"/>
      <c r="S8" s="260"/>
      <c r="T8" s="279"/>
      <c r="U8" s="230"/>
      <c r="V8" s="298"/>
      <c r="W8" s="229"/>
      <c r="X8" s="292"/>
      <c r="Y8" s="292" t="s">
        <v>446</v>
      </c>
      <c r="Z8" s="260"/>
      <c r="AA8" s="298"/>
      <c r="AB8" s="260"/>
      <c r="AC8" s="277"/>
      <c r="AD8" s="277"/>
      <c r="AE8" s="277"/>
      <c r="AF8" s="259"/>
      <c r="AG8" s="312"/>
      <c r="AH8" s="312"/>
      <c r="AI8" s="312"/>
      <c r="AJ8" s="259" t="s">
        <v>447</v>
      </c>
      <c r="AK8" s="259"/>
      <c r="AL8" s="317" t="s">
        <v>448</v>
      </c>
      <c r="AM8" s="259"/>
      <c r="AN8" s="259"/>
      <c r="AO8" s="259" t="s">
        <v>448</v>
      </c>
      <c r="AP8" s="261"/>
      <c r="AQ8" s="259"/>
      <c r="AR8" s="259" t="s">
        <v>448</v>
      </c>
      <c r="AS8" s="259"/>
      <c r="AT8" s="259"/>
      <c r="AU8" s="260"/>
      <c r="AV8" s="298"/>
      <c r="AW8" s="260"/>
      <c r="AX8" s="277" t="s">
        <v>449</v>
      </c>
      <c r="AY8" s="277" t="s">
        <v>450</v>
      </c>
      <c r="AZ8" s="277" t="s">
        <v>449</v>
      </c>
      <c r="BA8" s="277" t="s">
        <v>450</v>
      </c>
      <c r="BB8" s="277"/>
      <c r="BC8" s="277" t="s">
        <v>451</v>
      </c>
      <c r="BD8" s="277" t="s">
        <v>452</v>
      </c>
      <c r="BE8" s="277"/>
      <c r="BF8" s="277" t="s">
        <v>453</v>
      </c>
      <c r="BG8" s="277" t="s">
        <v>453</v>
      </c>
      <c r="BH8" s="277"/>
      <c r="BI8" s="277"/>
      <c r="BJ8" s="277" t="s">
        <v>454</v>
      </c>
      <c r="BK8" s="277" t="s">
        <v>454</v>
      </c>
      <c r="BL8" s="277" t="s">
        <v>454</v>
      </c>
      <c r="BM8" s="277" t="s">
        <v>454</v>
      </c>
      <c r="BN8" s="277"/>
      <c r="BO8" s="277"/>
      <c r="BP8" s="277" t="s">
        <v>455</v>
      </c>
      <c r="BQ8" s="277" t="s">
        <v>455</v>
      </c>
      <c r="BR8" s="310"/>
      <c r="BS8" s="310"/>
      <c r="BT8" s="310"/>
      <c r="BU8" s="310"/>
      <c r="BV8" s="310"/>
      <c r="BW8" s="310"/>
      <c r="BX8" s="310"/>
      <c r="BY8" s="277"/>
      <c r="BZ8" s="277" t="s">
        <v>456</v>
      </c>
      <c r="CA8" s="277"/>
      <c r="CB8" s="277"/>
      <c r="CC8" s="277"/>
      <c r="CD8" s="277"/>
      <c r="CE8" s="277"/>
      <c r="CF8" s="277"/>
      <c r="CG8" s="277"/>
      <c r="CH8" s="277" t="s">
        <v>457</v>
      </c>
      <c r="CI8" s="277" t="s">
        <v>458</v>
      </c>
      <c r="CJ8" s="277" t="s">
        <v>458</v>
      </c>
      <c r="CK8" s="277" t="s">
        <v>459</v>
      </c>
      <c r="CL8" s="277" t="s">
        <v>459</v>
      </c>
      <c r="CM8" s="277" t="s">
        <v>460</v>
      </c>
      <c r="CN8" s="310"/>
      <c r="CO8" s="310"/>
      <c r="CP8" s="277" t="s">
        <v>461</v>
      </c>
      <c r="CQ8" s="260"/>
      <c r="CR8" s="298"/>
      <c r="CS8" s="260"/>
      <c r="CT8" s="277" t="s">
        <v>462</v>
      </c>
      <c r="CU8" s="279" t="s">
        <v>463</v>
      </c>
      <c r="CV8" s="279" t="s">
        <v>464</v>
      </c>
      <c r="CW8" s="279"/>
      <c r="CX8" s="277" t="s">
        <v>465</v>
      </c>
      <c r="CY8" s="277"/>
      <c r="CZ8" s="277" t="s">
        <v>466</v>
      </c>
      <c r="DA8" s="303" t="s">
        <v>467</v>
      </c>
      <c r="DB8" s="277" t="s">
        <v>468</v>
      </c>
      <c r="DC8" s="277"/>
      <c r="DD8" s="277" t="s">
        <v>469</v>
      </c>
      <c r="DE8" s="244"/>
      <c r="DF8" s="251"/>
      <c r="DG8" s="251"/>
      <c r="DH8" s="277" t="s">
        <v>470</v>
      </c>
      <c r="DI8" s="310"/>
      <c r="DJ8" s="326"/>
      <c r="DK8" s="327" t="s">
        <v>471</v>
      </c>
      <c r="DL8" s="251"/>
      <c r="DM8" s="328"/>
      <c r="DN8" s="277" t="s">
        <v>472</v>
      </c>
      <c r="DO8" s="251"/>
      <c r="DP8" s="260"/>
      <c r="DQ8" s="389"/>
      <c r="DR8" s="260"/>
      <c r="DS8" s="298"/>
      <c r="DT8" s="298"/>
      <c r="DU8" s="260"/>
      <c r="DV8" s="260"/>
      <c r="DW8" s="342" t="s">
        <v>473</v>
      </c>
      <c r="DX8" s="277"/>
      <c r="DY8" s="277" t="s">
        <v>474</v>
      </c>
      <c r="DZ8" s="259" t="s">
        <v>475</v>
      </c>
      <c r="EA8" s="259" t="s">
        <v>476</v>
      </c>
      <c r="EB8" s="277" t="s">
        <v>477</v>
      </c>
      <c r="EC8" s="259"/>
      <c r="ED8" s="259"/>
      <c r="EE8" s="277"/>
      <c r="EF8" s="261" t="s">
        <v>478</v>
      </c>
      <c r="EG8" s="259" t="s">
        <v>479</v>
      </c>
      <c r="EH8" s="259"/>
      <c r="EI8" s="259"/>
      <c r="EJ8" s="259" t="s">
        <v>480</v>
      </c>
      <c r="EK8" s="259"/>
      <c r="EL8" s="317" t="s">
        <v>481</v>
      </c>
      <c r="EM8" s="259"/>
      <c r="EN8" s="259" t="s">
        <v>479</v>
      </c>
      <c r="EO8" s="259"/>
      <c r="EP8" s="277" t="s">
        <v>482</v>
      </c>
      <c r="EQ8" s="259"/>
      <c r="ER8" s="259" t="s">
        <v>483</v>
      </c>
      <c r="ES8" s="261"/>
      <c r="ET8" s="250" t="s">
        <v>484</v>
      </c>
      <c r="EU8" s="250" t="s">
        <v>485</v>
      </c>
      <c r="EV8" s="250" t="s">
        <v>486</v>
      </c>
      <c r="EW8" s="250" t="s">
        <v>487</v>
      </c>
      <c r="EX8" s="241"/>
      <c r="EY8" s="280"/>
      <c r="EZ8" s="259"/>
      <c r="FA8" s="259"/>
      <c r="FB8" s="277"/>
      <c r="FC8" s="277" t="s">
        <v>488</v>
      </c>
      <c r="FD8" s="259"/>
      <c r="FE8" s="259" t="s">
        <v>489</v>
      </c>
      <c r="FF8" s="259" t="s">
        <v>490</v>
      </c>
      <c r="FG8" s="259"/>
      <c r="FH8" s="250"/>
      <c r="FI8" s="250"/>
      <c r="FJ8" s="250"/>
      <c r="FK8" s="250"/>
      <c r="FL8" s="261"/>
      <c r="FM8" s="250" t="s">
        <v>484</v>
      </c>
      <c r="FN8" s="250" t="s">
        <v>485</v>
      </c>
      <c r="FO8" s="250" t="s">
        <v>486</v>
      </c>
      <c r="FP8" s="250" t="s">
        <v>487</v>
      </c>
      <c r="FQ8" s="383"/>
      <c r="FR8" s="310"/>
      <c r="FS8" s="310"/>
      <c r="FT8" s="241"/>
      <c r="FU8" s="280"/>
      <c r="FV8" s="259"/>
      <c r="FW8" s="259"/>
      <c r="FX8" s="277" t="s">
        <v>491</v>
      </c>
      <c r="FY8" s="277"/>
      <c r="FZ8" s="259"/>
      <c r="GA8" s="259"/>
      <c r="GB8" s="261"/>
      <c r="GC8" s="250"/>
      <c r="GD8" s="250"/>
      <c r="GE8" s="250"/>
      <c r="GF8" s="250"/>
      <c r="GG8" s="261"/>
      <c r="GH8" s="250" t="s">
        <v>484</v>
      </c>
      <c r="GI8" s="250" t="s">
        <v>492</v>
      </c>
      <c r="GJ8" s="250" t="s">
        <v>486</v>
      </c>
      <c r="GK8" s="250" t="s">
        <v>486</v>
      </c>
      <c r="GL8" s="241"/>
      <c r="GM8" s="259"/>
      <c r="GN8" s="277"/>
      <c r="GO8" s="277"/>
      <c r="GP8" s="261"/>
      <c r="GQ8" s="250" t="s">
        <v>484</v>
      </c>
      <c r="GR8" s="250" t="s">
        <v>492</v>
      </c>
      <c r="GS8" s="277"/>
      <c r="GT8" s="259" t="s">
        <v>493</v>
      </c>
      <c r="GU8" s="277" t="s">
        <v>491</v>
      </c>
      <c r="GV8" s="277" t="s">
        <v>494</v>
      </c>
      <c r="GW8" s="277" t="s">
        <v>495</v>
      </c>
      <c r="GX8" s="259"/>
      <c r="GY8" s="260"/>
      <c r="GZ8" s="298"/>
      <c r="HA8" s="260"/>
      <c r="HB8" s="259" t="s">
        <v>496</v>
      </c>
      <c r="HC8" s="259"/>
      <c r="HD8" s="259"/>
      <c r="HE8" s="259"/>
      <c r="HF8" s="280"/>
      <c r="HG8" s="277" t="s">
        <v>497</v>
      </c>
      <c r="HH8" s="280"/>
      <c r="HI8" s="277" t="s">
        <v>497</v>
      </c>
      <c r="HJ8" s="277" t="s">
        <v>498</v>
      </c>
      <c r="HK8" s="310" t="s">
        <v>499</v>
      </c>
      <c r="HL8" s="310"/>
      <c r="HM8" s="310"/>
      <c r="HN8" s="310"/>
      <c r="HO8" s="281" t="s">
        <v>497</v>
      </c>
      <c r="HP8" s="281"/>
      <c r="HQ8" s="322" t="s">
        <v>500</v>
      </c>
      <c r="HR8" s="322"/>
      <c r="HS8" s="322"/>
      <c r="HT8" s="281"/>
      <c r="HU8" s="277" t="s">
        <v>497</v>
      </c>
      <c r="HV8" s="277" t="s">
        <v>497</v>
      </c>
      <c r="HW8" s="310" t="s">
        <v>501</v>
      </c>
      <c r="HX8" s="310"/>
      <c r="HY8" s="310"/>
      <c r="HZ8" s="281"/>
      <c r="IA8" s="277" t="s">
        <v>497</v>
      </c>
      <c r="IB8" s="277" t="s">
        <v>497</v>
      </c>
      <c r="IC8" s="277" t="s">
        <v>502</v>
      </c>
      <c r="ID8" s="277" t="s">
        <v>503</v>
      </c>
      <c r="IE8" s="310"/>
      <c r="IF8" s="310"/>
      <c r="IG8" s="326"/>
      <c r="IH8" s="310" t="s">
        <v>501</v>
      </c>
      <c r="II8" s="310"/>
      <c r="IJ8" s="310"/>
      <c r="IK8" s="281"/>
      <c r="IL8" s="277" t="s">
        <v>497</v>
      </c>
      <c r="IM8" s="391" t="s">
        <v>497</v>
      </c>
      <c r="IN8" s="391" t="s">
        <v>497</v>
      </c>
      <c r="IO8" s="383"/>
      <c r="IP8" s="310"/>
      <c r="IQ8" s="310"/>
      <c r="IR8" s="326"/>
      <c r="IS8" s="383"/>
      <c r="IT8" s="310"/>
      <c r="IU8" s="260"/>
      <c r="IV8" s="298"/>
      <c r="IW8" s="260"/>
      <c r="IX8" s="348" t="s">
        <v>504</v>
      </c>
      <c r="IY8" s="354"/>
      <c r="IZ8" s="354"/>
      <c r="JA8" s="358"/>
      <c r="JB8" s="358"/>
      <c r="JC8" s="358"/>
      <c r="JD8" s="358"/>
      <c r="JE8" s="354"/>
      <c r="JF8" s="358"/>
      <c r="JG8" s="358"/>
      <c r="JH8" s="260"/>
      <c r="JI8" s="368"/>
      <c r="JJ8" s="369"/>
      <c r="JK8" s="369"/>
      <c r="JL8" s="368"/>
      <c r="JM8" s="368"/>
      <c r="JN8" s="260"/>
      <c r="JO8" s="362" t="s">
        <v>505</v>
      </c>
      <c r="JP8" s="362" t="s">
        <v>506</v>
      </c>
      <c r="JQ8" s="378" t="s">
        <v>507</v>
      </c>
      <c r="JR8" s="365"/>
      <c r="JS8" s="366"/>
      <c r="JT8" s="366"/>
      <c r="JU8" s="366"/>
      <c r="JV8" s="366"/>
      <c r="JW8" s="365"/>
      <c r="JX8" s="366" t="s">
        <v>508</v>
      </c>
      <c r="JY8" s="366"/>
      <c r="JZ8" s="260"/>
      <c r="KA8" s="362" t="s">
        <v>509</v>
      </c>
      <c r="KB8" s="373"/>
      <c r="KC8" s="362"/>
      <c r="KD8" s="362" t="s">
        <v>510</v>
      </c>
      <c r="KE8" s="378"/>
      <c r="KF8" s="362" t="s">
        <v>510</v>
      </c>
      <c r="KG8" s="366"/>
      <c r="KH8" s="366"/>
      <c r="KI8" s="366"/>
      <c r="KJ8" s="366" t="s">
        <v>511</v>
      </c>
      <c r="KK8" s="366" t="s">
        <v>511</v>
      </c>
      <c r="KL8" s="409"/>
      <c r="KM8" s="413"/>
      <c r="KN8" s="366"/>
      <c r="KO8" s="366"/>
      <c r="KP8" s="366"/>
      <c r="KQ8" s="366"/>
      <c r="KR8" s="366"/>
      <c r="KS8" s="366"/>
      <c r="KT8" s="366"/>
      <c r="KU8" s="366"/>
      <c r="KV8" s="366"/>
      <c r="KW8" s="409"/>
      <c r="KX8" s="362"/>
      <c r="KY8" s="362"/>
      <c r="KZ8" s="366"/>
      <c r="LA8" s="366"/>
      <c r="LB8" s="366"/>
      <c r="LC8" s="366"/>
      <c r="LD8" s="366"/>
      <c r="LE8" s="366"/>
      <c r="LF8" s="362"/>
      <c r="LG8" s="362"/>
      <c r="LH8" s="362"/>
      <c r="LI8" s="418"/>
      <c r="LJ8" s="413" t="s">
        <v>512</v>
      </c>
      <c r="LK8" s="362"/>
      <c r="LL8" s="260"/>
      <c r="LM8" s="397"/>
      <c r="LN8" s="442"/>
      <c r="LO8" s="397"/>
      <c r="LP8" s="408"/>
      <c r="LQ8" s="408"/>
      <c r="LR8" s="408"/>
      <c r="LS8" s="408"/>
      <c r="LT8" s="408"/>
      <c r="LU8" s="408"/>
      <c r="LV8" s="420"/>
      <c r="LW8" s="408"/>
      <c r="LX8" s="408"/>
      <c r="LY8" s="408"/>
      <c r="LZ8" s="408"/>
      <c r="MA8" s="408"/>
      <c r="MB8" s="408"/>
      <c r="MC8" s="408"/>
      <c r="MD8" s="408"/>
      <c r="ME8" s="408"/>
      <c r="MF8" s="422"/>
      <c r="MG8" s="423"/>
      <c r="MH8" s="424"/>
      <c r="MI8" s="426"/>
      <c r="MJ8" s="426"/>
      <c r="MK8" s="426"/>
      <c r="ML8" s="426"/>
      <c r="MM8" s="426"/>
      <c r="MN8" s="426"/>
      <c r="MO8" s="424"/>
      <c r="MP8" s="424"/>
      <c r="MQ8" s="424"/>
      <c r="MR8" s="397"/>
      <c r="MS8" s="362"/>
      <c r="MT8" s="362"/>
      <c r="MU8" s="378"/>
      <c r="MV8" s="362"/>
      <c r="MW8" s="366"/>
      <c r="MX8" s="366"/>
      <c r="MY8" s="366"/>
      <c r="MZ8" s="366"/>
      <c r="NA8" s="366"/>
      <c r="NB8" s="366"/>
      <c r="NC8" s="420"/>
      <c r="ND8" s="408"/>
      <c r="NE8" s="408"/>
      <c r="NF8" s="408"/>
      <c r="NG8" s="408"/>
      <c r="NH8" s="408"/>
      <c r="NI8" s="408"/>
      <c r="NJ8" s="408"/>
      <c r="NK8" s="408"/>
      <c r="NL8" s="408"/>
      <c r="NM8" s="422"/>
      <c r="NN8" s="397"/>
      <c r="NO8" s="397"/>
      <c r="NP8" s="407"/>
      <c r="NQ8" s="407"/>
      <c r="NR8" s="407"/>
      <c r="NS8" s="407"/>
      <c r="NT8" s="407"/>
      <c r="NU8" s="407"/>
      <c r="NV8" s="397"/>
      <c r="NW8" s="397"/>
      <c r="NX8" s="397"/>
      <c r="NY8" s="397"/>
      <c r="NZ8" s="362"/>
      <c r="OA8" s="362"/>
      <c r="OB8" s="362"/>
      <c r="OC8" s="362"/>
      <c r="OD8" s="229"/>
      <c r="OE8" s="229"/>
    </row>
    <row r="9" spans="1:395" ht="69">
      <c r="A9" s="228" t="s">
        <v>513</v>
      </c>
      <c r="B9" s="232" t="s">
        <v>514</v>
      </c>
      <c r="C9" s="251" t="s">
        <v>514</v>
      </c>
      <c r="D9" s="251" t="s">
        <v>514</v>
      </c>
      <c r="E9" s="232" t="s">
        <v>514</v>
      </c>
      <c r="F9" s="272" t="s">
        <v>515</v>
      </c>
      <c r="G9" s="272" t="s">
        <v>516</v>
      </c>
      <c r="H9" s="264" t="s">
        <v>516</v>
      </c>
      <c r="I9" s="232" t="s">
        <v>514</v>
      </c>
      <c r="J9" s="232"/>
      <c r="K9" s="232" t="s">
        <v>514</v>
      </c>
      <c r="L9" s="232" t="s">
        <v>514</v>
      </c>
      <c r="M9" s="232" t="s">
        <v>514</v>
      </c>
      <c r="N9" s="232" t="s">
        <v>514</v>
      </c>
      <c r="O9" s="232" t="s">
        <v>514</v>
      </c>
      <c r="P9" s="232" t="s">
        <v>514</v>
      </c>
      <c r="Q9" s="272"/>
      <c r="R9" s="297"/>
      <c r="S9" s="276"/>
      <c r="T9" s="264"/>
      <c r="U9" s="228"/>
      <c r="V9" s="297"/>
      <c r="W9" s="299"/>
      <c r="X9" s="293" t="s">
        <v>517</v>
      </c>
      <c r="Y9" s="293" t="s">
        <v>518</v>
      </c>
      <c r="Z9" s="276"/>
      <c r="AA9" s="297"/>
      <c r="AB9" s="276"/>
      <c r="AC9" s="232" t="s">
        <v>519</v>
      </c>
      <c r="AD9" s="232" t="s">
        <v>519</v>
      </c>
      <c r="AE9" s="232" t="s">
        <v>519</v>
      </c>
      <c r="AF9" s="232" t="s">
        <v>519</v>
      </c>
      <c r="AG9" s="264" t="s">
        <v>516</v>
      </c>
      <c r="AH9" s="264" t="s">
        <v>516</v>
      </c>
      <c r="AI9" s="264"/>
      <c r="AJ9" s="232"/>
      <c r="AK9" s="232"/>
      <c r="AL9" s="246"/>
      <c r="AM9" s="232"/>
      <c r="AN9" s="232"/>
      <c r="AO9" s="232"/>
      <c r="AP9" s="244"/>
      <c r="AQ9" s="232"/>
      <c r="AR9" s="232"/>
      <c r="AS9" s="232"/>
      <c r="AT9" s="232" t="s">
        <v>520</v>
      </c>
      <c r="AU9" s="276"/>
      <c r="AV9" s="297"/>
      <c r="AW9" s="276"/>
      <c r="AX9" s="232" t="s">
        <v>521</v>
      </c>
      <c r="AY9" s="232" t="s">
        <v>521</v>
      </c>
      <c r="AZ9" s="232" t="s">
        <v>521</v>
      </c>
      <c r="BA9" s="232" t="s">
        <v>521</v>
      </c>
      <c r="BB9" s="232" t="s">
        <v>521</v>
      </c>
      <c r="BC9" s="232" t="s">
        <v>521</v>
      </c>
      <c r="BD9" s="232" t="s">
        <v>521</v>
      </c>
      <c r="BE9" s="232" t="s">
        <v>521</v>
      </c>
      <c r="BF9" s="232" t="s">
        <v>521</v>
      </c>
      <c r="BG9" s="232" t="s">
        <v>522</v>
      </c>
      <c r="BH9" s="232" t="s">
        <v>523</v>
      </c>
      <c r="BI9" s="232"/>
      <c r="BJ9" s="232" t="s">
        <v>524</v>
      </c>
      <c r="BK9" s="232" t="s">
        <v>524</v>
      </c>
      <c r="BL9" s="232" t="s">
        <v>524</v>
      </c>
      <c r="BM9" s="232" t="s">
        <v>524</v>
      </c>
      <c r="BN9" s="251" t="s">
        <v>524</v>
      </c>
      <c r="BO9" s="251" t="s">
        <v>524</v>
      </c>
      <c r="BP9" s="232" t="s">
        <v>524</v>
      </c>
      <c r="BQ9" s="232" t="s">
        <v>524</v>
      </c>
      <c r="BR9" s="251" t="s">
        <v>524</v>
      </c>
      <c r="BS9" s="251" t="s">
        <v>524</v>
      </c>
      <c r="BT9" s="251" t="s">
        <v>524</v>
      </c>
      <c r="BU9" s="251" t="s">
        <v>524</v>
      </c>
      <c r="BV9" s="251" t="s">
        <v>524</v>
      </c>
      <c r="BW9" s="251" t="s">
        <v>524</v>
      </c>
      <c r="BX9" s="251" t="s">
        <v>524</v>
      </c>
      <c r="BY9" s="232"/>
      <c r="BZ9" s="232" t="s">
        <v>524</v>
      </c>
      <c r="CA9" s="232" t="s">
        <v>524</v>
      </c>
      <c r="CB9" s="232" t="s">
        <v>524</v>
      </c>
      <c r="CC9" s="232" t="s">
        <v>524</v>
      </c>
      <c r="CD9" s="232" t="s">
        <v>524</v>
      </c>
      <c r="CE9" s="232"/>
      <c r="CF9" s="232" t="s">
        <v>524</v>
      </c>
      <c r="CG9" s="232" t="s">
        <v>524</v>
      </c>
      <c r="CH9" s="232" t="s">
        <v>524</v>
      </c>
      <c r="CI9" s="232" t="s">
        <v>524</v>
      </c>
      <c r="CJ9" s="232" t="s">
        <v>524</v>
      </c>
      <c r="CK9" s="232" t="s">
        <v>524</v>
      </c>
      <c r="CL9" s="232" t="s">
        <v>524</v>
      </c>
      <c r="CM9" s="232" t="s">
        <v>524</v>
      </c>
      <c r="CN9" s="251" t="s">
        <v>524</v>
      </c>
      <c r="CO9" s="251" t="s">
        <v>524</v>
      </c>
      <c r="CP9" s="232" t="s">
        <v>524</v>
      </c>
      <c r="CQ9" s="276"/>
      <c r="CR9" s="297"/>
      <c r="CS9" s="276"/>
      <c r="CT9" s="232" t="s">
        <v>525</v>
      </c>
      <c r="CU9" s="264" t="s">
        <v>526</v>
      </c>
      <c r="CV9" s="264" t="s">
        <v>526</v>
      </c>
      <c r="CW9" s="273" t="s">
        <v>527</v>
      </c>
      <c r="CX9" s="232" t="s">
        <v>524</v>
      </c>
      <c r="CY9" s="232" t="s">
        <v>528</v>
      </c>
      <c r="CZ9" s="232" t="s">
        <v>524</v>
      </c>
      <c r="DA9" s="304" t="s">
        <v>529</v>
      </c>
      <c r="DB9" s="232" t="s">
        <v>530</v>
      </c>
      <c r="DC9" s="232"/>
      <c r="DD9" s="232" t="s">
        <v>522</v>
      </c>
      <c r="DE9" s="244" t="s">
        <v>522</v>
      </c>
      <c r="DF9" s="251" t="s">
        <v>522</v>
      </c>
      <c r="DG9" s="251" t="s">
        <v>522</v>
      </c>
      <c r="DH9" s="232" t="s">
        <v>522</v>
      </c>
      <c r="DI9" s="251" t="s">
        <v>522</v>
      </c>
      <c r="DJ9" s="265" t="s">
        <v>522</v>
      </c>
      <c r="DK9" s="244" t="s">
        <v>522</v>
      </c>
      <c r="DL9" s="251" t="s">
        <v>522</v>
      </c>
      <c r="DM9" s="329" t="s">
        <v>522</v>
      </c>
      <c r="DN9" s="232" t="s">
        <v>522</v>
      </c>
      <c r="DO9" s="251" t="s">
        <v>522</v>
      </c>
      <c r="DP9" s="390" t="s">
        <v>522</v>
      </c>
      <c r="DQ9" s="232" t="s">
        <v>522</v>
      </c>
      <c r="DR9" s="276"/>
      <c r="DS9" s="297"/>
      <c r="DT9" s="297"/>
      <c r="DU9" s="276"/>
      <c r="DV9" s="276"/>
      <c r="DW9" s="246" t="s">
        <v>522</v>
      </c>
      <c r="DX9" s="232" t="s">
        <v>528</v>
      </c>
      <c r="DY9" s="232" t="s">
        <v>524</v>
      </c>
      <c r="DZ9" s="232" t="s">
        <v>528</v>
      </c>
      <c r="EA9" s="232" t="s">
        <v>528</v>
      </c>
      <c r="EB9" s="232" t="s">
        <v>522</v>
      </c>
      <c r="EC9" s="232" t="s">
        <v>522</v>
      </c>
      <c r="ED9" s="232" t="s">
        <v>522</v>
      </c>
      <c r="EE9" s="232" t="s">
        <v>522</v>
      </c>
      <c r="EF9" s="244" t="s">
        <v>522</v>
      </c>
      <c r="EG9" s="232" t="s">
        <v>522</v>
      </c>
      <c r="EH9" s="232" t="s">
        <v>522</v>
      </c>
      <c r="EI9" s="232" t="s">
        <v>522</v>
      </c>
      <c r="EJ9" s="232" t="s">
        <v>522</v>
      </c>
      <c r="EK9" s="232" t="s">
        <v>522</v>
      </c>
      <c r="EL9" s="246" t="s">
        <v>522</v>
      </c>
      <c r="EM9" s="232" t="s">
        <v>522</v>
      </c>
      <c r="EN9" s="232" t="s">
        <v>522</v>
      </c>
      <c r="EO9" s="232" t="s">
        <v>522</v>
      </c>
      <c r="EP9" s="232" t="s">
        <v>522</v>
      </c>
      <c r="EQ9" s="232" t="s">
        <v>522</v>
      </c>
      <c r="ER9" s="232" t="s">
        <v>522</v>
      </c>
      <c r="ES9" s="244" t="s">
        <v>522</v>
      </c>
      <c r="ET9" s="251" t="s">
        <v>522</v>
      </c>
      <c r="EU9" s="251" t="s">
        <v>522</v>
      </c>
      <c r="EV9" s="251" t="s">
        <v>522</v>
      </c>
      <c r="EW9" s="251" t="s">
        <v>522</v>
      </c>
      <c r="EX9" s="244" t="s">
        <v>522</v>
      </c>
      <c r="EY9" s="232"/>
      <c r="EZ9" s="232" t="s">
        <v>522</v>
      </c>
      <c r="FA9" s="232" t="s">
        <v>522</v>
      </c>
      <c r="FB9" s="232" t="s">
        <v>522</v>
      </c>
      <c r="FC9" s="232" t="s">
        <v>522</v>
      </c>
      <c r="FD9" s="232" t="s">
        <v>522</v>
      </c>
      <c r="FE9" s="232" t="s">
        <v>516</v>
      </c>
      <c r="FF9" s="232" t="s">
        <v>522</v>
      </c>
      <c r="FG9" s="232" t="s">
        <v>522</v>
      </c>
      <c r="FH9" s="251" t="s">
        <v>522</v>
      </c>
      <c r="FI9" s="251" t="s">
        <v>522</v>
      </c>
      <c r="FJ9" s="251" t="s">
        <v>522</v>
      </c>
      <c r="FK9" s="251" t="s">
        <v>522</v>
      </c>
      <c r="FL9" s="244" t="s">
        <v>522</v>
      </c>
      <c r="FM9" s="251" t="s">
        <v>522</v>
      </c>
      <c r="FN9" s="251" t="s">
        <v>522</v>
      </c>
      <c r="FO9" s="251" t="s">
        <v>522</v>
      </c>
      <c r="FP9" s="251" t="s">
        <v>522</v>
      </c>
      <c r="FQ9" s="384" t="s">
        <v>522</v>
      </c>
      <c r="FR9" s="251" t="s">
        <v>522</v>
      </c>
      <c r="FS9" s="251" t="s">
        <v>522</v>
      </c>
      <c r="FT9" s="244" t="s">
        <v>522</v>
      </c>
      <c r="FU9" s="232"/>
      <c r="FV9" s="232" t="s">
        <v>522</v>
      </c>
      <c r="FW9" s="232" t="s">
        <v>522</v>
      </c>
      <c r="FX9" s="232" t="s">
        <v>522</v>
      </c>
      <c r="FY9" s="232" t="s">
        <v>522</v>
      </c>
      <c r="FZ9" s="232" t="s">
        <v>522</v>
      </c>
      <c r="GA9" s="232" t="s">
        <v>522</v>
      </c>
      <c r="GB9" s="244" t="s">
        <v>522</v>
      </c>
      <c r="GC9" s="251" t="s">
        <v>522</v>
      </c>
      <c r="GD9" s="251" t="s">
        <v>522</v>
      </c>
      <c r="GE9" s="251" t="s">
        <v>522</v>
      </c>
      <c r="GF9" s="251" t="s">
        <v>522</v>
      </c>
      <c r="GG9" s="244" t="s">
        <v>522</v>
      </c>
      <c r="GH9" s="251" t="s">
        <v>522</v>
      </c>
      <c r="GI9" s="251" t="s">
        <v>522</v>
      </c>
      <c r="GJ9" s="251" t="s">
        <v>522</v>
      </c>
      <c r="GK9" s="251" t="s">
        <v>522</v>
      </c>
      <c r="GL9" s="244" t="s">
        <v>522</v>
      </c>
      <c r="GM9" s="232"/>
      <c r="GN9" s="232" t="s">
        <v>522</v>
      </c>
      <c r="GO9" s="232" t="s">
        <v>522</v>
      </c>
      <c r="GP9" s="244" t="s">
        <v>522</v>
      </c>
      <c r="GQ9" s="251" t="s">
        <v>522</v>
      </c>
      <c r="GR9" s="251" t="s">
        <v>522</v>
      </c>
      <c r="GS9" s="232"/>
      <c r="GT9" s="232" t="s">
        <v>522</v>
      </c>
      <c r="GU9" s="232" t="s">
        <v>522</v>
      </c>
      <c r="GV9" s="232" t="s">
        <v>522</v>
      </c>
      <c r="GW9" s="232" t="s">
        <v>522</v>
      </c>
      <c r="GX9" s="232" t="s">
        <v>522</v>
      </c>
      <c r="GY9" s="276"/>
      <c r="GZ9" s="297"/>
      <c r="HA9" s="276"/>
      <c r="HB9" s="232" t="s">
        <v>524</v>
      </c>
      <c r="HC9" s="232" t="s">
        <v>524</v>
      </c>
      <c r="HD9" s="232" t="s">
        <v>528</v>
      </c>
      <c r="HE9" s="232" t="s">
        <v>528</v>
      </c>
      <c r="HF9" s="232"/>
      <c r="HG9" s="232" t="s">
        <v>521</v>
      </c>
      <c r="HH9" s="232"/>
      <c r="HI9" s="232" t="s">
        <v>528</v>
      </c>
      <c r="HJ9" s="232" t="s">
        <v>522</v>
      </c>
      <c r="HK9" s="251" t="s">
        <v>522</v>
      </c>
      <c r="HL9" s="251" t="s">
        <v>522</v>
      </c>
      <c r="HM9" s="251" t="s">
        <v>522</v>
      </c>
      <c r="HN9" s="251"/>
      <c r="HO9" s="232" t="s">
        <v>521</v>
      </c>
      <c r="HP9" s="232" t="s">
        <v>522</v>
      </c>
      <c r="HQ9" s="251" t="s">
        <v>522</v>
      </c>
      <c r="HR9" s="251" t="s">
        <v>522</v>
      </c>
      <c r="HS9" s="251" t="s">
        <v>522</v>
      </c>
      <c r="HT9" s="232"/>
      <c r="HU9" s="232" t="s">
        <v>521</v>
      </c>
      <c r="HV9" s="232" t="s">
        <v>522</v>
      </c>
      <c r="HW9" s="251" t="s">
        <v>522</v>
      </c>
      <c r="HX9" s="251" t="s">
        <v>522</v>
      </c>
      <c r="HY9" s="251" t="s">
        <v>522</v>
      </c>
      <c r="HZ9" s="232"/>
      <c r="IA9" s="232" t="s">
        <v>521</v>
      </c>
      <c r="IB9" s="232" t="s">
        <v>521</v>
      </c>
      <c r="IC9" s="232" t="s">
        <v>522</v>
      </c>
      <c r="ID9" s="232" t="s">
        <v>522</v>
      </c>
      <c r="IE9" s="251" t="s">
        <v>522</v>
      </c>
      <c r="IF9" s="251" t="s">
        <v>522</v>
      </c>
      <c r="IG9" s="265" t="s">
        <v>522</v>
      </c>
      <c r="IH9" s="251" t="s">
        <v>522</v>
      </c>
      <c r="II9" s="251" t="s">
        <v>522</v>
      </c>
      <c r="IJ9" s="251" t="s">
        <v>522</v>
      </c>
      <c r="IK9" s="232"/>
      <c r="IL9" s="232" t="s">
        <v>522</v>
      </c>
      <c r="IM9" s="249" t="s">
        <v>522</v>
      </c>
      <c r="IN9" s="249" t="s">
        <v>522</v>
      </c>
      <c r="IO9" s="384" t="s">
        <v>522</v>
      </c>
      <c r="IP9" s="251" t="s">
        <v>522</v>
      </c>
      <c r="IQ9" s="251" t="s">
        <v>522</v>
      </c>
      <c r="IR9" s="265" t="s">
        <v>522</v>
      </c>
      <c r="IS9" s="384" t="s">
        <v>522</v>
      </c>
      <c r="IT9" s="251" t="s">
        <v>522</v>
      </c>
      <c r="IU9" s="276"/>
      <c r="IV9" s="297"/>
      <c r="IW9" s="276"/>
      <c r="IX9" s="349" t="s">
        <v>531</v>
      </c>
      <c r="IY9" s="355" t="s">
        <v>531</v>
      </c>
      <c r="IZ9" s="355" t="s">
        <v>531</v>
      </c>
      <c r="JA9" s="359" t="s">
        <v>531</v>
      </c>
      <c r="JB9" s="359" t="s">
        <v>531</v>
      </c>
      <c r="JC9" s="359" t="s">
        <v>531</v>
      </c>
      <c r="JD9" s="359" t="s">
        <v>531</v>
      </c>
      <c r="JE9" s="355" t="s">
        <v>531</v>
      </c>
      <c r="JF9" s="359" t="s">
        <v>531</v>
      </c>
      <c r="JG9" s="359" t="s">
        <v>531</v>
      </c>
      <c r="JH9" s="276"/>
      <c r="JI9" s="227" t="s">
        <v>532</v>
      </c>
      <c r="JJ9" s="364" t="s">
        <v>532</v>
      </c>
      <c r="JK9" s="364" t="s">
        <v>532</v>
      </c>
      <c r="JL9" s="227" t="s">
        <v>532</v>
      </c>
      <c r="JM9" s="227" t="s">
        <v>532</v>
      </c>
      <c r="JN9" s="276"/>
      <c r="JO9" s="227" t="s">
        <v>532</v>
      </c>
      <c r="JP9" s="227" t="s">
        <v>532</v>
      </c>
      <c r="JQ9" s="379" t="s">
        <v>532</v>
      </c>
      <c r="JR9" s="364" t="s">
        <v>532</v>
      </c>
      <c r="JS9" s="367" t="s">
        <v>532</v>
      </c>
      <c r="JT9" s="367" t="s">
        <v>532</v>
      </c>
      <c r="JU9" s="367" t="s">
        <v>532</v>
      </c>
      <c r="JV9" s="367" t="s">
        <v>532</v>
      </c>
      <c r="JW9" s="364" t="s">
        <v>532</v>
      </c>
      <c r="JX9" s="367" t="s">
        <v>532</v>
      </c>
      <c r="JY9" s="367" t="s">
        <v>532</v>
      </c>
      <c r="JZ9" s="276"/>
      <c r="KA9" s="367" t="s">
        <v>532</v>
      </c>
      <c r="KB9" s="372"/>
      <c r="KC9" s="227" t="s">
        <v>532</v>
      </c>
      <c r="KD9" s="227" t="s">
        <v>532</v>
      </c>
      <c r="KE9" s="379" t="s">
        <v>532</v>
      </c>
      <c r="KF9" s="227" t="s">
        <v>532</v>
      </c>
      <c r="KG9" s="367" t="s">
        <v>532</v>
      </c>
      <c r="KH9" s="367" t="s">
        <v>532</v>
      </c>
      <c r="KI9" s="367" t="s">
        <v>532</v>
      </c>
      <c r="KJ9" s="367" t="s">
        <v>532</v>
      </c>
      <c r="KK9" s="367" t="s">
        <v>532</v>
      </c>
      <c r="KL9" s="411" t="s">
        <v>532</v>
      </c>
      <c r="KM9" s="414" t="s">
        <v>532</v>
      </c>
      <c r="KN9" s="367" t="s">
        <v>532</v>
      </c>
      <c r="KO9" s="367" t="s">
        <v>532</v>
      </c>
      <c r="KP9" s="367" t="s">
        <v>532</v>
      </c>
      <c r="KQ9" s="367" t="s">
        <v>532</v>
      </c>
      <c r="KR9" s="367" t="s">
        <v>532</v>
      </c>
      <c r="KS9" s="367" t="s">
        <v>532</v>
      </c>
      <c r="KT9" s="367" t="s">
        <v>532</v>
      </c>
      <c r="KU9" s="367" t="s">
        <v>532</v>
      </c>
      <c r="KV9" s="367" t="s">
        <v>532</v>
      </c>
      <c r="KW9" s="411" t="s">
        <v>532</v>
      </c>
      <c r="KX9" s="227" t="s">
        <v>532</v>
      </c>
      <c r="KY9" s="227" t="s">
        <v>532</v>
      </c>
      <c r="KZ9" s="367" t="s">
        <v>532</v>
      </c>
      <c r="LA9" s="367" t="s">
        <v>532</v>
      </c>
      <c r="LB9" s="367" t="s">
        <v>532</v>
      </c>
      <c r="LC9" s="367" t="s">
        <v>532</v>
      </c>
      <c r="LD9" s="367" t="s">
        <v>532</v>
      </c>
      <c r="LE9" s="367" t="s">
        <v>532</v>
      </c>
      <c r="LF9" s="227" t="s">
        <v>532</v>
      </c>
      <c r="LG9" s="227" t="s">
        <v>532</v>
      </c>
      <c r="LH9" s="227" t="s">
        <v>532</v>
      </c>
      <c r="LI9" s="419" t="s">
        <v>532</v>
      </c>
      <c r="LJ9" s="414" t="s">
        <v>532</v>
      </c>
      <c r="LK9" s="227"/>
      <c r="LL9" s="227" t="s">
        <v>532</v>
      </c>
      <c r="LM9" s="227" t="s">
        <v>532</v>
      </c>
      <c r="LN9" s="379" t="s">
        <v>532</v>
      </c>
      <c r="LO9" s="227" t="s">
        <v>532</v>
      </c>
      <c r="LP9" s="367" t="s">
        <v>532</v>
      </c>
      <c r="LQ9" s="367" t="s">
        <v>532</v>
      </c>
      <c r="LR9" s="367" t="s">
        <v>532</v>
      </c>
      <c r="LS9" s="367" t="s">
        <v>532</v>
      </c>
      <c r="LT9" s="367" t="s">
        <v>532</v>
      </c>
      <c r="LU9" s="367" t="s">
        <v>532</v>
      </c>
      <c r="LV9" s="414" t="s">
        <v>532</v>
      </c>
      <c r="LW9" s="367" t="s">
        <v>532</v>
      </c>
      <c r="LX9" s="367" t="s">
        <v>532</v>
      </c>
      <c r="LY9" s="367" t="s">
        <v>532</v>
      </c>
      <c r="LZ9" s="367" t="s">
        <v>532</v>
      </c>
      <c r="MA9" s="367" t="s">
        <v>532</v>
      </c>
      <c r="MB9" s="367" t="s">
        <v>532</v>
      </c>
      <c r="MC9" s="367" t="s">
        <v>532</v>
      </c>
      <c r="MD9" s="367" t="s">
        <v>532</v>
      </c>
      <c r="ME9" s="367" t="s">
        <v>532</v>
      </c>
      <c r="MF9" s="411" t="s">
        <v>532</v>
      </c>
      <c r="MG9" s="414" t="s">
        <v>532</v>
      </c>
      <c r="MH9" s="227" t="s">
        <v>532</v>
      </c>
      <c r="MI9" s="406" t="s">
        <v>532</v>
      </c>
      <c r="MJ9" s="406" t="s">
        <v>532</v>
      </c>
      <c r="MK9" s="406" t="s">
        <v>532</v>
      </c>
      <c r="ML9" s="406" t="s">
        <v>532</v>
      </c>
      <c r="MM9" s="406" t="s">
        <v>532</v>
      </c>
      <c r="MN9" s="406" t="s">
        <v>532</v>
      </c>
      <c r="MO9" s="227" t="s">
        <v>532</v>
      </c>
      <c r="MP9" s="227" t="s">
        <v>532</v>
      </c>
      <c r="MQ9" s="227" t="s">
        <v>532</v>
      </c>
      <c r="MR9" s="227"/>
      <c r="MS9" s="227" t="s">
        <v>532</v>
      </c>
      <c r="MT9" s="227" t="s">
        <v>532</v>
      </c>
      <c r="MU9" s="379" t="s">
        <v>532</v>
      </c>
      <c r="MV9" s="227" t="s">
        <v>532</v>
      </c>
      <c r="MW9" s="367" t="s">
        <v>532</v>
      </c>
      <c r="MX9" s="367" t="s">
        <v>532</v>
      </c>
      <c r="MY9" s="367" t="s">
        <v>532</v>
      </c>
      <c r="MZ9" s="367" t="s">
        <v>532</v>
      </c>
      <c r="NA9" s="367" t="s">
        <v>532</v>
      </c>
      <c r="NB9" s="367" t="s">
        <v>532</v>
      </c>
      <c r="NC9" s="414" t="s">
        <v>532</v>
      </c>
      <c r="ND9" s="367" t="s">
        <v>532</v>
      </c>
      <c r="NE9" s="367" t="s">
        <v>532</v>
      </c>
      <c r="NF9" s="367" t="s">
        <v>532</v>
      </c>
      <c r="NG9" s="367" t="s">
        <v>532</v>
      </c>
      <c r="NH9" s="367" t="s">
        <v>532</v>
      </c>
      <c r="NI9" s="367" t="s">
        <v>532</v>
      </c>
      <c r="NJ9" s="367" t="s">
        <v>532</v>
      </c>
      <c r="NK9" s="367" t="s">
        <v>532</v>
      </c>
      <c r="NL9" s="367" t="s">
        <v>532</v>
      </c>
      <c r="NM9" s="411" t="s">
        <v>532</v>
      </c>
      <c r="NN9" s="227" t="s">
        <v>532</v>
      </c>
      <c r="NO9" s="227" t="s">
        <v>532</v>
      </c>
      <c r="NP9" s="406" t="s">
        <v>532</v>
      </c>
      <c r="NQ9" s="406" t="s">
        <v>532</v>
      </c>
      <c r="NR9" s="406" t="s">
        <v>532</v>
      </c>
      <c r="NS9" s="406" t="s">
        <v>532</v>
      </c>
      <c r="NT9" s="406" t="s">
        <v>532</v>
      </c>
      <c r="NU9" s="406" t="s">
        <v>532</v>
      </c>
      <c r="NV9" s="227" t="s">
        <v>532</v>
      </c>
      <c r="NW9" s="227" t="s">
        <v>532</v>
      </c>
      <c r="NX9" s="227" t="s">
        <v>532</v>
      </c>
      <c r="NY9" s="396"/>
      <c r="NZ9" s="227" t="s">
        <v>533</v>
      </c>
      <c r="OA9" s="227" t="s">
        <v>533</v>
      </c>
      <c r="OB9" s="227" t="s">
        <v>533</v>
      </c>
      <c r="OC9" s="227" t="s">
        <v>533</v>
      </c>
      <c r="OD9" s="299"/>
      <c r="OE9" s="299"/>
    </row>
    <row r="10" spans="1:395">
      <c r="A10" s="240">
        <v>1950</v>
      </c>
      <c r="B10" s="269">
        <v>55196</v>
      </c>
      <c r="C10" s="310">
        <v>6169</v>
      </c>
      <c r="D10" s="310">
        <v>49027</v>
      </c>
      <c r="E10" s="310"/>
      <c r="F10" s="237"/>
      <c r="G10" s="237"/>
      <c r="H10" s="263"/>
      <c r="I10" s="236"/>
      <c r="J10" s="237"/>
      <c r="K10" s="236"/>
      <c r="L10" s="236"/>
      <c r="M10" s="236"/>
      <c r="N10" s="236"/>
      <c r="O10" s="236"/>
      <c r="P10" s="236"/>
      <c r="Q10" s="237"/>
      <c r="R10" s="295"/>
      <c r="T10" s="263"/>
      <c r="U10" s="240"/>
      <c r="V10" s="295"/>
      <c r="X10" s="291"/>
      <c r="Y10" s="291"/>
      <c r="AA10" s="295"/>
      <c r="AC10" s="236"/>
      <c r="AD10" s="236"/>
      <c r="AE10" s="236"/>
      <c r="AL10" s="242"/>
      <c r="AP10" s="241"/>
      <c r="AV10" s="295"/>
      <c r="AZ10" s="268"/>
      <c r="BA10" s="268"/>
      <c r="BB10" s="268"/>
      <c r="BC10" s="268"/>
      <c r="BD10" s="268"/>
      <c r="BE10" s="236"/>
      <c r="BF10" s="236"/>
      <c r="BG10" s="236"/>
      <c r="BH10" s="236"/>
      <c r="BI10" s="236"/>
      <c r="BJ10" s="236"/>
      <c r="BK10" s="236"/>
      <c r="BL10" s="236"/>
      <c r="BM10" s="236"/>
      <c r="BN10" s="310"/>
      <c r="BO10" s="310"/>
      <c r="BP10" s="236"/>
      <c r="BQ10" s="236"/>
      <c r="BR10" s="310"/>
      <c r="BS10" s="310"/>
      <c r="BT10" s="310"/>
      <c r="BU10" s="310"/>
      <c r="BV10" s="310"/>
      <c r="BW10" s="310"/>
      <c r="BX10" s="310"/>
      <c r="BY10" s="236"/>
      <c r="BZ10" s="236"/>
      <c r="CA10" s="236"/>
      <c r="CB10" s="236"/>
      <c r="CC10" s="236"/>
      <c r="CD10" s="236"/>
      <c r="CE10" s="236"/>
      <c r="CF10" s="236"/>
      <c r="CG10" s="236"/>
      <c r="CH10" s="236"/>
      <c r="CI10" s="236"/>
      <c r="CJ10" s="236"/>
      <c r="CK10" s="236"/>
      <c r="CL10" s="236"/>
      <c r="CM10" s="236"/>
      <c r="CN10" s="310"/>
      <c r="CO10" s="310"/>
      <c r="CP10" s="236"/>
      <c r="CR10" s="295"/>
      <c r="CT10" s="236"/>
      <c r="CU10" s="263"/>
      <c r="CV10" s="263"/>
      <c r="CW10" s="263"/>
      <c r="CX10" s="236"/>
      <c r="CY10" s="236"/>
      <c r="CZ10" s="236"/>
      <c r="DA10" s="302"/>
      <c r="DB10" s="236"/>
      <c r="DC10" s="236"/>
      <c r="DD10" s="236"/>
      <c r="DE10" s="244"/>
      <c r="DF10" s="251"/>
      <c r="DG10" s="251"/>
      <c r="DH10" s="236"/>
      <c r="DI10" s="310"/>
      <c r="DJ10" s="326"/>
      <c r="DK10" s="254"/>
      <c r="DL10" s="251"/>
      <c r="DM10" s="258"/>
      <c r="DN10" s="236"/>
      <c r="DO10" s="251"/>
      <c r="DQ10" s="241"/>
      <c r="DS10" s="295"/>
      <c r="DT10" s="295"/>
      <c r="DW10" s="242"/>
      <c r="DX10" s="234"/>
      <c r="EF10" s="241"/>
      <c r="EL10" s="242"/>
      <c r="ES10" s="241"/>
      <c r="EX10" s="241"/>
      <c r="FH10" s="250"/>
      <c r="FI10" s="250"/>
      <c r="FJ10" s="250"/>
      <c r="FK10" s="250"/>
      <c r="FL10" s="257"/>
      <c r="FQ10" s="241"/>
      <c r="FR10" s="234"/>
      <c r="FS10" s="234"/>
      <c r="FT10" s="241"/>
      <c r="GB10" s="241"/>
      <c r="GC10" s="250"/>
      <c r="GD10" s="250"/>
      <c r="GE10" s="250"/>
      <c r="GF10" s="250"/>
      <c r="GG10" s="257"/>
      <c r="GL10" s="241"/>
      <c r="GP10" s="254"/>
      <c r="GZ10" s="295"/>
      <c r="HK10" s="250"/>
      <c r="HL10" s="250"/>
      <c r="HM10" s="250"/>
      <c r="HN10" s="250"/>
      <c r="HQ10" s="321"/>
      <c r="HR10" s="321"/>
      <c r="HS10" s="321"/>
      <c r="HW10" s="250"/>
      <c r="HX10" s="250"/>
      <c r="HY10" s="250"/>
      <c r="IE10" s="250"/>
      <c r="IF10" s="250"/>
      <c r="IG10" s="258"/>
      <c r="IH10" s="250"/>
      <c r="II10" s="250"/>
      <c r="IJ10" s="250"/>
      <c r="IO10" s="257"/>
      <c r="IR10" s="258"/>
      <c r="IS10" s="257"/>
      <c r="IV10" s="295"/>
      <c r="JQ10" s="377"/>
      <c r="KL10" s="409"/>
      <c r="KM10" s="388"/>
      <c r="KW10" s="409"/>
      <c r="LI10" s="416"/>
      <c r="LJ10" s="388"/>
      <c r="LV10" s="421"/>
      <c r="MF10" s="422"/>
      <c r="MG10" s="425"/>
      <c r="NC10" s="421"/>
      <c r="NM10" s="422"/>
    </row>
    <row r="11" spans="1:395">
      <c r="A11" s="240">
        <v>1951</v>
      </c>
      <c r="B11" s="269">
        <v>56300</v>
      </c>
      <c r="C11" s="310">
        <v>6632</v>
      </c>
      <c r="D11" s="310">
        <v>49668</v>
      </c>
      <c r="E11" s="310"/>
      <c r="F11" s="237"/>
      <c r="G11" s="237"/>
      <c r="H11" s="263"/>
      <c r="I11" s="236"/>
      <c r="J11" s="237"/>
      <c r="K11" s="236"/>
      <c r="L11" s="236"/>
      <c r="M11" s="236"/>
      <c r="N11" s="236"/>
      <c r="O11" s="236"/>
      <c r="P11" s="236"/>
      <c r="Q11" s="237"/>
      <c r="R11" s="295"/>
      <c r="T11" s="263"/>
      <c r="U11" s="240"/>
      <c r="V11" s="295"/>
      <c r="X11" s="291"/>
      <c r="Y11" s="291"/>
      <c r="AA11" s="295"/>
      <c r="AC11" s="236"/>
      <c r="AD11" s="236"/>
      <c r="AE11" s="236"/>
      <c r="AL11" s="242"/>
      <c r="AP11" s="241"/>
      <c r="AV11" s="295"/>
      <c r="AZ11" s="268"/>
      <c r="BA11" s="268"/>
      <c r="BB11" s="268"/>
      <c r="BC11" s="268"/>
      <c r="BD11" s="268"/>
      <c r="BE11" s="236"/>
      <c r="BF11" s="236"/>
      <c r="BG11" s="236"/>
      <c r="BH11" s="236"/>
      <c r="BI11" s="236"/>
      <c r="BJ11" s="236"/>
      <c r="BK11" s="236"/>
      <c r="BL11" s="236"/>
      <c r="BM11" s="236"/>
      <c r="BN11" s="310"/>
      <c r="BO11" s="310"/>
      <c r="BP11" s="236"/>
      <c r="BQ11" s="236"/>
      <c r="BR11" s="310"/>
      <c r="BS11" s="310"/>
      <c r="BT11" s="310"/>
      <c r="BU11" s="310"/>
      <c r="BV11" s="310"/>
      <c r="BW11" s="310"/>
      <c r="BX11" s="310"/>
      <c r="BY11" s="236"/>
      <c r="BZ11" s="236"/>
      <c r="CA11" s="236"/>
      <c r="CB11" s="236"/>
      <c r="CC11" s="236"/>
      <c r="CD11" s="236"/>
      <c r="CE11" s="236"/>
      <c r="CF11" s="236"/>
      <c r="CG11" s="236"/>
      <c r="CH11" s="236"/>
      <c r="CI11" s="236"/>
      <c r="CJ11" s="236"/>
      <c r="CK11" s="236"/>
      <c r="CL11" s="236"/>
      <c r="CM11" s="236"/>
      <c r="CN11" s="310"/>
      <c r="CO11" s="310"/>
      <c r="CP11" s="236"/>
      <c r="CR11" s="295"/>
      <c r="CT11" s="236"/>
      <c r="CU11" s="263"/>
      <c r="CV11" s="263"/>
      <c r="CW11" s="263"/>
      <c r="CX11" s="236"/>
      <c r="CY11" s="236"/>
      <c r="CZ11" s="236"/>
      <c r="DA11" s="302"/>
      <c r="DB11" s="236"/>
      <c r="DC11" s="236"/>
      <c r="DD11" s="236"/>
      <c r="DE11" s="244"/>
      <c r="DF11" s="251"/>
      <c r="DG11" s="251"/>
      <c r="DH11" s="236"/>
      <c r="DI11" s="310"/>
      <c r="DJ11" s="326"/>
      <c r="DK11" s="254"/>
      <c r="DL11" s="251"/>
      <c r="DM11" s="258"/>
      <c r="DN11" s="236"/>
      <c r="DO11" s="251"/>
      <c r="DQ11" s="241"/>
      <c r="DS11" s="295"/>
      <c r="DT11" s="295"/>
      <c r="DW11" s="242"/>
      <c r="DX11" s="234"/>
      <c r="EF11" s="241"/>
      <c r="EL11" s="242"/>
      <c r="ES11" s="241"/>
      <c r="EX11" s="241"/>
      <c r="FH11" s="250"/>
      <c r="FI11" s="250"/>
      <c r="FJ11" s="250"/>
      <c r="FK11" s="250"/>
      <c r="FL11" s="257"/>
      <c r="FQ11" s="241"/>
      <c r="FR11" s="234"/>
      <c r="FS11" s="234"/>
      <c r="FT11" s="241"/>
      <c r="GB11" s="241"/>
      <c r="GC11" s="250"/>
      <c r="GD11" s="250"/>
      <c r="GE11" s="250"/>
      <c r="GF11" s="250"/>
      <c r="GG11" s="257"/>
      <c r="GL11" s="241"/>
      <c r="GP11" s="254"/>
      <c r="GZ11" s="295"/>
      <c r="HK11" s="250"/>
      <c r="HL11" s="250"/>
      <c r="HM11" s="250"/>
      <c r="HN11" s="250"/>
      <c r="HQ11" s="321"/>
      <c r="HR11" s="321"/>
      <c r="HS11" s="321"/>
      <c r="HW11" s="250"/>
      <c r="HX11" s="250"/>
      <c r="HY11" s="250"/>
      <c r="IE11" s="250"/>
      <c r="IF11" s="250"/>
      <c r="IG11" s="258"/>
      <c r="IH11" s="250"/>
      <c r="II11" s="250"/>
      <c r="IJ11" s="250"/>
      <c r="IO11" s="257"/>
      <c r="IR11" s="258"/>
      <c r="IS11" s="257"/>
      <c r="IV11" s="295"/>
      <c r="JQ11" s="377"/>
      <c r="KL11" s="409"/>
      <c r="KM11" s="388"/>
      <c r="KW11" s="409"/>
      <c r="LI11" s="416"/>
      <c r="LJ11" s="388"/>
      <c r="LV11" s="421"/>
      <c r="MF11" s="422"/>
      <c r="MG11" s="425"/>
      <c r="NC11" s="421"/>
      <c r="NM11" s="422"/>
    </row>
    <row r="12" spans="1:395">
      <c r="A12" s="240">
        <v>1952</v>
      </c>
      <c r="B12" s="269">
        <v>57482</v>
      </c>
      <c r="C12" s="310">
        <v>7163</v>
      </c>
      <c r="D12" s="310">
        <v>50319</v>
      </c>
      <c r="E12" s="236">
        <v>20729</v>
      </c>
      <c r="F12" s="237"/>
      <c r="G12" s="237"/>
      <c r="H12" s="263"/>
      <c r="I12" s="236"/>
      <c r="J12" s="237"/>
      <c r="K12" s="236"/>
      <c r="L12" s="236"/>
      <c r="M12" s="236"/>
      <c r="N12" s="236"/>
      <c r="O12" s="236"/>
      <c r="P12" s="236"/>
      <c r="Q12" s="237"/>
      <c r="R12" s="295"/>
      <c r="T12" s="263"/>
      <c r="U12" s="240"/>
      <c r="V12" s="295"/>
      <c r="X12" s="291"/>
      <c r="Y12" s="291"/>
      <c r="AA12" s="295"/>
      <c r="AC12" s="236"/>
      <c r="AD12" s="236"/>
      <c r="AE12" s="236"/>
      <c r="AL12" s="242"/>
      <c r="AP12" s="241"/>
      <c r="AV12" s="295"/>
      <c r="AZ12" s="268"/>
      <c r="BA12" s="268"/>
      <c r="BB12" s="268"/>
      <c r="BC12" s="268"/>
      <c r="BD12" s="268">
        <v>679</v>
      </c>
      <c r="BE12" s="236">
        <v>679</v>
      </c>
      <c r="BF12" s="236"/>
      <c r="BG12" s="236"/>
      <c r="BH12" s="236"/>
      <c r="BI12" s="236"/>
      <c r="BJ12" s="236">
        <v>679</v>
      </c>
      <c r="BK12" s="236"/>
      <c r="BL12" s="236">
        <v>345.9756428144309</v>
      </c>
      <c r="BM12" s="236">
        <v>141.80000000000001</v>
      </c>
      <c r="BN12" s="310">
        <v>119.8</v>
      </c>
      <c r="BO12" s="310">
        <v>22</v>
      </c>
      <c r="BP12" s="236">
        <v>191.22435718556909</v>
      </c>
      <c r="BQ12" s="236"/>
      <c r="BR12" s="310">
        <v>29</v>
      </c>
      <c r="BS12" s="310">
        <v>70.143968017673288</v>
      </c>
      <c r="BT12" s="310">
        <v>14.701319098059447</v>
      </c>
      <c r="BU12" s="310">
        <v>11</v>
      </c>
      <c r="BV12" s="310">
        <v>14</v>
      </c>
      <c r="BW12" s="310"/>
      <c r="BX12" s="310">
        <v>52.379070069836359</v>
      </c>
      <c r="BY12" s="236"/>
      <c r="BZ12" s="236"/>
      <c r="CA12" s="236"/>
      <c r="CB12" s="236"/>
      <c r="CC12" s="236"/>
      <c r="CD12" s="236"/>
      <c r="CE12" s="236"/>
      <c r="CF12" s="236"/>
      <c r="CG12" s="236"/>
      <c r="CH12" s="236"/>
      <c r="CI12" s="236"/>
      <c r="CJ12" s="236"/>
      <c r="CK12" s="236"/>
      <c r="CL12" s="236"/>
      <c r="CM12" s="236"/>
      <c r="CN12" s="310"/>
      <c r="CO12" s="310"/>
      <c r="CP12" s="236"/>
      <c r="CR12" s="295"/>
      <c r="CT12" s="236"/>
      <c r="CU12" s="263"/>
      <c r="CV12" s="263"/>
      <c r="CW12" s="239">
        <v>2.8999999999999998E-2</v>
      </c>
      <c r="CX12" s="236"/>
      <c r="CY12" s="236"/>
      <c r="CZ12" s="236"/>
      <c r="DA12" s="302"/>
      <c r="DB12" s="236"/>
      <c r="DC12" s="236"/>
      <c r="DD12" s="236"/>
      <c r="DE12" s="244"/>
      <c r="DF12" s="251"/>
      <c r="DG12" s="251"/>
      <c r="DH12" s="236"/>
      <c r="DI12" s="310"/>
      <c r="DJ12" s="326"/>
      <c r="DK12" s="254"/>
      <c r="DL12" s="251"/>
      <c r="DM12" s="258"/>
      <c r="DN12" s="236"/>
      <c r="DO12" s="251"/>
      <c r="DQ12" s="241"/>
      <c r="DS12" s="295"/>
      <c r="DT12" s="295"/>
      <c r="DW12" s="242"/>
      <c r="DX12" s="234"/>
      <c r="EF12" s="241"/>
      <c r="EL12" s="242"/>
      <c r="ES12" s="241"/>
      <c r="EX12" s="241"/>
      <c r="FH12" s="250"/>
      <c r="FI12" s="250"/>
      <c r="FJ12" s="250"/>
      <c r="FK12" s="250"/>
      <c r="FL12" s="257"/>
      <c r="FQ12" s="241"/>
      <c r="FR12" s="234"/>
      <c r="FS12" s="234"/>
      <c r="FT12" s="241"/>
      <c r="GB12" s="241"/>
      <c r="GC12" s="250"/>
      <c r="GD12" s="250"/>
      <c r="GE12" s="250"/>
      <c r="GF12" s="250"/>
      <c r="GG12" s="257"/>
      <c r="GL12" s="241"/>
      <c r="GP12" s="254"/>
      <c r="GZ12" s="295"/>
      <c r="HB12" s="234">
        <v>8.6</v>
      </c>
      <c r="HK12" s="250"/>
      <c r="HL12" s="250"/>
      <c r="HM12" s="250"/>
      <c r="HN12" s="250"/>
      <c r="HQ12" s="321"/>
      <c r="HR12" s="321"/>
      <c r="HS12" s="321"/>
      <c r="HW12" s="250"/>
      <c r="HX12" s="250"/>
      <c r="HY12" s="250"/>
      <c r="IE12" s="250"/>
      <c r="IF12" s="250"/>
      <c r="IG12" s="258"/>
      <c r="IH12" s="250"/>
      <c r="II12" s="250"/>
      <c r="IJ12" s="250"/>
      <c r="IO12" s="257"/>
      <c r="IR12" s="258"/>
      <c r="IS12" s="257"/>
      <c r="IV12" s="295"/>
      <c r="JQ12" s="377"/>
      <c r="KL12" s="409"/>
      <c r="KM12" s="388"/>
      <c r="KW12" s="409"/>
      <c r="LI12" s="416"/>
      <c r="LJ12" s="388"/>
      <c r="LV12" s="421"/>
      <c r="MF12" s="422"/>
      <c r="MG12" s="425"/>
      <c r="NC12" s="421"/>
      <c r="NM12" s="422"/>
    </row>
    <row r="13" spans="1:395">
      <c r="A13" s="240">
        <v>1953</v>
      </c>
      <c r="B13" s="269">
        <v>58796</v>
      </c>
      <c r="C13" s="310">
        <v>7826</v>
      </c>
      <c r="D13" s="310">
        <v>50970</v>
      </c>
      <c r="E13" s="236">
        <v>21364</v>
      </c>
      <c r="F13" s="237"/>
      <c r="G13" s="237"/>
      <c r="H13" s="263"/>
      <c r="I13" s="236"/>
      <c r="J13" s="237"/>
      <c r="K13" s="236"/>
      <c r="L13" s="236"/>
      <c r="M13" s="236"/>
      <c r="N13" s="236"/>
      <c r="O13" s="236"/>
      <c r="P13" s="236"/>
      <c r="Q13" s="237"/>
      <c r="R13" s="295"/>
      <c r="T13" s="263"/>
      <c r="U13" s="240"/>
      <c r="V13" s="295"/>
      <c r="X13" s="291"/>
      <c r="Y13" s="291"/>
      <c r="AA13" s="295"/>
      <c r="AC13" s="236"/>
      <c r="AD13" s="236"/>
      <c r="AE13" s="236"/>
      <c r="AL13" s="242"/>
      <c r="AP13" s="241"/>
      <c r="AV13" s="295"/>
      <c r="AZ13" s="268"/>
      <c r="BA13" s="268"/>
      <c r="BB13" s="268"/>
      <c r="BC13" s="268"/>
      <c r="BD13" s="268">
        <v>824.18965698666841</v>
      </c>
      <c r="BE13" s="236">
        <v>824.18965698666841</v>
      </c>
      <c r="BF13" s="236"/>
      <c r="BG13" s="236"/>
      <c r="BH13" s="236"/>
      <c r="BI13" s="236"/>
      <c r="BJ13" s="236">
        <v>824.1896569866683</v>
      </c>
      <c r="BK13" s="236"/>
      <c r="BL13" s="236">
        <v>381.39047239386088</v>
      </c>
      <c r="BM13" s="236">
        <v>192.5</v>
      </c>
      <c r="BN13" s="310">
        <v>163.5</v>
      </c>
      <c r="BO13" s="310">
        <v>29</v>
      </c>
      <c r="BP13" s="236">
        <v>250.29918459280753</v>
      </c>
      <c r="BQ13" s="236"/>
      <c r="BR13" s="310">
        <v>35</v>
      </c>
      <c r="BS13" s="310">
        <v>102.3974642816174</v>
      </c>
      <c r="BT13" s="310">
        <v>17.97248619952482</v>
      </c>
      <c r="BU13" s="310">
        <v>10.944182301911139</v>
      </c>
      <c r="BV13" s="310">
        <v>13.245474684757276</v>
      </c>
      <c r="BW13" s="310"/>
      <c r="BX13" s="310">
        <v>70.739577124996885</v>
      </c>
      <c r="BY13" s="236"/>
      <c r="BZ13" s="236"/>
      <c r="CA13" s="236"/>
      <c r="CB13" s="236"/>
      <c r="CC13" s="236"/>
      <c r="CD13" s="236"/>
      <c r="CE13" s="236"/>
      <c r="CF13" s="236"/>
      <c r="CG13" s="236"/>
      <c r="CH13" s="236"/>
      <c r="CI13" s="236"/>
      <c r="CJ13" s="236"/>
      <c r="CK13" s="236"/>
      <c r="CL13" s="236"/>
      <c r="CM13" s="236"/>
      <c r="CN13" s="310"/>
      <c r="CO13" s="310"/>
      <c r="CP13" s="236"/>
      <c r="CR13" s="295"/>
      <c r="CT13" s="236"/>
      <c r="CU13" s="263"/>
      <c r="CV13" s="263"/>
      <c r="CW13" s="263"/>
      <c r="CX13" s="236"/>
      <c r="CY13" s="236"/>
      <c r="CZ13" s="236"/>
      <c r="DA13" s="302"/>
      <c r="DB13" s="236"/>
      <c r="DC13" s="236"/>
      <c r="DD13" s="236"/>
      <c r="DE13" s="244"/>
      <c r="DF13" s="251"/>
      <c r="DG13" s="251"/>
      <c r="DH13" s="236"/>
      <c r="DI13" s="310"/>
      <c r="DJ13" s="326"/>
      <c r="DK13" s="254"/>
      <c r="DL13" s="251"/>
      <c r="DM13" s="258"/>
      <c r="DN13" s="236"/>
      <c r="DO13" s="251"/>
      <c r="DQ13" s="241"/>
      <c r="DS13" s="295"/>
      <c r="DT13" s="295"/>
      <c r="DW13" s="242"/>
      <c r="DX13" s="234"/>
      <c r="EF13" s="241"/>
      <c r="EL13" s="242"/>
      <c r="ES13" s="241"/>
      <c r="EX13" s="241"/>
      <c r="FH13" s="250"/>
      <c r="FI13" s="250"/>
      <c r="FJ13" s="250"/>
      <c r="FK13" s="250"/>
      <c r="FL13" s="257"/>
      <c r="FQ13" s="241"/>
      <c r="FR13" s="234"/>
      <c r="FS13" s="234"/>
      <c r="FT13" s="241"/>
      <c r="GB13" s="241"/>
      <c r="GC13" s="250"/>
      <c r="GD13" s="250"/>
      <c r="GE13" s="250"/>
      <c r="GF13" s="250"/>
      <c r="GG13" s="257"/>
      <c r="GL13" s="241"/>
      <c r="GP13" s="254"/>
      <c r="GZ13" s="295"/>
      <c r="HB13" s="234">
        <v>12.2</v>
      </c>
      <c r="HK13" s="250"/>
      <c r="HL13" s="250"/>
      <c r="HM13" s="250"/>
      <c r="HN13" s="250"/>
      <c r="HQ13" s="321"/>
      <c r="HR13" s="321"/>
      <c r="HS13" s="321"/>
      <c r="HW13" s="250"/>
      <c r="HX13" s="250"/>
      <c r="HY13" s="250"/>
      <c r="IE13" s="250"/>
      <c r="IF13" s="250"/>
      <c r="IG13" s="258"/>
      <c r="IH13" s="250"/>
      <c r="II13" s="250"/>
      <c r="IJ13" s="250"/>
      <c r="IO13" s="257"/>
      <c r="IR13" s="258"/>
      <c r="IS13" s="257"/>
      <c r="IV13" s="295"/>
      <c r="JQ13" s="377"/>
      <c r="KL13" s="409"/>
      <c r="KM13" s="388"/>
      <c r="KW13" s="409"/>
      <c r="LI13" s="416"/>
      <c r="LJ13" s="388"/>
      <c r="LV13" s="421"/>
      <c r="MF13" s="422"/>
      <c r="MG13" s="425"/>
      <c r="NC13" s="421"/>
      <c r="NM13" s="422"/>
    </row>
    <row r="14" spans="1:395">
      <c r="A14" s="240">
        <v>1954</v>
      </c>
      <c r="B14" s="269">
        <v>60266</v>
      </c>
      <c r="C14" s="250">
        <v>8249</v>
      </c>
      <c r="D14" s="250">
        <v>52017</v>
      </c>
      <c r="E14" s="234">
        <v>21832</v>
      </c>
      <c r="R14" s="295"/>
      <c r="U14" s="240"/>
      <c r="V14" s="295"/>
      <c r="AA14" s="295"/>
      <c r="AL14" s="242"/>
      <c r="AP14" s="241"/>
      <c r="AV14" s="295"/>
      <c r="BD14" s="234">
        <v>859.38423242809131</v>
      </c>
      <c r="BE14" s="234">
        <v>859.38423242809131</v>
      </c>
      <c r="BJ14" s="236">
        <v>859.38423242809131</v>
      </c>
      <c r="BK14" s="236"/>
      <c r="BL14" s="234">
        <v>395.51604544548536</v>
      </c>
      <c r="BM14" s="234">
        <v>211.7</v>
      </c>
      <c r="BN14" s="250">
        <v>184.7</v>
      </c>
      <c r="BO14" s="250">
        <v>27</v>
      </c>
      <c r="BP14" s="234">
        <v>252.16818698260596</v>
      </c>
      <c r="BR14" s="250">
        <v>38</v>
      </c>
      <c r="BS14" s="250">
        <v>106.58422933261519</v>
      </c>
      <c r="BT14" s="250">
        <v>18.585721148527028</v>
      </c>
      <c r="BU14" s="250">
        <v>10.888647841587725</v>
      </c>
      <c r="BV14" s="250">
        <v>13.495584586503529</v>
      </c>
      <c r="BW14" s="250"/>
      <c r="BX14" s="250">
        <v>64.614004073372485</v>
      </c>
      <c r="BY14" s="236"/>
      <c r="BZ14" s="236"/>
      <c r="CA14" s="236"/>
      <c r="CB14" s="236"/>
      <c r="CC14" s="236"/>
      <c r="CD14" s="236"/>
      <c r="CN14" s="250"/>
      <c r="CO14" s="250"/>
      <c r="CR14" s="295"/>
      <c r="CW14" s="263"/>
      <c r="CZ14" s="236"/>
      <c r="DE14" s="262"/>
      <c r="DF14" s="252"/>
      <c r="DG14" s="252"/>
      <c r="DI14" s="250"/>
      <c r="DJ14" s="258"/>
      <c r="DK14" s="241"/>
      <c r="DL14" s="252"/>
      <c r="DM14" s="258"/>
      <c r="DO14" s="252"/>
      <c r="DQ14" s="241"/>
      <c r="DS14" s="295"/>
      <c r="DT14" s="295"/>
      <c r="DW14" s="242"/>
      <c r="DX14" s="234"/>
      <c r="EF14" s="241"/>
      <c r="EL14" s="242"/>
      <c r="ES14" s="241"/>
      <c r="EX14" s="241"/>
      <c r="FH14" s="250"/>
      <c r="FI14" s="250"/>
      <c r="FJ14" s="250"/>
      <c r="FK14" s="250"/>
      <c r="FL14" s="257"/>
      <c r="FQ14" s="241"/>
      <c r="FR14" s="234"/>
      <c r="FS14" s="234"/>
      <c r="FT14" s="241"/>
      <c r="GB14" s="241"/>
      <c r="GC14" s="250"/>
      <c r="GD14" s="250"/>
      <c r="GE14" s="250"/>
      <c r="GF14" s="250"/>
      <c r="GG14" s="257"/>
      <c r="GL14" s="241"/>
      <c r="GP14" s="254"/>
      <c r="GZ14" s="295"/>
      <c r="HB14" s="234">
        <v>14.3</v>
      </c>
      <c r="HK14" s="250"/>
      <c r="HL14" s="250"/>
      <c r="HM14" s="250"/>
      <c r="HN14" s="250"/>
      <c r="HQ14" s="321"/>
      <c r="HR14" s="321"/>
      <c r="HS14" s="321"/>
      <c r="HW14" s="250"/>
      <c r="HX14" s="250"/>
      <c r="HY14" s="250"/>
      <c r="IE14" s="250"/>
      <c r="IF14" s="250"/>
      <c r="IG14" s="258"/>
      <c r="IH14" s="250"/>
      <c r="II14" s="250"/>
      <c r="IJ14" s="250"/>
      <c r="IO14" s="257"/>
      <c r="IR14" s="258"/>
      <c r="IS14" s="257"/>
      <c r="IV14" s="295"/>
      <c r="JQ14" s="377"/>
      <c r="KL14" s="409"/>
      <c r="KM14" s="388"/>
      <c r="KW14" s="409"/>
      <c r="LI14" s="416"/>
      <c r="LJ14" s="388"/>
      <c r="LV14" s="421"/>
      <c r="MF14" s="422"/>
      <c r="MG14" s="425"/>
      <c r="NC14" s="421"/>
      <c r="NM14" s="422"/>
    </row>
    <row r="15" spans="1:395">
      <c r="A15" s="240">
        <v>1955</v>
      </c>
      <c r="B15" s="269">
        <v>61465</v>
      </c>
      <c r="C15" s="250">
        <v>8285</v>
      </c>
      <c r="D15" s="250">
        <v>53180</v>
      </c>
      <c r="E15" s="234">
        <v>22328</v>
      </c>
      <c r="R15" s="295"/>
      <c r="U15" s="240"/>
      <c r="V15" s="295"/>
      <c r="AA15" s="295"/>
      <c r="AL15" s="242"/>
      <c r="AP15" s="241"/>
      <c r="AV15" s="295"/>
      <c r="BD15" s="234">
        <v>910.7844182365443</v>
      </c>
      <c r="BE15" s="234">
        <v>910.7844182365443</v>
      </c>
      <c r="BJ15" s="236">
        <v>910.7844182365443</v>
      </c>
      <c r="BK15" s="236"/>
      <c r="BL15" s="234">
        <v>424.77616105242174</v>
      </c>
      <c r="BM15" s="234">
        <v>222.2</v>
      </c>
      <c r="BN15" s="250">
        <v>191.2</v>
      </c>
      <c r="BO15" s="250">
        <v>31</v>
      </c>
      <c r="BP15" s="234">
        <v>263.80825718412257</v>
      </c>
      <c r="BR15" s="250">
        <v>39</v>
      </c>
      <c r="BS15" s="250">
        <v>104.93514121599276</v>
      </c>
      <c r="BT15" s="250">
        <v>20.059472630558943</v>
      </c>
      <c r="BU15" s="250">
        <v>12.803103396656322</v>
      </c>
      <c r="BV15" s="250">
        <v>17.981314839887933</v>
      </c>
      <c r="BW15" s="250"/>
      <c r="BX15" s="250">
        <v>69.029225101026611</v>
      </c>
      <c r="BY15" s="236"/>
      <c r="BZ15" s="236"/>
      <c r="CA15" s="236"/>
      <c r="CB15" s="236"/>
      <c r="CC15" s="236"/>
      <c r="CD15" s="236"/>
      <c r="CN15" s="250"/>
      <c r="CO15" s="250"/>
      <c r="CR15" s="295"/>
      <c r="CW15" s="263"/>
      <c r="CZ15" s="236"/>
      <c r="DE15" s="262"/>
      <c r="DF15" s="252"/>
      <c r="DG15" s="252"/>
      <c r="DI15" s="250"/>
      <c r="DJ15" s="258"/>
      <c r="DK15" s="241"/>
      <c r="DL15" s="252"/>
      <c r="DM15" s="258"/>
      <c r="DO15" s="252"/>
      <c r="DQ15" s="241"/>
      <c r="DS15" s="295"/>
      <c r="DT15" s="295"/>
      <c r="DW15" s="242"/>
      <c r="DX15" s="234"/>
      <c r="EF15" s="241"/>
      <c r="EL15" s="242"/>
      <c r="ES15" s="241"/>
      <c r="EX15" s="241"/>
      <c r="FH15" s="250"/>
      <c r="FI15" s="250"/>
      <c r="FJ15" s="250"/>
      <c r="FK15" s="250"/>
      <c r="FL15" s="257"/>
      <c r="FQ15" s="241"/>
      <c r="FR15" s="234"/>
      <c r="FS15" s="234"/>
      <c r="FT15" s="241"/>
      <c r="GB15" s="241"/>
      <c r="GC15" s="250"/>
      <c r="GD15" s="250"/>
      <c r="GE15" s="250"/>
      <c r="GF15" s="250"/>
      <c r="GG15" s="257"/>
      <c r="GL15" s="241"/>
      <c r="GP15" s="254"/>
      <c r="GZ15" s="295"/>
      <c r="HB15" s="234">
        <v>16.899999999999999</v>
      </c>
      <c r="HK15" s="250"/>
      <c r="HL15" s="250"/>
      <c r="HM15" s="250"/>
      <c r="HN15" s="250"/>
      <c r="HQ15" s="321"/>
      <c r="HR15" s="321"/>
      <c r="HS15" s="321"/>
      <c r="HW15" s="250"/>
      <c r="HX15" s="250"/>
      <c r="HY15" s="250"/>
      <c r="IE15" s="250"/>
      <c r="IF15" s="250"/>
      <c r="IG15" s="258"/>
      <c r="IH15" s="250"/>
      <c r="II15" s="250"/>
      <c r="IJ15" s="250"/>
      <c r="IO15" s="257"/>
      <c r="IR15" s="258"/>
      <c r="IS15" s="257"/>
      <c r="IV15" s="295"/>
      <c r="JQ15" s="377"/>
      <c r="KL15" s="409"/>
      <c r="KM15" s="388"/>
      <c r="KW15" s="409"/>
      <c r="LI15" s="416"/>
      <c r="LJ15" s="388"/>
      <c r="LV15" s="421"/>
      <c r="MF15" s="422"/>
      <c r="MG15" s="425"/>
      <c r="NC15" s="421"/>
      <c r="NM15" s="422"/>
    </row>
    <row r="16" spans="1:395">
      <c r="A16" s="240">
        <v>1956</v>
      </c>
      <c r="B16" s="269">
        <v>62828</v>
      </c>
      <c r="C16" s="250">
        <v>9185</v>
      </c>
      <c r="D16" s="250">
        <v>53643</v>
      </c>
      <c r="E16" s="234">
        <v>23018</v>
      </c>
      <c r="R16" s="295"/>
      <c r="U16" s="240"/>
      <c r="V16" s="295"/>
      <c r="AA16" s="295"/>
      <c r="AL16" s="242"/>
      <c r="AP16" s="241"/>
      <c r="AV16" s="295"/>
      <c r="BD16" s="234">
        <v>1028.9812891238751</v>
      </c>
      <c r="BE16" s="234">
        <v>1028.9812891238751</v>
      </c>
      <c r="BJ16" s="236">
        <v>1028.9812891238751</v>
      </c>
      <c r="BK16" s="236"/>
      <c r="BL16" s="234">
        <v>447.88156268686464</v>
      </c>
      <c r="BM16" s="234">
        <v>280.7</v>
      </c>
      <c r="BN16" s="250">
        <v>224.7</v>
      </c>
      <c r="BO16" s="250">
        <v>56</v>
      </c>
      <c r="BP16" s="234">
        <v>300.39972643701043</v>
      </c>
      <c r="BR16" s="250">
        <v>46</v>
      </c>
      <c r="BS16" s="250">
        <v>115.33518292590601</v>
      </c>
      <c r="BT16" s="250">
        <v>21.908757651464658</v>
      </c>
      <c r="BU16" s="250">
        <v>12.738136145747683</v>
      </c>
      <c r="BV16" s="250">
        <v>17.243152978127487</v>
      </c>
      <c r="BW16" s="250"/>
      <c r="BX16" s="250">
        <v>87.174496735764606</v>
      </c>
      <c r="BY16" s="236"/>
      <c r="BZ16" s="236"/>
      <c r="CA16" s="236"/>
      <c r="CB16" s="236"/>
      <c r="CC16" s="236"/>
      <c r="CD16" s="236"/>
      <c r="CN16" s="250"/>
      <c r="CO16" s="250"/>
      <c r="CR16" s="295"/>
      <c r="CW16" s="263"/>
      <c r="CZ16" s="236"/>
      <c r="DE16" s="262"/>
      <c r="DF16" s="252"/>
      <c r="DG16" s="252"/>
      <c r="DI16" s="250"/>
      <c r="DJ16" s="258"/>
      <c r="DK16" s="241"/>
      <c r="DL16" s="252"/>
      <c r="DM16" s="258"/>
      <c r="DO16" s="252"/>
      <c r="DQ16" s="241"/>
      <c r="DS16" s="295"/>
      <c r="DT16" s="295"/>
      <c r="DW16" s="242"/>
      <c r="DX16" s="234"/>
      <c r="EF16" s="241"/>
      <c r="EL16" s="242"/>
      <c r="ES16" s="241"/>
      <c r="EX16" s="241"/>
      <c r="FH16" s="250"/>
      <c r="FI16" s="250"/>
      <c r="FJ16" s="250"/>
      <c r="FK16" s="250"/>
      <c r="FL16" s="257"/>
      <c r="FQ16" s="241"/>
      <c r="FR16" s="234"/>
      <c r="FS16" s="234"/>
      <c r="FT16" s="241"/>
      <c r="GB16" s="241"/>
      <c r="GC16" s="250"/>
      <c r="GD16" s="250"/>
      <c r="GE16" s="250"/>
      <c r="GF16" s="250"/>
      <c r="GG16" s="257"/>
      <c r="GL16" s="241"/>
      <c r="GP16" s="254"/>
      <c r="GZ16" s="295"/>
      <c r="HB16" s="234">
        <v>22.4</v>
      </c>
      <c r="HK16" s="250"/>
      <c r="HL16" s="250"/>
      <c r="HM16" s="250"/>
      <c r="HN16" s="250"/>
      <c r="HQ16" s="321"/>
      <c r="HR16" s="321"/>
      <c r="HS16" s="321"/>
      <c r="HW16" s="250"/>
      <c r="HX16" s="250"/>
      <c r="HY16" s="250"/>
      <c r="IE16" s="250"/>
      <c r="IF16" s="250"/>
      <c r="IG16" s="258"/>
      <c r="IH16" s="250"/>
      <c r="II16" s="250"/>
      <c r="IJ16" s="250"/>
      <c r="IO16" s="257"/>
      <c r="IR16" s="258"/>
      <c r="IS16" s="257"/>
      <c r="IV16" s="295"/>
      <c r="JQ16" s="377"/>
      <c r="KL16" s="409"/>
      <c r="KM16" s="388"/>
      <c r="KW16" s="409"/>
      <c r="LI16" s="416"/>
      <c r="LJ16" s="388"/>
      <c r="LV16" s="421"/>
      <c r="MF16" s="422"/>
      <c r="MG16" s="425"/>
      <c r="NC16" s="421"/>
      <c r="NM16" s="422"/>
    </row>
    <row r="17" spans="1:377">
      <c r="A17" s="240">
        <v>1957</v>
      </c>
      <c r="B17" s="269">
        <v>64653</v>
      </c>
      <c r="C17" s="250">
        <v>9949</v>
      </c>
      <c r="D17" s="250">
        <v>54704</v>
      </c>
      <c r="E17" s="234">
        <v>23771</v>
      </c>
      <c r="R17" s="295"/>
      <c r="U17" s="240"/>
      <c r="V17" s="295"/>
      <c r="AA17" s="295"/>
      <c r="AL17" s="242"/>
      <c r="AP17" s="241"/>
      <c r="AV17" s="295"/>
      <c r="BD17" s="234">
        <v>1069.2900641389178</v>
      </c>
      <c r="BE17" s="234">
        <v>1069.2900641389178</v>
      </c>
      <c r="BJ17" s="236">
        <v>1069.2900641389178</v>
      </c>
      <c r="BK17" s="236"/>
      <c r="BL17" s="234">
        <v>433.85688658560895</v>
      </c>
      <c r="BM17" s="234">
        <v>317</v>
      </c>
      <c r="BN17" s="250">
        <v>271</v>
      </c>
      <c r="BO17" s="250">
        <v>46</v>
      </c>
      <c r="BP17" s="234">
        <v>318.43317755330895</v>
      </c>
      <c r="BR17" s="250">
        <v>49</v>
      </c>
      <c r="BS17" s="250">
        <v>116.14763157776657</v>
      </c>
      <c r="BT17" s="250">
        <v>23.345635730423048</v>
      </c>
      <c r="BU17" s="250">
        <v>14.623267569820946</v>
      </c>
      <c r="BV17" s="250">
        <v>18.666796569096824</v>
      </c>
      <c r="BW17" s="250"/>
      <c r="BX17" s="250">
        <v>96.649846106201579</v>
      </c>
      <c r="BY17" s="236"/>
      <c r="BZ17" s="236"/>
      <c r="CA17" s="236"/>
      <c r="CB17" s="236"/>
      <c r="CC17" s="236"/>
      <c r="CD17" s="236"/>
      <c r="CN17" s="250"/>
      <c r="CO17" s="250"/>
      <c r="CR17" s="295"/>
      <c r="CW17" s="239">
        <v>3.1E-2</v>
      </c>
      <c r="CZ17" s="236"/>
      <c r="DE17" s="262"/>
      <c r="DF17" s="252"/>
      <c r="DG17" s="252"/>
      <c r="DI17" s="250"/>
      <c r="DJ17" s="258"/>
      <c r="DK17" s="241"/>
      <c r="DL17" s="252"/>
      <c r="DM17" s="258"/>
      <c r="DO17" s="252"/>
      <c r="DQ17" s="241"/>
      <c r="DS17" s="295"/>
      <c r="DT17" s="295"/>
      <c r="DW17" s="242"/>
      <c r="DX17" s="234"/>
      <c r="EF17" s="241"/>
      <c r="EL17" s="242"/>
      <c r="ES17" s="241"/>
      <c r="EX17" s="241"/>
      <c r="FH17" s="250"/>
      <c r="FI17" s="250"/>
      <c r="FJ17" s="250"/>
      <c r="FK17" s="250"/>
      <c r="FL17" s="257"/>
      <c r="FQ17" s="241"/>
      <c r="FR17" s="234"/>
      <c r="FS17" s="234"/>
      <c r="FT17" s="241"/>
      <c r="GB17" s="241"/>
      <c r="GC17" s="250"/>
      <c r="GD17" s="250"/>
      <c r="GE17" s="250"/>
      <c r="GF17" s="250"/>
      <c r="GG17" s="257"/>
      <c r="GL17" s="241"/>
      <c r="GP17" s="254"/>
      <c r="GZ17" s="295"/>
      <c r="HB17" s="234">
        <v>27.9</v>
      </c>
      <c r="HK17" s="250"/>
      <c r="HL17" s="250"/>
      <c r="HM17" s="250"/>
      <c r="HN17" s="250"/>
      <c r="HQ17" s="321"/>
      <c r="HR17" s="321"/>
      <c r="HS17" s="321"/>
      <c r="HW17" s="250"/>
      <c r="HX17" s="250"/>
      <c r="HY17" s="250"/>
      <c r="IE17" s="250"/>
      <c r="IF17" s="250"/>
      <c r="IG17" s="258"/>
      <c r="IH17" s="250"/>
      <c r="II17" s="250"/>
      <c r="IJ17" s="250"/>
      <c r="IO17" s="257"/>
      <c r="IR17" s="258"/>
      <c r="IS17" s="257"/>
      <c r="IV17" s="295"/>
      <c r="JQ17" s="377"/>
      <c r="KL17" s="409"/>
      <c r="KM17" s="388"/>
      <c r="KW17" s="409"/>
      <c r="LI17" s="416"/>
      <c r="LJ17" s="388"/>
      <c r="LV17" s="421"/>
      <c r="MF17" s="422"/>
      <c r="MG17" s="425"/>
      <c r="NC17" s="421"/>
      <c r="NM17" s="422"/>
    </row>
    <row r="18" spans="1:377">
      <c r="A18" s="240">
        <v>1958</v>
      </c>
      <c r="B18" s="269">
        <v>65994</v>
      </c>
      <c r="C18" s="250">
        <v>10721</v>
      </c>
      <c r="D18" s="250">
        <v>55273</v>
      </c>
      <c r="E18" s="234">
        <v>26600</v>
      </c>
      <c r="R18" s="295"/>
      <c r="U18" s="240"/>
      <c r="V18" s="295"/>
      <c r="AA18" s="295"/>
      <c r="AL18" s="242"/>
      <c r="AP18" s="241"/>
      <c r="AV18" s="295"/>
      <c r="BD18" s="234">
        <v>1308.2090596785342</v>
      </c>
      <c r="BE18" s="234">
        <v>1308.2090596785342</v>
      </c>
      <c r="BJ18" s="236">
        <v>1308.2090596785342</v>
      </c>
      <c r="BK18" s="236"/>
      <c r="BL18" s="234">
        <v>449.89950169423958</v>
      </c>
      <c r="BM18" s="234">
        <v>483.5</v>
      </c>
      <c r="BN18" s="250">
        <v>414.5</v>
      </c>
      <c r="BO18" s="250">
        <v>69</v>
      </c>
      <c r="BP18" s="234">
        <v>374.80955798429466</v>
      </c>
      <c r="BR18" s="250">
        <v>71</v>
      </c>
      <c r="BS18" s="250">
        <v>120.94164446874798</v>
      </c>
      <c r="BT18" s="250">
        <v>27.021573320583862</v>
      </c>
      <c r="BU18" s="250">
        <v>22.308565097431192</v>
      </c>
      <c r="BV18" s="250">
        <v>17.900494581103057</v>
      </c>
      <c r="BW18" s="250"/>
      <c r="BX18" s="250">
        <v>115.63728051642855</v>
      </c>
      <c r="BY18" s="236"/>
      <c r="BZ18" s="236"/>
      <c r="CA18" s="236"/>
      <c r="CB18" s="236"/>
      <c r="CC18" s="236"/>
      <c r="CD18" s="236"/>
      <c r="CN18" s="250"/>
      <c r="CO18" s="250"/>
      <c r="CR18" s="295"/>
      <c r="CZ18" s="236"/>
      <c r="DE18" s="262"/>
      <c r="DF18" s="252"/>
      <c r="DG18" s="252"/>
      <c r="DI18" s="250"/>
      <c r="DJ18" s="258"/>
      <c r="DK18" s="241"/>
      <c r="DL18" s="252"/>
      <c r="DM18" s="258"/>
      <c r="DO18" s="252"/>
      <c r="DQ18" s="241"/>
      <c r="DS18" s="295"/>
      <c r="DT18" s="295"/>
      <c r="DW18" s="242"/>
      <c r="DX18" s="234"/>
      <c r="EF18" s="241"/>
      <c r="EL18" s="242"/>
      <c r="ES18" s="241"/>
      <c r="EX18" s="241"/>
      <c r="FH18" s="250"/>
      <c r="FI18" s="250"/>
      <c r="FJ18" s="250"/>
      <c r="FK18" s="250"/>
      <c r="FL18" s="257"/>
      <c r="FQ18" s="241"/>
      <c r="FR18" s="234"/>
      <c r="FS18" s="234"/>
      <c r="FT18" s="241"/>
      <c r="GB18" s="241"/>
      <c r="GC18" s="250"/>
      <c r="GD18" s="250"/>
      <c r="GE18" s="250"/>
      <c r="GF18" s="250"/>
      <c r="GG18" s="257"/>
      <c r="GL18" s="241"/>
      <c r="GP18" s="254"/>
      <c r="GZ18" s="295"/>
      <c r="HB18" s="234">
        <v>35.1</v>
      </c>
      <c r="HK18" s="250"/>
      <c r="HL18" s="250"/>
      <c r="HM18" s="250"/>
      <c r="HN18" s="250"/>
      <c r="HQ18" s="321"/>
      <c r="HR18" s="321"/>
      <c r="HS18" s="321"/>
      <c r="HW18" s="250"/>
      <c r="HX18" s="250"/>
      <c r="HY18" s="250"/>
      <c r="IE18" s="250"/>
      <c r="IF18" s="250"/>
      <c r="IG18" s="258"/>
      <c r="IH18" s="250"/>
      <c r="II18" s="250"/>
      <c r="IJ18" s="250"/>
      <c r="IO18" s="257"/>
      <c r="IR18" s="258"/>
      <c r="IS18" s="257"/>
      <c r="IV18" s="295"/>
      <c r="JQ18" s="377"/>
      <c r="KL18" s="409"/>
      <c r="KM18" s="388"/>
      <c r="KW18" s="409"/>
      <c r="LI18" s="416"/>
      <c r="LJ18" s="388"/>
      <c r="LV18" s="421"/>
      <c r="MF18" s="422"/>
      <c r="MG18" s="425"/>
      <c r="NC18" s="421"/>
      <c r="NM18" s="422"/>
    </row>
    <row r="19" spans="1:377">
      <c r="A19" s="240">
        <v>1959</v>
      </c>
      <c r="B19" s="269">
        <v>67207</v>
      </c>
      <c r="C19" s="250">
        <v>12371</v>
      </c>
      <c r="D19" s="250">
        <v>54836</v>
      </c>
      <c r="E19" s="234">
        <v>26173</v>
      </c>
      <c r="R19" s="295"/>
      <c r="U19" s="240"/>
      <c r="V19" s="295"/>
      <c r="AA19" s="295"/>
      <c r="AL19" s="242"/>
      <c r="AP19" s="241"/>
      <c r="AV19" s="295"/>
      <c r="BD19" s="234">
        <v>1440.3638085838686</v>
      </c>
      <c r="BE19" s="234">
        <v>1440.3638085838686</v>
      </c>
      <c r="BJ19" s="236">
        <v>1440.3638085838688</v>
      </c>
      <c r="BK19" s="236"/>
      <c r="BL19" s="234">
        <v>387.24249551524815</v>
      </c>
      <c r="BM19" s="234">
        <v>615.5</v>
      </c>
      <c r="BN19" s="250">
        <v>538.5</v>
      </c>
      <c r="BO19" s="250">
        <v>77</v>
      </c>
      <c r="BP19" s="234">
        <v>437.62131306862057</v>
      </c>
      <c r="BR19" s="250">
        <v>94</v>
      </c>
      <c r="BS19" s="250">
        <v>129.313273566204</v>
      </c>
      <c r="BT19" s="250">
        <v>30.022587780994197</v>
      </c>
      <c r="BU19" s="250">
        <v>35.70558546582032</v>
      </c>
      <c r="BV19" s="250">
        <v>21.658223118048419</v>
      </c>
      <c r="BW19" s="250"/>
      <c r="BX19" s="250">
        <v>126.92164313755362</v>
      </c>
      <c r="BY19" s="236"/>
      <c r="BZ19" s="236"/>
      <c r="CA19" s="236"/>
      <c r="CB19" s="236"/>
      <c r="CC19" s="236"/>
      <c r="CD19" s="236"/>
      <c r="CN19" s="250"/>
      <c r="CO19" s="250"/>
      <c r="CR19" s="295"/>
      <c r="CZ19" s="236"/>
      <c r="DE19" s="262"/>
      <c r="DF19" s="252"/>
      <c r="DG19" s="252"/>
      <c r="DI19" s="250"/>
      <c r="DJ19" s="258"/>
      <c r="DK19" s="241"/>
      <c r="DL19" s="252"/>
      <c r="DM19" s="258"/>
      <c r="DO19" s="252"/>
      <c r="DQ19" s="241"/>
      <c r="DS19" s="295"/>
      <c r="DT19" s="295"/>
      <c r="DW19" s="242"/>
      <c r="DX19" s="234"/>
      <c r="EF19" s="241"/>
      <c r="EL19" s="242"/>
      <c r="ES19" s="241"/>
      <c r="EX19" s="241"/>
      <c r="FH19" s="250"/>
      <c r="FI19" s="250"/>
      <c r="FJ19" s="250"/>
      <c r="FK19" s="250"/>
      <c r="FL19" s="257"/>
      <c r="FQ19" s="241"/>
      <c r="FR19" s="234"/>
      <c r="FS19" s="234"/>
      <c r="FT19" s="241"/>
      <c r="GB19" s="241"/>
      <c r="GC19" s="250"/>
      <c r="GD19" s="250"/>
      <c r="GE19" s="250"/>
      <c r="GF19" s="250"/>
      <c r="GG19" s="257"/>
      <c r="GL19" s="241"/>
      <c r="GP19" s="254"/>
      <c r="GZ19" s="295"/>
      <c r="HB19" s="234">
        <v>47.3</v>
      </c>
      <c r="HK19" s="250"/>
      <c r="HL19" s="250"/>
      <c r="HM19" s="250"/>
      <c r="HN19" s="250"/>
      <c r="HQ19" s="321"/>
      <c r="HR19" s="321"/>
      <c r="HS19" s="321"/>
      <c r="HW19" s="250"/>
      <c r="HX19" s="250"/>
      <c r="HY19" s="250"/>
      <c r="IE19" s="250"/>
      <c r="IF19" s="250"/>
      <c r="IG19" s="258"/>
      <c r="IH19" s="250"/>
      <c r="II19" s="250"/>
      <c r="IJ19" s="250"/>
      <c r="IO19" s="257"/>
      <c r="IR19" s="258"/>
      <c r="IS19" s="257"/>
      <c r="IV19" s="295"/>
      <c r="JQ19" s="377"/>
      <c r="KL19" s="409"/>
      <c r="KM19" s="388"/>
      <c r="KW19" s="409"/>
      <c r="LI19" s="416"/>
      <c r="LJ19" s="388"/>
      <c r="LV19" s="421"/>
      <c r="MF19" s="422"/>
      <c r="MG19" s="425"/>
      <c r="NC19" s="421"/>
      <c r="NM19" s="422"/>
    </row>
    <row r="20" spans="1:377">
      <c r="A20" s="240">
        <v>1960</v>
      </c>
      <c r="B20" s="269">
        <v>66207</v>
      </c>
      <c r="C20" s="250">
        <v>13073</v>
      </c>
      <c r="D20" s="250">
        <v>53134</v>
      </c>
      <c r="E20" s="234">
        <v>25880</v>
      </c>
      <c r="R20" s="295"/>
      <c r="U20" s="240"/>
      <c r="V20" s="295"/>
      <c r="AA20" s="295"/>
      <c r="AL20" s="242"/>
      <c r="AP20" s="241"/>
      <c r="AV20" s="295"/>
      <c r="BD20" s="234">
        <v>1457.4730167300704</v>
      </c>
      <c r="BE20" s="234">
        <v>1457.4730167300704</v>
      </c>
      <c r="BJ20" s="236">
        <v>1457.4730167300704</v>
      </c>
      <c r="BK20" s="236"/>
      <c r="BL20" s="234">
        <v>343.75590990631849</v>
      </c>
      <c r="BM20" s="234">
        <v>648.20000000000005</v>
      </c>
      <c r="BN20" s="250">
        <v>568.20000000000005</v>
      </c>
      <c r="BO20" s="250">
        <v>80</v>
      </c>
      <c r="BP20" s="234">
        <v>465.51710682375187</v>
      </c>
      <c r="BR20" s="250">
        <v>104</v>
      </c>
      <c r="BS20" s="250">
        <v>120.29655492352568</v>
      </c>
      <c r="BT20" s="250">
        <v>27.73795988531046</v>
      </c>
      <c r="BU20" s="250">
        <v>58.567259529726741</v>
      </c>
      <c r="BV20" s="250">
        <v>20.905757200343448</v>
      </c>
      <c r="BW20" s="250"/>
      <c r="BX20" s="250">
        <v>134.00957528484557</v>
      </c>
      <c r="BY20" s="236"/>
      <c r="BZ20" s="236"/>
      <c r="CA20" s="236"/>
      <c r="CB20" s="236"/>
      <c r="CC20" s="236"/>
      <c r="CD20" s="236"/>
      <c r="CN20" s="250"/>
      <c r="CO20" s="250"/>
      <c r="CR20" s="295"/>
      <c r="CZ20" s="236"/>
      <c r="DE20" s="262"/>
      <c r="DF20" s="252"/>
      <c r="DG20" s="252"/>
      <c r="DI20" s="250"/>
      <c r="DJ20" s="258"/>
      <c r="DK20" s="241"/>
      <c r="DL20" s="252"/>
      <c r="DM20" s="258"/>
      <c r="DO20" s="252"/>
      <c r="DQ20" s="241"/>
      <c r="DS20" s="295"/>
      <c r="DT20" s="295"/>
      <c r="DW20" s="242"/>
      <c r="DX20" s="234"/>
      <c r="EF20" s="241"/>
      <c r="EL20" s="242"/>
      <c r="ES20" s="241"/>
      <c r="EX20" s="241"/>
      <c r="FH20" s="250"/>
      <c r="FI20" s="250"/>
      <c r="FJ20" s="250"/>
      <c r="FK20" s="250"/>
      <c r="FL20" s="257"/>
      <c r="FQ20" s="241"/>
      <c r="FR20" s="234"/>
      <c r="FS20" s="234"/>
      <c r="FT20" s="241"/>
      <c r="GB20" s="241"/>
      <c r="GC20" s="250"/>
      <c r="GD20" s="250"/>
      <c r="GE20" s="250"/>
      <c r="GF20" s="250"/>
      <c r="GG20" s="257"/>
      <c r="GL20" s="241"/>
      <c r="GP20" s="254"/>
      <c r="GZ20" s="295"/>
      <c r="HB20" s="234">
        <v>51.1</v>
      </c>
      <c r="HK20" s="250"/>
      <c r="HL20" s="250"/>
      <c r="HM20" s="250"/>
      <c r="HN20" s="250"/>
      <c r="HQ20" s="321"/>
      <c r="HR20" s="321"/>
      <c r="HS20" s="321"/>
      <c r="HW20" s="250"/>
      <c r="HX20" s="250"/>
      <c r="HY20" s="250"/>
      <c r="IE20" s="250"/>
      <c r="IF20" s="250"/>
      <c r="IG20" s="258"/>
      <c r="IH20" s="250"/>
      <c r="II20" s="250"/>
      <c r="IJ20" s="250"/>
      <c r="IO20" s="257"/>
      <c r="IR20" s="258"/>
      <c r="IS20" s="257"/>
      <c r="IV20" s="295"/>
      <c r="JQ20" s="377"/>
      <c r="KL20" s="409"/>
      <c r="KM20" s="388"/>
      <c r="KW20" s="409"/>
      <c r="LI20" s="416"/>
      <c r="LJ20" s="388"/>
      <c r="LV20" s="421"/>
      <c r="MF20" s="422"/>
      <c r="MG20" s="425"/>
      <c r="NC20" s="421"/>
      <c r="NM20" s="422"/>
    </row>
    <row r="21" spans="1:377">
      <c r="A21" s="240">
        <v>1961</v>
      </c>
      <c r="B21" s="269">
        <v>65859</v>
      </c>
      <c r="C21" s="250">
        <v>12707</v>
      </c>
      <c r="D21" s="250">
        <v>53152</v>
      </c>
      <c r="E21" s="234">
        <v>25590</v>
      </c>
      <c r="R21" s="295"/>
      <c r="U21" s="240"/>
      <c r="V21" s="295"/>
      <c r="AA21" s="295"/>
      <c r="AL21" s="242"/>
      <c r="AP21" s="241"/>
      <c r="AV21" s="295"/>
      <c r="BD21" s="234">
        <v>1220.9373069807787</v>
      </c>
      <c r="BE21" s="234">
        <v>1220.9373069807787</v>
      </c>
      <c r="BJ21" s="236">
        <v>1220.9373069807789</v>
      </c>
      <c r="BK21" s="236"/>
      <c r="BL21" s="234">
        <v>445.05644807653977</v>
      </c>
      <c r="BM21" s="234">
        <v>388.9</v>
      </c>
      <c r="BN21" s="250">
        <v>362.1</v>
      </c>
      <c r="BO21" s="250">
        <v>26.8</v>
      </c>
      <c r="BP21" s="234">
        <v>386.98085890423897</v>
      </c>
      <c r="BR21" s="250">
        <v>69.2</v>
      </c>
      <c r="BS21" s="250">
        <v>96.449558125123502</v>
      </c>
      <c r="BT21" s="250">
        <v>23.116352740932495</v>
      </c>
      <c r="BU21" s="250">
        <v>58.270069565151985</v>
      </c>
      <c r="BV21" s="250">
        <v>23.667237415626609</v>
      </c>
      <c r="BW21" s="250"/>
      <c r="BX21" s="250">
        <v>116.2776410574044</v>
      </c>
      <c r="BY21" s="236"/>
      <c r="BZ21" s="236"/>
      <c r="CA21" s="236"/>
      <c r="CB21" s="236"/>
      <c r="CC21" s="236"/>
      <c r="CD21" s="236"/>
      <c r="CN21" s="250"/>
      <c r="CO21" s="250"/>
      <c r="CR21" s="295"/>
      <c r="CZ21" s="236"/>
      <c r="DE21" s="262"/>
      <c r="DF21" s="252"/>
      <c r="DG21" s="252"/>
      <c r="DI21" s="250"/>
      <c r="DJ21" s="258"/>
      <c r="DK21" s="241"/>
      <c r="DL21" s="252"/>
      <c r="DM21" s="258"/>
      <c r="DO21" s="252"/>
      <c r="DQ21" s="241"/>
      <c r="DS21" s="295"/>
      <c r="DT21" s="295"/>
      <c r="DW21" s="242"/>
      <c r="DX21" s="234"/>
      <c r="EF21" s="241"/>
      <c r="EL21" s="242"/>
      <c r="ES21" s="241"/>
      <c r="EX21" s="241"/>
      <c r="FH21" s="250"/>
      <c r="FI21" s="250"/>
      <c r="FJ21" s="250"/>
      <c r="FK21" s="250"/>
      <c r="FL21" s="257"/>
      <c r="FQ21" s="241"/>
      <c r="FR21" s="234"/>
      <c r="FS21" s="234"/>
      <c r="FT21" s="241"/>
      <c r="GB21" s="241"/>
      <c r="GC21" s="250"/>
      <c r="GD21" s="250"/>
      <c r="GE21" s="250"/>
      <c r="GF21" s="250"/>
      <c r="GG21" s="257"/>
      <c r="GL21" s="241"/>
      <c r="GP21" s="254"/>
      <c r="GZ21" s="295"/>
      <c r="HB21" s="234">
        <v>39.200000000000003</v>
      </c>
      <c r="HK21" s="250"/>
      <c r="HL21" s="250"/>
      <c r="HM21" s="250"/>
      <c r="HN21" s="250"/>
      <c r="HQ21" s="321"/>
      <c r="HR21" s="321"/>
      <c r="HS21" s="321"/>
      <c r="HW21" s="250"/>
      <c r="HX21" s="250"/>
      <c r="HY21" s="250"/>
      <c r="IE21" s="250"/>
      <c r="IF21" s="250"/>
      <c r="IG21" s="258"/>
      <c r="IH21" s="250"/>
      <c r="II21" s="250"/>
      <c r="IJ21" s="250"/>
      <c r="IO21" s="257"/>
      <c r="IR21" s="258"/>
      <c r="IS21" s="257"/>
      <c r="IV21" s="295"/>
      <c r="JQ21" s="377"/>
      <c r="KL21" s="409"/>
      <c r="KM21" s="388"/>
      <c r="KW21" s="409"/>
      <c r="LI21" s="416"/>
      <c r="LJ21" s="388"/>
      <c r="LV21" s="421"/>
      <c r="MF21" s="422"/>
      <c r="MG21" s="425"/>
      <c r="NC21" s="421"/>
      <c r="NM21" s="422"/>
    </row>
    <row r="22" spans="1:377">
      <c r="A22" s="240">
        <v>1962</v>
      </c>
      <c r="B22" s="269">
        <v>67296</v>
      </c>
      <c r="C22" s="250">
        <v>11659</v>
      </c>
      <c r="D22" s="250">
        <v>55636</v>
      </c>
      <c r="E22" s="234">
        <v>25910</v>
      </c>
      <c r="R22" s="295"/>
      <c r="U22" s="240"/>
      <c r="V22" s="295"/>
      <c r="AA22" s="295"/>
      <c r="AL22" s="242"/>
      <c r="AP22" s="241"/>
      <c r="AV22" s="295"/>
      <c r="BD22" s="234">
        <v>1151.2390351797449</v>
      </c>
      <c r="BE22" s="234">
        <v>1151.2390351797449</v>
      </c>
      <c r="BJ22" s="236">
        <v>1151.2390351797449</v>
      </c>
      <c r="BK22" s="236"/>
      <c r="BL22" s="234">
        <v>457.16408212078932</v>
      </c>
      <c r="BM22" s="234">
        <v>359.3</v>
      </c>
      <c r="BN22" s="250">
        <v>325.39999999999998</v>
      </c>
      <c r="BO22" s="250">
        <v>33.9</v>
      </c>
      <c r="BP22" s="234">
        <v>334.77495305895553</v>
      </c>
      <c r="BR22" s="250">
        <v>57.4</v>
      </c>
      <c r="BS22" s="250">
        <v>67.561283807409239</v>
      </c>
      <c r="BT22" s="250">
        <v>21.379963693237276</v>
      </c>
      <c r="BU22" s="250">
        <v>45.619190275963071</v>
      </c>
      <c r="BV22" s="250">
        <v>25.319844903781814</v>
      </c>
      <c r="BW22" s="250"/>
      <c r="BX22" s="250">
        <v>117.49467037856417</v>
      </c>
      <c r="BY22" s="236"/>
      <c r="BZ22" s="236"/>
      <c r="CA22" s="236"/>
      <c r="CB22" s="236"/>
      <c r="CC22" s="236"/>
      <c r="CD22" s="236"/>
      <c r="CN22" s="250"/>
      <c r="CO22" s="250"/>
      <c r="CR22" s="295"/>
      <c r="CW22" s="239">
        <v>3.2000000000000001E-2</v>
      </c>
      <c r="CZ22" s="236"/>
      <c r="DE22" s="262"/>
      <c r="DF22" s="252"/>
      <c r="DG22" s="252"/>
      <c r="DI22" s="250"/>
      <c r="DJ22" s="258"/>
      <c r="DK22" s="241"/>
      <c r="DL22" s="252"/>
      <c r="DM22" s="258"/>
      <c r="DO22" s="252"/>
      <c r="DQ22" s="241"/>
      <c r="DS22" s="295"/>
      <c r="DT22" s="295"/>
      <c r="DW22" s="242"/>
      <c r="DX22" s="234"/>
      <c r="EF22" s="241"/>
      <c r="EL22" s="242"/>
      <c r="ES22" s="241"/>
      <c r="EX22" s="241"/>
      <c r="FH22" s="250"/>
      <c r="FI22" s="250"/>
      <c r="FJ22" s="250"/>
      <c r="FK22" s="250"/>
      <c r="FL22" s="257"/>
      <c r="FQ22" s="241"/>
      <c r="FR22" s="234"/>
      <c r="FS22" s="234"/>
      <c r="FT22" s="241"/>
      <c r="GB22" s="241"/>
      <c r="GC22" s="250"/>
      <c r="GD22" s="250"/>
      <c r="GE22" s="250"/>
      <c r="GF22" s="250"/>
      <c r="GG22" s="257"/>
      <c r="GL22" s="241"/>
      <c r="GP22" s="254"/>
      <c r="GZ22" s="295"/>
      <c r="HB22" s="234">
        <v>31.4</v>
      </c>
      <c r="HK22" s="250"/>
      <c r="HL22" s="250"/>
      <c r="HM22" s="250"/>
      <c r="HN22" s="250"/>
      <c r="HQ22" s="321"/>
      <c r="HR22" s="321"/>
      <c r="HS22" s="321"/>
      <c r="HW22" s="250"/>
      <c r="HX22" s="250"/>
      <c r="HY22" s="250"/>
      <c r="IE22" s="250"/>
      <c r="IF22" s="250"/>
      <c r="IG22" s="258"/>
      <c r="IH22" s="250"/>
      <c r="II22" s="250"/>
      <c r="IJ22" s="250"/>
      <c r="IO22" s="257"/>
      <c r="IR22" s="258"/>
      <c r="IS22" s="257"/>
      <c r="IV22" s="295"/>
      <c r="JQ22" s="377"/>
      <c r="KL22" s="409"/>
      <c r="KM22" s="388"/>
      <c r="KW22" s="409"/>
      <c r="LI22" s="416"/>
      <c r="LJ22" s="388"/>
      <c r="LV22" s="421"/>
      <c r="MF22" s="422"/>
      <c r="MG22" s="425"/>
      <c r="NC22" s="421"/>
      <c r="NM22" s="422"/>
    </row>
    <row r="23" spans="1:377">
      <c r="A23" s="240">
        <v>1963</v>
      </c>
      <c r="B23" s="269">
        <v>69172</v>
      </c>
      <c r="C23" s="250">
        <v>11646</v>
      </c>
      <c r="D23" s="250">
        <v>57526</v>
      </c>
      <c r="E23" s="234">
        <v>26640</v>
      </c>
      <c r="R23" s="295"/>
      <c r="U23" s="240"/>
      <c r="V23" s="295"/>
      <c r="AA23" s="295"/>
      <c r="AL23" s="242"/>
      <c r="AP23" s="241"/>
      <c r="AV23" s="295"/>
      <c r="BD23" s="234">
        <v>1236.3672023695822</v>
      </c>
      <c r="BE23" s="234">
        <v>1236.3672023695822</v>
      </c>
      <c r="BJ23" s="236">
        <v>1236.3672023695822</v>
      </c>
      <c r="BK23" s="236"/>
      <c r="BL23" s="234">
        <v>501.96232808451265</v>
      </c>
      <c r="BM23" s="234">
        <v>407.6</v>
      </c>
      <c r="BN23" s="250">
        <v>365.6</v>
      </c>
      <c r="BO23" s="250">
        <v>42</v>
      </c>
      <c r="BP23" s="234">
        <v>326.80487428506956</v>
      </c>
      <c r="BR23" s="250">
        <v>55</v>
      </c>
      <c r="BS23" s="250">
        <v>64.535001964611467</v>
      </c>
      <c r="BT23" s="250">
        <v>20.655572266854005</v>
      </c>
      <c r="BU23" s="250">
        <v>34.04077737584398</v>
      </c>
      <c r="BV23" s="250">
        <v>27.026424993738082</v>
      </c>
      <c r="BW23" s="250"/>
      <c r="BX23" s="250">
        <v>125.54709768402202</v>
      </c>
      <c r="BY23" s="236"/>
      <c r="BZ23" s="236"/>
      <c r="CA23" s="236"/>
      <c r="CB23" s="236"/>
      <c r="CC23" s="236"/>
      <c r="CD23" s="236"/>
      <c r="CN23" s="250"/>
      <c r="CO23" s="250"/>
      <c r="CR23" s="295"/>
      <c r="CZ23" s="236"/>
      <c r="DE23" s="262"/>
      <c r="DF23" s="252"/>
      <c r="DG23" s="252"/>
      <c r="DI23" s="250"/>
      <c r="DJ23" s="258"/>
      <c r="DK23" s="241"/>
      <c r="DL23" s="252"/>
      <c r="DM23" s="258"/>
      <c r="DO23" s="252"/>
      <c r="DQ23" s="241"/>
      <c r="DS23" s="295"/>
      <c r="DT23" s="295"/>
      <c r="DW23" s="242"/>
      <c r="DX23" s="234"/>
      <c r="EF23" s="241"/>
      <c r="EL23" s="242"/>
      <c r="ES23" s="241"/>
      <c r="EX23" s="241"/>
      <c r="FH23" s="250"/>
      <c r="FI23" s="250"/>
      <c r="FJ23" s="250"/>
      <c r="FK23" s="250"/>
      <c r="FL23" s="257"/>
      <c r="FQ23" s="241"/>
      <c r="FR23" s="234"/>
      <c r="FS23" s="234"/>
      <c r="FT23" s="241"/>
      <c r="GB23" s="241"/>
      <c r="GC23" s="250"/>
      <c r="GD23" s="250"/>
      <c r="GE23" s="250"/>
      <c r="GF23" s="250"/>
      <c r="GG23" s="257"/>
      <c r="GL23" s="241"/>
      <c r="GP23" s="254"/>
      <c r="GZ23" s="295"/>
      <c r="HB23" s="234">
        <v>35.6</v>
      </c>
      <c r="HK23" s="250"/>
      <c r="HL23" s="250"/>
      <c r="HM23" s="250"/>
      <c r="HN23" s="250"/>
      <c r="HQ23" s="321"/>
      <c r="HR23" s="321"/>
      <c r="HS23" s="321"/>
      <c r="HW23" s="250"/>
      <c r="HX23" s="250"/>
      <c r="HY23" s="250"/>
      <c r="IE23" s="250"/>
      <c r="IF23" s="250"/>
      <c r="IG23" s="258"/>
      <c r="IH23" s="250"/>
      <c r="II23" s="250"/>
      <c r="IJ23" s="250"/>
      <c r="IO23" s="257"/>
      <c r="IR23" s="258"/>
      <c r="IS23" s="257"/>
      <c r="IV23" s="295"/>
      <c r="JQ23" s="377"/>
      <c r="KL23" s="409"/>
      <c r="KM23" s="388"/>
      <c r="KW23" s="409"/>
      <c r="LI23" s="416"/>
      <c r="LJ23" s="388"/>
      <c r="LV23" s="421"/>
      <c r="MF23" s="422"/>
      <c r="MG23" s="425"/>
      <c r="NC23" s="421"/>
      <c r="NM23" s="422"/>
    </row>
    <row r="24" spans="1:377">
      <c r="A24" s="240">
        <v>1964</v>
      </c>
      <c r="B24" s="269">
        <v>70499</v>
      </c>
      <c r="C24" s="250">
        <v>12950</v>
      </c>
      <c r="D24" s="250">
        <v>57549</v>
      </c>
      <c r="E24" s="234">
        <v>27736</v>
      </c>
      <c r="R24" s="295"/>
      <c r="U24" s="240"/>
      <c r="V24" s="295"/>
      <c r="AA24" s="295"/>
      <c r="AL24" s="242"/>
      <c r="AP24" s="241"/>
      <c r="AV24" s="295"/>
      <c r="BD24" s="234">
        <v>1455.5393739564422</v>
      </c>
      <c r="BE24" s="234">
        <v>1455.5393739564422</v>
      </c>
      <c r="BJ24" s="236">
        <v>1455.5393739564424</v>
      </c>
      <c r="BK24" s="236"/>
      <c r="BL24" s="234">
        <v>564.0139525612916</v>
      </c>
      <c r="BM24" s="234">
        <v>513.5</v>
      </c>
      <c r="BN24" s="250">
        <v>461.1</v>
      </c>
      <c r="BO24" s="250">
        <v>52.4</v>
      </c>
      <c r="BP24" s="234">
        <v>378.0254213951506</v>
      </c>
      <c r="BR24" s="250">
        <v>58.4</v>
      </c>
      <c r="BS24" s="250">
        <v>81.749005399068352</v>
      </c>
      <c r="BT24" s="250">
        <v>21.666232197806607</v>
      </c>
      <c r="BU24" s="250">
        <v>55.505959405809385</v>
      </c>
      <c r="BV24" s="250">
        <v>25.033414550632806</v>
      </c>
      <c r="BW24" s="250"/>
      <c r="BX24" s="250">
        <v>135.67080984183346</v>
      </c>
      <c r="BY24" s="236"/>
      <c r="BZ24" s="236"/>
      <c r="CA24" s="236"/>
      <c r="CB24" s="236"/>
      <c r="CC24" s="236"/>
      <c r="CD24" s="236"/>
      <c r="CN24" s="250"/>
      <c r="CO24" s="250"/>
      <c r="CR24" s="295"/>
      <c r="CZ24" s="236"/>
      <c r="DE24" s="262"/>
      <c r="DF24" s="252"/>
      <c r="DG24" s="252"/>
      <c r="DI24" s="250"/>
      <c r="DJ24" s="258"/>
      <c r="DK24" s="241"/>
      <c r="DL24" s="252"/>
      <c r="DM24" s="258"/>
      <c r="DO24" s="252"/>
      <c r="DQ24" s="241"/>
      <c r="DS24" s="295"/>
      <c r="DT24" s="295"/>
      <c r="DW24" s="242"/>
      <c r="DX24" s="234"/>
      <c r="EF24" s="241"/>
      <c r="EL24" s="242"/>
      <c r="ES24" s="241"/>
      <c r="EX24" s="241"/>
      <c r="FH24" s="250"/>
      <c r="FI24" s="250"/>
      <c r="FJ24" s="250"/>
      <c r="FK24" s="250"/>
      <c r="FL24" s="257"/>
      <c r="FQ24" s="241"/>
      <c r="FR24" s="234"/>
      <c r="FS24" s="234"/>
      <c r="FT24" s="241"/>
      <c r="GB24" s="241"/>
      <c r="GC24" s="250"/>
      <c r="GD24" s="250"/>
      <c r="GE24" s="250"/>
      <c r="GF24" s="250"/>
      <c r="GG24" s="257"/>
      <c r="GL24" s="241"/>
      <c r="GP24" s="254"/>
      <c r="GZ24" s="295"/>
      <c r="HB24" s="234">
        <v>44.8</v>
      </c>
      <c r="HK24" s="250"/>
      <c r="HL24" s="250"/>
      <c r="HM24" s="250"/>
      <c r="HN24" s="250"/>
      <c r="HQ24" s="321"/>
      <c r="HR24" s="321"/>
      <c r="HS24" s="321"/>
      <c r="HW24" s="250"/>
      <c r="HX24" s="250"/>
      <c r="HY24" s="250"/>
      <c r="IE24" s="250"/>
      <c r="IF24" s="250"/>
      <c r="IG24" s="258"/>
      <c r="IH24" s="250"/>
      <c r="II24" s="250"/>
      <c r="IJ24" s="250"/>
      <c r="IO24" s="257"/>
      <c r="IR24" s="258"/>
      <c r="IS24" s="257"/>
      <c r="IV24" s="295"/>
      <c r="JQ24" s="377"/>
      <c r="KL24" s="409"/>
      <c r="KM24" s="388"/>
      <c r="KW24" s="409"/>
      <c r="LI24" s="416"/>
      <c r="LJ24" s="388"/>
      <c r="LV24" s="421"/>
      <c r="MF24" s="422"/>
      <c r="MG24" s="425"/>
      <c r="NC24" s="421"/>
      <c r="NM24" s="422"/>
    </row>
    <row r="25" spans="1:377">
      <c r="A25" s="240">
        <v>1965</v>
      </c>
      <c r="B25" s="269">
        <v>72538</v>
      </c>
      <c r="C25" s="250">
        <v>13045</v>
      </c>
      <c r="D25" s="250">
        <v>59493</v>
      </c>
      <c r="E25" s="234">
        <v>28670</v>
      </c>
      <c r="R25" s="295"/>
      <c r="U25" s="240"/>
      <c r="V25" s="295"/>
      <c r="AA25" s="295"/>
      <c r="AL25" s="242"/>
      <c r="AP25" s="241"/>
      <c r="AV25" s="295"/>
      <c r="BD25" s="234">
        <v>1717.2037770499346</v>
      </c>
      <c r="BE25" s="234">
        <v>1717.2037770499346</v>
      </c>
      <c r="BJ25" s="236">
        <v>1717.2037770499346</v>
      </c>
      <c r="BK25" s="236"/>
      <c r="BL25" s="234">
        <v>656.94004385090693</v>
      </c>
      <c r="BM25" s="234">
        <v>602.20000000000005</v>
      </c>
      <c r="BN25" s="250">
        <v>546.5</v>
      </c>
      <c r="BO25" s="250">
        <v>55.7</v>
      </c>
      <c r="BP25" s="234">
        <v>458.06373319902764</v>
      </c>
      <c r="BR25" s="250">
        <v>77.400000000000006</v>
      </c>
      <c r="BS25" s="250">
        <v>104.62820282298014</v>
      </c>
      <c r="BT25" s="250">
        <v>23.736361504713777</v>
      </c>
      <c r="BU25" s="250">
        <v>80.496442400386002</v>
      </c>
      <c r="BV25" s="250">
        <v>30.607334649548427</v>
      </c>
      <c r="BW25" s="250"/>
      <c r="BX25" s="250">
        <v>141.19539182139931</v>
      </c>
      <c r="BY25" s="236"/>
      <c r="BZ25" s="236"/>
      <c r="CA25" s="236"/>
      <c r="CB25" s="236"/>
      <c r="CC25" s="236"/>
      <c r="CD25" s="236"/>
      <c r="CN25" s="250"/>
      <c r="CO25" s="250"/>
      <c r="CR25" s="295"/>
      <c r="CW25" s="239">
        <v>3.2000000000000001E-2</v>
      </c>
      <c r="CZ25" s="236"/>
      <c r="DE25" s="262"/>
      <c r="DF25" s="252"/>
      <c r="DG25" s="252"/>
      <c r="DI25" s="250"/>
      <c r="DJ25" s="258"/>
      <c r="DK25" s="241"/>
      <c r="DL25" s="252"/>
      <c r="DM25" s="258"/>
      <c r="DO25" s="252"/>
      <c r="DQ25" s="241"/>
      <c r="DS25" s="295"/>
      <c r="DT25" s="295"/>
      <c r="DW25" s="242"/>
      <c r="DX25" s="234"/>
      <c r="EF25" s="241"/>
      <c r="EL25" s="242"/>
      <c r="ES25" s="241"/>
      <c r="EX25" s="241"/>
      <c r="FH25" s="250"/>
      <c r="FI25" s="250"/>
      <c r="FJ25" s="250"/>
      <c r="FK25" s="250"/>
      <c r="FL25" s="257"/>
      <c r="FQ25" s="241"/>
      <c r="FR25" s="234"/>
      <c r="FS25" s="234"/>
      <c r="FT25" s="241"/>
      <c r="GB25" s="241"/>
      <c r="GC25" s="250"/>
      <c r="GD25" s="250"/>
      <c r="GE25" s="250"/>
      <c r="GF25" s="250"/>
      <c r="GG25" s="257"/>
      <c r="GL25" s="241"/>
      <c r="GP25" s="254"/>
      <c r="GZ25" s="295"/>
      <c r="HB25" s="234">
        <v>52.3</v>
      </c>
      <c r="HK25" s="250"/>
      <c r="HL25" s="250"/>
      <c r="HM25" s="250"/>
      <c r="HN25" s="250"/>
      <c r="HQ25" s="321"/>
      <c r="HR25" s="321"/>
      <c r="HS25" s="321"/>
      <c r="HW25" s="250"/>
      <c r="HX25" s="250"/>
      <c r="HY25" s="250"/>
      <c r="IE25" s="250"/>
      <c r="IF25" s="250"/>
      <c r="IG25" s="258"/>
      <c r="IH25" s="250"/>
      <c r="II25" s="250"/>
      <c r="IJ25" s="250"/>
      <c r="IO25" s="257"/>
      <c r="IR25" s="258"/>
      <c r="IS25" s="257"/>
      <c r="IV25" s="295"/>
      <c r="JQ25" s="377"/>
      <c r="KL25" s="409"/>
      <c r="KM25" s="388"/>
      <c r="KW25" s="409"/>
      <c r="LI25" s="416"/>
      <c r="LJ25" s="388"/>
      <c r="LV25" s="421"/>
      <c r="MF25" s="422"/>
      <c r="MG25" s="425"/>
      <c r="NC25" s="421"/>
      <c r="NM25" s="422"/>
    </row>
    <row r="26" spans="1:377">
      <c r="A26" s="240">
        <v>1966</v>
      </c>
      <c r="B26" s="269">
        <v>74542</v>
      </c>
      <c r="C26" s="250">
        <v>13313</v>
      </c>
      <c r="D26" s="250">
        <v>61229</v>
      </c>
      <c r="E26" s="234">
        <v>29805</v>
      </c>
      <c r="R26" s="295"/>
      <c r="U26" s="240"/>
      <c r="V26" s="295"/>
      <c r="AA26" s="295"/>
      <c r="AL26" s="242"/>
      <c r="AP26" s="241"/>
      <c r="AV26" s="295"/>
      <c r="BD26" s="234">
        <v>1873.0786134522659</v>
      </c>
      <c r="BE26" s="234">
        <v>1873.0786134522659</v>
      </c>
      <c r="BJ26" s="236">
        <v>1873.0786134522659</v>
      </c>
      <c r="BK26" s="236"/>
      <c r="BL26" s="234">
        <v>708.49838548933633</v>
      </c>
      <c r="BM26" s="234">
        <v>709.5</v>
      </c>
      <c r="BN26" s="250">
        <v>648.6</v>
      </c>
      <c r="BO26" s="250">
        <v>60.9</v>
      </c>
      <c r="BP26" s="234">
        <v>455.08022796292971</v>
      </c>
      <c r="BR26" s="250">
        <v>85.1</v>
      </c>
      <c r="BS26" s="250">
        <v>132.09278535284116</v>
      </c>
      <c r="BT26" s="250">
        <v>26.396442340262233</v>
      </c>
      <c r="BU26" s="250">
        <v>32.593943879470388</v>
      </c>
      <c r="BV26" s="250">
        <v>32.484669572795504</v>
      </c>
      <c r="BW26" s="250"/>
      <c r="BX26" s="250">
        <v>146.41238681756039</v>
      </c>
      <c r="BY26" s="236"/>
      <c r="BZ26" s="236"/>
      <c r="CA26" s="236"/>
      <c r="CB26" s="236"/>
      <c r="CC26" s="236"/>
      <c r="CD26" s="236"/>
      <c r="CN26" s="250"/>
      <c r="CO26" s="250"/>
      <c r="CR26" s="295"/>
      <c r="CZ26" s="236"/>
      <c r="DE26" s="262"/>
      <c r="DF26" s="252"/>
      <c r="DG26" s="252"/>
      <c r="DI26" s="250"/>
      <c r="DJ26" s="258"/>
      <c r="DK26" s="241"/>
      <c r="DL26" s="252"/>
      <c r="DM26" s="258"/>
      <c r="DO26" s="252"/>
      <c r="DQ26" s="241"/>
      <c r="DS26" s="295"/>
      <c r="DT26" s="295"/>
      <c r="DW26" s="242"/>
      <c r="DX26" s="234"/>
      <c r="EF26" s="241"/>
      <c r="EL26" s="242"/>
      <c r="ES26" s="241"/>
      <c r="EX26" s="241"/>
      <c r="FH26" s="250"/>
      <c r="FI26" s="250"/>
      <c r="FJ26" s="250"/>
      <c r="FK26" s="250"/>
      <c r="FL26" s="257"/>
      <c r="FQ26" s="241"/>
      <c r="FR26" s="234"/>
      <c r="FS26" s="234"/>
      <c r="FT26" s="241"/>
      <c r="GB26" s="241"/>
      <c r="GC26" s="250"/>
      <c r="GD26" s="250"/>
      <c r="GE26" s="250"/>
      <c r="GF26" s="250"/>
      <c r="GG26" s="257"/>
      <c r="GL26" s="241"/>
      <c r="GP26" s="254"/>
      <c r="GZ26" s="295"/>
      <c r="HB26" s="234">
        <v>57.7</v>
      </c>
      <c r="HK26" s="250"/>
      <c r="HL26" s="250"/>
      <c r="HM26" s="250"/>
      <c r="HN26" s="250"/>
      <c r="HQ26" s="321"/>
      <c r="HR26" s="321"/>
      <c r="HS26" s="321"/>
      <c r="HW26" s="250"/>
      <c r="HX26" s="250"/>
      <c r="HY26" s="250"/>
      <c r="IE26" s="250"/>
      <c r="IF26" s="250"/>
      <c r="IG26" s="258"/>
      <c r="IH26" s="250"/>
      <c r="II26" s="250"/>
      <c r="IJ26" s="250"/>
      <c r="IO26" s="257"/>
      <c r="IR26" s="258"/>
      <c r="IS26" s="257"/>
      <c r="IV26" s="295"/>
      <c r="JQ26" s="377"/>
      <c r="KL26" s="409"/>
      <c r="KM26" s="388"/>
      <c r="KW26" s="409"/>
      <c r="LI26" s="416"/>
      <c r="LJ26" s="388"/>
      <c r="LV26" s="421"/>
      <c r="MF26" s="422"/>
      <c r="MG26" s="425"/>
      <c r="NC26" s="421"/>
      <c r="NM26" s="422"/>
    </row>
    <row r="27" spans="1:377">
      <c r="A27" s="240">
        <v>1967</v>
      </c>
      <c r="B27" s="269">
        <v>76368</v>
      </c>
      <c r="C27" s="250">
        <v>13548</v>
      </c>
      <c r="D27" s="250">
        <v>62820</v>
      </c>
      <c r="E27" s="234">
        <v>30814</v>
      </c>
      <c r="R27" s="295"/>
      <c r="U27" s="240"/>
      <c r="V27" s="295"/>
      <c r="AA27" s="295"/>
      <c r="AL27" s="242"/>
      <c r="AP27" s="241"/>
      <c r="AV27" s="295"/>
      <c r="BD27" s="234">
        <v>1780.2814889590097</v>
      </c>
      <c r="BE27" s="234">
        <v>1780.2814889590097</v>
      </c>
      <c r="BJ27" s="236">
        <v>1780.2814889590097</v>
      </c>
      <c r="BK27" s="236"/>
      <c r="BL27" s="234">
        <v>720.60601953358582</v>
      </c>
      <c r="BM27" s="234">
        <v>602.79999999999995</v>
      </c>
      <c r="BN27" s="250">
        <v>544.9</v>
      </c>
      <c r="BO27" s="250">
        <v>57.9</v>
      </c>
      <c r="BP27" s="234">
        <v>456.87546942542394</v>
      </c>
      <c r="BR27" s="250">
        <v>72.3</v>
      </c>
      <c r="BS27" s="250">
        <v>138.61126774500178</v>
      </c>
      <c r="BT27" s="250">
        <v>25.602623313511113</v>
      </c>
      <c r="BU27" s="250">
        <v>37.98773146483785</v>
      </c>
      <c r="BV27" s="250">
        <v>38.393757494171901</v>
      </c>
      <c r="BW27" s="250"/>
      <c r="BX27" s="250">
        <v>143.98008940790129</v>
      </c>
      <c r="BY27" s="236"/>
      <c r="BZ27" s="236"/>
      <c r="CA27" s="236"/>
      <c r="CB27" s="236"/>
      <c r="CC27" s="236"/>
      <c r="CD27" s="236"/>
      <c r="CN27" s="250"/>
      <c r="CO27" s="250"/>
      <c r="CR27" s="295"/>
      <c r="CZ27" s="236"/>
      <c r="DE27" s="262"/>
      <c r="DF27" s="252"/>
      <c r="DG27" s="252"/>
      <c r="DI27" s="250"/>
      <c r="DJ27" s="258"/>
      <c r="DK27" s="241"/>
      <c r="DL27" s="252"/>
      <c r="DM27" s="258"/>
      <c r="DO27" s="252"/>
      <c r="DQ27" s="241"/>
      <c r="DS27" s="295"/>
      <c r="DT27" s="295"/>
      <c r="DW27" s="242"/>
      <c r="DX27" s="234"/>
      <c r="EF27" s="241"/>
      <c r="EL27" s="242"/>
      <c r="ES27" s="241"/>
      <c r="EX27" s="241"/>
      <c r="FH27" s="250"/>
      <c r="FI27" s="250"/>
      <c r="FJ27" s="250"/>
      <c r="FK27" s="250"/>
      <c r="FL27" s="257"/>
      <c r="FQ27" s="241"/>
      <c r="FR27" s="234"/>
      <c r="FS27" s="234"/>
      <c r="FT27" s="241"/>
      <c r="GB27" s="241"/>
      <c r="GC27" s="250"/>
      <c r="GD27" s="250"/>
      <c r="GE27" s="250"/>
      <c r="GF27" s="250"/>
      <c r="GG27" s="257"/>
      <c r="GL27" s="241"/>
      <c r="GP27" s="254"/>
      <c r="GZ27" s="295"/>
      <c r="HB27" s="234">
        <v>59.8</v>
      </c>
      <c r="HK27" s="250"/>
      <c r="HL27" s="250"/>
      <c r="HM27" s="250"/>
      <c r="HN27" s="250"/>
      <c r="HQ27" s="321"/>
      <c r="HR27" s="321"/>
      <c r="HS27" s="321"/>
      <c r="HW27" s="250"/>
      <c r="HX27" s="250"/>
      <c r="HY27" s="250"/>
      <c r="IE27" s="250"/>
      <c r="IF27" s="250"/>
      <c r="IG27" s="258"/>
      <c r="IH27" s="250"/>
      <c r="II27" s="250"/>
      <c r="IJ27" s="250"/>
      <c r="IO27" s="257"/>
      <c r="IR27" s="258"/>
      <c r="IS27" s="257"/>
      <c r="IV27" s="295"/>
      <c r="JQ27" s="377"/>
      <c r="KL27" s="409"/>
      <c r="KM27" s="388"/>
      <c r="KW27" s="409"/>
      <c r="LI27" s="416"/>
      <c r="LJ27" s="388"/>
      <c r="LV27" s="421"/>
      <c r="MF27" s="422"/>
      <c r="MG27" s="425"/>
      <c r="NC27" s="421"/>
      <c r="NM27" s="422"/>
    </row>
    <row r="28" spans="1:377">
      <c r="A28" s="240">
        <v>1968</v>
      </c>
      <c r="B28" s="269">
        <v>78534</v>
      </c>
      <c r="C28" s="250">
        <v>13838</v>
      </c>
      <c r="D28" s="250">
        <v>64696</v>
      </c>
      <c r="E28" s="234">
        <v>31915</v>
      </c>
      <c r="R28" s="295"/>
      <c r="U28" s="240"/>
      <c r="V28" s="295"/>
      <c r="AA28" s="295"/>
      <c r="AL28" s="242"/>
      <c r="AP28" s="241"/>
      <c r="AV28" s="295"/>
      <c r="BD28" s="234">
        <v>1730.164346321726</v>
      </c>
      <c r="BE28" s="234">
        <v>1730.164346321726</v>
      </c>
      <c r="BJ28" s="236">
        <v>1730.164346321726</v>
      </c>
      <c r="BK28" s="236"/>
      <c r="BL28" s="234">
        <v>732.81455052820411</v>
      </c>
      <c r="BM28" s="234">
        <v>537.29999999999995</v>
      </c>
      <c r="BN28" s="250">
        <v>490.3</v>
      </c>
      <c r="BO28" s="250">
        <v>47</v>
      </c>
      <c r="BP28" s="234">
        <v>460.04979579352198</v>
      </c>
      <c r="BR28" s="250">
        <v>70.5</v>
      </c>
      <c r="BS28" s="250">
        <v>126.13043372233966</v>
      </c>
      <c r="BT28" s="250">
        <v>23.808120701582709</v>
      </c>
      <c r="BU28" s="250">
        <v>44.247768520148774</v>
      </c>
      <c r="BV28" s="250">
        <v>41.816577801577395</v>
      </c>
      <c r="BW28" s="250"/>
      <c r="BX28" s="250">
        <v>153.54689504787342</v>
      </c>
      <c r="BY28" s="236"/>
      <c r="BZ28" s="236"/>
      <c r="CA28" s="236"/>
      <c r="CB28" s="236"/>
      <c r="CC28" s="236"/>
      <c r="CD28" s="236"/>
      <c r="CN28" s="250"/>
      <c r="CO28" s="250"/>
      <c r="CR28" s="295"/>
      <c r="CZ28" s="236"/>
      <c r="DE28" s="262"/>
      <c r="DF28" s="252"/>
      <c r="DG28" s="252"/>
      <c r="DI28" s="250"/>
      <c r="DJ28" s="258"/>
      <c r="DK28" s="241"/>
      <c r="DL28" s="252"/>
      <c r="DM28" s="258"/>
      <c r="DO28" s="252"/>
      <c r="DQ28" s="241"/>
      <c r="DS28" s="295"/>
      <c r="DT28" s="295"/>
      <c r="DW28" s="242"/>
      <c r="DX28" s="234"/>
      <c r="EF28" s="241"/>
      <c r="EL28" s="242"/>
      <c r="ES28" s="241"/>
      <c r="EX28" s="241"/>
      <c r="FH28" s="250"/>
      <c r="FI28" s="250"/>
      <c r="FJ28" s="250"/>
      <c r="FK28" s="250"/>
      <c r="FL28" s="257"/>
      <c r="FQ28" s="241"/>
      <c r="FR28" s="234"/>
      <c r="FS28" s="234"/>
      <c r="FT28" s="241"/>
      <c r="GB28" s="241"/>
      <c r="GC28" s="250"/>
      <c r="GD28" s="250"/>
      <c r="GE28" s="250"/>
      <c r="GF28" s="250"/>
      <c r="GG28" s="257"/>
      <c r="GL28" s="241"/>
      <c r="GP28" s="254"/>
      <c r="GZ28" s="295"/>
      <c r="HB28" s="234">
        <v>62.3</v>
      </c>
      <c r="HK28" s="250"/>
      <c r="HL28" s="250"/>
      <c r="HM28" s="250"/>
      <c r="HN28" s="250"/>
      <c r="HQ28" s="321"/>
      <c r="HR28" s="321"/>
      <c r="HS28" s="321"/>
      <c r="HW28" s="250"/>
      <c r="HX28" s="250"/>
      <c r="HY28" s="250"/>
      <c r="IE28" s="250"/>
      <c r="IF28" s="250"/>
      <c r="IG28" s="258"/>
      <c r="IH28" s="250"/>
      <c r="II28" s="250"/>
      <c r="IJ28" s="250"/>
      <c r="IO28" s="257"/>
      <c r="IR28" s="258"/>
      <c r="IS28" s="257"/>
      <c r="IV28" s="295"/>
      <c r="JQ28" s="377"/>
      <c r="KL28" s="409"/>
      <c r="KM28" s="388"/>
      <c r="KW28" s="409"/>
      <c r="LI28" s="416"/>
      <c r="LJ28" s="388"/>
      <c r="LV28" s="421"/>
      <c r="MF28" s="422"/>
      <c r="MG28" s="425"/>
      <c r="NC28" s="421"/>
      <c r="NM28" s="422"/>
    </row>
    <row r="29" spans="1:377">
      <c r="A29" s="240">
        <v>1969</v>
      </c>
      <c r="B29" s="269">
        <v>80671</v>
      </c>
      <c r="C29" s="250">
        <v>14117</v>
      </c>
      <c r="D29" s="250">
        <v>66554</v>
      </c>
      <c r="E29" s="234">
        <v>33225</v>
      </c>
      <c r="R29" s="295"/>
      <c r="U29" s="240"/>
      <c r="V29" s="295"/>
      <c r="AA29" s="295"/>
      <c r="AL29" s="242"/>
      <c r="AP29" s="241"/>
      <c r="AV29" s="295"/>
      <c r="BD29" s="234">
        <v>1945.7811181016841</v>
      </c>
      <c r="BE29" s="234">
        <v>1945.7811181016841</v>
      </c>
      <c r="BJ29" s="236">
        <v>1945.7811181016841</v>
      </c>
      <c r="BK29" s="236"/>
      <c r="BL29" s="234">
        <v>742.80334861470999</v>
      </c>
      <c r="BM29" s="234">
        <v>689.1</v>
      </c>
      <c r="BN29" s="250">
        <v>626.1</v>
      </c>
      <c r="BO29" s="250">
        <v>63</v>
      </c>
      <c r="BP29" s="234">
        <v>513.87776948697399</v>
      </c>
      <c r="BR29" s="250">
        <v>84.9</v>
      </c>
      <c r="BS29" s="250">
        <v>148.95352538942265</v>
      </c>
      <c r="BT29" s="250">
        <v>26.334355765318662</v>
      </c>
      <c r="BU29" s="250">
        <v>49.526145525402917</v>
      </c>
      <c r="BV29" s="250">
        <v>45.35497257628095</v>
      </c>
      <c r="BW29" s="250"/>
      <c r="BX29" s="250">
        <v>158.80877023054882</v>
      </c>
      <c r="BY29" s="236"/>
      <c r="BZ29" s="236"/>
      <c r="CA29" s="236"/>
      <c r="CB29" s="236"/>
      <c r="CC29" s="236"/>
      <c r="CD29" s="236"/>
      <c r="CN29" s="250"/>
      <c r="CO29" s="250"/>
      <c r="CR29" s="295"/>
      <c r="CZ29" s="236"/>
      <c r="DE29" s="262"/>
      <c r="DF29" s="252"/>
      <c r="DG29" s="252"/>
      <c r="DI29" s="250"/>
      <c r="DJ29" s="258"/>
      <c r="DK29" s="241"/>
      <c r="DL29" s="252"/>
      <c r="DM29" s="258"/>
      <c r="DO29" s="252"/>
      <c r="DQ29" s="241"/>
      <c r="DS29" s="295"/>
      <c r="DT29" s="295"/>
      <c r="DW29" s="242"/>
      <c r="DX29" s="234"/>
      <c r="EF29" s="241"/>
      <c r="EL29" s="242"/>
      <c r="ES29" s="241"/>
      <c r="EX29" s="241"/>
      <c r="FH29" s="250"/>
      <c r="FI29" s="250"/>
      <c r="FJ29" s="250"/>
      <c r="FK29" s="250"/>
      <c r="FL29" s="257"/>
      <c r="FQ29" s="241"/>
      <c r="FR29" s="234"/>
      <c r="FS29" s="234"/>
      <c r="FT29" s="241"/>
      <c r="GB29" s="241"/>
      <c r="GC29" s="250"/>
      <c r="GD29" s="250"/>
      <c r="GE29" s="250"/>
      <c r="GF29" s="250"/>
      <c r="GG29" s="257"/>
      <c r="GL29" s="241"/>
      <c r="GP29" s="254"/>
      <c r="GZ29" s="295"/>
      <c r="HB29" s="234">
        <v>61</v>
      </c>
      <c r="HK29" s="250"/>
      <c r="HL29" s="250"/>
      <c r="HM29" s="250"/>
      <c r="HN29" s="250"/>
      <c r="HQ29" s="321"/>
      <c r="HR29" s="321"/>
      <c r="HS29" s="321"/>
      <c r="HW29" s="250"/>
      <c r="HX29" s="250"/>
      <c r="HY29" s="250"/>
      <c r="IE29" s="250"/>
      <c r="IF29" s="250"/>
      <c r="IG29" s="258"/>
      <c r="IH29" s="250"/>
      <c r="II29" s="250"/>
      <c r="IJ29" s="250"/>
      <c r="IO29" s="257"/>
      <c r="IR29" s="258"/>
      <c r="IS29" s="257"/>
      <c r="IV29" s="295"/>
      <c r="JQ29" s="377"/>
      <c r="KL29" s="409"/>
      <c r="KM29" s="388"/>
      <c r="KW29" s="409"/>
      <c r="LI29" s="416"/>
      <c r="LJ29" s="388"/>
      <c r="LV29" s="421"/>
      <c r="MF29" s="422"/>
      <c r="MG29" s="425"/>
      <c r="NC29" s="421"/>
      <c r="NM29" s="422"/>
    </row>
    <row r="30" spans="1:377">
      <c r="A30" s="240">
        <v>1970</v>
      </c>
      <c r="B30" s="269">
        <v>82992</v>
      </c>
      <c r="C30" s="250">
        <v>14424</v>
      </c>
      <c r="D30" s="250">
        <v>68568</v>
      </c>
      <c r="E30" s="234">
        <v>34432</v>
      </c>
      <c r="R30" s="295"/>
      <c r="U30" s="240"/>
      <c r="V30" s="295"/>
      <c r="AA30" s="295"/>
      <c r="AL30" s="242"/>
      <c r="AP30" s="241"/>
      <c r="AV30" s="295"/>
      <c r="BD30" s="234">
        <v>2261.3240647323119</v>
      </c>
      <c r="BE30" s="234">
        <v>2261.3240647323119</v>
      </c>
      <c r="BJ30" s="236">
        <v>2261.3240647323119</v>
      </c>
      <c r="BK30" s="236"/>
      <c r="BL30" s="234">
        <v>800.41550727526408</v>
      </c>
      <c r="BM30" s="234">
        <v>912.2</v>
      </c>
      <c r="BN30" s="250">
        <v>828.1</v>
      </c>
      <c r="BO30" s="250">
        <v>84.1</v>
      </c>
      <c r="BP30" s="234">
        <v>548.70855745704762</v>
      </c>
      <c r="BR30" s="250">
        <v>100.2</v>
      </c>
      <c r="BS30" s="250">
        <v>162.84459188790262</v>
      </c>
      <c r="BT30" s="250">
        <v>26.943289266838708</v>
      </c>
      <c r="BU30" s="250">
        <v>52.012323946862686</v>
      </c>
      <c r="BV30" s="250">
        <v>47.611740785449079</v>
      </c>
      <c r="BW30" s="250"/>
      <c r="BX30" s="250">
        <v>159.09661156999456</v>
      </c>
      <c r="BY30" s="236"/>
      <c r="BZ30" s="236"/>
      <c r="CA30" s="236"/>
      <c r="CB30" s="236"/>
      <c r="CC30" s="236"/>
      <c r="CD30" s="236"/>
      <c r="CN30" s="250"/>
      <c r="CO30" s="250"/>
      <c r="CR30" s="295"/>
      <c r="CW30" s="239">
        <v>3.2000000000000001E-2</v>
      </c>
      <c r="CZ30" s="236"/>
      <c r="DA30" s="307">
        <v>5039730096.5861654</v>
      </c>
      <c r="DE30" s="262"/>
      <c r="DF30" s="252"/>
      <c r="DG30" s="252"/>
      <c r="DI30" s="250"/>
      <c r="DJ30" s="258"/>
      <c r="DK30" s="241"/>
      <c r="DL30" s="252"/>
      <c r="DM30" s="258"/>
      <c r="DO30" s="252"/>
      <c r="DQ30" s="241"/>
      <c r="DS30" s="295"/>
      <c r="DT30" s="295"/>
      <c r="DW30" s="242"/>
      <c r="DX30" s="234"/>
      <c r="EF30" s="241"/>
      <c r="EL30" s="242"/>
      <c r="ES30" s="241"/>
      <c r="EX30" s="241"/>
      <c r="FH30" s="250"/>
      <c r="FI30" s="250"/>
      <c r="FJ30" s="250"/>
      <c r="FK30" s="250"/>
      <c r="FL30" s="257"/>
      <c r="FQ30" s="241"/>
      <c r="FR30" s="234"/>
      <c r="FS30" s="234"/>
      <c r="FT30" s="241"/>
      <c r="GB30" s="241"/>
      <c r="GC30" s="250"/>
      <c r="GD30" s="250"/>
      <c r="GE30" s="250"/>
      <c r="GF30" s="250"/>
      <c r="GG30" s="257"/>
      <c r="GL30" s="241"/>
      <c r="GP30" s="254"/>
      <c r="GZ30" s="295"/>
      <c r="HB30" s="234">
        <v>64.5</v>
      </c>
      <c r="HK30" s="250"/>
      <c r="HL30" s="250"/>
      <c r="HM30" s="250"/>
      <c r="HN30" s="250"/>
      <c r="HQ30" s="321"/>
      <c r="HR30" s="321"/>
      <c r="HS30" s="321"/>
      <c r="HW30" s="250"/>
      <c r="HX30" s="250"/>
      <c r="HY30" s="250"/>
      <c r="IE30" s="250"/>
      <c r="IF30" s="250"/>
      <c r="IG30" s="258"/>
      <c r="IH30" s="250"/>
      <c r="II30" s="250"/>
      <c r="IJ30" s="250"/>
      <c r="IO30" s="257"/>
      <c r="IR30" s="258"/>
      <c r="IS30" s="257"/>
      <c r="IV30" s="295"/>
      <c r="KL30" s="409"/>
      <c r="KM30" s="388"/>
      <c r="KW30" s="409"/>
      <c r="LI30" s="416"/>
      <c r="LJ30" s="388"/>
      <c r="LV30" s="421"/>
      <c r="MF30" s="422"/>
      <c r="MG30" s="425"/>
      <c r="NC30" s="421"/>
      <c r="NM30" s="422"/>
    </row>
    <row r="31" spans="1:377">
      <c r="A31" s="240">
        <v>1971</v>
      </c>
      <c r="B31" s="269">
        <v>85229</v>
      </c>
      <c r="C31" s="250">
        <v>14711</v>
      </c>
      <c r="D31" s="250">
        <v>70518</v>
      </c>
      <c r="E31" s="234">
        <v>35620</v>
      </c>
      <c r="R31" s="295"/>
      <c r="U31" s="240"/>
      <c r="V31" s="295"/>
      <c r="AA31" s="295"/>
      <c r="AL31" s="242"/>
      <c r="AP31" s="241"/>
      <c r="AV31" s="295"/>
      <c r="BD31" s="234">
        <v>2435.2567603417583</v>
      </c>
      <c r="BE31" s="234">
        <v>2435.2567603417583</v>
      </c>
      <c r="BJ31" s="236">
        <v>2435.2567603417583</v>
      </c>
      <c r="BK31" s="236"/>
      <c r="BL31" s="234">
        <v>833.71150089695027</v>
      </c>
      <c r="BM31" s="234">
        <v>1022.8</v>
      </c>
      <c r="BN31" s="250">
        <v>926.6</v>
      </c>
      <c r="BO31" s="250">
        <v>96.2</v>
      </c>
      <c r="BP31" s="234">
        <v>578.74525944480797</v>
      </c>
      <c r="BR31" s="250">
        <v>108.4</v>
      </c>
      <c r="BS31" s="250">
        <v>162.48257756555341</v>
      </c>
      <c r="BT31" s="250">
        <v>28.154630320006881</v>
      </c>
      <c r="BU31" s="250">
        <v>59.919195286370893</v>
      </c>
      <c r="BV31" s="250">
        <v>49.937565055387317</v>
      </c>
      <c r="BW31" s="250"/>
      <c r="BX31" s="250">
        <v>169.85129121748946</v>
      </c>
      <c r="BY31" s="236"/>
      <c r="BZ31" s="236"/>
      <c r="CA31" s="236"/>
      <c r="CB31" s="236"/>
      <c r="CC31" s="236"/>
      <c r="CD31" s="236"/>
      <c r="CN31" s="250"/>
      <c r="CO31" s="250"/>
      <c r="CR31" s="295"/>
      <c r="CZ31" s="236"/>
      <c r="DA31" s="307">
        <v>5520757805.8941698</v>
      </c>
      <c r="DE31" s="262"/>
      <c r="DF31" s="252"/>
      <c r="DG31" s="252"/>
      <c r="DI31" s="250"/>
      <c r="DJ31" s="258"/>
      <c r="DK31" s="241"/>
      <c r="DL31" s="252"/>
      <c r="DM31" s="258"/>
      <c r="DO31" s="252"/>
      <c r="DQ31" s="241"/>
      <c r="DS31" s="295"/>
      <c r="DT31" s="295"/>
      <c r="DW31" s="242"/>
      <c r="DX31" s="234"/>
      <c r="EF31" s="241"/>
      <c r="EL31" s="242"/>
      <c r="ES31" s="241"/>
      <c r="EX31" s="241"/>
      <c r="FH31" s="250"/>
      <c r="FI31" s="250"/>
      <c r="FJ31" s="250"/>
      <c r="FK31" s="250"/>
      <c r="FL31" s="257"/>
      <c r="FQ31" s="241"/>
      <c r="FR31" s="234"/>
      <c r="FS31" s="234"/>
      <c r="FT31" s="241"/>
      <c r="GB31" s="241"/>
      <c r="GC31" s="250"/>
      <c r="GD31" s="250"/>
      <c r="GE31" s="250"/>
      <c r="GF31" s="250"/>
      <c r="GG31" s="257"/>
      <c r="GL31" s="241"/>
      <c r="GP31" s="254"/>
      <c r="GZ31" s="295"/>
      <c r="HB31" s="234">
        <v>73.3</v>
      </c>
      <c r="HK31" s="250"/>
      <c r="HL31" s="250"/>
      <c r="HM31" s="250"/>
      <c r="HN31" s="250"/>
      <c r="HQ31" s="321"/>
      <c r="HR31" s="321"/>
      <c r="HS31" s="321"/>
      <c r="HW31" s="250"/>
      <c r="HX31" s="250"/>
      <c r="HY31" s="250"/>
      <c r="IE31" s="250"/>
      <c r="IF31" s="250"/>
      <c r="IG31" s="258"/>
      <c r="IH31" s="250"/>
      <c r="II31" s="250"/>
      <c r="IJ31" s="250"/>
      <c r="IO31" s="257"/>
      <c r="IR31" s="258"/>
      <c r="IS31" s="257"/>
      <c r="IV31" s="295"/>
      <c r="KL31" s="409"/>
      <c r="KM31" s="388"/>
      <c r="KW31" s="409"/>
      <c r="LI31" s="416"/>
      <c r="LJ31" s="388"/>
      <c r="LV31" s="421"/>
      <c r="MF31" s="422"/>
      <c r="MG31" s="425"/>
      <c r="NC31" s="421"/>
      <c r="NM31" s="422"/>
    </row>
    <row r="32" spans="1:377">
      <c r="A32" s="240">
        <v>1972</v>
      </c>
      <c r="B32" s="269">
        <v>87177</v>
      </c>
      <c r="C32" s="250">
        <v>14935</v>
      </c>
      <c r="D32" s="250">
        <v>72242</v>
      </c>
      <c r="E32" s="234">
        <v>35854</v>
      </c>
      <c r="R32" s="295"/>
      <c r="U32" s="240"/>
      <c r="V32" s="295"/>
      <c r="AA32" s="295"/>
      <c r="AL32" s="242"/>
      <c r="AP32" s="241"/>
      <c r="AV32" s="295"/>
      <c r="BD32" s="234">
        <v>2530.224149001092</v>
      </c>
      <c r="BE32" s="234">
        <v>2530.224149001092</v>
      </c>
      <c r="BJ32" s="236">
        <v>2530.224149001092</v>
      </c>
      <c r="BK32" s="236"/>
      <c r="BL32" s="234">
        <v>834.82136735100653</v>
      </c>
      <c r="BM32" s="234">
        <v>1084.2</v>
      </c>
      <c r="BN32" s="250">
        <v>989.9</v>
      </c>
      <c r="BO32" s="250">
        <v>94.3</v>
      </c>
      <c r="BP32" s="234">
        <v>611.2027816500854</v>
      </c>
      <c r="BR32" s="250">
        <v>122.92069823051212</v>
      </c>
      <c r="BS32" s="250">
        <v>176.62104534491644</v>
      </c>
      <c r="BT32" s="250">
        <v>30.665489271462832</v>
      </c>
      <c r="BU32" s="250">
        <v>47.782442093700645</v>
      </c>
      <c r="BV32" s="250">
        <v>55.241706907391176</v>
      </c>
      <c r="BW32" s="250"/>
      <c r="BX32" s="250">
        <v>177.97139980210221</v>
      </c>
      <c r="BY32" s="236"/>
      <c r="BZ32" s="236"/>
      <c r="CA32" s="236"/>
      <c r="CB32" s="236"/>
      <c r="CC32" s="236"/>
      <c r="CD32" s="236"/>
      <c r="CN32" s="250"/>
      <c r="CO32" s="250"/>
      <c r="CR32" s="295"/>
      <c r="CZ32" s="236"/>
      <c r="DA32" s="307">
        <v>6517586401.0921717</v>
      </c>
      <c r="DE32" s="262"/>
      <c r="DF32" s="252"/>
      <c r="DG32" s="252"/>
      <c r="DI32" s="250"/>
      <c r="DJ32" s="258"/>
      <c r="DK32" s="241"/>
      <c r="DL32" s="252"/>
      <c r="DM32" s="258"/>
      <c r="DO32" s="252"/>
      <c r="DQ32" s="241"/>
      <c r="DS32" s="295"/>
      <c r="DT32" s="295"/>
      <c r="DW32" s="242"/>
      <c r="DX32" s="234"/>
      <c r="EF32" s="241"/>
      <c r="EL32" s="242"/>
      <c r="ES32" s="241"/>
      <c r="EX32" s="241"/>
      <c r="FH32" s="250"/>
      <c r="FI32" s="250"/>
      <c r="FJ32" s="250"/>
      <c r="FK32" s="250"/>
      <c r="FL32" s="257"/>
      <c r="FQ32" s="241"/>
      <c r="FR32" s="234"/>
      <c r="FS32" s="234"/>
      <c r="FT32" s="241"/>
      <c r="GB32" s="241"/>
      <c r="GC32" s="250"/>
      <c r="GD32" s="250"/>
      <c r="GE32" s="250"/>
      <c r="GF32" s="250"/>
      <c r="GG32" s="257"/>
      <c r="GL32" s="241"/>
      <c r="GP32" s="254"/>
      <c r="GZ32" s="295"/>
      <c r="HB32" s="234">
        <v>85.1</v>
      </c>
      <c r="HK32" s="250"/>
      <c r="HL32" s="250"/>
      <c r="HM32" s="250"/>
      <c r="HN32" s="250"/>
      <c r="HQ32" s="321"/>
      <c r="HR32" s="321"/>
      <c r="HS32" s="321"/>
      <c r="HW32" s="250"/>
      <c r="HX32" s="250"/>
      <c r="HY32" s="250"/>
      <c r="IE32" s="250"/>
      <c r="IF32" s="250"/>
      <c r="IG32" s="258"/>
      <c r="IH32" s="250"/>
      <c r="II32" s="250"/>
      <c r="IJ32" s="250"/>
      <c r="IO32" s="257"/>
      <c r="IR32" s="258"/>
      <c r="IS32" s="257"/>
      <c r="IV32" s="295"/>
      <c r="KL32" s="409"/>
      <c r="KM32" s="388"/>
      <c r="KW32" s="409"/>
      <c r="LI32" s="416"/>
      <c r="LJ32" s="388"/>
      <c r="LV32" s="421"/>
      <c r="MF32" s="422"/>
      <c r="MG32" s="425"/>
      <c r="NC32" s="421"/>
      <c r="NM32" s="422"/>
    </row>
    <row r="33" spans="1:377">
      <c r="A33" s="240">
        <v>1973</v>
      </c>
      <c r="B33" s="269">
        <v>89211</v>
      </c>
      <c r="C33" s="250">
        <v>15345</v>
      </c>
      <c r="D33" s="250">
        <v>73866</v>
      </c>
      <c r="E33" s="234">
        <v>36652</v>
      </c>
      <c r="R33" s="295"/>
      <c r="U33" s="240"/>
      <c r="V33" s="295"/>
      <c r="AA33" s="295"/>
      <c r="AL33" s="242"/>
      <c r="AP33" s="241"/>
      <c r="AV33" s="295"/>
      <c r="BD33" s="234">
        <v>2733.3537485935872</v>
      </c>
      <c r="BE33" s="234">
        <v>2733.3537485935872</v>
      </c>
      <c r="BJ33" s="236">
        <v>2733.3537485935872</v>
      </c>
      <c r="BK33" s="236"/>
      <c r="BL33" s="234">
        <v>915.63982459637236</v>
      </c>
      <c r="BM33" s="234">
        <v>1173</v>
      </c>
      <c r="BN33" s="250">
        <v>1072.5</v>
      </c>
      <c r="BO33" s="250">
        <v>100.5</v>
      </c>
      <c r="BP33" s="234">
        <v>644.71392399721481</v>
      </c>
      <c r="BR33" s="250">
        <v>130.9595541730142</v>
      </c>
      <c r="BS33" s="250">
        <v>192.01754383503399</v>
      </c>
      <c r="BT33" s="250">
        <v>32.618317512164225</v>
      </c>
      <c r="BU33" s="250">
        <v>47.450110285426604</v>
      </c>
      <c r="BV33" s="250">
        <v>54.803638308160615</v>
      </c>
      <c r="BW33" s="250"/>
      <c r="BX33" s="250">
        <v>186.86475988341516</v>
      </c>
      <c r="BY33" s="236"/>
      <c r="BZ33" s="236"/>
      <c r="CA33" s="236"/>
      <c r="CB33" s="236"/>
      <c r="CC33" s="236"/>
      <c r="CD33" s="236"/>
      <c r="CN33" s="250"/>
      <c r="CO33" s="250"/>
      <c r="CR33" s="295"/>
      <c r="CZ33" s="236"/>
      <c r="DA33" s="307">
        <v>8428645697.8688488</v>
      </c>
      <c r="DE33" s="262"/>
      <c r="DF33" s="252"/>
      <c r="DG33" s="252"/>
      <c r="DI33" s="250"/>
      <c r="DJ33" s="258"/>
      <c r="DK33" s="241"/>
      <c r="DL33" s="252"/>
      <c r="DM33" s="258"/>
      <c r="DO33" s="252"/>
      <c r="DQ33" s="241"/>
      <c r="DS33" s="295"/>
      <c r="DT33" s="295"/>
      <c r="DW33" s="242"/>
      <c r="DX33" s="234"/>
      <c r="EF33" s="241"/>
      <c r="EL33" s="242"/>
      <c r="ES33" s="241"/>
      <c r="EX33" s="241"/>
      <c r="FH33" s="250"/>
      <c r="FI33" s="250"/>
      <c r="FJ33" s="250"/>
      <c r="FK33" s="250"/>
      <c r="FL33" s="257"/>
      <c r="FQ33" s="241"/>
      <c r="FR33" s="234"/>
      <c r="FS33" s="234"/>
      <c r="FT33" s="241"/>
      <c r="GB33" s="241"/>
      <c r="GC33" s="250"/>
      <c r="GD33" s="250"/>
      <c r="GE33" s="250"/>
      <c r="GF33" s="250"/>
      <c r="GG33" s="257"/>
      <c r="GL33" s="241"/>
      <c r="GP33" s="254"/>
      <c r="GZ33" s="295"/>
      <c r="HB33" s="234">
        <v>94.1</v>
      </c>
      <c r="HK33" s="250"/>
      <c r="HL33" s="250"/>
      <c r="HM33" s="250"/>
      <c r="HN33" s="250"/>
      <c r="HQ33" s="321"/>
      <c r="HR33" s="321"/>
      <c r="HS33" s="321"/>
      <c r="HW33" s="250"/>
      <c r="HX33" s="250"/>
      <c r="HY33" s="250"/>
      <c r="IE33" s="250"/>
      <c r="IF33" s="250"/>
      <c r="IG33" s="258"/>
      <c r="IH33" s="250"/>
      <c r="II33" s="250"/>
      <c r="IJ33" s="250"/>
      <c r="IO33" s="257"/>
      <c r="IR33" s="258"/>
      <c r="IS33" s="257"/>
      <c r="IV33" s="295"/>
      <c r="KL33" s="409"/>
      <c r="KM33" s="388"/>
      <c r="KW33" s="409"/>
      <c r="LI33" s="416"/>
      <c r="LJ33" s="388"/>
      <c r="LV33" s="421"/>
      <c r="MF33" s="422"/>
      <c r="MG33" s="425"/>
      <c r="NC33" s="421"/>
      <c r="NM33" s="422"/>
    </row>
    <row r="34" spans="1:377">
      <c r="A34" s="240">
        <v>1974</v>
      </c>
      <c r="B34" s="269">
        <v>90859</v>
      </c>
      <c r="C34" s="250">
        <v>15595</v>
      </c>
      <c r="D34" s="250">
        <v>75264</v>
      </c>
      <c r="E34" s="234">
        <v>37369</v>
      </c>
      <c r="R34" s="295"/>
      <c r="U34" s="240"/>
      <c r="V34" s="295"/>
      <c r="AA34" s="295"/>
      <c r="AL34" s="242"/>
      <c r="AP34" s="241"/>
      <c r="AV34" s="295"/>
      <c r="BD34" s="234">
        <v>2803.7425703395179</v>
      </c>
      <c r="BE34" s="234">
        <v>2803.7425703395179</v>
      </c>
      <c r="BJ34" s="236">
        <v>2803.7425703395179</v>
      </c>
      <c r="BK34" s="236"/>
      <c r="BL34" s="234">
        <v>953.67797488538974</v>
      </c>
      <c r="BM34" s="234">
        <v>1192</v>
      </c>
      <c r="BN34" s="250">
        <v>1083.5999999999999</v>
      </c>
      <c r="BO34" s="250">
        <v>108.4</v>
      </c>
      <c r="BP34" s="234">
        <v>658.06459545412827</v>
      </c>
      <c r="BR34" s="250">
        <v>132.1574191652827</v>
      </c>
      <c r="BS34" s="250">
        <v>188.1728413871968</v>
      </c>
      <c r="BT34" s="250">
        <v>33.361673421639324</v>
      </c>
      <c r="BU34" s="250">
        <v>50.785797054923307</v>
      </c>
      <c r="BV34" s="250">
        <v>58.856773284594773</v>
      </c>
      <c r="BW34" s="250"/>
      <c r="BX34" s="250">
        <v>194.7300911404914</v>
      </c>
      <c r="BY34" s="236"/>
      <c r="BZ34" s="236"/>
      <c r="CA34" s="236"/>
      <c r="CB34" s="236"/>
      <c r="CC34" s="236"/>
      <c r="CD34" s="236"/>
      <c r="CN34" s="250"/>
      <c r="CO34" s="250"/>
      <c r="CR34" s="295"/>
      <c r="CZ34" s="236"/>
      <c r="DA34" s="307">
        <v>8819836034.265974</v>
      </c>
      <c r="DE34" s="262"/>
      <c r="DF34" s="252"/>
      <c r="DG34" s="252"/>
      <c r="DI34" s="250"/>
      <c r="DJ34" s="258"/>
      <c r="DK34" s="241"/>
      <c r="DL34" s="252"/>
      <c r="DM34" s="258"/>
      <c r="DO34" s="252"/>
      <c r="DQ34" s="241"/>
      <c r="DS34" s="295"/>
      <c r="DT34" s="295"/>
      <c r="DW34" s="242"/>
      <c r="DX34" s="234"/>
      <c r="EF34" s="241"/>
      <c r="EL34" s="242"/>
      <c r="ES34" s="241"/>
      <c r="EX34" s="241"/>
      <c r="FH34" s="250"/>
      <c r="FI34" s="250"/>
      <c r="FJ34" s="250"/>
      <c r="FK34" s="250"/>
      <c r="FL34" s="257"/>
      <c r="FQ34" s="241"/>
      <c r="FR34" s="234"/>
      <c r="FS34" s="234"/>
      <c r="FT34" s="241"/>
      <c r="GB34" s="241"/>
      <c r="GC34" s="250"/>
      <c r="GD34" s="250"/>
      <c r="GE34" s="250"/>
      <c r="GF34" s="250"/>
      <c r="GG34" s="257"/>
      <c r="GL34" s="241"/>
      <c r="GP34" s="254"/>
      <c r="GZ34" s="295"/>
      <c r="HB34" s="234">
        <v>105.8</v>
      </c>
      <c r="HK34" s="250"/>
      <c r="HL34" s="250"/>
      <c r="HM34" s="250"/>
      <c r="HN34" s="250"/>
      <c r="HQ34" s="321"/>
      <c r="HR34" s="321"/>
      <c r="HS34" s="321"/>
      <c r="HW34" s="250"/>
      <c r="HX34" s="250"/>
      <c r="HY34" s="250"/>
      <c r="IE34" s="250"/>
      <c r="IF34" s="250"/>
      <c r="IG34" s="258"/>
      <c r="IH34" s="250"/>
      <c r="II34" s="250"/>
      <c r="IJ34" s="250"/>
      <c r="IO34" s="257"/>
      <c r="IR34" s="258"/>
      <c r="IS34" s="257"/>
      <c r="IV34" s="295"/>
      <c r="KL34" s="409"/>
      <c r="KM34" s="388"/>
      <c r="KW34" s="409"/>
      <c r="LI34" s="416"/>
      <c r="LJ34" s="388"/>
      <c r="LV34" s="421"/>
      <c r="MF34" s="422"/>
      <c r="MG34" s="425"/>
      <c r="NC34" s="421"/>
      <c r="NM34" s="422"/>
    </row>
    <row r="35" spans="1:377">
      <c r="A35" s="240">
        <v>1975</v>
      </c>
      <c r="B35" s="269">
        <v>92420</v>
      </c>
      <c r="C35" s="250">
        <v>16030</v>
      </c>
      <c r="D35" s="250">
        <v>76390</v>
      </c>
      <c r="E35" s="234">
        <v>38168</v>
      </c>
      <c r="R35" s="295"/>
      <c r="U35" s="240"/>
      <c r="V35" s="295"/>
      <c r="AA35" s="295"/>
      <c r="AL35" s="242"/>
      <c r="AP35" s="241"/>
      <c r="AV35" s="295"/>
      <c r="BD35" s="234">
        <v>3013.1108333419115</v>
      </c>
      <c r="BE35" s="234">
        <v>3013.1108333419115</v>
      </c>
      <c r="BJ35" s="236">
        <v>3013.1108333419115</v>
      </c>
      <c r="BK35" s="236"/>
      <c r="BL35" s="234">
        <v>979.81028503089499</v>
      </c>
      <c r="BM35" s="234">
        <v>1370.5</v>
      </c>
      <c r="BN35" s="250">
        <v>1244.9000000000001</v>
      </c>
      <c r="BO35" s="250">
        <v>125.6</v>
      </c>
      <c r="BP35" s="234">
        <v>662.80054831101643</v>
      </c>
      <c r="BR35" s="250">
        <v>148.32075517178657</v>
      </c>
      <c r="BS35" s="250">
        <v>160.17550331008653</v>
      </c>
      <c r="BT35" s="250">
        <v>31.208338229568589</v>
      </c>
      <c r="BU35" s="250">
        <v>54.97598834408938</v>
      </c>
      <c r="BV35" s="250">
        <v>64.734844997822265</v>
      </c>
      <c r="BW35" s="250"/>
      <c r="BX35" s="250">
        <v>203.38511825766307</v>
      </c>
      <c r="BY35" s="236"/>
      <c r="BZ35" s="236"/>
      <c r="CA35" s="236"/>
      <c r="CB35" s="236"/>
      <c r="CC35" s="236"/>
      <c r="CD35" s="236"/>
      <c r="CN35" s="250"/>
      <c r="CO35" s="250"/>
      <c r="CR35" s="295"/>
      <c r="CW35" s="239">
        <v>3.6000000000000004E-2</v>
      </c>
      <c r="CZ35" s="236"/>
      <c r="DA35" s="307">
        <v>9183056118.998476</v>
      </c>
      <c r="DE35" s="262"/>
      <c r="DF35" s="252"/>
      <c r="DG35" s="252"/>
      <c r="DI35" s="250"/>
      <c r="DJ35" s="258"/>
      <c r="DK35" s="241"/>
      <c r="DL35" s="252"/>
      <c r="DM35" s="258"/>
      <c r="DO35" s="252"/>
      <c r="DQ35" s="241"/>
      <c r="DS35" s="295"/>
      <c r="DT35" s="295"/>
      <c r="DW35" s="242"/>
      <c r="DX35" s="234"/>
      <c r="EF35" s="241"/>
      <c r="EL35" s="242"/>
      <c r="ES35" s="241"/>
      <c r="EX35" s="241"/>
      <c r="FH35" s="250"/>
      <c r="FI35" s="250"/>
      <c r="FJ35" s="250"/>
      <c r="FK35" s="250"/>
      <c r="FL35" s="257"/>
      <c r="FQ35" s="241"/>
      <c r="FR35" s="234"/>
      <c r="FS35" s="234"/>
      <c r="FT35" s="241"/>
      <c r="GB35" s="241"/>
      <c r="GC35" s="250"/>
      <c r="GD35" s="250"/>
      <c r="GE35" s="250"/>
      <c r="GF35" s="250"/>
      <c r="GG35" s="257"/>
      <c r="GL35" s="241"/>
      <c r="GP35" s="254"/>
      <c r="GZ35" s="295"/>
      <c r="HB35" s="234">
        <v>114.6</v>
      </c>
      <c r="HK35" s="250"/>
      <c r="HL35" s="250"/>
      <c r="HM35" s="250"/>
      <c r="HN35" s="250"/>
      <c r="HQ35" s="321"/>
      <c r="HR35" s="321"/>
      <c r="HS35" s="321"/>
      <c r="HW35" s="250"/>
      <c r="HX35" s="250"/>
      <c r="HY35" s="250"/>
      <c r="IE35" s="250"/>
      <c r="IF35" s="250"/>
      <c r="IG35" s="258"/>
      <c r="IH35" s="250"/>
      <c r="II35" s="250"/>
      <c r="IJ35" s="250"/>
      <c r="IO35" s="257"/>
      <c r="IR35" s="258"/>
      <c r="IS35" s="257"/>
      <c r="IV35" s="295"/>
      <c r="KL35" s="409"/>
      <c r="KM35" s="388"/>
      <c r="KW35" s="409"/>
      <c r="LI35" s="416"/>
      <c r="LJ35" s="388"/>
      <c r="LV35" s="421"/>
      <c r="MF35" s="422"/>
      <c r="MG35" s="425"/>
      <c r="NC35" s="421"/>
      <c r="NM35" s="422"/>
    </row>
    <row r="36" spans="1:377">
      <c r="A36" s="240">
        <v>1976</v>
      </c>
      <c r="B36" s="269">
        <v>93717</v>
      </c>
      <c r="C36" s="250">
        <v>16341</v>
      </c>
      <c r="D36" s="250">
        <v>77376</v>
      </c>
      <c r="E36" s="234">
        <v>38834</v>
      </c>
      <c r="R36" s="295"/>
      <c r="T36" s="239">
        <v>10.829117077316162</v>
      </c>
      <c r="U36" s="240"/>
      <c r="V36" s="295"/>
      <c r="AA36" s="295"/>
      <c r="AL36" s="242"/>
      <c r="AP36" s="241"/>
      <c r="AV36" s="295"/>
      <c r="BD36" s="234">
        <v>2961.4726575808982</v>
      </c>
      <c r="BE36" s="234">
        <v>2961.4726575808982</v>
      </c>
      <c r="BJ36" s="236">
        <v>2961.4726575808982</v>
      </c>
      <c r="BK36" s="236"/>
      <c r="BL36" s="234">
        <v>975.67351006577633</v>
      </c>
      <c r="BM36" s="234">
        <v>1337.2</v>
      </c>
      <c r="BN36" s="250">
        <v>1204.5999999999999</v>
      </c>
      <c r="BO36" s="250">
        <v>132.6</v>
      </c>
      <c r="BP36" s="234">
        <v>648.59914751512179</v>
      </c>
      <c r="BR36" s="250">
        <v>147.05673179395833</v>
      </c>
      <c r="BS36" s="250">
        <v>134.37519232453039</v>
      </c>
      <c r="BT36" s="250">
        <v>30.031966042172101</v>
      </c>
      <c r="BU36" s="250">
        <v>55.582086772860599</v>
      </c>
      <c r="BV36" s="250">
        <v>69.090570808037711</v>
      </c>
      <c r="BW36" s="250"/>
      <c r="BX36" s="250">
        <v>212.46259977356269</v>
      </c>
      <c r="BY36" s="236"/>
      <c r="BZ36" s="236"/>
      <c r="CA36" s="236"/>
      <c r="CB36" s="236"/>
      <c r="CC36" s="236"/>
      <c r="CD36" s="236"/>
      <c r="CN36" s="250"/>
      <c r="CO36" s="250"/>
      <c r="CR36" s="295"/>
      <c r="CZ36" s="236"/>
      <c r="DA36" s="307">
        <v>8428977096.8629713</v>
      </c>
      <c r="DE36" s="262"/>
      <c r="DF36" s="252"/>
      <c r="DG36" s="252"/>
      <c r="DI36" s="250"/>
      <c r="DJ36" s="258"/>
      <c r="DK36" s="241"/>
      <c r="DL36" s="252"/>
      <c r="DM36" s="258"/>
      <c r="DO36" s="252"/>
      <c r="DQ36" s="241"/>
      <c r="DS36" s="295"/>
      <c r="DT36" s="295"/>
      <c r="DW36" s="242"/>
      <c r="DX36" s="234"/>
      <c r="EF36" s="241">
        <v>9509.1144027644714</v>
      </c>
      <c r="EL36" s="242"/>
      <c r="ES36" s="241"/>
      <c r="EX36" s="241"/>
      <c r="FH36" s="250"/>
      <c r="FI36" s="250"/>
      <c r="FJ36" s="250"/>
      <c r="FK36" s="250"/>
      <c r="FL36" s="257"/>
      <c r="FQ36" s="241"/>
      <c r="FR36" s="234"/>
      <c r="FS36" s="234"/>
      <c r="FT36" s="241"/>
      <c r="GB36" s="241"/>
      <c r="GC36" s="250"/>
      <c r="GD36" s="250"/>
      <c r="GE36" s="250"/>
      <c r="GF36" s="250"/>
      <c r="GG36" s="257"/>
      <c r="GL36" s="241"/>
      <c r="GP36" s="254"/>
      <c r="GZ36" s="295"/>
      <c r="HB36" s="234">
        <v>122.2</v>
      </c>
      <c r="HK36" s="250"/>
      <c r="HL36" s="250"/>
      <c r="HM36" s="250"/>
      <c r="HN36" s="250"/>
      <c r="HQ36" s="321"/>
      <c r="HR36" s="321"/>
      <c r="HS36" s="321"/>
      <c r="HW36" s="250"/>
      <c r="HX36" s="250"/>
      <c r="HY36" s="250"/>
      <c r="IE36" s="250"/>
      <c r="IF36" s="250"/>
      <c r="IG36" s="258"/>
      <c r="IH36" s="250"/>
      <c r="II36" s="250"/>
      <c r="IJ36" s="250"/>
      <c r="IO36" s="257"/>
      <c r="IR36" s="258"/>
      <c r="IS36" s="257"/>
      <c r="IV36" s="295"/>
      <c r="KL36" s="409"/>
      <c r="KM36" s="388"/>
      <c r="KW36" s="409"/>
      <c r="LI36" s="416"/>
      <c r="LJ36" s="388"/>
      <c r="LV36" s="421"/>
      <c r="MF36" s="422"/>
      <c r="MG36" s="425"/>
      <c r="NC36" s="421"/>
      <c r="NM36" s="422"/>
    </row>
    <row r="37" spans="1:377">
      <c r="A37" s="240">
        <v>1977</v>
      </c>
      <c r="B37" s="269">
        <v>94974</v>
      </c>
      <c r="C37" s="250">
        <v>16669</v>
      </c>
      <c r="D37" s="250">
        <v>78305</v>
      </c>
      <c r="E37" s="234">
        <v>39377</v>
      </c>
      <c r="R37" s="295"/>
      <c r="T37" s="239">
        <v>10.353195207974872</v>
      </c>
      <c r="U37" s="240"/>
      <c r="V37" s="295"/>
      <c r="AA37" s="295"/>
      <c r="AL37" s="242"/>
      <c r="AP37" s="241"/>
      <c r="AV37" s="295"/>
      <c r="BD37" s="234">
        <v>3221.0517728111718</v>
      </c>
      <c r="BE37" s="234">
        <v>3221.0517728111718</v>
      </c>
      <c r="BJ37" s="236">
        <v>3221.0517728111722</v>
      </c>
      <c r="BK37" s="236"/>
      <c r="BL37" s="234">
        <v>950.55016942395855</v>
      </c>
      <c r="BM37" s="234">
        <v>1509.1</v>
      </c>
      <c r="BN37" s="250">
        <v>1372.4</v>
      </c>
      <c r="BO37" s="250">
        <v>136.69999999999999</v>
      </c>
      <c r="BP37" s="234">
        <v>761.40160338721353</v>
      </c>
      <c r="BR37" s="250">
        <v>165.17330376211996</v>
      </c>
      <c r="BS37" s="250">
        <v>195.12725561228308</v>
      </c>
      <c r="BT37" s="250">
        <v>37.503219581466844</v>
      </c>
      <c r="BU37" s="250">
        <v>61.464062286226905</v>
      </c>
      <c r="BV37" s="250">
        <v>73.587710524944782</v>
      </c>
      <c r="BW37" s="250"/>
      <c r="BX37" s="250">
        <v>228.54605162017191</v>
      </c>
      <c r="BY37" s="236"/>
      <c r="BZ37" s="236"/>
      <c r="CA37" s="236"/>
      <c r="CB37" s="236"/>
      <c r="CC37" s="236"/>
      <c r="CD37" s="236"/>
      <c r="CN37" s="250"/>
      <c r="CO37" s="250"/>
      <c r="CR37" s="295"/>
      <c r="CZ37" s="236"/>
      <c r="DA37" s="307">
        <v>9939563718.419632</v>
      </c>
      <c r="DE37" s="262"/>
      <c r="DF37" s="252"/>
      <c r="DG37" s="252"/>
      <c r="DI37" s="250"/>
      <c r="DJ37" s="258"/>
      <c r="DK37" s="241"/>
      <c r="DL37" s="252"/>
      <c r="DM37" s="258"/>
      <c r="DO37" s="252"/>
      <c r="DQ37" s="241"/>
      <c r="DS37" s="295"/>
      <c r="DT37" s="295"/>
      <c r="DW37" s="242"/>
      <c r="DX37" s="234"/>
      <c r="EF37" s="241">
        <v>8857.1083131178475</v>
      </c>
      <c r="EL37" s="242"/>
      <c r="ES37" s="241"/>
      <c r="EX37" s="241"/>
      <c r="FH37" s="250"/>
      <c r="FI37" s="250"/>
      <c r="FJ37" s="250"/>
      <c r="FK37" s="250"/>
      <c r="FL37" s="257"/>
      <c r="FQ37" s="241"/>
      <c r="FR37" s="234"/>
      <c r="FS37" s="234"/>
      <c r="FT37" s="241"/>
      <c r="GB37" s="241"/>
      <c r="GC37" s="250"/>
      <c r="GD37" s="250"/>
      <c r="GE37" s="250"/>
      <c r="GF37" s="250"/>
      <c r="GG37" s="257"/>
      <c r="GL37" s="241"/>
      <c r="GP37" s="254"/>
      <c r="GZ37" s="295"/>
      <c r="HB37" s="234">
        <v>135.1</v>
      </c>
      <c r="HK37" s="250"/>
      <c r="HL37" s="250"/>
      <c r="HM37" s="250"/>
      <c r="HN37" s="250"/>
      <c r="HQ37" s="321"/>
      <c r="HR37" s="321"/>
      <c r="HS37" s="321"/>
      <c r="HW37" s="250"/>
      <c r="HX37" s="250"/>
      <c r="HY37" s="250"/>
      <c r="IE37" s="250"/>
      <c r="IF37" s="250"/>
      <c r="IG37" s="258"/>
      <c r="IH37" s="250"/>
      <c r="II37" s="250"/>
      <c r="IJ37" s="250"/>
      <c r="IO37" s="257"/>
      <c r="IR37" s="258"/>
      <c r="IS37" s="257"/>
      <c r="IV37" s="295"/>
      <c r="KL37" s="409"/>
      <c r="KM37" s="388"/>
      <c r="KW37" s="409"/>
      <c r="LI37" s="416"/>
      <c r="LJ37" s="388"/>
      <c r="LV37" s="421"/>
      <c r="MF37" s="422"/>
      <c r="MG37" s="425"/>
      <c r="NC37" s="421"/>
      <c r="NM37" s="422"/>
    </row>
    <row r="38" spans="1:377">
      <c r="A38" s="240">
        <v>1978</v>
      </c>
      <c r="B38" s="269">
        <v>96259</v>
      </c>
      <c r="C38" s="250">
        <v>17245</v>
      </c>
      <c r="D38" s="250">
        <v>79014</v>
      </c>
      <c r="E38" s="234">
        <v>40152</v>
      </c>
      <c r="F38" s="274">
        <v>5.7</v>
      </c>
      <c r="H38" s="308">
        <v>0.53918605912516648</v>
      </c>
      <c r="I38" s="234">
        <v>51901.510865329401</v>
      </c>
      <c r="R38" s="295"/>
      <c r="S38" s="334"/>
      <c r="T38" s="239">
        <v>9.9545892636421289</v>
      </c>
      <c r="U38" s="240"/>
      <c r="V38" s="295"/>
      <c r="AA38" s="295"/>
      <c r="AJ38" s="309">
        <v>0</v>
      </c>
      <c r="AK38" s="309">
        <v>0</v>
      </c>
      <c r="AL38" s="318">
        <v>258.30000000000007</v>
      </c>
      <c r="AO38" s="313">
        <v>0</v>
      </c>
      <c r="AP38" s="241"/>
      <c r="AR38" s="309">
        <v>0</v>
      </c>
      <c r="AS38" s="309"/>
      <c r="AT38" s="234">
        <v>212</v>
      </c>
      <c r="AV38" s="295"/>
      <c r="AX38" s="234">
        <v>3645.2174740458895</v>
      </c>
      <c r="AY38" s="234">
        <v>3645.2174740458895</v>
      </c>
      <c r="AZ38" s="234">
        <v>3699.2318967488068</v>
      </c>
      <c r="BA38" s="234">
        <v>3699.2318967488068</v>
      </c>
      <c r="BB38" s="234">
        <v>0</v>
      </c>
      <c r="BD38" s="234">
        <v>3645.2174740458895</v>
      </c>
      <c r="BE38" s="234">
        <v>3645.2174740458895</v>
      </c>
      <c r="BF38" s="234">
        <v>3310.159499644587</v>
      </c>
      <c r="BG38" s="234">
        <v>32951.278216105005</v>
      </c>
      <c r="BH38" s="234">
        <v>6348.8090552132089</v>
      </c>
      <c r="BJ38" s="236">
        <v>3645.2174740458895</v>
      </c>
      <c r="BK38" s="236">
        <v>3699.2318967488072</v>
      </c>
      <c r="BL38" s="234">
        <v>1027.5345425553119</v>
      </c>
      <c r="BM38" s="234">
        <v>1745.2</v>
      </c>
      <c r="BN38" s="250">
        <v>1607</v>
      </c>
      <c r="BO38" s="250">
        <v>138.19999999999999</v>
      </c>
      <c r="BP38" s="234">
        <v>872.48293149057758</v>
      </c>
      <c r="BQ38" s="234">
        <v>926.49735419349497</v>
      </c>
      <c r="BR38" s="250">
        <v>181.97929691339664</v>
      </c>
      <c r="BS38" s="250">
        <v>242.32253682720437</v>
      </c>
      <c r="BT38" s="250">
        <v>44.60524528982139</v>
      </c>
      <c r="BU38" s="250">
        <v>68.161018010199001</v>
      </c>
      <c r="BV38" s="250">
        <v>79.856456035690755</v>
      </c>
      <c r="BW38" s="250">
        <v>133.87087873860816</v>
      </c>
      <c r="BX38" s="250">
        <v>255.55837841426541</v>
      </c>
      <c r="BY38" s="236"/>
      <c r="BZ38" s="236"/>
      <c r="CA38" s="236"/>
      <c r="CB38" s="236"/>
      <c r="CC38" s="236"/>
      <c r="CD38" s="236"/>
      <c r="CF38" s="234">
        <v>3605.6</v>
      </c>
      <c r="CG38" s="234">
        <v>3638.7872324942268</v>
      </c>
      <c r="CH38" s="234">
        <v>-60.444664254579948</v>
      </c>
      <c r="CI38" s="234">
        <v>1759.1</v>
      </c>
      <c r="CJ38" s="234">
        <v>1772.6265658154493</v>
      </c>
      <c r="CK38" s="234">
        <v>480</v>
      </c>
      <c r="CL38" s="234">
        <v>499.66066667877743</v>
      </c>
      <c r="CM38" s="234">
        <v>1377.9</v>
      </c>
      <c r="CN38" s="250">
        <v>1073.9000000000001</v>
      </c>
      <c r="CO38" s="250">
        <v>304</v>
      </c>
      <c r="CP38" s="234">
        <v>-11.4</v>
      </c>
      <c r="CR38" s="295"/>
      <c r="CV38" s="308">
        <v>0.10517653609284915</v>
      </c>
      <c r="CW38" s="239">
        <v>3.7000000000000005E-2</v>
      </c>
      <c r="CX38" s="234">
        <v>389.0723971042197</v>
      </c>
      <c r="CY38" s="234">
        <v>3873.0559069931724</v>
      </c>
      <c r="CZ38" s="236"/>
      <c r="DA38" s="307">
        <v>13943089214.680241</v>
      </c>
      <c r="DE38" s="262"/>
      <c r="DF38" s="252"/>
      <c r="DG38" s="252"/>
      <c r="DI38" s="250"/>
      <c r="DJ38" s="258"/>
      <c r="DK38" s="241"/>
      <c r="DL38" s="252"/>
      <c r="DM38" s="258"/>
      <c r="DO38" s="252"/>
      <c r="DQ38" s="241"/>
      <c r="DS38" s="295"/>
      <c r="DT38" s="295"/>
      <c r="DW38" s="318">
        <v>537.6913923202892</v>
      </c>
      <c r="DX38" s="309"/>
      <c r="EF38" s="241">
        <v>9205.8158928082812</v>
      </c>
      <c r="EL38" s="242"/>
      <c r="ES38" s="241"/>
      <c r="EX38" s="241"/>
      <c r="FA38" s="234">
        <v>134.65140684042137</v>
      </c>
      <c r="FH38" s="250"/>
      <c r="FI38" s="250"/>
      <c r="FJ38" s="250"/>
      <c r="FK38" s="250"/>
      <c r="FL38" s="257"/>
      <c r="FQ38" s="241"/>
      <c r="FR38" s="234"/>
      <c r="FS38" s="234"/>
      <c r="FT38" s="241"/>
      <c r="FW38" s="234">
        <v>195.71386143660447</v>
      </c>
      <c r="GB38" s="241"/>
      <c r="GC38" s="250"/>
      <c r="GD38" s="250"/>
      <c r="GE38" s="250"/>
      <c r="GF38" s="250"/>
      <c r="GG38" s="257"/>
      <c r="GL38" s="241"/>
      <c r="GP38" s="254"/>
      <c r="GZ38" s="295"/>
      <c r="HB38" s="234">
        <v>210.6</v>
      </c>
      <c r="HJ38" s="236">
        <v>10331.592127606893</v>
      </c>
      <c r="HK38" s="250"/>
      <c r="HL38" s="250"/>
      <c r="HM38" s="250"/>
      <c r="HN38" s="250"/>
      <c r="HQ38" s="321"/>
      <c r="HR38" s="321"/>
      <c r="HS38" s="321"/>
      <c r="HW38" s="250"/>
      <c r="HX38" s="250"/>
      <c r="HY38" s="250"/>
      <c r="IE38" s="250"/>
      <c r="IF38" s="250"/>
      <c r="IG38" s="258"/>
      <c r="IH38" s="250"/>
      <c r="II38" s="250"/>
      <c r="IJ38" s="250"/>
      <c r="IM38" s="444">
        <v>0</v>
      </c>
      <c r="IO38" s="257"/>
      <c r="IR38" s="258"/>
      <c r="IS38" s="257"/>
      <c r="IV38" s="295"/>
      <c r="KL38" s="409"/>
      <c r="KM38" s="388"/>
      <c r="KW38" s="409"/>
      <c r="LI38" s="416"/>
      <c r="LJ38" s="388">
        <v>347.11</v>
      </c>
      <c r="LV38" s="421"/>
      <c r="MF38" s="422"/>
      <c r="MG38" s="425"/>
      <c r="NC38" s="421"/>
      <c r="NM38" s="422"/>
    </row>
    <row r="39" spans="1:377">
      <c r="A39" s="240">
        <v>1979</v>
      </c>
      <c r="B39" s="269">
        <v>97542</v>
      </c>
      <c r="C39" s="250">
        <v>18495</v>
      </c>
      <c r="D39" s="250">
        <v>79047</v>
      </c>
      <c r="E39" s="234">
        <v>41024</v>
      </c>
      <c r="F39" s="274">
        <v>5.7</v>
      </c>
      <c r="H39" s="308">
        <v>0.53918605912516648</v>
      </c>
      <c r="I39" s="234">
        <v>52593.286579186992</v>
      </c>
      <c r="R39" s="295"/>
      <c r="S39" s="334"/>
      <c r="T39" s="239">
        <v>9.0448409301632786</v>
      </c>
      <c r="U39" s="240"/>
      <c r="V39" s="295"/>
      <c r="AA39" s="295"/>
      <c r="AJ39" s="309">
        <v>0</v>
      </c>
      <c r="AK39" s="309">
        <v>0</v>
      </c>
      <c r="AL39" s="318">
        <v>258.30000000000007</v>
      </c>
      <c r="AO39" s="313">
        <v>0</v>
      </c>
      <c r="AP39" s="241"/>
      <c r="AR39" s="309">
        <v>0</v>
      </c>
      <c r="AS39" s="309"/>
      <c r="AT39" s="234">
        <v>267.7</v>
      </c>
      <c r="AV39" s="295"/>
      <c r="AX39" s="234">
        <v>4062.5791908646165</v>
      </c>
      <c r="AY39" s="234">
        <v>4062.5791908646165</v>
      </c>
      <c r="AZ39" s="234">
        <v>4124.0081302769704</v>
      </c>
      <c r="BA39" s="234">
        <v>4124.0081302769704</v>
      </c>
      <c r="BB39" s="234">
        <v>0</v>
      </c>
      <c r="BD39" s="234">
        <v>4062.5791908646165</v>
      </c>
      <c r="BE39" s="234">
        <v>4062.5791908646165</v>
      </c>
      <c r="BF39" s="234">
        <v>3690.2592403156914</v>
      </c>
      <c r="BG39" s="234">
        <v>33377.807819720612</v>
      </c>
      <c r="BH39" s="234">
        <v>6346.4008413821739</v>
      </c>
      <c r="BJ39" s="236">
        <v>4062.5791908646161</v>
      </c>
      <c r="BK39" s="236">
        <v>4124.0081302769704</v>
      </c>
      <c r="BL39" s="234">
        <v>1270.1917081921467</v>
      </c>
      <c r="BM39" s="234">
        <v>1913.5</v>
      </c>
      <c r="BN39" s="250">
        <v>1769.7</v>
      </c>
      <c r="BO39" s="250">
        <v>143.80000000000001</v>
      </c>
      <c r="BP39" s="234">
        <v>878.88748267246956</v>
      </c>
      <c r="BQ39" s="234">
        <v>940.31642208482356</v>
      </c>
      <c r="BR39" s="250">
        <v>193.68327104643072</v>
      </c>
      <c r="BS39" s="250">
        <v>200.85183735282197</v>
      </c>
      <c r="BT39" s="250">
        <v>44.022578418298608</v>
      </c>
      <c r="BU39" s="250">
        <v>66.943486114322738</v>
      </c>
      <c r="BV39" s="250">
        <v>86.335704750293857</v>
      </c>
      <c r="BW39" s="250">
        <v>147.76464416264787</v>
      </c>
      <c r="BX39" s="250">
        <v>287.05060499030162</v>
      </c>
      <c r="BY39" s="236"/>
      <c r="BZ39" s="236"/>
      <c r="CA39" s="236"/>
      <c r="CB39" s="236"/>
      <c r="CC39" s="236"/>
      <c r="CD39" s="236"/>
      <c r="CF39" s="234">
        <v>4092.6000000000004</v>
      </c>
      <c r="CG39" s="234">
        <v>4154.0289394123538</v>
      </c>
      <c r="CH39" s="234">
        <v>30.020809135383388</v>
      </c>
      <c r="CI39" s="234">
        <v>2011.5</v>
      </c>
      <c r="CJ39" s="234">
        <v>2050.4656397246495</v>
      </c>
      <c r="CK39" s="234">
        <v>622.20000000000005</v>
      </c>
      <c r="CL39" s="234">
        <v>644.66329968770447</v>
      </c>
      <c r="CM39" s="234">
        <v>1478.9</v>
      </c>
      <c r="CN39" s="250">
        <v>1153.0999999999999</v>
      </c>
      <c r="CO39" s="250">
        <v>325.8</v>
      </c>
      <c r="CP39" s="234">
        <v>-20</v>
      </c>
      <c r="CR39" s="295"/>
      <c r="CV39" s="308">
        <v>0.10517653609284915</v>
      </c>
      <c r="CX39" s="234">
        <v>433.74888996127908</v>
      </c>
      <c r="CY39" s="234">
        <v>3923.1897133346652</v>
      </c>
      <c r="CZ39" s="236"/>
      <c r="DA39" s="307">
        <v>16304348164.109554</v>
      </c>
      <c r="DD39" s="234">
        <v>642.19863163708794</v>
      </c>
      <c r="DE39" s="262">
        <v>370.44776890147915</v>
      </c>
      <c r="DF39" s="252">
        <v>299.88859112152215</v>
      </c>
      <c r="DG39" s="252">
        <v>70.559177779957011</v>
      </c>
      <c r="DH39" s="234">
        <v>144.08734157370864</v>
      </c>
      <c r="DI39" s="250">
        <v>144.08734157370864</v>
      </c>
      <c r="DJ39" s="258">
        <v>0</v>
      </c>
      <c r="DK39" s="241">
        <v>137.60865621415434</v>
      </c>
      <c r="DL39" s="252">
        <v>137.60865621415434</v>
      </c>
      <c r="DM39" s="258">
        <v>0</v>
      </c>
      <c r="DN39" s="234">
        <v>3271.0459466453226</v>
      </c>
      <c r="DO39" s="252">
        <v>134.14220652145445</v>
      </c>
      <c r="DP39" s="250">
        <v>3136.9037401238684</v>
      </c>
      <c r="DQ39" s="257">
        <v>3923.1897133346647</v>
      </c>
      <c r="DS39" s="295"/>
      <c r="DT39" s="295"/>
      <c r="DU39">
        <f>EK39/(EF39-EG39-EH39)</f>
        <v>0.7</v>
      </c>
      <c r="DW39" s="318">
        <v>555.61498549337989</v>
      </c>
      <c r="DX39" s="234">
        <v>804.95421241108079</v>
      </c>
      <c r="DZ39" s="309">
        <v>222.26866134088749</v>
      </c>
      <c r="EA39" s="234">
        <v>582.68555107019324</v>
      </c>
      <c r="EB39" s="234">
        <v>370.44776890147915</v>
      </c>
      <c r="EC39" s="234">
        <v>0</v>
      </c>
      <c r="ED39" s="234">
        <v>0</v>
      </c>
      <c r="EE39" s="234">
        <v>212.23778216871412</v>
      </c>
      <c r="EF39" s="241">
        <v>10339.813756269306</v>
      </c>
      <c r="EG39" s="234">
        <v>144.08734157370864</v>
      </c>
      <c r="EH39" s="234">
        <v>0</v>
      </c>
      <c r="EI39" s="234">
        <v>10195.726414695599</v>
      </c>
      <c r="EJ39" s="234">
        <v>0</v>
      </c>
      <c r="EK39" s="234">
        <v>7137.0084902869185</v>
      </c>
      <c r="EL39" s="242">
        <v>3058.7179244086797</v>
      </c>
      <c r="EN39" s="234">
        <v>0</v>
      </c>
      <c r="ES39" s="241"/>
      <c r="EX39" s="241"/>
      <c r="FA39" s="234">
        <v>140.20023088279319</v>
      </c>
      <c r="FB39" s="234">
        <v>3271.0459466453226</v>
      </c>
      <c r="FH39" s="250"/>
      <c r="FI39" s="250"/>
      <c r="FJ39" s="250"/>
      <c r="FK39" s="250"/>
      <c r="FL39" s="257"/>
      <c r="FQ39" s="241"/>
      <c r="FR39" s="234"/>
      <c r="FS39" s="234"/>
      <c r="FT39" s="241"/>
      <c r="FW39" s="234">
        <v>203.17697244187258</v>
      </c>
      <c r="FX39" s="234">
        <v>137.60865621415434</v>
      </c>
      <c r="GB39" s="241"/>
      <c r="GC39" s="250"/>
      <c r="GD39" s="250"/>
      <c r="GE39" s="250"/>
      <c r="GF39" s="250"/>
      <c r="GG39" s="257"/>
      <c r="GL39" s="241"/>
      <c r="GP39" s="254"/>
      <c r="GZ39" s="295"/>
      <c r="HB39" s="234">
        <v>281</v>
      </c>
      <c r="HJ39" s="236">
        <v>8984.6808968398382</v>
      </c>
      <c r="HK39" s="250"/>
      <c r="HL39" s="250"/>
      <c r="HM39" s="250"/>
      <c r="HN39" s="250"/>
      <c r="HQ39" s="321"/>
      <c r="HR39" s="321"/>
      <c r="HS39" s="321"/>
      <c r="HW39" s="250"/>
      <c r="HX39" s="250"/>
      <c r="HY39" s="250"/>
      <c r="IE39" s="250"/>
      <c r="IF39" s="250"/>
      <c r="IG39" s="258"/>
      <c r="IH39" s="250"/>
      <c r="II39" s="250"/>
      <c r="IJ39" s="250"/>
      <c r="IM39" s="444">
        <v>16.114379616370371</v>
      </c>
      <c r="IO39" s="257"/>
      <c r="IR39" s="258"/>
      <c r="IS39" s="257"/>
      <c r="IV39" s="295"/>
      <c r="KL39" s="409"/>
      <c r="KM39" s="388"/>
      <c r="KW39" s="409"/>
      <c r="LI39" s="416"/>
      <c r="LJ39" s="388">
        <v>452.85</v>
      </c>
      <c r="LV39" s="421"/>
      <c r="MF39" s="422"/>
      <c r="MG39" s="425"/>
      <c r="NC39" s="421"/>
      <c r="NM39" s="422"/>
    </row>
    <row r="40" spans="1:377">
      <c r="A40" s="240">
        <v>1980</v>
      </c>
      <c r="B40" s="269">
        <v>98705</v>
      </c>
      <c r="C40" s="250">
        <v>19140</v>
      </c>
      <c r="D40" s="250">
        <v>79565</v>
      </c>
      <c r="E40" s="234">
        <v>42361</v>
      </c>
      <c r="F40" s="274">
        <v>5.5</v>
      </c>
      <c r="H40" s="308">
        <v>0.53918605912516648</v>
      </c>
      <c r="I40" s="234">
        <v>53220.359965949559</v>
      </c>
      <c r="R40" s="295"/>
      <c r="S40" s="334"/>
      <c r="T40" s="239">
        <v>8.5034342550914133</v>
      </c>
      <c r="U40" s="240"/>
      <c r="V40" s="295"/>
      <c r="AA40" s="295"/>
      <c r="AJ40" s="309">
        <v>0</v>
      </c>
      <c r="AK40" s="309">
        <v>0</v>
      </c>
      <c r="AL40" s="318">
        <v>258.30000000000007</v>
      </c>
      <c r="AO40" s="313">
        <v>0</v>
      </c>
      <c r="AP40" s="241"/>
      <c r="AR40" s="309">
        <v>0</v>
      </c>
      <c r="AS40" s="309"/>
      <c r="AT40" s="234">
        <v>346.2</v>
      </c>
      <c r="AV40" s="295"/>
      <c r="AX40" s="234">
        <v>4545.6239733557295</v>
      </c>
      <c r="AY40" s="234">
        <v>4545.6239733557295</v>
      </c>
      <c r="AZ40" s="234">
        <v>4616.5308448569604</v>
      </c>
      <c r="BA40" s="234">
        <v>4616.5308448569604</v>
      </c>
      <c r="BB40" s="234">
        <v>0</v>
      </c>
      <c r="BD40" s="234">
        <v>4545.6239733557295</v>
      </c>
      <c r="BE40" s="234">
        <v>4545.6239733557295</v>
      </c>
      <c r="BF40" s="234">
        <v>4130.9801218291104</v>
      </c>
      <c r="BG40" s="234">
        <v>35127.517875063357</v>
      </c>
      <c r="BH40" s="234">
        <v>6600.3908837779336</v>
      </c>
      <c r="BJ40" s="236">
        <v>4545.6239733557295</v>
      </c>
      <c r="BK40" s="236">
        <v>4616.5308448569594</v>
      </c>
      <c r="BL40" s="234">
        <v>1371.5931433127369</v>
      </c>
      <c r="BM40" s="234">
        <v>2192</v>
      </c>
      <c r="BN40" s="250">
        <v>1996.5</v>
      </c>
      <c r="BO40" s="250">
        <v>195.5</v>
      </c>
      <c r="BP40" s="234">
        <v>982.03083004299242</v>
      </c>
      <c r="BQ40" s="234">
        <v>1052.9377015442228</v>
      </c>
      <c r="BR40" s="250">
        <v>213.36187811546424</v>
      </c>
      <c r="BS40" s="250">
        <v>193.77409824781529</v>
      </c>
      <c r="BT40" s="250">
        <v>47.422287811990628</v>
      </c>
      <c r="BU40" s="250">
        <v>75.015990093030695</v>
      </c>
      <c r="BV40" s="250">
        <v>96.407983262698565</v>
      </c>
      <c r="BW40" s="250">
        <v>167.31485476392902</v>
      </c>
      <c r="BX40" s="250">
        <v>356.04859251199304</v>
      </c>
      <c r="BY40" s="236"/>
      <c r="BZ40" s="236"/>
      <c r="CA40" s="236"/>
      <c r="CB40" s="236"/>
      <c r="CC40" s="236"/>
      <c r="CD40" s="236"/>
      <c r="CF40" s="234">
        <v>4592.8999999999996</v>
      </c>
      <c r="CG40" s="234">
        <v>4663.8068715012305</v>
      </c>
      <c r="CH40" s="234">
        <v>47.276026644270132</v>
      </c>
      <c r="CI40" s="234">
        <v>2331.1999999999998</v>
      </c>
      <c r="CJ40" s="234">
        <v>2376.0316875460221</v>
      </c>
      <c r="CK40" s="234">
        <v>676.7</v>
      </c>
      <c r="CL40" s="234">
        <v>702.77518395520815</v>
      </c>
      <c r="CM40" s="234">
        <v>1599.7</v>
      </c>
      <c r="CN40" s="250">
        <v>1322.4</v>
      </c>
      <c r="CO40" s="250">
        <v>277.3</v>
      </c>
      <c r="CP40" s="234">
        <v>-14.7</v>
      </c>
      <c r="CR40" s="295"/>
      <c r="CV40" s="308">
        <v>0.10517653609284915</v>
      </c>
      <c r="CW40" s="239">
        <v>4.0999999999999995E-2</v>
      </c>
      <c r="CX40" s="234">
        <v>485.55072302784947</v>
      </c>
      <c r="CY40" s="234">
        <v>4128.8486507794187</v>
      </c>
      <c r="CZ40" s="236"/>
      <c r="DA40" s="307">
        <v>19874999210.238503</v>
      </c>
      <c r="DD40" s="234">
        <v>696.06889884490897</v>
      </c>
      <c r="DE40" s="262">
        <v>408.93515813439416</v>
      </c>
      <c r="DF40" s="252">
        <v>334.38186894344676</v>
      </c>
      <c r="DG40" s="252">
        <v>74.553289190947396</v>
      </c>
      <c r="DH40" s="234">
        <v>195.47975092920638</v>
      </c>
      <c r="DI40" s="250">
        <v>176.06564593267734</v>
      </c>
      <c r="DJ40" s="258">
        <v>19.414104996529041</v>
      </c>
      <c r="DK40" s="241">
        <v>146.4334603258398</v>
      </c>
      <c r="DL40" s="252">
        <v>146.4334603258398</v>
      </c>
      <c r="DM40" s="258">
        <v>0</v>
      </c>
      <c r="DN40" s="234">
        <v>3378.0002813899787</v>
      </c>
      <c r="DO40" s="252">
        <v>140.70028038467498</v>
      </c>
      <c r="DP40" s="250">
        <v>3237.3000010053038</v>
      </c>
      <c r="DQ40" s="257">
        <v>4128.8486507794187</v>
      </c>
      <c r="DS40" s="295"/>
      <c r="DT40" s="295"/>
      <c r="DU40">
        <f t="shared" ref="DU40:DU75" si="0">EK40/(EF40-EG40-EH40)</f>
        <v>0.7</v>
      </c>
      <c r="DW40" s="318">
        <v>602.95192004492822</v>
      </c>
      <c r="DX40" s="234">
        <v>884.00287216572178</v>
      </c>
      <c r="DZ40" s="309">
        <v>245.36109488063647</v>
      </c>
      <c r="EA40" s="234">
        <v>638.64177728508537</v>
      </c>
      <c r="EB40" s="234">
        <v>408.93515813439416</v>
      </c>
      <c r="EC40" s="234">
        <v>0</v>
      </c>
      <c r="ED40" s="234">
        <v>0</v>
      </c>
      <c r="EE40" s="234">
        <v>229.70661915069118</v>
      </c>
      <c r="EF40" s="241">
        <v>10496.926907004628</v>
      </c>
      <c r="EG40" s="234">
        <v>176.06564593267734</v>
      </c>
      <c r="EH40" s="234">
        <v>0</v>
      </c>
      <c r="EI40" s="234">
        <v>10320.861261071952</v>
      </c>
      <c r="EJ40" s="234">
        <v>0</v>
      </c>
      <c r="EK40" s="234">
        <v>7224.602882750366</v>
      </c>
      <c r="EL40" s="242">
        <v>3096.2583783215855</v>
      </c>
      <c r="EN40" s="234">
        <v>19.414104996529041</v>
      </c>
      <c r="ES40" s="241"/>
      <c r="EX40" s="241"/>
      <c r="FA40" s="234">
        <v>151.51668844171024</v>
      </c>
      <c r="FB40" s="234">
        <v>3378.0002813899787</v>
      </c>
      <c r="FH40" s="250"/>
      <c r="FI40" s="250"/>
      <c r="FJ40" s="250"/>
      <c r="FK40" s="250"/>
      <c r="FL40" s="257"/>
      <c r="FQ40" s="241"/>
      <c r="FR40" s="234"/>
      <c r="FS40" s="234"/>
      <c r="FT40" s="241"/>
      <c r="FW40" s="234">
        <v>221.72861245252679</v>
      </c>
      <c r="FX40" s="234">
        <v>146.4334603258398</v>
      </c>
      <c r="GB40" s="241"/>
      <c r="GC40" s="250"/>
      <c r="GD40" s="250"/>
      <c r="GE40" s="250"/>
      <c r="GF40" s="250"/>
      <c r="GG40" s="257"/>
      <c r="GL40" s="241"/>
      <c r="GP40" s="254"/>
      <c r="GZ40" s="295"/>
      <c r="HB40" s="234">
        <v>395.8</v>
      </c>
      <c r="HJ40" s="236">
        <v>8914.8572998962318</v>
      </c>
      <c r="HK40" s="250"/>
      <c r="HL40" s="250"/>
      <c r="HM40" s="250"/>
      <c r="HN40" s="250"/>
      <c r="HQ40" s="321"/>
      <c r="HR40" s="321"/>
      <c r="HS40" s="321"/>
      <c r="HW40" s="250"/>
      <c r="HX40" s="250"/>
      <c r="HY40" s="250"/>
      <c r="IE40" s="250"/>
      <c r="IF40" s="250"/>
      <c r="IG40" s="258"/>
      <c r="IH40" s="250"/>
      <c r="II40" s="250"/>
      <c r="IJ40" s="250"/>
      <c r="IM40" s="444">
        <v>32.228759232740742</v>
      </c>
      <c r="IO40" s="257"/>
      <c r="IR40" s="258"/>
      <c r="IS40" s="257"/>
      <c r="IV40" s="295"/>
      <c r="KL40" s="409"/>
      <c r="KM40" s="388"/>
      <c r="KW40" s="409"/>
      <c r="LI40" s="416"/>
      <c r="LJ40" s="388">
        <v>557.4</v>
      </c>
      <c r="LV40" s="421"/>
      <c r="MF40" s="422"/>
      <c r="MG40" s="425"/>
      <c r="NC40" s="421"/>
      <c r="NM40" s="422"/>
    </row>
    <row r="41" spans="1:377">
      <c r="A41" s="240">
        <v>1981</v>
      </c>
      <c r="B41" s="269">
        <v>100072</v>
      </c>
      <c r="C41" s="250">
        <v>20171</v>
      </c>
      <c r="D41" s="250">
        <v>79901</v>
      </c>
      <c r="E41" s="234">
        <v>43725</v>
      </c>
      <c r="F41" s="274">
        <v>5.5</v>
      </c>
      <c r="H41" s="308">
        <v>0.53918605912516648</v>
      </c>
      <c r="I41" s="234">
        <v>53957.427308773658</v>
      </c>
      <c r="R41" s="295"/>
      <c r="S41" s="334"/>
      <c r="T41" s="239">
        <v>8.3843727669220698</v>
      </c>
      <c r="U41" s="240"/>
      <c r="V41" s="295"/>
      <c r="X41" s="294">
        <v>1.7050999999999998</v>
      </c>
      <c r="AA41" s="295"/>
      <c r="AJ41" s="234">
        <v>48.66</v>
      </c>
      <c r="AK41" s="309">
        <v>0</v>
      </c>
      <c r="AL41" s="318">
        <v>306.96000000000004</v>
      </c>
      <c r="AO41" s="313">
        <v>0</v>
      </c>
      <c r="AP41" s="241"/>
      <c r="AR41" s="309">
        <v>0</v>
      </c>
      <c r="AS41" s="309"/>
      <c r="AT41" s="234">
        <v>396.3</v>
      </c>
      <c r="AV41" s="295"/>
      <c r="AX41" s="234">
        <v>4889.4610619395908</v>
      </c>
      <c r="AY41" s="234">
        <v>4891.5610619395911</v>
      </c>
      <c r="AZ41" s="234">
        <v>4974.6130006060257</v>
      </c>
      <c r="BA41" s="234">
        <v>4976.7130006060261</v>
      </c>
      <c r="BB41" s="234">
        <v>-2.1000000000003638</v>
      </c>
      <c r="BD41" s="234">
        <v>4889.4610619395908</v>
      </c>
      <c r="BE41" s="234">
        <v>4891.5610619395911</v>
      </c>
      <c r="BF41" s="234">
        <v>4451.1795660740345</v>
      </c>
      <c r="BG41" s="234">
        <v>37320.348734471132</v>
      </c>
      <c r="BH41" s="234">
        <v>6916.6286451916721</v>
      </c>
      <c r="BJ41" s="236">
        <v>4891.5610619395911</v>
      </c>
      <c r="BK41" s="236">
        <v>4976.7130006060261</v>
      </c>
      <c r="BL41" s="234">
        <v>1559.4632648993422</v>
      </c>
      <c r="BM41" s="234">
        <v>2255.5</v>
      </c>
      <c r="BN41" s="250">
        <v>2048.4</v>
      </c>
      <c r="BO41" s="250">
        <v>207.1</v>
      </c>
      <c r="BP41" s="234">
        <v>1076.5977970402491</v>
      </c>
      <c r="BQ41" s="234">
        <v>1161.7497357066841</v>
      </c>
      <c r="BR41" s="250">
        <v>220.69798804601379</v>
      </c>
      <c r="BS41" s="250">
        <v>231.09710520724707</v>
      </c>
      <c r="BT41" s="250">
        <v>54.114794708474761</v>
      </c>
      <c r="BU41" s="250">
        <v>79.812351108907109</v>
      </c>
      <c r="BV41" s="250">
        <v>99.948710830684234</v>
      </c>
      <c r="BW41" s="250">
        <v>185.10064949711912</v>
      </c>
      <c r="BX41" s="250">
        <v>390.9268471389222</v>
      </c>
      <c r="BY41" s="236"/>
      <c r="BZ41" s="236"/>
      <c r="CA41" s="236"/>
      <c r="CB41" s="236"/>
      <c r="CC41" s="236"/>
      <c r="CD41" s="236"/>
      <c r="CF41" s="234">
        <v>5008.8</v>
      </c>
      <c r="CG41" s="234">
        <v>5093.9519386664351</v>
      </c>
      <c r="CH41" s="234">
        <v>117.23893806040905</v>
      </c>
      <c r="CI41" s="234">
        <v>2627.9</v>
      </c>
      <c r="CJ41" s="234">
        <v>2681.5857382274903</v>
      </c>
      <c r="CK41" s="234">
        <v>733.6</v>
      </c>
      <c r="CL41" s="234">
        <v>765.06620043894463</v>
      </c>
      <c r="CM41" s="234">
        <v>1630.2</v>
      </c>
      <c r="CN41" s="250">
        <v>1339.3</v>
      </c>
      <c r="CO41" s="250">
        <v>290.89999999999998</v>
      </c>
      <c r="CP41" s="234">
        <v>17.100000000000001</v>
      </c>
      <c r="CR41" s="295"/>
      <c r="CV41" s="308">
        <v>0.10517653609284915</v>
      </c>
      <c r="CX41" s="234">
        <v>523.43343453199122</v>
      </c>
      <c r="CY41" s="234">
        <v>4388.6610337865131</v>
      </c>
      <c r="CZ41" s="236"/>
      <c r="DA41" s="307">
        <v>20277777931.257141</v>
      </c>
      <c r="DB41" s="234">
        <v>345.75639150586545</v>
      </c>
      <c r="DD41" s="234">
        <v>765.00888256532971</v>
      </c>
      <c r="DE41" s="262">
        <v>458.00347128075617</v>
      </c>
      <c r="DF41" s="252">
        <v>378.29057110383042</v>
      </c>
      <c r="DG41" s="252">
        <v>79.712900176925757</v>
      </c>
      <c r="DH41" s="234">
        <v>250.54861318883684</v>
      </c>
      <c r="DI41" s="250">
        <v>214.04458470805156</v>
      </c>
      <c r="DJ41" s="258">
        <v>36.504028480785287</v>
      </c>
      <c r="DK41" s="241">
        <v>157.3799427184185</v>
      </c>
      <c r="DL41" s="252">
        <v>157.3799427184185</v>
      </c>
      <c r="DM41" s="258">
        <v>0</v>
      </c>
      <c r="DN41" s="234">
        <v>3522.7290065985017</v>
      </c>
      <c r="DO41" s="252">
        <v>149.62546856615512</v>
      </c>
      <c r="DP41" s="250">
        <v>3373.1035380323465</v>
      </c>
      <c r="DQ41" s="257">
        <v>4388.6610337865131</v>
      </c>
      <c r="DS41" s="295"/>
      <c r="DT41" s="295"/>
      <c r="DU41">
        <f t="shared" si="0"/>
        <v>0.7</v>
      </c>
      <c r="DW41" s="318">
        <v>713.94559560547509</v>
      </c>
      <c r="DX41" s="234">
        <v>1003.3641653972928</v>
      </c>
      <c r="DZ41" s="309">
        <v>274.80208276845372</v>
      </c>
      <c r="EA41" s="234">
        <v>728.56208262883911</v>
      </c>
      <c r="EB41" s="234">
        <v>458.00347128075617</v>
      </c>
      <c r="EC41" s="234">
        <v>0</v>
      </c>
      <c r="ED41" s="234">
        <v>0</v>
      </c>
      <c r="EE41" s="234">
        <v>270.55861134808288</v>
      </c>
      <c r="EF41" s="241">
        <v>11767.609196313681</v>
      </c>
      <c r="EG41" s="234">
        <v>214.04458470805156</v>
      </c>
      <c r="EH41" s="234">
        <v>0</v>
      </c>
      <c r="EI41" s="234">
        <v>11553.564611605629</v>
      </c>
      <c r="EJ41" s="234">
        <v>0</v>
      </c>
      <c r="EK41" s="234">
        <v>8087.4952281239393</v>
      </c>
      <c r="EL41" s="242">
        <v>3466.0693834816884</v>
      </c>
      <c r="EN41" s="234">
        <v>36.504028480785287</v>
      </c>
      <c r="ES41" s="241"/>
      <c r="EX41" s="241"/>
      <c r="FA41" s="234">
        <v>179.56263021859399</v>
      </c>
      <c r="FB41" s="234">
        <v>3522.7290065985017</v>
      </c>
      <c r="FH41" s="250"/>
      <c r="FI41" s="250"/>
      <c r="FJ41" s="250"/>
      <c r="FK41" s="250"/>
      <c r="FL41" s="257"/>
      <c r="FQ41" s="241"/>
      <c r="FR41" s="234"/>
      <c r="FS41" s="234"/>
      <c r="FT41" s="241"/>
      <c r="FW41" s="234">
        <v>263.82435403879822</v>
      </c>
      <c r="FX41" s="234">
        <v>157.3799427184185</v>
      </c>
      <c r="GB41" s="241"/>
      <c r="GC41" s="250"/>
      <c r="GD41" s="250"/>
      <c r="GE41" s="250"/>
      <c r="GF41" s="250"/>
      <c r="GG41" s="257"/>
      <c r="GL41" s="241"/>
      <c r="GP41" s="254"/>
      <c r="GZ41" s="295"/>
      <c r="HB41" s="234">
        <v>523.4</v>
      </c>
      <c r="HC41" s="234">
        <v>295.8</v>
      </c>
      <c r="HD41" s="234">
        <v>2480.0974644555486</v>
      </c>
      <c r="HJ41" s="236">
        <v>8373.9909440080046</v>
      </c>
      <c r="HK41" s="250"/>
      <c r="HL41" s="250"/>
      <c r="HM41" s="250"/>
      <c r="HN41" s="250"/>
      <c r="HQ41" s="321"/>
      <c r="HR41" s="321"/>
      <c r="HS41" s="321"/>
      <c r="HW41" s="250"/>
      <c r="HX41" s="250"/>
      <c r="HY41" s="250"/>
      <c r="IE41" s="250"/>
      <c r="IF41" s="250"/>
      <c r="IG41" s="258"/>
      <c r="IH41" s="250"/>
      <c r="II41" s="250"/>
      <c r="IJ41" s="250"/>
      <c r="IM41" s="444">
        <v>48.343138849111106</v>
      </c>
      <c r="IO41" s="257"/>
      <c r="IR41" s="258"/>
      <c r="IS41" s="257"/>
      <c r="IV41" s="295"/>
      <c r="KL41" s="409"/>
      <c r="KM41" s="388"/>
      <c r="KW41" s="409"/>
      <c r="LI41" s="416"/>
      <c r="LJ41" s="388">
        <v>601.07000000000005</v>
      </c>
      <c r="LV41" s="421"/>
      <c r="MF41" s="422"/>
      <c r="MG41" s="425"/>
      <c r="NC41" s="421"/>
      <c r="NM41" s="422"/>
    </row>
    <row r="42" spans="1:377">
      <c r="A42" s="240">
        <v>1982</v>
      </c>
      <c r="B42" s="269">
        <v>101654</v>
      </c>
      <c r="C42" s="250">
        <v>21480</v>
      </c>
      <c r="D42" s="250">
        <v>80174</v>
      </c>
      <c r="E42" s="234">
        <v>45295</v>
      </c>
      <c r="F42" s="274">
        <v>5.5</v>
      </c>
      <c r="G42" s="275">
        <v>0.46081394087483357</v>
      </c>
      <c r="H42" s="275">
        <v>0.53918605912516648</v>
      </c>
      <c r="I42" s="234">
        <v>54810.419654309677</v>
      </c>
      <c r="R42" s="295"/>
      <c r="S42" s="334"/>
      <c r="T42" s="239">
        <v>8.2695365423978888</v>
      </c>
      <c r="U42" s="240"/>
      <c r="V42" s="295"/>
      <c r="X42" s="294">
        <v>1.8925999999999998</v>
      </c>
      <c r="AA42" s="295"/>
      <c r="AJ42" s="234">
        <v>43.83</v>
      </c>
      <c r="AK42" s="309">
        <v>0</v>
      </c>
      <c r="AL42" s="318">
        <v>350.79</v>
      </c>
      <c r="AO42" s="313">
        <v>0</v>
      </c>
      <c r="AP42" s="241"/>
      <c r="AR42" s="309">
        <v>0</v>
      </c>
      <c r="AS42" s="309"/>
      <c r="AT42" s="234">
        <v>439.1</v>
      </c>
      <c r="AV42" s="295"/>
      <c r="AX42" s="234">
        <v>5330.4509646743745</v>
      </c>
      <c r="AY42" s="234">
        <v>5323.3509646743742</v>
      </c>
      <c r="AZ42" s="234">
        <v>5433.7783910746084</v>
      </c>
      <c r="BA42" s="234">
        <v>5426.678391074608</v>
      </c>
      <c r="BB42" s="234">
        <v>7.1000000000003638</v>
      </c>
      <c r="BD42" s="234">
        <v>5330.4509646743745</v>
      </c>
      <c r="BE42" s="234">
        <v>5323.3509646743742</v>
      </c>
      <c r="BF42" s="234">
        <v>4863.0191554114654</v>
      </c>
      <c r="BG42" s="234">
        <v>40214.914612056033</v>
      </c>
      <c r="BH42" s="234">
        <v>7337.0929953998229</v>
      </c>
      <c r="BJ42" s="236">
        <v>5323.3509646743742</v>
      </c>
      <c r="BK42" s="236">
        <v>5426.678391074608</v>
      </c>
      <c r="BL42" s="234">
        <v>1777.400677695834</v>
      </c>
      <c r="BM42" s="234">
        <v>2383</v>
      </c>
      <c r="BN42" s="250">
        <v>2162.3000000000002</v>
      </c>
      <c r="BO42" s="250">
        <v>220.7</v>
      </c>
      <c r="BP42" s="234">
        <v>1162.9502869785401</v>
      </c>
      <c r="BQ42" s="234">
        <v>1266.2777133787738</v>
      </c>
      <c r="BR42" s="250">
        <v>246.8552784296285</v>
      </c>
      <c r="BS42" s="250">
        <v>171.40151361294991</v>
      </c>
      <c r="BT42" s="250">
        <v>62.327062524355952</v>
      </c>
      <c r="BU42" s="250">
        <v>114.77582218002802</v>
      </c>
      <c r="BV42" s="250">
        <v>110.77514249434591</v>
      </c>
      <c r="BW42" s="250">
        <v>214.10256889457963</v>
      </c>
      <c r="BX42" s="250">
        <v>456.81546773723187</v>
      </c>
      <c r="BY42" s="236"/>
      <c r="BZ42" s="236"/>
      <c r="CA42" s="236"/>
      <c r="CB42" s="236"/>
      <c r="CC42" s="236"/>
      <c r="CD42" s="236"/>
      <c r="CF42" s="234">
        <v>5590</v>
      </c>
      <c r="CG42" s="234">
        <v>5693.3274264002339</v>
      </c>
      <c r="CH42" s="234">
        <v>266.64903532562585</v>
      </c>
      <c r="CI42" s="234">
        <v>2902.9</v>
      </c>
      <c r="CJ42" s="234">
        <v>2969.5485466811811</v>
      </c>
      <c r="CK42" s="234">
        <v>811.9</v>
      </c>
      <c r="CL42" s="234">
        <v>848.57887971905268</v>
      </c>
      <c r="CM42" s="234">
        <v>1784.2</v>
      </c>
      <c r="CN42" s="250">
        <v>1503.2</v>
      </c>
      <c r="CO42" s="250">
        <v>281</v>
      </c>
      <c r="CP42" s="234">
        <v>91</v>
      </c>
      <c r="CR42" s="295"/>
      <c r="CV42" s="308">
        <v>0.10517653609284915</v>
      </c>
      <c r="CX42" s="234">
        <v>570.75923566314304</v>
      </c>
      <c r="CY42" s="234">
        <v>4719.9143562274494</v>
      </c>
      <c r="CZ42" s="236"/>
      <c r="DA42" s="307">
        <v>21526718497.53339</v>
      </c>
      <c r="DB42" s="234">
        <v>407.41467428431696</v>
      </c>
      <c r="DD42" s="234">
        <v>890.57674800720611</v>
      </c>
      <c r="DE42" s="262">
        <v>517.99787837655424</v>
      </c>
      <c r="DF42" s="252">
        <v>421.25905504887459</v>
      </c>
      <c r="DG42" s="252">
        <v>96.738823327679654</v>
      </c>
      <c r="DH42" s="234">
        <v>304.01674515196555</v>
      </c>
      <c r="DI42" s="250">
        <v>250.02737337067808</v>
      </c>
      <c r="DJ42" s="258">
        <v>53.989371781287474</v>
      </c>
      <c r="DK42" s="241">
        <v>191.44598386439142</v>
      </c>
      <c r="DL42" s="252">
        <v>191.44598386439142</v>
      </c>
      <c r="DM42" s="258">
        <v>0</v>
      </c>
      <c r="DN42" s="234">
        <v>3706.4537488345377</v>
      </c>
      <c r="DO42" s="252">
        <v>181.13288576626039</v>
      </c>
      <c r="DP42" s="250">
        <v>3525.3208630682775</v>
      </c>
      <c r="DQ42" s="257">
        <v>4719.9143562274494</v>
      </c>
      <c r="DS42" s="295"/>
      <c r="DT42" s="295"/>
      <c r="DU42">
        <f t="shared" si="0"/>
        <v>0.69999999999999984</v>
      </c>
      <c r="DW42" s="318">
        <v>854.46992844866099</v>
      </c>
      <c r="DX42" s="234">
        <v>1158.8826503175223</v>
      </c>
      <c r="DZ42" s="309">
        <v>310.79872702593252</v>
      </c>
      <c r="EA42" s="234">
        <v>848.08392329158994</v>
      </c>
      <c r="EB42" s="234">
        <v>517.99787837655424</v>
      </c>
      <c r="EC42" s="234">
        <v>0</v>
      </c>
      <c r="ED42" s="234">
        <v>0</v>
      </c>
      <c r="EE42" s="234">
        <v>330.0860449150357</v>
      </c>
      <c r="EF42" s="241">
        <v>13228.451869219625</v>
      </c>
      <c r="EG42" s="234">
        <v>250.02737337067808</v>
      </c>
      <c r="EH42" s="234">
        <v>0</v>
      </c>
      <c r="EI42" s="234">
        <v>12978.424495848947</v>
      </c>
      <c r="EJ42" s="234">
        <v>0</v>
      </c>
      <c r="EK42" s="234">
        <v>9084.8971470942615</v>
      </c>
      <c r="EL42" s="242">
        <v>3893.5273487546838</v>
      </c>
      <c r="EN42" s="234">
        <v>53.989371781287474</v>
      </c>
      <c r="ES42" s="241"/>
      <c r="EX42" s="241"/>
      <c r="FA42" s="234">
        <v>221.06654736270161</v>
      </c>
      <c r="FB42" s="234">
        <v>3706.4537488345377</v>
      </c>
      <c r="FH42" s="250"/>
      <c r="FI42" s="250"/>
      <c r="FJ42" s="250"/>
      <c r="FK42" s="250"/>
      <c r="FL42" s="257"/>
      <c r="FQ42" s="241"/>
      <c r="FR42" s="234"/>
      <c r="FS42" s="234"/>
      <c r="FT42" s="241"/>
      <c r="FW42" s="234">
        <v>303.31733617092357</v>
      </c>
      <c r="FX42" s="234">
        <v>191.44598386439142</v>
      </c>
      <c r="GB42" s="241"/>
      <c r="GC42" s="250"/>
      <c r="GD42" s="250"/>
      <c r="GE42" s="250"/>
      <c r="GF42" s="250"/>
      <c r="GG42" s="257"/>
      <c r="GL42" s="241"/>
      <c r="GP42" s="254"/>
      <c r="GZ42" s="295"/>
      <c r="HB42" s="234">
        <v>675.4</v>
      </c>
      <c r="HC42" s="234">
        <v>357.1</v>
      </c>
      <c r="HD42" s="234">
        <v>2953.0514992902863</v>
      </c>
      <c r="HJ42" s="236">
        <v>8576.9074963540388</v>
      </c>
      <c r="HK42" s="250"/>
      <c r="HL42" s="250"/>
      <c r="HM42" s="250"/>
      <c r="HN42" s="250"/>
      <c r="HQ42" s="321"/>
      <c r="HR42" s="321"/>
      <c r="HS42" s="321"/>
      <c r="HW42" s="250"/>
      <c r="HX42" s="250"/>
      <c r="HY42" s="250"/>
      <c r="IE42" s="250"/>
      <c r="IF42" s="250"/>
      <c r="IG42" s="258"/>
      <c r="IH42" s="250"/>
      <c r="II42" s="250"/>
      <c r="IJ42" s="250"/>
      <c r="IM42" s="444">
        <v>64.457518465481485</v>
      </c>
      <c r="IO42" s="257"/>
      <c r="IR42" s="258"/>
      <c r="IS42" s="257"/>
      <c r="IV42" s="295"/>
      <c r="JQ42" s="377"/>
      <c r="KL42" s="409"/>
      <c r="KM42" s="388"/>
      <c r="KW42" s="409"/>
      <c r="LI42" s="416"/>
      <c r="LJ42" s="388">
        <v>802.74</v>
      </c>
      <c r="LV42" s="421"/>
      <c r="MF42" s="422"/>
      <c r="MG42" s="425"/>
      <c r="NC42" s="421"/>
      <c r="NM42" s="422"/>
    </row>
    <row r="43" spans="1:377">
      <c r="A43" s="240">
        <v>1983</v>
      </c>
      <c r="B43" s="269">
        <v>103008</v>
      </c>
      <c r="C43" s="250">
        <v>22274</v>
      </c>
      <c r="D43" s="250">
        <v>80734</v>
      </c>
      <c r="E43" s="234">
        <v>46436</v>
      </c>
      <c r="F43" s="274">
        <v>5.4</v>
      </c>
      <c r="G43" s="275"/>
      <c r="H43" s="337">
        <v>0.54983809772722081</v>
      </c>
      <c r="I43" s="234">
        <v>56637.722770685563</v>
      </c>
      <c r="R43" s="295"/>
      <c r="S43" s="334"/>
      <c r="T43" s="239">
        <v>8.1802779160088672</v>
      </c>
      <c r="U43" s="240"/>
      <c r="V43" s="295"/>
      <c r="X43" s="294">
        <v>1.9757</v>
      </c>
      <c r="AA43" s="295"/>
      <c r="AJ43" s="234">
        <v>41.58</v>
      </c>
      <c r="AK43" s="309">
        <v>0</v>
      </c>
      <c r="AL43" s="318">
        <v>392.37</v>
      </c>
      <c r="AO43" s="313">
        <v>0</v>
      </c>
      <c r="AP43" s="241"/>
      <c r="AR43" s="309">
        <v>0</v>
      </c>
      <c r="AS43" s="309"/>
      <c r="AT43" s="234">
        <v>529.79999999999995</v>
      </c>
      <c r="AV43" s="295"/>
      <c r="AX43" s="234">
        <v>5985.5515683940675</v>
      </c>
      <c r="AY43" s="234">
        <v>5962.6515683940679</v>
      </c>
      <c r="AZ43" s="234">
        <v>6115.8577789546525</v>
      </c>
      <c r="BA43" s="234">
        <v>6092.9577789546529</v>
      </c>
      <c r="BB43" s="234">
        <v>22.899999999999636</v>
      </c>
      <c r="BD43" s="234">
        <v>5985.5515683940675</v>
      </c>
      <c r="BE43" s="234">
        <v>5962.6515683940679</v>
      </c>
      <c r="BF43" s="234">
        <v>5475.0215852042229</v>
      </c>
      <c r="BG43" s="234">
        <v>44787.198163117966</v>
      </c>
      <c r="BH43" s="234">
        <v>7907.6622385493993</v>
      </c>
      <c r="BJ43" s="236">
        <v>5962.6515683940688</v>
      </c>
      <c r="BK43" s="236">
        <v>6092.9577789546529</v>
      </c>
      <c r="BL43" s="234">
        <v>1978.3874028303767</v>
      </c>
      <c r="BM43" s="234">
        <v>2646.2</v>
      </c>
      <c r="BN43" s="250">
        <v>2375.6</v>
      </c>
      <c r="BO43" s="250">
        <v>270.60000000000002</v>
      </c>
      <c r="BP43" s="234">
        <v>1338.0641655636914</v>
      </c>
      <c r="BQ43" s="234">
        <v>1468.3703761242762</v>
      </c>
      <c r="BR43" s="250">
        <v>274.9457221870183</v>
      </c>
      <c r="BS43" s="250">
        <v>198.66517196766716</v>
      </c>
      <c r="BT43" s="250">
        <v>72.538556631535272</v>
      </c>
      <c r="BU43" s="250">
        <v>148.9553544571765</v>
      </c>
      <c r="BV43" s="250">
        <v>121.79621393689153</v>
      </c>
      <c r="BW43" s="250">
        <v>252.10242449747619</v>
      </c>
      <c r="BX43" s="250">
        <v>521.16314638340259</v>
      </c>
      <c r="BY43" s="236"/>
      <c r="BZ43" s="236"/>
      <c r="CA43" s="236"/>
      <c r="CB43" s="236"/>
      <c r="CC43" s="236"/>
      <c r="CD43" s="236"/>
      <c r="CF43" s="234">
        <v>6216.2</v>
      </c>
      <c r="CG43" s="234">
        <v>6346.5062105605848</v>
      </c>
      <c r="CH43" s="234">
        <v>253.54843160593191</v>
      </c>
      <c r="CI43" s="234">
        <v>3231.1</v>
      </c>
      <c r="CJ43" s="234">
        <v>3316.7360954825185</v>
      </c>
      <c r="CK43" s="234">
        <v>895.3</v>
      </c>
      <c r="CL43" s="234">
        <v>939.97011507806587</v>
      </c>
      <c r="CM43" s="234">
        <v>2039</v>
      </c>
      <c r="CN43" s="250">
        <v>1723.3</v>
      </c>
      <c r="CO43" s="250">
        <v>315.7</v>
      </c>
      <c r="CP43" s="234">
        <v>50.8</v>
      </c>
      <c r="CR43" s="295"/>
      <c r="CV43" s="308">
        <v>0.10517653609284915</v>
      </c>
      <c r="CW43" s="239">
        <v>4.2000000000000003E-2</v>
      </c>
      <c r="CX43" s="234">
        <v>640.83619375042997</v>
      </c>
      <c r="CY43" s="234">
        <v>5242.2181635158222</v>
      </c>
      <c r="CZ43" s="236"/>
      <c r="DA43" s="307">
        <v>23908046937.951656</v>
      </c>
      <c r="DB43" s="234">
        <v>472.35128335311089</v>
      </c>
      <c r="DD43" s="234">
        <v>1093.8386617536639</v>
      </c>
      <c r="DE43" s="262">
        <v>631.76004689404522</v>
      </c>
      <c r="DF43" s="252">
        <v>511.78292223660856</v>
      </c>
      <c r="DG43" s="252">
        <v>119.97712465743672</v>
      </c>
      <c r="DH43" s="234">
        <v>353.19835877170175</v>
      </c>
      <c r="DI43" s="250">
        <v>282.19848074339984</v>
      </c>
      <c r="DJ43" s="258">
        <v>70.999878028301879</v>
      </c>
      <c r="DK43" s="241">
        <v>237.61418049813918</v>
      </c>
      <c r="DL43" s="252">
        <v>237.61418049813918</v>
      </c>
      <c r="DM43" s="258">
        <v>0</v>
      </c>
      <c r="DN43" s="234">
        <v>4019.645577351936</v>
      </c>
      <c r="DO43" s="252">
        <v>224.46443436147945</v>
      </c>
      <c r="DP43" s="250">
        <v>3795.1811429904565</v>
      </c>
      <c r="DQ43" s="257">
        <v>5242.2181635158222</v>
      </c>
      <c r="DS43" s="295"/>
      <c r="DT43" s="295"/>
      <c r="DU43">
        <f t="shared" si="0"/>
        <v>0.7</v>
      </c>
      <c r="DW43" s="318">
        <v>1065.9410165675522</v>
      </c>
      <c r="DX43" s="234">
        <v>1429.4255408102824</v>
      </c>
      <c r="DZ43" s="309">
        <v>379.05602813642713</v>
      </c>
      <c r="EA43" s="234">
        <v>1050.3695126738553</v>
      </c>
      <c r="EB43" s="234">
        <v>631.76004689404522</v>
      </c>
      <c r="EC43" s="234">
        <v>0</v>
      </c>
      <c r="ED43" s="234">
        <v>0</v>
      </c>
      <c r="EE43" s="234">
        <v>418.60946577981008</v>
      </c>
      <c r="EF43" s="241">
        <v>14565.382902615122</v>
      </c>
      <c r="EG43" s="234">
        <v>282.19848074339984</v>
      </c>
      <c r="EH43" s="234">
        <v>0</v>
      </c>
      <c r="EI43" s="234">
        <v>14283.184421871721</v>
      </c>
      <c r="EJ43" s="234">
        <v>0</v>
      </c>
      <c r="EK43" s="234">
        <v>9998.2290953102038</v>
      </c>
      <c r="EL43" s="242">
        <v>4284.9553265615159</v>
      </c>
      <c r="EN43" s="234">
        <v>70.999878028301879</v>
      </c>
      <c r="ES43" s="241"/>
      <c r="EX43" s="241"/>
      <c r="FA43" s="234">
        <v>281.91759490906475</v>
      </c>
      <c r="FB43" s="234">
        <v>4019.645577351936</v>
      </c>
      <c r="FH43" s="250"/>
      <c r="FI43" s="250"/>
      <c r="FJ43" s="250"/>
      <c r="FK43" s="250"/>
      <c r="FL43" s="257"/>
      <c r="FQ43" s="241"/>
      <c r="FR43" s="234"/>
      <c r="FS43" s="234"/>
      <c r="FT43" s="241"/>
      <c r="FW43" s="234">
        <v>365.41395587867737</v>
      </c>
      <c r="FX43" s="234">
        <v>237.61418049813918</v>
      </c>
      <c r="GB43" s="241"/>
      <c r="GC43" s="250"/>
      <c r="GD43" s="250"/>
      <c r="GE43" s="250"/>
      <c r="GF43" s="250"/>
      <c r="GG43" s="257"/>
      <c r="GL43" s="241"/>
      <c r="GP43" s="254"/>
      <c r="GZ43" s="295"/>
      <c r="HB43" s="234">
        <v>892.9</v>
      </c>
      <c r="HC43" s="234">
        <v>416.1</v>
      </c>
      <c r="HD43" s="234">
        <v>3403.8136408512896</v>
      </c>
      <c r="HJ43" s="236">
        <v>9885.5475749886245</v>
      </c>
      <c r="HK43" s="250"/>
      <c r="HL43" s="250"/>
      <c r="HM43" s="250"/>
      <c r="HN43" s="250"/>
      <c r="HQ43" s="321"/>
      <c r="HR43" s="321"/>
      <c r="HS43" s="321"/>
      <c r="HW43" s="250"/>
      <c r="HX43" s="250"/>
      <c r="HY43" s="250"/>
      <c r="IE43" s="250"/>
      <c r="IF43" s="250"/>
      <c r="IG43" s="258"/>
      <c r="IH43" s="250"/>
      <c r="II43" s="250"/>
      <c r="IJ43" s="250"/>
      <c r="IM43" s="444">
        <v>80.571898081851856</v>
      </c>
      <c r="IO43" s="257"/>
      <c r="IR43" s="258"/>
      <c r="IS43" s="257"/>
      <c r="IV43" s="295"/>
      <c r="JQ43" s="377"/>
      <c r="KL43" s="409"/>
      <c r="KM43" s="388"/>
      <c r="KW43" s="409"/>
      <c r="LI43" s="416"/>
      <c r="LJ43" s="388">
        <v>967.68</v>
      </c>
      <c r="LV43" s="421"/>
      <c r="MF43" s="422"/>
      <c r="MG43" s="425"/>
      <c r="NC43" s="421"/>
      <c r="NM43" s="422"/>
    </row>
    <row r="44" spans="1:377">
      <c r="A44" s="240">
        <v>1984</v>
      </c>
      <c r="B44" s="269">
        <v>104357</v>
      </c>
      <c r="C44" s="250">
        <v>24017</v>
      </c>
      <c r="D44" s="250">
        <v>80340</v>
      </c>
      <c r="E44" s="234">
        <v>48197</v>
      </c>
      <c r="F44" s="274">
        <v>5.4</v>
      </c>
      <c r="G44" s="275"/>
      <c r="H44" s="337">
        <v>0.56049013632927513</v>
      </c>
      <c r="I44" s="234">
        <v>58491.069156914164</v>
      </c>
      <c r="R44" s="295"/>
      <c r="S44" s="334"/>
      <c r="T44" s="239">
        <v>8.2867815914037983</v>
      </c>
      <c r="U44" s="240"/>
      <c r="V44" s="295"/>
      <c r="X44" s="294">
        <v>2.327</v>
      </c>
      <c r="AA44" s="295"/>
      <c r="AJ44" s="234">
        <v>42.53</v>
      </c>
      <c r="AK44" s="309">
        <v>0</v>
      </c>
      <c r="AL44" s="318">
        <v>434.9</v>
      </c>
      <c r="AO44" s="313">
        <v>0</v>
      </c>
      <c r="AP44" s="241"/>
      <c r="AR44" s="309">
        <v>0</v>
      </c>
      <c r="AS44" s="309"/>
      <c r="AT44" s="234">
        <v>792.1</v>
      </c>
      <c r="AV44" s="295"/>
      <c r="AX44" s="234">
        <v>7243.7517183600785</v>
      </c>
      <c r="AY44" s="234">
        <v>7208.0517183600787</v>
      </c>
      <c r="AZ44" s="234">
        <v>7410.7373539681776</v>
      </c>
      <c r="BA44" s="234">
        <v>7375.0373539681768</v>
      </c>
      <c r="BB44" s="234">
        <v>35.700000000000728</v>
      </c>
      <c r="BD44" s="234">
        <v>7243.7517183600785</v>
      </c>
      <c r="BE44" s="234">
        <v>7208.0517183600787</v>
      </c>
      <c r="BF44" s="234">
        <v>6635.0564715224327</v>
      </c>
      <c r="BG44" s="234">
        <v>54983.263826136739</v>
      </c>
      <c r="BH44" s="234">
        <v>9400.2836020372579</v>
      </c>
      <c r="BJ44" s="236">
        <v>7208.0517183600796</v>
      </c>
      <c r="BK44" s="236">
        <v>7375.0373539681786</v>
      </c>
      <c r="BL44" s="234">
        <v>2316.0894957145706</v>
      </c>
      <c r="BM44" s="234">
        <v>3105.7</v>
      </c>
      <c r="BN44" s="250">
        <v>2789</v>
      </c>
      <c r="BO44" s="250">
        <v>316.7</v>
      </c>
      <c r="BP44" s="234">
        <v>1786.2622226455087</v>
      </c>
      <c r="BQ44" s="234">
        <v>1953.2478582536073</v>
      </c>
      <c r="BR44" s="250">
        <v>338.5156695886381</v>
      </c>
      <c r="BS44" s="250">
        <v>363.47033717984493</v>
      </c>
      <c r="BT44" s="250">
        <v>96.785042881512595</v>
      </c>
      <c r="BU44" s="250">
        <v>203.94427281381962</v>
      </c>
      <c r="BV44" s="250">
        <v>162.30744554625954</v>
      </c>
      <c r="BW44" s="250">
        <v>329.29308115435816</v>
      </c>
      <c r="BX44" s="250">
        <v>621.23945463543396</v>
      </c>
      <c r="BY44" s="236"/>
      <c r="BZ44" s="236"/>
      <c r="CA44" s="236"/>
      <c r="CB44" s="236"/>
      <c r="CC44" s="236"/>
      <c r="CD44" s="236"/>
      <c r="CF44" s="234">
        <v>7362.7</v>
      </c>
      <c r="CG44" s="234">
        <v>7529.685635608098</v>
      </c>
      <c r="CH44" s="234">
        <v>154.64828163992115</v>
      </c>
      <c r="CI44" s="234">
        <v>3742</v>
      </c>
      <c r="CJ44" s="234">
        <v>3851.6633771365259</v>
      </c>
      <c r="CK44" s="234">
        <v>1104.3</v>
      </c>
      <c r="CL44" s="234">
        <v>1161.6222584715726</v>
      </c>
      <c r="CM44" s="234">
        <v>2515.1</v>
      </c>
      <c r="CN44" s="250">
        <v>2147</v>
      </c>
      <c r="CO44" s="250">
        <v>368.1</v>
      </c>
      <c r="CP44" s="234">
        <v>1.3</v>
      </c>
      <c r="CR44" s="295"/>
      <c r="CV44" s="308">
        <v>0.10517653609284915</v>
      </c>
      <c r="CW44" s="239">
        <v>4.4000000000000004E-2</v>
      </c>
      <c r="CX44" s="234">
        <v>775.6808824457446</v>
      </c>
      <c r="CY44" s="234">
        <v>6427.8980574552497</v>
      </c>
      <c r="CZ44" s="236"/>
      <c r="DA44" s="307">
        <v>25392857575.294968</v>
      </c>
      <c r="DB44" s="234">
        <v>590.89179577711388</v>
      </c>
      <c r="DD44" s="234">
        <v>1401.461897812781</v>
      </c>
      <c r="DE44" s="262">
        <v>817.97436950189251</v>
      </c>
      <c r="DF44" s="252">
        <v>666.47383762490233</v>
      </c>
      <c r="DG44" s="252">
        <v>151.50053187699021</v>
      </c>
      <c r="DH44" s="234">
        <v>408.08141005639169</v>
      </c>
      <c r="DI44" s="250">
        <v>320.28949885065367</v>
      </c>
      <c r="DJ44" s="258">
        <v>87.791911205738032</v>
      </c>
      <c r="DK44" s="241">
        <v>299.84442593829499</v>
      </c>
      <c r="DL44" s="252">
        <v>299.84442593829499</v>
      </c>
      <c r="DM44" s="258">
        <v>0</v>
      </c>
      <c r="DN44" s="234">
        <v>4901.9978519586703</v>
      </c>
      <c r="DO44" s="252">
        <v>283.64310237259355</v>
      </c>
      <c r="DP44" s="250">
        <v>4618.3547495860767</v>
      </c>
      <c r="DQ44" s="257">
        <v>6427.8980574552497</v>
      </c>
      <c r="DS44" s="295"/>
      <c r="DT44" s="295"/>
      <c r="DU44">
        <f t="shared" si="0"/>
        <v>0.7</v>
      </c>
      <c r="DW44" s="318">
        <v>1383.7734911860543</v>
      </c>
      <c r="DX44" s="234">
        <v>1849.5931897603618</v>
      </c>
      <c r="DZ44" s="309">
        <v>490.78462170113551</v>
      </c>
      <c r="EA44" s="234">
        <v>1358.8085680592264</v>
      </c>
      <c r="EB44" s="234">
        <v>817.97436950189251</v>
      </c>
      <c r="EC44" s="234">
        <v>0</v>
      </c>
      <c r="ED44" s="234">
        <v>0</v>
      </c>
      <c r="EE44" s="234">
        <v>540.83419855733393</v>
      </c>
      <c r="EF44" s="241">
        <v>17273.635017418092</v>
      </c>
      <c r="EG44" s="234">
        <v>320.28949885065367</v>
      </c>
      <c r="EH44" s="234">
        <v>0</v>
      </c>
      <c r="EI44" s="234">
        <v>16953.345518567439</v>
      </c>
      <c r="EJ44" s="234">
        <v>0</v>
      </c>
      <c r="EK44" s="234">
        <v>11867.341862997207</v>
      </c>
      <c r="EL44" s="242">
        <v>5086.0036555702318</v>
      </c>
      <c r="EN44" s="234">
        <v>87.791911205738032</v>
      </c>
      <c r="ES44" s="241"/>
      <c r="EX44" s="241"/>
      <c r="FA44" s="234">
        <v>367.92225634880066</v>
      </c>
      <c r="FB44" s="234">
        <v>4901.9978519586703</v>
      </c>
      <c r="FH44" s="250"/>
      <c r="FI44" s="250"/>
      <c r="FJ44" s="250"/>
      <c r="FK44" s="250"/>
      <c r="FL44" s="257"/>
      <c r="FQ44" s="241"/>
      <c r="FR44" s="234"/>
      <c r="FS44" s="234"/>
      <c r="FT44" s="241"/>
      <c r="FW44" s="234">
        <v>475.01703627991992</v>
      </c>
      <c r="FX44" s="234">
        <v>299.84442593829499</v>
      </c>
      <c r="GB44" s="241"/>
      <c r="GC44" s="250"/>
      <c r="GD44" s="250"/>
      <c r="GE44" s="250"/>
      <c r="GF44" s="250"/>
      <c r="GG44" s="257"/>
      <c r="GL44" s="241"/>
      <c r="GP44" s="254"/>
      <c r="GZ44" s="295"/>
      <c r="HB44" s="234">
        <v>1214.7</v>
      </c>
      <c r="HC44" s="234">
        <v>465.6</v>
      </c>
      <c r="HD44" s="234">
        <v>3858.3255089576087</v>
      </c>
      <c r="HJ44" s="236">
        <v>13342.214618775542</v>
      </c>
      <c r="HK44" s="250"/>
      <c r="HL44" s="250"/>
      <c r="HM44" s="250"/>
      <c r="HN44" s="250"/>
      <c r="HQ44" s="321"/>
      <c r="HR44" s="321"/>
      <c r="HS44" s="321"/>
      <c r="HW44" s="250"/>
      <c r="HX44" s="250"/>
      <c r="HY44" s="250"/>
      <c r="IE44" s="250"/>
      <c r="IF44" s="250"/>
      <c r="IG44" s="258"/>
      <c r="IH44" s="250"/>
      <c r="II44" s="250"/>
      <c r="IJ44" s="250"/>
      <c r="IM44" s="444">
        <v>96.686277698222213</v>
      </c>
      <c r="IO44" s="257"/>
      <c r="IR44" s="258"/>
      <c r="IS44" s="257"/>
      <c r="IV44" s="295"/>
      <c r="JQ44" s="377"/>
      <c r="KL44" s="409"/>
      <c r="KM44" s="388"/>
      <c r="KW44" s="409"/>
      <c r="LI44" s="416"/>
      <c r="LJ44" s="388">
        <v>1188.48</v>
      </c>
      <c r="LV44" s="421"/>
      <c r="MF44" s="422"/>
      <c r="MG44" s="425"/>
      <c r="NC44" s="421"/>
      <c r="NM44" s="422"/>
    </row>
    <row r="45" spans="1:377">
      <c r="A45" s="240">
        <v>1985</v>
      </c>
      <c r="B45" s="269">
        <v>105851</v>
      </c>
      <c r="C45" s="250">
        <v>25094</v>
      </c>
      <c r="D45" s="250">
        <v>80757</v>
      </c>
      <c r="E45" s="234">
        <v>49873</v>
      </c>
      <c r="F45" s="274">
        <v>5.0999999999999996</v>
      </c>
      <c r="G45" s="275"/>
      <c r="H45" s="337">
        <v>0.57114217493132935</v>
      </c>
      <c r="I45" s="234">
        <v>60455.970358656145</v>
      </c>
      <c r="K45" s="234">
        <v>6253.1</v>
      </c>
      <c r="L45" s="234">
        <v>960.3</v>
      </c>
      <c r="M45" s="234">
        <v>4930.8999999999996</v>
      </c>
      <c r="N45" s="234">
        <v>4029.6</v>
      </c>
      <c r="O45" s="234">
        <v>2626.5</v>
      </c>
      <c r="P45" s="234">
        <v>3311.4</v>
      </c>
      <c r="R45" s="295"/>
      <c r="S45" s="334"/>
      <c r="T45" s="239">
        <v>8.0967832588464415</v>
      </c>
      <c r="U45" s="240"/>
      <c r="V45" s="295"/>
      <c r="X45" s="294">
        <v>2.9367000000000001</v>
      </c>
      <c r="AA45" s="295"/>
      <c r="AJ45" s="234">
        <v>60.61</v>
      </c>
      <c r="AK45" s="309">
        <v>0</v>
      </c>
      <c r="AL45" s="318">
        <v>495.51</v>
      </c>
      <c r="AO45" s="313">
        <v>0</v>
      </c>
      <c r="AP45" s="241"/>
      <c r="AR45" s="309">
        <v>0</v>
      </c>
      <c r="AS45" s="309"/>
      <c r="AT45" s="234">
        <v>987.8</v>
      </c>
      <c r="AV45" s="295"/>
      <c r="AX45" s="234">
        <v>9040.7365806124835</v>
      </c>
      <c r="AY45" s="234">
        <v>9016.0365806124828</v>
      </c>
      <c r="AZ45" s="234">
        <v>9256.8017769652615</v>
      </c>
      <c r="BA45" s="234">
        <v>9232.1017769652608</v>
      </c>
      <c r="BB45" s="234">
        <v>24.700000000000728</v>
      </c>
      <c r="BD45" s="234">
        <v>9040.7365806124835</v>
      </c>
      <c r="BE45" s="234">
        <v>9016.0365806124828</v>
      </c>
      <c r="BF45" s="234">
        <v>8285.8012912074173</v>
      </c>
      <c r="BG45" s="234">
        <v>67088.337180776449</v>
      </c>
      <c r="BH45" s="234">
        <v>11097.057376264687</v>
      </c>
      <c r="BJ45" s="236">
        <v>9016.0365806124828</v>
      </c>
      <c r="BK45" s="236">
        <v>9232.1017769652608</v>
      </c>
      <c r="BL45" s="234">
        <v>2564.3968905720549</v>
      </c>
      <c r="BM45" s="234">
        <v>3866.6</v>
      </c>
      <c r="BN45" s="250">
        <v>3448.7</v>
      </c>
      <c r="BO45" s="250">
        <v>417.9</v>
      </c>
      <c r="BP45" s="234">
        <v>2585.039690040428</v>
      </c>
      <c r="BQ45" s="234">
        <v>2801.104886393206</v>
      </c>
      <c r="BR45" s="250">
        <v>421.71726519159807</v>
      </c>
      <c r="BS45" s="250">
        <v>802.39610783720263</v>
      </c>
      <c r="BT45" s="250">
        <v>138.2743256483358</v>
      </c>
      <c r="BU45" s="250">
        <v>259.89311165140924</v>
      </c>
      <c r="BV45" s="250">
        <v>215.24346896107514</v>
      </c>
      <c r="BW45" s="250">
        <v>431.30866531385334</v>
      </c>
      <c r="BX45" s="250">
        <v>747.51541075080706</v>
      </c>
      <c r="BY45" s="236"/>
      <c r="BZ45" s="236"/>
      <c r="CA45" s="236"/>
      <c r="CB45" s="236"/>
      <c r="CC45" s="236"/>
      <c r="CD45" s="236"/>
      <c r="CF45" s="234">
        <v>9076.6999999999989</v>
      </c>
      <c r="CG45" s="234">
        <v>9292.7651963527769</v>
      </c>
      <c r="CH45" s="234">
        <v>60.663419387516115</v>
      </c>
      <c r="CI45" s="234">
        <v>4687.3999999999996</v>
      </c>
      <c r="CJ45" s="234">
        <v>4828.9804108854732</v>
      </c>
      <c r="CK45" s="234">
        <v>1298.9000000000001</v>
      </c>
      <c r="CL45" s="234">
        <v>1373.3847854673045</v>
      </c>
      <c r="CM45" s="234">
        <v>3457.5</v>
      </c>
      <c r="CN45" s="250">
        <v>2672</v>
      </c>
      <c r="CO45" s="250">
        <v>785.5</v>
      </c>
      <c r="CP45" s="234">
        <v>-367.1</v>
      </c>
      <c r="CR45" s="295"/>
      <c r="CV45" s="308">
        <v>0.10517653609284915</v>
      </c>
      <c r="CW45" s="239">
        <v>4.7E-2</v>
      </c>
      <c r="CX45" s="234">
        <v>971.00048575784353</v>
      </c>
      <c r="CY45" s="234">
        <v>7861.9804774158702</v>
      </c>
      <c r="CZ45" s="236"/>
      <c r="DA45" s="307">
        <v>28503400805.789898</v>
      </c>
      <c r="DB45" s="234">
        <v>837.05937146363192</v>
      </c>
      <c r="DD45" s="234">
        <v>1749.4862014144878</v>
      </c>
      <c r="DE45" s="262">
        <v>993.09381056429538</v>
      </c>
      <c r="DF45" s="252">
        <v>796.69912522587038</v>
      </c>
      <c r="DG45" s="252">
        <v>196.39468533842503</v>
      </c>
      <c r="DH45" s="234">
        <v>461.09981491320013</v>
      </c>
      <c r="DI45" s="250">
        <v>354.37790627533548</v>
      </c>
      <c r="DJ45" s="258">
        <v>106.72190863786464</v>
      </c>
      <c r="DK45" s="241">
        <v>388.11748596532885</v>
      </c>
      <c r="DL45" s="252">
        <v>388.11748596532885</v>
      </c>
      <c r="DM45" s="258">
        <v>0</v>
      </c>
      <c r="DN45" s="234">
        <v>6019.6693659730454</v>
      </c>
      <c r="DO45" s="252">
        <v>368.27490488486376</v>
      </c>
      <c r="DP45" s="250">
        <v>5651.3944610881817</v>
      </c>
      <c r="DQ45" s="257">
        <v>7861.9804774158692</v>
      </c>
      <c r="DS45" s="295"/>
      <c r="DT45" s="295"/>
      <c r="DU45">
        <f t="shared" si="0"/>
        <v>0.7</v>
      </c>
      <c r="DW45" s="318">
        <v>1749.4330646485437</v>
      </c>
      <c r="DX45" s="234">
        <v>2263.3007784533106</v>
      </c>
      <c r="DZ45" s="309">
        <v>595.85628633857721</v>
      </c>
      <c r="EA45" s="234">
        <v>1667.4444921147333</v>
      </c>
      <c r="EB45" s="234">
        <v>993.09381056429538</v>
      </c>
      <c r="EC45" s="234">
        <v>0</v>
      </c>
      <c r="ED45" s="234">
        <v>0</v>
      </c>
      <c r="EE45" s="234">
        <v>674.35068155043803</v>
      </c>
      <c r="EF45" s="241">
        <v>18687.029231359516</v>
      </c>
      <c r="EG45" s="234">
        <v>354.37790627533548</v>
      </c>
      <c r="EH45" s="234">
        <v>0</v>
      </c>
      <c r="EI45" s="234">
        <v>18332.651325084182</v>
      </c>
      <c r="EJ45" s="234">
        <v>0</v>
      </c>
      <c r="EK45" s="234">
        <v>12832.855927558927</v>
      </c>
      <c r="EL45" s="242">
        <v>5499.795397525254</v>
      </c>
      <c r="EN45" s="234">
        <v>106.72190863786464</v>
      </c>
      <c r="ES45" s="241"/>
      <c r="EX45" s="241"/>
      <c r="FA45" s="234">
        <v>471.99521908766678</v>
      </c>
      <c r="FB45" s="234">
        <v>6019.6693659730454</v>
      </c>
      <c r="FH45" s="250"/>
      <c r="FI45" s="250"/>
      <c r="FJ45" s="250"/>
      <c r="FK45" s="250"/>
      <c r="FL45" s="257"/>
      <c r="FQ45" s="241"/>
      <c r="FR45" s="234"/>
      <c r="FS45" s="234"/>
      <c r="FT45" s="241"/>
      <c r="FW45" s="234">
        <v>603.08716401043887</v>
      </c>
      <c r="FX45" s="234">
        <v>388.11748596532885</v>
      </c>
      <c r="GB45" s="241"/>
      <c r="GC45" s="250"/>
      <c r="GD45" s="250"/>
      <c r="GE45" s="250"/>
      <c r="GF45" s="250"/>
      <c r="GG45" s="257"/>
      <c r="GL45" s="241"/>
      <c r="GP45" s="254"/>
      <c r="GZ45" s="295"/>
      <c r="HB45" s="234">
        <v>1622.6</v>
      </c>
      <c r="HC45" s="234">
        <v>641.6</v>
      </c>
      <c r="HD45" s="234">
        <v>5194.8961388758771</v>
      </c>
      <c r="HJ45" s="236">
        <v>16756.193267937655</v>
      </c>
      <c r="HK45" s="250"/>
      <c r="HL45" s="250"/>
      <c r="HM45" s="250"/>
      <c r="HN45" s="250"/>
      <c r="HQ45" s="321"/>
      <c r="HR45" s="321"/>
      <c r="HS45" s="321"/>
      <c r="HW45" s="250"/>
      <c r="HX45" s="250"/>
      <c r="HY45" s="250"/>
      <c r="IE45" s="250"/>
      <c r="IF45" s="250"/>
      <c r="IG45" s="258"/>
      <c r="IH45" s="250"/>
      <c r="II45" s="250"/>
      <c r="IJ45" s="250"/>
      <c r="IM45" s="444">
        <v>112.8006573145926</v>
      </c>
      <c r="IO45" s="257"/>
      <c r="IR45" s="258"/>
      <c r="IS45" s="257"/>
      <c r="IV45" s="295"/>
      <c r="IX45" s="350">
        <v>0.24854958308338659</v>
      </c>
      <c r="IY45" s="351">
        <v>1.034262391279972E-2</v>
      </c>
      <c r="IZ45" s="351">
        <v>0.23820695917058687</v>
      </c>
      <c r="JO45" s="361">
        <v>2004.82</v>
      </c>
      <c r="JP45" s="361">
        <v>-35.970000000000027</v>
      </c>
      <c r="JQ45" s="377">
        <v>2040.79</v>
      </c>
      <c r="JS45" s="366">
        <v>147.69999999999999</v>
      </c>
      <c r="JT45" s="366">
        <v>211.07</v>
      </c>
      <c r="JU45" s="366" t="s">
        <v>534</v>
      </c>
      <c r="JV45" s="366">
        <v>205.21</v>
      </c>
      <c r="JW45" s="363">
        <v>697.38</v>
      </c>
      <c r="JX45" s="371">
        <v>1.32</v>
      </c>
      <c r="JY45" s="366">
        <v>696.06</v>
      </c>
      <c r="KA45" s="428">
        <v>1344.73</v>
      </c>
      <c r="KL45" s="409"/>
      <c r="KM45" s="388"/>
      <c r="KW45" s="409"/>
      <c r="LI45" s="416"/>
      <c r="LJ45" s="388">
        <v>1530.03</v>
      </c>
      <c r="LV45" s="421"/>
      <c r="MF45" s="422"/>
      <c r="MG45" s="425"/>
      <c r="NC45" s="421"/>
      <c r="NM45" s="422"/>
    </row>
    <row r="46" spans="1:377">
      <c r="A46" s="240">
        <v>1986</v>
      </c>
      <c r="B46" s="269">
        <v>107507</v>
      </c>
      <c r="C46" s="250">
        <v>26366</v>
      </c>
      <c r="D46" s="250">
        <v>81141</v>
      </c>
      <c r="E46" s="234">
        <v>51282</v>
      </c>
      <c r="F46" s="274">
        <v>5.0999999999999996</v>
      </c>
      <c r="G46" s="275"/>
      <c r="H46" s="337">
        <v>0.58179421353338368</v>
      </c>
      <c r="I46" s="234">
        <v>62546.950514333475</v>
      </c>
      <c r="K46" s="234">
        <v>6346.3</v>
      </c>
      <c r="L46" s="234">
        <v>975.1</v>
      </c>
      <c r="M46" s="234">
        <v>4989</v>
      </c>
      <c r="N46" s="234">
        <v>4070.1</v>
      </c>
      <c r="O46" s="234">
        <v>2655.1</v>
      </c>
      <c r="P46" s="234">
        <v>3331.6</v>
      </c>
      <c r="R46" s="295"/>
      <c r="S46" s="334"/>
      <c r="T46" s="239">
        <v>7.6730865095361001</v>
      </c>
      <c r="U46" s="240"/>
      <c r="V46" s="295"/>
      <c r="X46" s="294">
        <v>3.4527999999999999</v>
      </c>
      <c r="AA46" s="295"/>
      <c r="AJ46" s="234">
        <v>62.51</v>
      </c>
      <c r="AK46" s="309">
        <v>0</v>
      </c>
      <c r="AL46" s="318">
        <v>558.02</v>
      </c>
      <c r="AO46" s="313">
        <v>0</v>
      </c>
      <c r="AP46" s="241"/>
      <c r="AR46" s="309">
        <v>0</v>
      </c>
      <c r="AS46" s="309"/>
      <c r="AT46" s="234">
        <v>1218.4000000000001</v>
      </c>
      <c r="AV46" s="295"/>
      <c r="AX46" s="234">
        <v>10274.379216424739</v>
      </c>
      <c r="AY46" s="234">
        <v>10275.179216424738</v>
      </c>
      <c r="AZ46" s="234">
        <v>10568.406465520267</v>
      </c>
      <c r="BA46" s="234">
        <v>10569.206465520267</v>
      </c>
      <c r="BB46" s="234">
        <v>-0.7999999999992724</v>
      </c>
      <c r="BD46" s="234">
        <v>10274.379216424739</v>
      </c>
      <c r="BE46" s="234">
        <v>10275.179216424738</v>
      </c>
      <c r="BF46" s="234">
        <v>9456.7739402266998</v>
      </c>
      <c r="BG46" s="234">
        <v>72562.644544486044</v>
      </c>
      <c r="BH46" s="234">
        <v>11601.308128980219</v>
      </c>
      <c r="BJ46" s="236">
        <v>10275.179216424738</v>
      </c>
      <c r="BK46" s="236">
        <v>10569.206465520265</v>
      </c>
      <c r="BL46" s="234">
        <v>2788.6908112417782</v>
      </c>
      <c r="BM46" s="234">
        <v>4492.7</v>
      </c>
      <c r="BN46" s="250">
        <v>3967</v>
      </c>
      <c r="BO46" s="250">
        <v>525.70000000000005</v>
      </c>
      <c r="BP46" s="234">
        <v>2993.7884051829597</v>
      </c>
      <c r="BQ46" s="234">
        <v>3287.8156542784873</v>
      </c>
      <c r="BR46" s="250">
        <v>498.83581387265917</v>
      </c>
      <c r="BS46" s="250">
        <v>852.58900195014746</v>
      </c>
      <c r="BT46" s="250">
        <v>163.23819289195353</v>
      </c>
      <c r="BU46" s="250">
        <v>356.40189392615059</v>
      </c>
      <c r="BV46" s="250">
        <v>298.07732249858771</v>
      </c>
      <c r="BW46" s="250">
        <v>592.10457159411533</v>
      </c>
      <c r="BX46" s="250">
        <v>824.64618004346141</v>
      </c>
      <c r="BY46" s="236"/>
      <c r="BZ46" s="236"/>
      <c r="CA46" s="236"/>
      <c r="CB46" s="236"/>
      <c r="CC46" s="236"/>
      <c r="CD46" s="236"/>
      <c r="CF46" s="234">
        <v>10508.5</v>
      </c>
      <c r="CG46" s="234">
        <v>10802.527249095527</v>
      </c>
      <c r="CH46" s="234">
        <v>233.32078357526007</v>
      </c>
      <c r="CI46" s="234">
        <v>5302.1</v>
      </c>
      <c r="CJ46" s="234">
        <v>5493.2481832215954</v>
      </c>
      <c r="CK46" s="234">
        <v>1519.7</v>
      </c>
      <c r="CL46" s="234">
        <v>1622.5790658739327</v>
      </c>
      <c r="CM46" s="234">
        <v>3941.9</v>
      </c>
      <c r="CN46" s="250">
        <v>3139.7</v>
      </c>
      <c r="CO46" s="250">
        <v>802.2</v>
      </c>
      <c r="CP46" s="234">
        <v>-255.2</v>
      </c>
      <c r="CR46" s="295"/>
      <c r="CV46" s="308">
        <v>0.10517653609284915</v>
      </c>
      <c r="CW46" s="239">
        <v>4.9000000000000002E-2</v>
      </c>
      <c r="CX46" s="234">
        <v>1111.6325252935669</v>
      </c>
      <c r="CY46" s="234">
        <v>8529.6525333916161</v>
      </c>
      <c r="CZ46" s="236"/>
      <c r="DA46" s="307">
        <v>29565216982.672604</v>
      </c>
      <c r="DB46" s="234">
        <v>1020.8278119777195</v>
      </c>
      <c r="DD46" s="234">
        <v>2094.5032570495446</v>
      </c>
      <c r="DE46" s="262">
        <v>1118.7561471239646</v>
      </c>
      <c r="DF46" s="252">
        <v>860.26896004706362</v>
      </c>
      <c r="DG46" s="252">
        <v>258.48718707690108</v>
      </c>
      <c r="DH46" s="234">
        <v>523.88064244397503</v>
      </c>
      <c r="DI46" s="250">
        <v>402.22647397980722</v>
      </c>
      <c r="DJ46" s="258">
        <v>121.6541684641678</v>
      </c>
      <c r="DK46" s="241">
        <v>499.41877684912589</v>
      </c>
      <c r="DL46" s="252">
        <v>499.41877684912589</v>
      </c>
      <c r="DM46" s="258">
        <v>0</v>
      </c>
      <c r="DN46" s="234">
        <v>6387.5969669745509</v>
      </c>
      <c r="DO46" s="252">
        <v>476.32833307645399</v>
      </c>
      <c r="DP46" s="250">
        <v>5911.2686338980966</v>
      </c>
      <c r="DQ46" s="257">
        <v>8529.6525333916161</v>
      </c>
      <c r="DS46" s="295"/>
      <c r="DT46" s="295"/>
      <c r="DU46">
        <f t="shared" si="0"/>
        <v>0.7</v>
      </c>
      <c r="DW46" s="318">
        <v>2256.0965184709034</v>
      </c>
      <c r="DX46" s="234">
        <v>2618.9275029531877</v>
      </c>
      <c r="DZ46" s="309">
        <v>671.25368827437876</v>
      </c>
      <c r="EA46" s="234">
        <v>1947.6738146788089</v>
      </c>
      <c r="EB46" s="234">
        <v>1118.7561471239646</v>
      </c>
      <c r="EC46" s="234">
        <v>0</v>
      </c>
      <c r="ED46" s="234">
        <v>0</v>
      </c>
      <c r="EE46" s="234">
        <v>828.91766755484423</v>
      </c>
      <c r="EF46" s="241">
        <v>19258.079258705915</v>
      </c>
      <c r="EG46" s="234">
        <v>402.22647397980722</v>
      </c>
      <c r="EH46" s="234">
        <v>0</v>
      </c>
      <c r="EI46" s="234">
        <v>18855.852784726107</v>
      </c>
      <c r="EJ46" s="234">
        <v>0</v>
      </c>
      <c r="EK46" s="234">
        <v>13199.096949308274</v>
      </c>
      <c r="EL46" s="242">
        <v>5656.7558354178318</v>
      </c>
      <c r="EN46" s="234">
        <v>121.6541684641678</v>
      </c>
      <c r="ES46" s="241"/>
      <c r="EX46" s="241"/>
      <c r="FA46" s="234">
        <v>637.77887844511088</v>
      </c>
      <c r="FB46" s="234">
        <v>6387.5969669745509</v>
      </c>
      <c r="FH46" s="250"/>
      <c r="FI46" s="250"/>
      <c r="FJ46" s="250"/>
      <c r="FK46" s="250"/>
      <c r="FL46" s="257"/>
      <c r="FQ46" s="241"/>
      <c r="FR46" s="234"/>
      <c r="FS46" s="234"/>
      <c r="FT46" s="241"/>
      <c r="FW46" s="234">
        <v>789.39997247094823</v>
      </c>
      <c r="FX46" s="234">
        <v>499.41877684912589</v>
      </c>
      <c r="GB46" s="241"/>
      <c r="GC46" s="250"/>
      <c r="GD46" s="250"/>
      <c r="GE46" s="250"/>
      <c r="GF46" s="250"/>
      <c r="GG46" s="257"/>
      <c r="GL46" s="241"/>
      <c r="GP46" s="254"/>
      <c r="GZ46" s="295"/>
      <c r="HB46" s="234">
        <v>2237.8000000000002</v>
      </c>
      <c r="HC46" s="234">
        <v>777.8</v>
      </c>
      <c r="HD46" s="234">
        <v>5968.1266871171783</v>
      </c>
      <c r="HJ46" s="236">
        <v>17833.663629465096</v>
      </c>
      <c r="HK46" s="250"/>
      <c r="HL46" s="250"/>
      <c r="HM46" s="250"/>
      <c r="HN46" s="250"/>
      <c r="HQ46" s="321"/>
      <c r="HR46" s="321"/>
      <c r="HS46" s="321"/>
      <c r="HW46" s="250"/>
      <c r="HX46" s="250"/>
      <c r="HY46" s="250"/>
      <c r="IE46" s="250"/>
      <c r="IF46" s="250"/>
      <c r="IG46" s="258"/>
      <c r="IH46" s="250"/>
      <c r="II46" s="250"/>
      <c r="IJ46" s="250"/>
      <c r="IM46" s="444">
        <v>128.91503693096297</v>
      </c>
      <c r="IO46" s="257"/>
      <c r="IR46" s="258"/>
      <c r="IS46" s="257"/>
      <c r="IV46" s="295"/>
      <c r="IX46" s="350">
        <v>0.23366226917969832</v>
      </c>
      <c r="IY46" s="351">
        <v>1.8914607235314906E-2</v>
      </c>
      <c r="IZ46" s="351">
        <v>0.21474766194438341</v>
      </c>
      <c r="JO46" s="361">
        <v>2122.0100000000002</v>
      </c>
      <c r="JP46" s="361">
        <v>31.2800000000002</v>
      </c>
      <c r="JQ46" s="377">
        <v>2090.73</v>
      </c>
      <c r="JR46" s="363">
        <v>1393.08</v>
      </c>
      <c r="JS46" s="366">
        <v>232.19</v>
      </c>
      <c r="JT46" s="366">
        <v>261.07</v>
      </c>
      <c r="JU46" s="366" t="s">
        <v>534</v>
      </c>
      <c r="JV46" s="366">
        <v>151.62</v>
      </c>
      <c r="JW46" s="363">
        <v>697.65</v>
      </c>
      <c r="JX46" s="371">
        <v>5.25</v>
      </c>
      <c r="JY46" s="366">
        <v>692.4</v>
      </c>
      <c r="KA46" s="428">
        <v>1398.33</v>
      </c>
      <c r="KL46" s="409"/>
      <c r="KM46" s="388"/>
      <c r="KW46" s="409"/>
      <c r="LI46" s="416"/>
      <c r="LJ46" s="388">
        <v>1737.31</v>
      </c>
      <c r="LV46" s="421"/>
      <c r="MF46" s="422"/>
      <c r="MG46" s="425"/>
      <c r="NC46" s="421"/>
      <c r="NM46" s="422"/>
    </row>
    <row r="47" spans="1:377">
      <c r="A47" s="240">
        <v>1987</v>
      </c>
      <c r="B47" s="269">
        <v>109300</v>
      </c>
      <c r="C47" s="250">
        <v>27674</v>
      </c>
      <c r="D47" s="250">
        <v>81626</v>
      </c>
      <c r="E47" s="234">
        <v>52783</v>
      </c>
      <c r="F47" s="274">
        <v>5</v>
      </c>
      <c r="G47" s="275">
        <v>0.407553747864562</v>
      </c>
      <c r="H47" s="275">
        <v>0.592446252135438</v>
      </c>
      <c r="I47" s="234">
        <v>64754.375358403377</v>
      </c>
      <c r="K47" s="234">
        <v>6447.2</v>
      </c>
      <c r="L47" s="234">
        <v>992.6</v>
      </c>
      <c r="M47" s="234">
        <v>5058.1000000000004</v>
      </c>
      <c r="N47" s="234">
        <v>4121.2</v>
      </c>
      <c r="O47" s="234">
        <v>2690.8</v>
      </c>
      <c r="P47" s="234">
        <v>3364</v>
      </c>
      <c r="R47" s="295"/>
      <c r="S47" s="334"/>
      <c r="T47" s="239">
        <v>7.1718278474803476</v>
      </c>
      <c r="U47" s="240"/>
      <c r="V47" s="295"/>
      <c r="X47" s="294">
        <v>3.7220999999999997</v>
      </c>
      <c r="AA47" s="295"/>
      <c r="AJ47" s="234">
        <v>63.07</v>
      </c>
      <c r="AK47" s="309">
        <v>0</v>
      </c>
      <c r="AL47" s="318">
        <v>621.09</v>
      </c>
      <c r="AO47" s="313">
        <v>0</v>
      </c>
      <c r="AP47" s="241"/>
      <c r="AR47" s="309">
        <v>0</v>
      </c>
      <c r="AS47" s="309"/>
      <c r="AT47" s="234">
        <v>1454.5</v>
      </c>
      <c r="AV47" s="295"/>
      <c r="AX47" s="234">
        <v>12050.615125134151</v>
      </c>
      <c r="AY47" s="234">
        <v>12058.615125134151</v>
      </c>
      <c r="AZ47" s="234">
        <v>12352.877511047871</v>
      </c>
      <c r="BA47" s="234">
        <v>12360.877511047871</v>
      </c>
      <c r="BB47" s="234">
        <v>-8</v>
      </c>
      <c r="BC47" s="234">
        <v>11424.0718</v>
      </c>
      <c r="BD47" s="234">
        <v>12050.615125134151</v>
      </c>
      <c r="BE47" s="234">
        <v>12058.615125134151</v>
      </c>
      <c r="BF47" s="234">
        <v>11052.803231367858</v>
      </c>
      <c r="BG47" s="234">
        <v>79268.80200744477</v>
      </c>
      <c r="BH47" s="234">
        <v>12241.45883096034</v>
      </c>
      <c r="BJ47" s="236">
        <v>12058.615125134151</v>
      </c>
      <c r="BK47" s="236">
        <v>12360.877511047871</v>
      </c>
      <c r="BL47" s="234">
        <v>3233.0409806657367</v>
      </c>
      <c r="BM47" s="234">
        <v>5251.6</v>
      </c>
      <c r="BN47" s="250">
        <v>4585.8</v>
      </c>
      <c r="BO47" s="250">
        <v>665.8</v>
      </c>
      <c r="BP47" s="234">
        <v>3573.9741444684132</v>
      </c>
      <c r="BQ47" s="234">
        <v>3876.2365303821343</v>
      </c>
      <c r="BR47" s="250">
        <v>568.31946208197371</v>
      </c>
      <c r="BS47" s="250">
        <v>1059.6071444811153</v>
      </c>
      <c r="BT47" s="250">
        <v>187.09223348711703</v>
      </c>
      <c r="BU47" s="250">
        <v>449.99968441271727</v>
      </c>
      <c r="BV47" s="250">
        <v>382.61544072143334</v>
      </c>
      <c r="BW47" s="250">
        <v>684.87782663515441</v>
      </c>
      <c r="BX47" s="250">
        <v>926.34017928405683</v>
      </c>
      <c r="BY47" s="236"/>
      <c r="BZ47" s="236"/>
      <c r="CA47" s="236"/>
      <c r="CB47" s="236"/>
      <c r="CC47" s="236"/>
      <c r="CD47" s="236"/>
      <c r="CF47" s="234">
        <v>12277.4</v>
      </c>
      <c r="CG47" s="234">
        <v>12579.662385913722</v>
      </c>
      <c r="CH47" s="234">
        <v>218.78487486585072</v>
      </c>
      <c r="CI47" s="234">
        <v>6126.1</v>
      </c>
      <c r="CJ47" s="234">
        <v>6322.3764192182689</v>
      </c>
      <c r="CK47" s="234">
        <v>1678.5</v>
      </c>
      <c r="CL47" s="234">
        <v>1784.485966695453</v>
      </c>
      <c r="CM47" s="234">
        <v>4462</v>
      </c>
      <c r="CN47" s="250">
        <v>3798.7</v>
      </c>
      <c r="CO47" s="250">
        <v>663.3</v>
      </c>
      <c r="CP47" s="234">
        <v>10.8</v>
      </c>
      <c r="CR47" s="295"/>
      <c r="CT47" s="234">
        <v>1201.5443</v>
      </c>
      <c r="CU47" s="239">
        <v>0.10517653609284915</v>
      </c>
      <c r="CV47" s="239">
        <v>0.10517653609284915</v>
      </c>
      <c r="CW47" s="239">
        <v>4.9000000000000002E-2</v>
      </c>
      <c r="CX47" s="234">
        <v>1300.0742796800137</v>
      </c>
      <c r="CY47" s="234">
        <v>9323.9089228020766</v>
      </c>
      <c r="CZ47" s="236"/>
      <c r="DA47" s="307">
        <v>26659192597.092506</v>
      </c>
      <c r="DB47" s="234">
        <v>992.28180765638012</v>
      </c>
      <c r="DD47" s="234">
        <v>2583.3323045497709</v>
      </c>
      <c r="DE47" s="262">
        <v>1248.3067227630982</v>
      </c>
      <c r="DF47" s="252">
        <v>883.54304690930189</v>
      </c>
      <c r="DG47" s="252">
        <v>364.7636758537962</v>
      </c>
      <c r="DH47" s="234">
        <v>534.39151146296706</v>
      </c>
      <c r="DI47" s="250">
        <v>402.63365454207576</v>
      </c>
      <c r="DJ47" s="258">
        <v>131.75785692089133</v>
      </c>
      <c r="DK47" s="241">
        <v>683.61869615614444</v>
      </c>
      <c r="DL47" s="252">
        <v>683.61869615614444</v>
      </c>
      <c r="DM47" s="258">
        <v>0</v>
      </c>
      <c r="DN47" s="234">
        <v>6857.591992419867</v>
      </c>
      <c r="DO47" s="252">
        <v>651.40688563052845</v>
      </c>
      <c r="DP47" s="250">
        <v>6206.1851067893385</v>
      </c>
      <c r="DQ47" s="257">
        <v>9323.9089228020766</v>
      </c>
      <c r="DS47" s="295"/>
      <c r="DT47" s="295"/>
      <c r="DU47">
        <f t="shared" si="0"/>
        <v>0.7</v>
      </c>
      <c r="DW47" s="318">
        <v>2167.7737965418764</v>
      </c>
      <c r="DX47" s="234">
        <v>2785.9622304083441</v>
      </c>
      <c r="DZ47" s="309">
        <v>748.98403365785884</v>
      </c>
      <c r="EA47" s="234">
        <v>2036.9781967504853</v>
      </c>
      <c r="EB47" s="234">
        <v>1248.3067227630982</v>
      </c>
      <c r="EC47" s="234">
        <v>0</v>
      </c>
      <c r="ED47" s="234">
        <v>0</v>
      </c>
      <c r="EE47" s="234">
        <v>788.67147398738712</v>
      </c>
      <c r="EF47" s="241">
        <v>20868.132003465333</v>
      </c>
      <c r="EG47" s="234">
        <v>402.63365454207576</v>
      </c>
      <c r="EH47" s="234">
        <v>0</v>
      </c>
      <c r="EI47" s="234">
        <v>20465.498348923258</v>
      </c>
      <c r="EJ47" s="234">
        <v>0</v>
      </c>
      <c r="EK47" s="234">
        <v>14325.84884424628</v>
      </c>
      <c r="EL47" s="242">
        <v>6139.6495046769769</v>
      </c>
      <c r="EN47" s="234">
        <v>131.75785692089133</v>
      </c>
      <c r="ES47" s="241"/>
      <c r="EX47" s="241"/>
      <c r="FA47" s="234">
        <v>618.9892151659152</v>
      </c>
      <c r="FB47" s="234">
        <v>6857.591992419867</v>
      </c>
      <c r="FH47" s="250"/>
      <c r="FI47" s="250"/>
      <c r="FJ47" s="250"/>
      <c r="FK47" s="250"/>
      <c r="FL47" s="257"/>
      <c r="FQ47" s="241"/>
      <c r="FR47" s="234"/>
      <c r="FS47" s="234"/>
      <c r="FT47" s="241"/>
      <c r="FW47" s="234">
        <v>760.11310738857435</v>
      </c>
      <c r="FX47" s="234">
        <v>683.61869615614444</v>
      </c>
      <c r="GB47" s="241"/>
      <c r="GC47" s="250"/>
      <c r="GD47" s="250"/>
      <c r="GE47" s="250"/>
      <c r="GF47" s="250"/>
      <c r="GG47" s="257"/>
      <c r="GL47" s="241"/>
      <c r="GP47" s="254"/>
      <c r="GZ47" s="295"/>
      <c r="HB47" s="234">
        <v>3083.4</v>
      </c>
      <c r="HC47" s="234">
        <v>944.2</v>
      </c>
      <c r="HD47" s="234">
        <v>6771.6398535909448</v>
      </c>
      <c r="HJ47" s="236">
        <v>20982.975733012179</v>
      </c>
      <c r="HK47" s="250"/>
      <c r="HL47" s="250"/>
      <c r="HM47" s="250"/>
      <c r="HN47" s="250"/>
      <c r="HQ47" s="321"/>
      <c r="HR47" s="321"/>
      <c r="HS47" s="321"/>
      <c r="HW47" s="250"/>
      <c r="HX47" s="250"/>
      <c r="HY47" s="250"/>
      <c r="IE47" s="250"/>
      <c r="IF47" s="250"/>
      <c r="IG47" s="258"/>
      <c r="IH47" s="250"/>
      <c r="II47" s="250"/>
      <c r="IJ47" s="250"/>
      <c r="IM47" s="444">
        <v>145.02941654733334</v>
      </c>
      <c r="IO47" s="257"/>
      <c r="IR47" s="258"/>
      <c r="IS47" s="257"/>
      <c r="IV47" s="295"/>
      <c r="IX47" s="350">
        <v>0.20968660968660968</v>
      </c>
      <c r="IY47" s="351">
        <v>2.0757020757020739E-2</v>
      </c>
      <c r="IZ47" s="351">
        <v>0.18892958892958894</v>
      </c>
      <c r="JO47" s="361">
        <v>2199.35</v>
      </c>
      <c r="JP47" s="361">
        <v>58.989999999999782</v>
      </c>
      <c r="JQ47" s="377">
        <v>2140.36</v>
      </c>
      <c r="JR47" s="363">
        <v>1468.48</v>
      </c>
      <c r="JS47" s="366">
        <v>254.2</v>
      </c>
      <c r="JT47" s="366">
        <v>302</v>
      </c>
      <c r="JU47" s="366" t="s">
        <v>534</v>
      </c>
      <c r="JV47" s="366">
        <v>142.66999999999999</v>
      </c>
      <c r="JW47" s="363">
        <v>671.88</v>
      </c>
      <c r="JX47" s="371">
        <v>7.17</v>
      </c>
      <c r="JY47" s="366">
        <v>664.71</v>
      </c>
      <c r="KA47" s="428">
        <v>1475.65</v>
      </c>
      <c r="KL47" s="409"/>
      <c r="KM47" s="388"/>
      <c r="KW47" s="409"/>
      <c r="LI47" s="416"/>
      <c r="LJ47" s="388">
        <v>2028.8</v>
      </c>
      <c r="LV47" s="421"/>
      <c r="MF47" s="422"/>
      <c r="MG47" s="425"/>
      <c r="NC47" s="421"/>
      <c r="NM47" s="422"/>
    </row>
    <row r="48" spans="1:377">
      <c r="A48" s="240">
        <v>1988</v>
      </c>
      <c r="B48" s="269">
        <v>111026</v>
      </c>
      <c r="C48" s="250">
        <v>28661</v>
      </c>
      <c r="D48" s="250">
        <v>82365</v>
      </c>
      <c r="E48" s="234">
        <v>54334</v>
      </c>
      <c r="F48" s="274">
        <v>4.9000000000000004</v>
      </c>
      <c r="G48" s="275"/>
      <c r="H48" s="337">
        <v>0.59607312606771901</v>
      </c>
      <c r="I48" s="234">
        <v>66179.614894794577</v>
      </c>
      <c r="K48" s="234">
        <v>5928.3</v>
      </c>
      <c r="L48" s="234">
        <v>1003.9</v>
      </c>
      <c r="M48" s="234">
        <v>5144.3</v>
      </c>
      <c r="N48" s="234">
        <v>4169.8999999999996</v>
      </c>
      <c r="O48" s="234">
        <v>2731.4</v>
      </c>
      <c r="P48" s="234">
        <v>3401.5</v>
      </c>
      <c r="R48" s="295"/>
      <c r="S48" s="334"/>
      <c r="T48" s="239">
        <v>6.2034904972365741</v>
      </c>
      <c r="U48" s="240"/>
      <c r="V48" s="295"/>
      <c r="X48" s="294">
        <v>3.7220999999999997</v>
      </c>
      <c r="AA48" s="295"/>
      <c r="AJ48" s="234">
        <v>92.17</v>
      </c>
      <c r="AK48" s="309">
        <v>0</v>
      </c>
      <c r="AL48" s="318">
        <v>713.26</v>
      </c>
      <c r="AO48" s="313">
        <v>0</v>
      </c>
      <c r="AP48" s="241"/>
      <c r="AR48" s="309">
        <v>0</v>
      </c>
      <c r="AS48" s="309"/>
      <c r="AT48" s="234">
        <v>2134</v>
      </c>
      <c r="AV48" s="295"/>
      <c r="AX48" s="234">
        <v>15036.823010095724</v>
      </c>
      <c r="AY48" s="234">
        <v>15042.823010095724</v>
      </c>
      <c r="AZ48" s="234">
        <v>15419.095583640203</v>
      </c>
      <c r="BA48" s="234">
        <v>15425.095583640203</v>
      </c>
      <c r="BB48" s="234">
        <v>-6</v>
      </c>
      <c r="BD48" s="234">
        <v>15036.823010095724</v>
      </c>
      <c r="BE48" s="234">
        <v>15042.823010095724</v>
      </c>
      <c r="BF48" s="234">
        <v>13762.246876684247</v>
      </c>
      <c r="BG48" s="234">
        <v>85373.967720134446</v>
      </c>
      <c r="BH48" s="234">
        <v>12900.342175736901</v>
      </c>
      <c r="BJ48" s="236">
        <v>15042.823010095726</v>
      </c>
      <c r="BK48" s="236">
        <v>15425.095583640204</v>
      </c>
      <c r="BL48" s="234">
        <v>3865.3621686266692</v>
      </c>
      <c r="BM48" s="234">
        <v>6587.2</v>
      </c>
      <c r="BN48" s="250">
        <v>5777.2</v>
      </c>
      <c r="BO48" s="250">
        <v>810</v>
      </c>
      <c r="BP48" s="234">
        <v>4590.2608414690558</v>
      </c>
      <c r="BQ48" s="234">
        <v>4972.533415013535</v>
      </c>
      <c r="BR48" s="250">
        <v>685.73502033414763</v>
      </c>
      <c r="BS48" s="250">
        <v>1483.4015075501552</v>
      </c>
      <c r="BT48" s="250">
        <v>241.44520600610502</v>
      </c>
      <c r="BU48" s="250">
        <v>585.35338109400743</v>
      </c>
      <c r="BV48" s="250">
        <v>473.76962900171611</v>
      </c>
      <c r="BW48" s="250">
        <v>856.04220254619531</v>
      </c>
      <c r="BX48" s="250">
        <v>1120.5560974829245</v>
      </c>
      <c r="BY48" s="236"/>
      <c r="BZ48" s="236"/>
      <c r="CA48" s="236"/>
      <c r="CB48" s="236"/>
      <c r="CC48" s="236"/>
      <c r="CD48" s="236"/>
      <c r="CF48" s="234">
        <v>15388.6</v>
      </c>
      <c r="CG48" s="234">
        <v>15770.87257354448</v>
      </c>
      <c r="CH48" s="234">
        <v>345.7769899042778</v>
      </c>
      <c r="CI48" s="234">
        <v>7868.1</v>
      </c>
      <c r="CJ48" s="234">
        <v>8116.3927734451754</v>
      </c>
      <c r="CK48" s="234">
        <v>1971.4</v>
      </c>
      <c r="CL48" s="234">
        <v>2105.3798000993047</v>
      </c>
      <c r="CM48" s="234">
        <v>5700.2</v>
      </c>
      <c r="CN48" s="250">
        <v>4701.8999999999996</v>
      </c>
      <c r="CO48" s="250">
        <v>998.3</v>
      </c>
      <c r="CP48" s="234">
        <v>-151.1</v>
      </c>
      <c r="CR48" s="295"/>
      <c r="CV48" s="308">
        <v>0.1074125406855309</v>
      </c>
      <c r="CW48" s="239">
        <v>0.05</v>
      </c>
      <c r="CX48" s="234">
        <v>1656.8487069559562</v>
      </c>
      <c r="CY48" s="234">
        <v>10278.245208959979</v>
      </c>
      <c r="CZ48" s="236"/>
      <c r="DA48" s="307">
        <v>27633744096.810135</v>
      </c>
      <c r="DB48" s="234">
        <v>1028.5555890273699</v>
      </c>
      <c r="DD48" s="234">
        <v>2472.5749049208066</v>
      </c>
      <c r="DE48" s="262">
        <v>1228.2675731570268</v>
      </c>
      <c r="DF48" s="252">
        <v>876.15894538027885</v>
      </c>
      <c r="DG48" s="252">
        <v>352.10862777674794</v>
      </c>
      <c r="DH48" s="234">
        <v>541.38666613557132</v>
      </c>
      <c r="DI48" s="250">
        <v>402.84232032478133</v>
      </c>
      <c r="DJ48" s="258">
        <v>138.54434581079002</v>
      </c>
      <c r="DK48" s="241">
        <v>639.88895902976344</v>
      </c>
      <c r="DL48" s="252">
        <v>639.88895902976344</v>
      </c>
      <c r="DM48" s="258">
        <v>0</v>
      </c>
      <c r="DN48" s="234">
        <v>7868.7020106376176</v>
      </c>
      <c r="DO48" s="252">
        <v>604.41837273401643</v>
      </c>
      <c r="DP48" s="250">
        <v>7264.2836379036016</v>
      </c>
      <c r="DQ48" s="257">
        <v>10278.245208959979</v>
      </c>
      <c r="DS48" s="295"/>
      <c r="DT48" s="295"/>
      <c r="DU48">
        <f t="shared" si="0"/>
        <v>0.7</v>
      </c>
      <c r="DW48" s="318">
        <v>2371.4242773373462</v>
      </c>
      <c r="DX48" s="234">
        <v>2832.7483226837567</v>
      </c>
      <c r="DZ48" s="309">
        <v>736.96054389421613</v>
      </c>
      <c r="EA48" s="234">
        <v>2095.7877787895404</v>
      </c>
      <c r="EB48" s="234">
        <v>1228.2675731570268</v>
      </c>
      <c r="EC48" s="234">
        <v>0</v>
      </c>
      <c r="ED48" s="234">
        <v>0</v>
      </c>
      <c r="EE48" s="234">
        <v>867.52020563251369</v>
      </c>
      <c r="EF48" s="241">
        <v>21580.863733307971</v>
      </c>
      <c r="EG48" s="234">
        <v>402.84232032478133</v>
      </c>
      <c r="EH48" s="234">
        <v>0</v>
      </c>
      <c r="EI48" s="234">
        <v>21178.021412983191</v>
      </c>
      <c r="EJ48" s="234">
        <v>0</v>
      </c>
      <c r="EK48" s="234">
        <v>14824.614989088233</v>
      </c>
      <c r="EL48" s="242">
        <v>6353.4064238949568</v>
      </c>
      <c r="EN48" s="234">
        <v>138.54434581079002</v>
      </c>
      <c r="ES48" s="241"/>
      <c r="EX48" s="241"/>
      <c r="FA48" s="234">
        <v>672.76165496714214</v>
      </c>
      <c r="FB48" s="234">
        <v>7868.7020106376176</v>
      </c>
      <c r="FH48" s="250"/>
      <c r="FI48" s="250"/>
      <c r="FJ48" s="250"/>
      <c r="FK48" s="250"/>
      <c r="FL48" s="257"/>
      <c r="FQ48" s="241"/>
      <c r="FR48" s="234"/>
      <c r="FS48" s="234"/>
      <c r="FT48" s="241"/>
      <c r="FW48" s="234">
        <v>831.1424167376905</v>
      </c>
      <c r="FX48" s="234">
        <v>639.88895902976344</v>
      </c>
      <c r="GB48" s="241"/>
      <c r="GC48" s="250"/>
      <c r="GD48" s="250"/>
      <c r="GE48" s="250"/>
      <c r="GF48" s="250"/>
      <c r="GG48" s="257"/>
      <c r="GL48" s="241"/>
      <c r="GP48" s="254"/>
      <c r="GZ48" s="295"/>
      <c r="HB48" s="234">
        <v>3819.1</v>
      </c>
      <c r="HC48" s="234">
        <v>1187.0999999999999</v>
      </c>
      <c r="HD48" s="234">
        <v>7364.1635692695363</v>
      </c>
      <c r="HE48" s="234">
        <v>4891.5886643487302</v>
      </c>
      <c r="HJ48" s="236">
        <v>21801.816926708336</v>
      </c>
      <c r="HK48" s="250"/>
      <c r="HL48" s="250"/>
      <c r="HM48" s="250"/>
      <c r="HN48" s="250"/>
      <c r="HQ48" s="321"/>
      <c r="HR48" s="321"/>
      <c r="HS48" s="321"/>
      <c r="HW48" s="250"/>
      <c r="HX48" s="250"/>
      <c r="HY48" s="250"/>
      <c r="IE48" s="250"/>
      <c r="IF48" s="250"/>
      <c r="IG48" s="258"/>
      <c r="IH48" s="250"/>
      <c r="II48" s="250"/>
      <c r="IJ48" s="250"/>
      <c r="IM48" s="444">
        <v>161.14379616370371</v>
      </c>
      <c r="IO48" s="257"/>
      <c r="IR48" s="258"/>
      <c r="IS48" s="257"/>
      <c r="IV48" s="295"/>
      <c r="IX48" s="350">
        <v>0.18296661707514419</v>
      </c>
      <c r="IY48" s="351">
        <v>1.4877456737921846E-2</v>
      </c>
      <c r="IZ48" s="351">
        <v>0.16808916033722235</v>
      </c>
      <c r="JO48" s="361">
        <v>2357.2399999999998</v>
      </c>
      <c r="JP48" s="361">
        <v>-33.230000000000018</v>
      </c>
      <c r="JQ48" s="377">
        <v>2390.4699999999998</v>
      </c>
      <c r="JR48" s="363">
        <v>1705.75</v>
      </c>
      <c r="JS48" s="366">
        <v>384.37</v>
      </c>
      <c r="JT48" s="366">
        <v>397.92</v>
      </c>
      <c r="JU48" s="366" t="s">
        <v>534</v>
      </c>
      <c r="JV48" s="366">
        <v>155.02000000000001</v>
      </c>
      <c r="JW48" s="363">
        <v>684.71999999999991</v>
      </c>
      <c r="JX48" s="371">
        <v>8.68</v>
      </c>
      <c r="JY48" s="366">
        <v>676.04</v>
      </c>
      <c r="KA48" s="428">
        <v>1714.43</v>
      </c>
      <c r="KL48" s="409"/>
      <c r="KM48" s="388"/>
      <c r="KW48" s="409"/>
      <c r="LI48" s="416"/>
      <c r="LJ48" s="388">
        <v>2360.77</v>
      </c>
      <c r="LV48" s="421"/>
      <c r="MF48" s="422"/>
      <c r="MG48" s="425"/>
      <c r="NC48" s="421"/>
      <c r="NM48" s="422"/>
    </row>
    <row r="49" spans="1:393">
      <c r="A49" s="240">
        <v>1989</v>
      </c>
      <c r="B49" s="269">
        <v>112704</v>
      </c>
      <c r="C49" s="250">
        <v>29540</v>
      </c>
      <c r="D49" s="250">
        <v>83164</v>
      </c>
      <c r="E49" s="234">
        <v>55329</v>
      </c>
      <c r="F49" s="274">
        <v>4.9000000000000004</v>
      </c>
      <c r="G49" s="275">
        <v>0.40029999999999999</v>
      </c>
      <c r="H49" s="275">
        <v>0.59970000000000001</v>
      </c>
      <c r="I49" s="234">
        <v>67588.588799999998</v>
      </c>
      <c r="K49" s="234">
        <v>6025</v>
      </c>
      <c r="L49" s="234">
        <v>1024.7</v>
      </c>
      <c r="M49" s="234">
        <v>5223.8999999999996</v>
      </c>
      <c r="N49" s="234">
        <v>4208.8999999999996</v>
      </c>
      <c r="O49" s="234">
        <v>2774.4</v>
      </c>
      <c r="P49" s="234">
        <v>3442.4</v>
      </c>
      <c r="R49" s="295"/>
      <c r="S49" s="334"/>
      <c r="T49" s="239">
        <v>5.2340181843820401</v>
      </c>
      <c r="U49" s="240"/>
      <c r="V49" s="295"/>
      <c r="X49" s="294">
        <v>3.7650999999999999</v>
      </c>
      <c r="AA49" s="295"/>
      <c r="AE49" s="234">
        <v>0</v>
      </c>
      <c r="AJ49" s="234">
        <v>56.07</v>
      </c>
      <c r="AK49" s="309">
        <v>0</v>
      </c>
      <c r="AL49" s="318">
        <v>769.33</v>
      </c>
      <c r="AO49" s="313">
        <v>0</v>
      </c>
      <c r="AP49" s="241"/>
      <c r="AR49" s="309">
        <v>0</v>
      </c>
      <c r="AS49" s="309"/>
      <c r="AT49" s="234">
        <v>2344</v>
      </c>
      <c r="AV49" s="295"/>
      <c r="AX49" s="234">
        <v>17000.919107226749</v>
      </c>
      <c r="AY49" s="234">
        <v>16992.319107226751</v>
      </c>
      <c r="AZ49" s="234">
        <v>17457.476330647438</v>
      </c>
      <c r="BA49" s="234">
        <v>17448.876330647439</v>
      </c>
      <c r="BB49" s="234">
        <v>8.5999999999985448</v>
      </c>
      <c r="BD49" s="234">
        <v>17000.919107226749</v>
      </c>
      <c r="BE49" s="234">
        <v>16992.319107226751</v>
      </c>
      <c r="BF49" s="234">
        <v>15544.23242425251</v>
      </c>
      <c r="BG49" s="234">
        <v>81358.795170798563</v>
      </c>
      <c r="BH49" s="234">
        <v>12037.356692199286</v>
      </c>
      <c r="BJ49" s="236">
        <v>16992.319107226751</v>
      </c>
      <c r="BK49" s="236">
        <v>17448.876330647439</v>
      </c>
      <c r="BL49" s="234">
        <v>4265.9230615905917</v>
      </c>
      <c r="BM49" s="234">
        <v>7278</v>
      </c>
      <c r="BN49" s="250">
        <v>6484</v>
      </c>
      <c r="BO49" s="250">
        <v>794</v>
      </c>
      <c r="BP49" s="234">
        <v>5448.3960456361601</v>
      </c>
      <c r="BQ49" s="234">
        <v>5904.9532690568494</v>
      </c>
      <c r="BR49" s="250">
        <v>812.7409814961286</v>
      </c>
      <c r="BS49" s="250">
        <v>1536.1675443471577</v>
      </c>
      <c r="BT49" s="250">
        <v>277.3862354894581</v>
      </c>
      <c r="BU49" s="250">
        <v>964.28724018945741</v>
      </c>
      <c r="BV49" s="250">
        <v>566.23186703729243</v>
      </c>
      <c r="BW49" s="250">
        <v>1022.7890904579818</v>
      </c>
      <c r="BX49" s="250">
        <v>1291.5821770766661</v>
      </c>
      <c r="BY49" s="236"/>
      <c r="BZ49" s="236"/>
      <c r="CA49" s="236"/>
      <c r="CB49" s="236"/>
      <c r="CC49" s="236"/>
      <c r="CD49" s="236"/>
      <c r="CF49" s="234">
        <v>17311.300000000003</v>
      </c>
      <c r="CG49" s="234">
        <v>17767.857223420691</v>
      </c>
      <c r="CH49" s="234">
        <v>318.98089277325198</v>
      </c>
      <c r="CI49" s="234">
        <v>8812.6</v>
      </c>
      <c r="CJ49" s="234">
        <v>9108.1447277082516</v>
      </c>
      <c r="CK49" s="234">
        <v>2351.6</v>
      </c>
      <c r="CL49" s="234">
        <v>2512.6124957124371</v>
      </c>
      <c r="CM49" s="234">
        <v>6332.7</v>
      </c>
      <c r="CN49" s="250">
        <v>4419.3999999999996</v>
      </c>
      <c r="CO49" s="250">
        <v>1913.3</v>
      </c>
      <c r="CP49" s="234">
        <v>-185.6</v>
      </c>
      <c r="CR49" s="295"/>
      <c r="CV49" s="308">
        <v>0.10964854527821265</v>
      </c>
      <c r="CW49" s="239">
        <v>0.05</v>
      </c>
      <c r="CX49" s="234">
        <v>1913.2439063949287</v>
      </c>
      <c r="CY49" s="234">
        <v>10013.953397229187</v>
      </c>
      <c r="CZ49" s="236"/>
      <c r="DA49" s="307">
        <v>32226720274.488308</v>
      </c>
      <c r="DB49" s="234">
        <v>1213.3682450547592</v>
      </c>
      <c r="DD49" s="234">
        <v>2668.5305078603656</v>
      </c>
      <c r="DE49" s="262">
        <v>1271.7854261517596</v>
      </c>
      <c r="DF49" s="252">
        <v>863.68901520226632</v>
      </c>
      <c r="DG49" s="252">
        <v>408.09641094949325</v>
      </c>
      <c r="DH49" s="234">
        <v>490.97802796761221</v>
      </c>
      <c r="DI49" s="250">
        <v>357.82453550906996</v>
      </c>
      <c r="DJ49" s="258">
        <v>133.15349245854222</v>
      </c>
      <c r="DK49" s="241">
        <v>721.76962784848104</v>
      </c>
      <c r="DL49" s="252">
        <v>721.76962784848104</v>
      </c>
      <c r="DM49" s="258">
        <v>0</v>
      </c>
      <c r="DN49" s="234">
        <v>7529.4203152613327</v>
      </c>
      <c r="DO49" s="252">
        <v>674.97545386012484</v>
      </c>
      <c r="DP49" s="250">
        <v>6854.4448614012081</v>
      </c>
      <c r="DQ49" s="257">
        <v>10013.953397229187</v>
      </c>
      <c r="DS49" s="295"/>
      <c r="DT49" s="295"/>
      <c r="DU49">
        <f t="shared" si="0"/>
        <v>0.7</v>
      </c>
      <c r="DW49" s="318">
        <v>2389.6288095948621</v>
      </c>
      <c r="DX49" s="234">
        <v>2899.2561274488517</v>
      </c>
      <c r="DZ49" s="309">
        <v>763.07125569105574</v>
      </c>
      <c r="EA49" s="234">
        <v>2136.1848717577959</v>
      </c>
      <c r="EB49" s="234">
        <v>1271.7854261517596</v>
      </c>
      <c r="EC49" s="234">
        <v>0</v>
      </c>
      <c r="ED49" s="234">
        <v>0</v>
      </c>
      <c r="EE49" s="234">
        <v>864.39944560603635</v>
      </c>
      <c r="EF49" s="241">
        <v>20095.126989785877</v>
      </c>
      <c r="EG49" s="234">
        <v>357.82453550906996</v>
      </c>
      <c r="EH49" s="234">
        <v>0</v>
      </c>
      <c r="EI49" s="234">
        <v>19737.302454276807</v>
      </c>
      <c r="EJ49" s="234">
        <v>0</v>
      </c>
      <c r="EK49" s="234">
        <v>13816.111717993765</v>
      </c>
      <c r="EL49" s="242">
        <v>5921.1907362830416</v>
      </c>
      <c r="EN49" s="234">
        <v>133.15349245854222</v>
      </c>
      <c r="ES49" s="241"/>
      <c r="EX49" s="241"/>
      <c r="FA49" s="234">
        <v>682.48703351719382</v>
      </c>
      <c r="FB49" s="234">
        <v>7529.4203152613327</v>
      </c>
      <c r="FH49" s="250"/>
      <c r="FI49" s="250"/>
      <c r="FJ49" s="250"/>
      <c r="FK49" s="250"/>
      <c r="FL49" s="257"/>
      <c r="FQ49" s="241"/>
      <c r="FR49" s="234"/>
      <c r="FS49" s="234"/>
      <c r="FT49" s="241"/>
      <c r="FW49" s="234">
        <v>842.74233047163204</v>
      </c>
      <c r="FX49" s="234">
        <v>721.76962784848104</v>
      </c>
      <c r="GB49" s="241"/>
      <c r="GC49" s="250"/>
      <c r="GD49" s="250"/>
      <c r="GE49" s="250"/>
      <c r="GF49" s="250"/>
      <c r="GG49" s="257"/>
      <c r="GL49" s="241"/>
      <c r="GP49" s="254"/>
      <c r="GZ49" s="295"/>
      <c r="HB49" s="234">
        <v>5184.5</v>
      </c>
      <c r="HC49" s="234">
        <v>1194.7</v>
      </c>
      <c r="HD49" s="234">
        <v>6253.0815248812232</v>
      </c>
      <c r="HE49" s="234">
        <v>3584.5510170208577</v>
      </c>
      <c r="HJ49" s="236">
        <v>20358.574806409644</v>
      </c>
      <c r="HK49" s="250"/>
      <c r="HL49" s="250"/>
      <c r="HM49" s="250"/>
      <c r="HN49" s="250"/>
      <c r="HQ49" s="321"/>
      <c r="HR49" s="321"/>
      <c r="HS49" s="321"/>
      <c r="HW49" s="250"/>
      <c r="HX49" s="250"/>
      <c r="HY49" s="250"/>
      <c r="IE49" s="250"/>
      <c r="IF49" s="250"/>
      <c r="IG49" s="258"/>
      <c r="IH49" s="250"/>
      <c r="II49" s="250"/>
      <c r="IJ49" s="250"/>
      <c r="IM49" s="444">
        <v>177.25817578007408</v>
      </c>
      <c r="IO49" s="257"/>
      <c r="IR49" s="258"/>
      <c r="IS49" s="257"/>
      <c r="IV49" s="295"/>
      <c r="IX49" s="350">
        <v>0.18854736501591446</v>
      </c>
      <c r="IY49" s="351">
        <v>1.4268136997221459E-2</v>
      </c>
      <c r="IZ49" s="351">
        <v>0.174279228018693</v>
      </c>
      <c r="JO49" s="361">
        <v>2664.9</v>
      </c>
      <c r="JP49" s="361">
        <v>-62.5</v>
      </c>
      <c r="JQ49" s="377">
        <v>2727.4</v>
      </c>
      <c r="JR49" s="363">
        <v>2009.8500000000001</v>
      </c>
      <c r="JS49" s="366">
        <v>430.83</v>
      </c>
      <c r="JT49" s="366">
        <v>487.3</v>
      </c>
      <c r="JU49" s="366" t="s">
        <v>534</v>
      </c>
      <c r="JV49" s="366">
        <v>181.54</v>
      </c>
      <c r="JW49" s="363">
        <v>717.55</v>
      </c>
      <c r="JX49" s="371">
        <v>17.119999999999997</v>
      </c>
      <c r="JY49" s="366">
        <v>700.43</v>
      </c>
      <c r="KA49" s="428">
        <v>2026.97</v>
      </c>
      <c r="KL49" s="409"/>
      <c r="KM49" s="388"/>
      <c r="KW49" s="409"/>
      <c r="LI49" s="416"/>
      <c r="LJ49" s="388">
        <v>2658.83</v>
      </c>
      <c r="LV49" s="421"/>
      <c r="MF49" s="422"/>
      <c r="MG49" s="425"/>
      <c r="NC49" s="421"/>
      <c r="NM49" s="422"/>
    </row>
    <row r="50" spans="1:393">
      <c r="A50" s="240">
        <v>1990</v>
      </c>
      <c r="B50" s="269">
        <v>114333</v>
      </c>
      <c r="C50" s="250">
        <v>30195</v>
      </c>
      <c r="D50" s="250">
        <v>84138</v>
      </c>
      <c r="E50" s="234">
        <v>64749</v>
      </c>
      <c r="F50" s="274">
        <v>4.8</v>
      </c>
      <c r="G50" s="275">
        <v>0.38315453250958265</v>
      </c>
      <c r="H50" s="275">
        <v>0.61684546749041735</v>
      </c>
      <c r="I50" s="234">
        <v>70525.792834581895</v>
      </c>
      <c r="K50" s="234">
        <v>6346</v>
      </c>
      <c r="L50" s="234">
        <v>1086</v>
      </c>
      <c r="M50" s="234">
        <v>5439</v>
      </c>
      <c r="N50" s="234">
        <v>4168</v>
      </c>
      <c r="O50" s="234">
        <v>2899</v>
      </c>
      <c r="P50" s="234">
        <v>3543</v>
      </c>
      <c r="R50" s="295"/>
      <c r="S50" s="334"/>
      <c r="T50" s="239">
        <v>4.6193944639528608</v>
      </c>
      <c r="U50" s="240"/>
      <c r="V50" s="295"/>
      <c r="X50" s="294">
        <v>4.7831999999999999</v>
      </c>
      <c r="Y50" s="294">
        <v>1.687642088</v>
      </c>
      <c r="AA50" s="295"/>
      <c r="AC50" s="234" t="s">
        <v>534</v>
      </c>
      <c r="AD50" s="234" t="s">
        <v>534</v>
      </c>
      <c r="AE50" s="234">
        <v>0</v>
      </c>
      <c r="AJ50" s="234">
        <v>197.23</v>
      </c>
      <c r="AK50" s="234">
        <v>76.22</v>
      </c>
      <c r="AL50" s="242">
        <v>890.34</v>
      </c>
      <c r="AO50" s="313">
        <v>0</v>
      </c>
      <c r="AP50" s="241">
        <v>126.37</v>
      </c>
      <c r="AQ50" s="234">
        <v>77.290000000000006</v>
      </c>
      <c r="AR50" s="234">
        <v>195.44</v>
      </c>
      <c r="AT50" s="234">
        <v>2644.4</v>
      </c>
      <c r="AV50" s="295"/>
      <c r="AX50" s="234">
        <v>18718.322376105862</v>
      </c>
      <c r="AY50" s="234">
        <v>18667.822376105862</v>
      </c>
      <c r="AZ50" s="234">
        <v>19295.377044892262</v>
      </c>
      <c r="BA50" s="234">
        <v>19244.877044892262</v>
      </c>
      <c r="BB50" s="234">
        <v>50.5</v>
      </c>
      <c r="BC50" s="234">
        <v>17533.672900000001</v>
      </c>
      <c r="BD50" s="234">
        <v>18718.322376105862</v>
      </c>
      <c r="BE50" s="234">
        <v>18667.822376105862</v>
      </c>
      <c r="BF50" s="234">
        <v>17142.172639403783</v>
      </c>
      <c r="BG50" s="234">
        <v>79186.457390586031</v>
      </c>
      <c r="BH50" s="234">
        <v>11228.013781612877</v>
      </c>
      <c r="BJ50" s="236">
        <v>18667.822376105862</v>
      </c>
      <c r="BK50" s="236">
        <v>19244.877044892266</v>
      </c>
      <c r="BL50" s="234">
        <v>5062</v>
      </c>
      <c r="BM50" s="234">
        <v>7717.4</v>
      </c>
      <c r="BN50" s="250">
        <v>6858</v>
      </c>
      <c r="BO50" s="250">
        <v>859.4</v>
      </c>
      <c r="BP50" s="234">
        <v>5888.422376105862</v>
      </c>
      <c r="BQ50" s="234">
        <v>6465.4770448922645</v>
      </c>
      <c r="BR50" s="250">
        <v>1167.0326761658848</v>
      </c>
      <c r="BS50" s="250">
        <v>1268.9428250791359</v>
      </c>
      <c r="BT50" s="250">
        <v>301.85624187321264</v>
      </c>
      <c r="BU50" s="250">
        <v>1017.5017562602015</v>
      </c>
      <c r="BV50" s="250">
        <v>662.22061984566199</v>
      </c>
      <c r="BW50" s="250">
        <v>1239.2752886320641</v>
      </c>
      <c r="BX50" s="250">
        <v>1470.8682568817644</v>
      </c>
      <c r="BY50" s="236"/>
      <c r="BZ50" s="236"/>
      <c r="CA50" s="236"/>
      <c r="CB50" s="236"/>
      <c r="CC50" s="236"/>
      <c r="CD50" s="236"/>
      <c r="CF50" s="234">
        <v>19347.8</v>
      </c>
      <c r="CG50" s="234">
        <v>19924.854668786404</v>
      </c>
      <c r="CH50" s="234">
        <v>679.97762389414129</v>
      </c>
      <c r="CI50" s="234">
        <v>9450.9</v>
      </c>
      <c r="CJ50" s="234">
        <v>9824.6456573203268</v>
      </c>
      <c r="CK50" s="234">
        <v>2639.6</v>
      </c>
      <c r="CL50" s="234">
        <v>2842.9090114660758</v>
      </c>
      <c r="CM50" s="234">
        <v>6747</v>
      </c>
      <c r="CN50" s="250">
        <v>4827.8</v>
      </c>
      <c r="CO50" s="250">
        <v>1919.2</v>
      </c>
      <c r="CP50" s="234">
        <v>510.3</v>
      </c>
      <c r="CR50" s="295"/>
      <c r="CT50" s="234">
        <v>1961.7471</v>
      </c>
      <c r="CU50" s="239">
        <v>0.11188454987089441</v>
      </c>
      <c r="CV50" s="239">
        <v>0.11188454987089441</v>
      </c>
      <c r="CW50" s="239">
        <v>4.8000000000000001E-2</v>
      </c>
      <c r="CX50" s="234">
        <v>2153.2044054884796</v>
      </c>
      <c r="CY50" s="234">
        <v>9946.5005104723932</v>
      </c>
      <c r="CZ50" s="236"/>
      <c r="DA50" s="307">
        <v>34799235054.733681</v>
      </c>
      <c r="DB50" s="234">
        <v>1664.5170111380212</v>
      </c>
      <c r="DD50" s="234">
        <v>2785.4026434003922</v>
      </c>
      <c r="DE50" s="262">
        <v>1379.028835215978</v>
      </c>
      <c r="DF50" s="252">
        <v>954.29273030299578</v>
      </c>
      <c r="DG50" s="252">
        <v>424.73610491298228</v>
      </c>
      <c r="DH50" s="234">
        <v>413.3825616880813</v>
      </c>
      <c r="DI50" s="250">
        <v>289.80365377040391</v>
      </c>
      <c r="DJ50" s="258">
        <v>123.57890791767738</v>
      </c>
      <c r="DK50" s="241">
        <v>729.65929052917227</v>
      </c>
      <c r="DL50" s="252">
        <v>729.65929052917227</v>
      </c>
      <c r="DM50" s="258">
        <v>0</v>
      </c>
      <c r="DN50" s="234">
        <v>7424.4298230391614</v>
      </c>
      <c r="DO50" s="252">
        <v>676.71451765524182</v>
      </c>
      <c r="DP50" s="250">
        <v>6747.7153053839193</v>
      </c>
      <c r="DQ50" s="257">
        <v>9946.5005104723932</v>
      </c>
      <c r="DS50" s="295"/>
      <c r="DT50" s="295"/>
      <c r="DU50">
        <f t="shared" si="0"/>
        <v>0.7</v>
      </c>
      <c r="DW50" s="318">
        <v>2665.6431423900581</v>
      </c>
      <c r="DX50" s="234">
        <v>3176.8923464818799</v>
      </c>
      <c r="DZ50" s="309">
        <v>827.4173011295868</v>
      </c>
      <c r="EA50" s="234">
        <v>2349.4750453522934</v>
      </c>
      <c r="EB50" s="234">
        <v>1379.028835215978</v>
      </c>
      <c r="EC50" s="234">
        <v>0</v>
      </c>
      <c r="ED50" s="234">
        <v>0</v>
      </c>
      <c r="EE50" s="234">
        <v>970.44621013631524</v>
      </c>
      <c r="EF50" s="241">
        <v>21045.037298876443</v>
      </c>
      <c r="EG50" s="234">
        <v>289.80365377040391</v>
      </c>
      <c r="EH50" s="234">
        <v>0</v>
      </c>
      <c r="EI50" s="234">
        <v>20755.23364510604</v>
      </c>
      <c r="EJ50" s="234">
        <v>0</v>
      </c>
      <c r="EK50" s="234">
        <v>14528.663551574227</v>
      </c>
      <c r="EL50" s="242">
        <v>6226.5700935318118</v>
      </c>
      <c r="EN50" s="234">
        <v>123.57890791767738</v>
      </c>
      <c r="ES50" s="241"/>
      <c r="EX50" s="241"/>
      <c r="FA50" s="234">
        <v>756.03241021562394</v>
      </c>
      <c r="FB50" s="234">
        <v>7424.4298230391614</v>
      </c>
      <c r="FF50" s="275"/>
      <c r="FH50" s="250"/>
      <c r="FI50" s="250"/>
      <c r="FJ50" s="250"/>
      <c r="FK50" s="250"/>
      <c r="FL50" s="257"/>
      <c r="FQ50" s="241"/>
      <c r="FR50" s="234"/>
      <c r="FS50" s="234"/>
      <c r="FT50" s="241"/>
      <c r="FW50" s="234">
        <v>939.16452203811866</v>
      </c>
      <c r="FX50" s="234">
        <v>729.65929052917227</v>
      </c>
      <c r="GB50" s="241"/>
      <c r="GC50" s="250"/>
      <c r="GD50" s="250"/>
      <c r="GE50" s="250"/>
      <c r="GF50" s="250"/>
      <c r="GG50" s="257"/>
      <c r="GL50" s="241"/>
      <c r="GP50" s="254"/>
      <c r="GZ50" s="295"/>
      <c r="HB50" s="234">
        <v>7119.6</v>
      </c>
      <c r="HC50" s="234">
        <v>1164.5</v>
      </c>
      <c r="HD50" s="234">
        <v>5379.2848532731068</v>
      </c>
      <c r="HE50" s="234">
        <v>2593.8822098727146</v>
      </c>
      <c r="HJ50" s="236">
        <v>20476.522548588113</v>
      </c>
      <c r="HK50" s="250"/>
      <c r="HL50" s="250"/>
      <c r="HM50" s="250"/>
      <c r="HN50" s="250"/>
      <c r="HQ50" s="321"/>
      <c r="HR50" s="321"/>
      <c r="HS50" s="321"/>
      <c r="HW50" s="250"/>
      <c r="HX50" s="250"/>
      <c r="HY50" s="250"/>
      <c r="IE50" s="250"/>
      <c r="IF50" s="250"/>
      <c r="IG50" s="258"/>
      <c r="IH50" s="250"/>
      <c r="II50" s="250"/>
      <c r="IJ50" s="250"/>
      <c r="IM50" s="444">
        <v>193.37255539644443</v>
      </c>
      <c r="IO50" s="257"/>
      <c r="IR50" s="258"/>
      <c r="IS50" s="257"/>
      <c r="IV50" s="295"/>
      <c r="IX50" s="350">
        <v>0.18348339346075523</v>
      </c>
      <c r="IY50" s="351">
        <v>2.1294410734036956E-2</v>
      </c>
      <c r="IZ50" s="351">
        <v>0.16218898272671828</v>
      </c>
      <c r="JO50" s="361">
        <v>2937.1</v>
      </c>
      <c r="JP50" s="361">
        <v>115.23999999999978</v>
      </c>
      <c r="JQ50" s="377">
        <v>2821.86</v>
      </c>
      <c r="JR50" s="363">
        <v>2084.73</v>
      </c>
      <c r="JS50" s="366">
        <v>400</v>
      </c>
      <c r="JT50" s="366">
        <v>515.75</v>
      </c>
      <c r="JU50" s="366" t="s">
        <v>534</v>
      </c>
      <c r="JV50" s="366">
        <v>159.01</v>
      </c>
      <c r="JW50" s="363">
        <v>737.13</v>
      </c>
      <c r="JX50" s="371">
        <v>21.130000000000003</v>
      </c>
      <c r="JY50" s="366">
        <v>716</v>
      </c>
      <c r="KA50" s="428">
        <v>2105.86</v>
      </c>
      <c r="KL50" s="409"/>
      <c r="KM50" s="388"/>
      <c r="KW50" s="409"/>
      <c r="LI50" s="416"/>
      <c r="LJ50" s="388">
        <v>2708.64</v>
      </c>
      <c r="LV50" s="421"/>
      <c r="MF50" s="422"/>
      <c r="MG50" s="425"/>
      <c r="NC50" s="421"/>
      <c r="NM50" s="422"/>
    </row>
    <row r="51" spans="1:393">
      <c r="A51" s="240">
        <v>1991</v>
      </c>
      <c r="B51" s="269">
        <v>115823</v>
      </c>
      <c r="C51" s="250">
        <v>31203</v>
      </c>
      <c r="D51" s="250">
        <v>84620</v>
      </c>
      <c r="E51" s="234">
        <v>65491</v>
      </c>
      <c r="F51" s="274">
        <v>4.7</v>
      </c>
      <c r="G51" s="275">
        <v>0.37127282075825008</v>
      </c>
      <c r="H51" s="275">
        <v>0.62872717924174992</v>
      </c>
      <c r="I51" s="234">
        <v>72821.068081317208</v>
      </c>
      <c r="K51" s="234">
        <v>6439</v>
      </c>
      <c r="L51" s="234">
        <v>1094</v>
      </c>
      <c r="M51" s="234">
        <v>5512</v>
      </c>
      <c r="N51" s="234">
        <v>4202</v>
      </c>
      <c r="O51" s="234">
        <v>2942</v>
      </c>
      <c r="P51" s="234">
        <v>3575</v>
      </c>
      <c r="R51" s="295"/>
      <c r="S51" s="334"/>
      <c r="T51" s="239">
        <v>4.4546553502324286</v>
      </c>
      <c r="U51" s="240"/>
      <c r="V51" s="295"/>
      <c r="X51" s="294">
        <v>5.3233000000000006</v>
      </c>
      <c r="Y51" s="294">
        <v>1.743248025</v>
      </c>
      <c r="AA51" s="295"/>
      <c r="AC51" s="234" t="s">
        <v>534</v>
      </c>
      <c r="AD51" s="234" t="s">
        <v>534</v>
      </c>
      <c r="AE51" s="234">
        <v>0</v>
      </c>
      <c r="AF51" s="234">
        <v>5</v>
      </c>
      <c r="AJ51" s="234">
        <v>281.25</v>
      </c>
      <c r="AK51" s="234">
        <v>111.6</v>
      </c>
      <c r="AL51" s="242">
        <v>1059.99</v>
      </c>
      <c r="AO51" s="313">
        <v>0</v>
      </c>
      <c r="AP51" s="241">
        <v>249.96</v>
      </c>
      <c r="AQ51" s="234">
        <v>114.31</v>
      </c>
      <c r="AR51" s="234">
        <v>331.09</v>
      </c>
      <c r="AT51" s="234">
        <v>3177.8</v>
      </c>
      <c r="AV51" s="295"/>
      <c r="AX51" s="234">
        <v>21826.199410788158</v>
      </c>
      <c r="AY51" s="234">
        <v>21781.499410788158</v>
      </c>
      <c r="AZ51" s="234">
        <v>22539.057853343013</v>
      </c>
      <c r="BA51" s="234">
        <v>22494.357853343012</v>
      </c>
      <c r="BB51" s="234">
        <v>44.700000000000728</v>
      </c>
      <c r="BD51" s="234">
        <v>21826.199410788158</v>
      </c>
      <c r="BE51" s="234">
        <v>21781.499410788158</v>
      </c>
      <c r="BF51" s="234">
        <v>19950.81504688826</v>
      </c>
      <c r="BG51" s="234">
        <v>88874.004990118425</v>
      </c>
      <c r="BH51" s="234">
        <v>12204.435794717452</v>
      </c>
      <c r="BJ51" s="236">
        <v>21781.499410788158</v>
      </c>
      <c r="BK51" s="236">
        <v>22494.357853343012</v>
      </c>
      <c r="BL51" s="234">
        <v>5342.2</v>
      </c>
      <c r="BM51" s="234">
        <v>9102.2000000000007</v>
      </c>
      <c r="BN51" s="250">
        <v>8087.1</v>
      </c>
      <c r="BO51" s="250">
        <v>1015.1</v>
      </c>
      <c r="BP51" s="234">
        <v>7337.0994107881561</v>
      </c>
      <c r="BQ51" s="234">
        <v>8049.9578533430104</v>
      </c>
      <c r="BR51" s="250">
        <v>1420.3001596668123</v>
      </c>
      <c r="BS51" s="250">
        <v>1834.56</v>
      </c>
      <c r="BT51" s="250">
        <v>442.29488800969943</v>
      </c>
      <c r="BU51" s="250">
        <v>1056.2927208549138</v>
      </c>
      <c r="BV51" s="250">
        <v>763.7066899332433</v>
      </c>
      <c r="BW51" s="250">
        <v>1476.5651324880978</v>
      </c>
      <c r="BX51" s="250">
        <v>1819.9449523234869</v>
      </c>
      <c r="BY51" s="236"/>
      <c r="BZ51" s="236"/>
      <c r="CA51" s="236"/>
      <c r="CB51" s="236"/>
      <c r="CC51" s="236"/>
      <c r="CD51" s="236"/>
      <c r="CF51" s="234">
        <v>22577.4</v>
      </c>
      <c r="CG51" s="234">
        <v>23290.258442554856</v>
      </c>
      <c r="CH51" s="234">
        <v>795.90058921184391</v>
      </c>
      <c r="CI51" s="234">
        <v>10730.6</v>
      </c>
      <c r="CJ51" s="234">
        <v>11195.351065375378</v>
      </c>
      <c r="CK51" s="234">
        <v>3361.3</v>
      </c>
      <c r="CL51" s="234">
        <v>3609.4073771794765</v>
      </c>
      <c r="CM51" s="234">
        <v>7868</v>
      </c>
      <c r="CN51" s="250">
        <v>6070.3</v>
      </c>
      <c r="CO51" s="250">
        <v>1797.7</v>
      </c>
      <c r="CP51" s="234">
        <v>617.5</v>
      </c>
      <c r="CQ51" s="271"/>
      <c r="CR51" s="295"/>
      <c r="CV51" s="308">
        <v>0.11506186677252041</v>
      </c>
      <c r="CW51" s="239">
        <v>5.5E-2</v>
      </c>
      <c r="CX51" s="234">
        <v>2588.2428064547516</v>
      </c>
      <c r="CY51" s="234">
        <v>11529.729665474255</v>
      </c>
      <c r="CZ51" s="236"/>
      <c r="DA51" s="307">
        <v>37595820314.46003</v>
      </c>
      <c r="DB51" s="234">
        <v>2001.3383027996508</v>
      </c>
      <c r="DD51" s="234">
        <v>3269.2784383366593</v>
      </c>
      <c r="DE51" s="262">
        <v>1707.7161042331732</v>
      </c>
      <c r="DF51" s="252">
        <v>1220.7445948758718</v>
      </c>
      <c r="DG51" s="252">
        <v>486.97150935730127</v>
      </c>
      <c r="DH51" s="234">
        <v>397.29532793656722</v>
      </c>
      <c r="DI51" s="250">
        <v>278.31292481503851</v>
      </c>
      <c r="DJ51" s="258">
        <v>118.98240312152869</v>
      </c>
      <c r="DK51" s="241">
        <v>809.17276559744994</v>
      </c>
      <c r="DL51" s="252">
        <v>809.17276559744994</v>
      </c>
      <c r="DM51" s="258">
        <v>0</v>
      </c>
      <c r="DN51" s="234">
        <v>8615.5454677070647</v>
      </c>
      <c r="DO51" s="252">
        <v>752.38956850603631</v>
      </c>
      <c r="DP51" s="250">
        <v>7863.1558992010287</v>
      </c>
      <c r="DQ51" s="257">
        <v>11529.729665474255</v>
      </c>
      <c r="DS51" s="295"/>
      <c r="DT51" s="295"/>
      <c r="DU51">
        <f t="shared" si="0"/>
        <v>0.7</v>
      </c>
      <c r="DW51" s="318">
        <v>3175.538675085339</v>
      </c>
      <c r="DX51" s="234">
        <v>3917.176379654723</v>
      </c>
      <c r="DZ51" s="309">
        <v>1024.6296625399038</v>
      </c>
      <c r="EA51" s="234">
        <v>2892.5467171148193</v>
      </c>
      <c r="EB51" s="234">
        <v>1707.7161042331732</v>
      </c>
      <c r="EC51" s="234">
        <v>0</v>
      </c>
      <c r="ED51" s="234">
        <v>0</v>
      </c>
      <c r="EE51" s="234">
        <v>1184.8306128816462</v>
      </c>
      <c r="EF51" s="241">
        <v>21417.893830810513</v>
      </c>
      <c r="EG51" s="234">
        <v>278.31292481503851</v>
      </c>
      <c r="EH51" s="234">
        <v>0</v>
      </c>
      <c r="EI51" s="234">
        <v>21139.580905995474</v>
      </c>
      <c r="EJ51" s="234">
        <v>0</v>
      </c>
      <c r="EK51" s="234">
        <v>14797.706634196831</v>
      </c>
      <c r="EL51" s="242">
        <v>6341.8742717986415</v>
      </c>
      <c r="EN51" s="234">
        <v>118.98240312152869</v>
      </c>
      <c r="ES51" s="241"/>
      <c r="EX51" s="241"/>
      <c r="FA51" s="234">
        <v>885.4752070190026</v>
      </c>
      <c r="FB51" s="234">
        <v>8615.5454677070647</v>
      </c>
      <c r="FH51" s="250"/>
      <c r="FI51" s="250"/>
      <c r="FJ51" s="250"/>
      <c r="FK51" s="250"/>
      <c r="FL51" s="257"/>
      <c r="FQ51" s="241"/>
      <c r="FR51" s="234"/>
      <c r="FS51" s="234"/>
      <c r="FT51" s="241"/>
      <c r="FW51" s="234">
        <v>1105.2328551846902</v>
      </c>
      <c r="FX51" s="234">
        <v>809.17276559744994</v>
      </c>
      <c r="GB51" s="241"/>
      <c r="GC51" s="250"/>
      <c r="GD51" s="250"/>
      <c r="GE51" s="250"/>
      <c r="GF51" s="250"/>
      <c r="GG51" s="257"/>
      <c r="GL51" s="241"/>
      <c r="GP51" s="254"/>
      <c r="GY51" s="271"/>
      <c r="GZ51" s="295"/>
      <c r="HB51" s="234">
        <v>9244.9</v>
      </c>
      <c r="HC51" s="234">
        <v>1417.4</v>
      </c>
      <c r="HD51" s="234">
        <v>6314.0284934194451</v>
      </c>
      <c r="HE51" s="234">
        <v>3044.7500550827858</v>
      </c>
      <c r="HJ51" s="236">
        <v>22714.671257783149</v>
      </c>
      <c r="HK51" s="250"/>
      <c r="HL51" s="250"/>
      <c r="HM51" s="250"/>
      <c r="HN51" s="250"/>
      <c r="HQ51" s="321"/>
      <c r="HR51" s="321"/>
      <c r="HS51" s="321"/>
      <c r="HW51" s="250"/>
      <c r="HX51" s="250"/>
      <c r="HY51" s="250"/>
      <c r="IE51" s="250"/>
      <c r="IF51" s="250"/>
      <c r="IG51" s="258"/>
      <c r="IH51" s="250"/>
      <c r="II51" s="250"/>
      <c r="IJ51" s="250"/>
      <c r="IM51" s="444">
        <v>209.48693501281483</v>
      </c>
      <c r="IO51" s="257"/>
      <c r="IR51" s="258"/>
      <c r="IS51" s="257"/>
      <c r="IU51" s="271"/>
      <c r="IV51" s="295"/>
      <c r="IX51" s="350">
        <v>0.1626405166228175</v>
      </c>
      <c r="IY51" s="351">
        <v>1.5723688290059962E-2</v>
      </c>
      <c r="IZ51" s="351">
        <v>0.14691682833275754</v>
      </c>
      <c r="JO51" s="361">
        <v>3149.48</v>
      </c>
      <c r="JP51" s="361">
        <v>159.30999999999995</v>
      </c>
      <c r="JQ51" s="377">
        <v>2990.17</v>
      </c>
      <c r="JR51" s="363">
        <v>2233.9300000000003</v>
      </c>
      <c r="JS51" s="366">
        <v>406.36</v>
      </c>
      <c r="JT51" s="366">
        <v>564</v>
      </c>
      <c r="JU51" s="366" t="s">
        <v>534</v>
      </c>
      <c r="JV51" s="366">
        <v>187.28</v>
      </c>
      <c r="JW51" s="363">
        <v>756.24</v>
      </c>
      <c r="JX51" s="371">
        <v>25.11</v>
      </c>
      <c r="JY51" s="366">
        <v>731.13</v>
      </c>
      <c r="KA51" s="428">
        <v>2259.04</v>
      </c>
      <c r="KL51" s="409"/>
      <c r="KM51" s="388"/>
      <c r="KW51" s="409"/>
      <c r="LI51" s="416"/>
      <c r="LJ51" s="388">
        <v>3243.3</v>
      </c>
      <c r="LV51" s="421"/>
      <c r="MF51" s="422"/>
      <c r="MG51" s="425"/>
      <c r="NC51" s="421"/>
      <c r="NM51" s="422"/>
    </row>
    <row r="52" spans="1:393">
      <c r="A52" s="240">
        <v>1992</v>
      </c>
      <c r="B52" s="269">
        <v>117171</v>
      </c>
      <c r="C52" s="250">
        <v>32175</v>
      </c>
      <c r="D52" s="250">
        <v>84996</v>
      </c>
      <c r="E52" s="234">
        <v>66152</v>
      </c>
      <c r="F52" s="274">
        <v>4.7</v>
      </c>
      <c r="G52" s="275">
        <v>0.36361387444916482</v>
      </c>
      <c r="H52" s="275">
        <v>0.63638612555083518</v>
      </c>
      <c r="I52" s="234">
        <v>74565.998716916904</v>
      </c>
      <c r="K52" s="234">
        <v>6525</v>
      </c>
      <c r="L52" s="234">
        <v>1102</v>
      </c>
      <c r="M52" s="234">
        <v>5580</v>
      </c>
      <c r="N52" s="234">
        <v>4236</v>
      </c>
      <c r="O52" s="234">
        <v>2979</v>
      </c>
      <c r="P52" s="234">
        <v>3608</v>
      </c>
      <c r="R52" s="295"/>
      <c r="S52" s="334"/>
      <c r="T52" s="239">
        <v>4.0665081843113979</v>
      </c>
      <c r="U52" s="240"/>
      <c r="V52" s="295"/>
      <c r="X52" s="294">
        <v>5.5146000000000006</v>
      </c>
      <c r="Y52" s="294">
        <v>1.843824951</v>
      </c>
      <c r="AA52" s="295"/>
      <c r="AC52" s="234">
        <v>1048.1500000000001</v>
      </c>
      <c r="AD52" s="234" t="s">
        <v>534</v>
      </c>
      <c r="AE52" s="234">
        <v>0</v>
      </c>
      <c r="AF52" s="234">
        <v>94.09</v>
      </c>
      <c r="AJ52" s="234">
        <v>460.78</v>
      </c>
      <c r="AK52" s="234">
        <v>238.05</v>
      </c>
      <c r="AL52" s="242">
        <v>1282.72</v>
      </c>
      <c r="AO52" s="313">
        <v>0</v>
      </c>
      <c r="AP52" s="241">
        <v>683.71</v>
      </c>
      <c r="AQ52" s="234">
        <v>192.76</v>
      </c>
      <c r="AR52" s="234">
        <v>822.04</v>
      </c>
      <c r="AT52" s="234">
        <v>4336</v>
      </c>
      <c r="AV52" s="295"/>
      <c r="AX52" s="234">
        <v>26937.276451121401</v>
      </c>
      <c r="AY52" s="234">
        <v>26923.476451121402</v>
      </c>
      <c r="AZ52" s="234">
        <v>27871.966648310467</v>
      </c>
      <c r="BA52" s="234">
        <v>27858.166648310467</v>
      </c>
      <c r="BB52" s="234">
        <v>13.799999999999272</v>
      </c>
      <c r="BD52" s="234">
        <v>26937.276451121401</v>
      </c>
      <c r="BE52" s="234">
        <v>26923.476451121402</v>
      </c>
      <c r="BF52" s="234">
        <v>24578.039765155907</v>
      </c>
      <c r="BG52" s="234">
        <v>99946.79985933748</v>
      </c>
      <c r="BH52" s="234">
        <v>13403.803553785487</v>
      </c>
      <c r="BJ52" s="236">
        <v>26923.476451121402</v>
      </c>
      <c r="BK52" s="236">
        <v>27858.166648310467</v>
      </c>
      <c r="BL52" s="234">
        <v>5866.6</v>
      </c>
      <c r="BM52" s="234">
        <v>11699.5</v>
      </c>
      <c r="BN52" s="250">
        <v>10284.5</v>
      </c>
      <c r="BO52" s="250">
        <v>1415</v>
      </c>
      <c r="BP52" s="234">
        <v>9357.3764511214031</v>
      </c>
      <c r="BQ52" s="234">
        <v>10292.066648310469</v>
      </c>
      <c r="BR52" s="250">
        <v>1688.978122268054</v>
      </c>
      <c r="BS52" s="250">
        <v>2405.04</v>
      </c>
      <c r="BT52" s="250">
        <v>584.56868588543614</v>
      </c>
      <c r="BU52" s="250">
        <v>1306.2210318262892</v>
      </c>
      <c r="BV52" s="250">
        <v>1101.2554192951127</v>
      </c>
      <c r="BW52" s="250">
        <v>2035.9456164841788</v>
      </c>
      <c r="BX52" s="250">
        <v>2271.3131918465115</v>
      </c>
      <c r="BY52" s="236"/>
      <c r="BZ52" s="236"/>
      <c r="CA52" s="236"/>
      <c r="CB52" s="236"/>
      <c r="CC52" s="236"/>
      <c r="CD52" s="236"/>
      <c r="CF52" s="234">
        <v>27565.199999999997</v>
      </c>
      <c r="CG52" s="234">
        <v>28499.890197189063</v>
      </c>
      <c r="CH52" s="234">
        <v>641.72354887859547</v>
      </c>
      <c r="CI52" s="234">
        <v>13000.1</v>
      </c>
      <c r="CJ52" s="234">
        <v>13622.878416566899</v>
      </c>
      <c r="CK52" s="234">
        <v>4203.2</v>
      </c>
      <c r="CL52" s="234">
        <v>4515.1117806221682</v>
      </c>
      <c r="CM52" s="234">
        <v>10086.299999999999</v>
      </c>
      <c r="CN52" s="250">
        <v>8513.7000000000007</v>
      </c>
      <c r="CO52" s="250">
        <v>1572.6</v>
      </c>
      <c r="CP52" s="234">
        <v>275.60000000000002</v>
      </c>
      <c r="CQ52" s="271"/>
      <c r="CR52" s="295"/>
      <c r="CV52" s="308">
        <v>0.1182391836741464</v>
      </c>
      <c r="CW52" s="239">
        <v>5.5E-2</v>
      </c>
      <c r="CX52" s="234">
        <v>3293.926883154561</v>
      </c>
      <c r="CY52" s="234">
        <v>13394.780628871356</v>
      </c>
      <c r="CZ52" s="236"/>
      <c r="DA52" s="307">
        <v>39340660047.438194</v>
      </c>
      <c r="DB52" s="234">
        <v>2169.4800389760271</v>
      </c>
      <c r="DD52" s="234">
        <v>3600.3677504728021</v>
      </c>
      <c r="DE52" s="262">
        <v>1793.9161593743838</v>
      </c>
      <c r="DF52" s="252">
        <v>1214.2439134071938</v>
      </c>
      <c r="DG52" s="252">
        <v>579.67224596718995</v>
      </c>
      <c r="DH52" s="234">
        <v>499.51304287956111</v>
      </c>
      <c r="DI52" s="250">
        <v>375.21224912468267</v>
      </c>
      <c r="DJ52" s="258">
        <v>124.30079375487844</v>
      </c>
      <c r="DK52" s="241">
        <v>923.94801366971978</v>
      </c>
      <c r="DL52" s="252">
        <v>923.94801366971978</v>
      </c>
      <c r="DM52" s="258">
        <v>0</v>
      </c>
      <c r="DN52" s="234">
        <v>10177.403412947691</v>
      </c>
      <c r="DO52" s="252">
        <v>882.50357742869858</v>
      </c>
      <c r="DP52" s="250">
        <v>9294.8998355189924</v>
      </c>
      <c r="DQ52" s="257">
        <v>13394.780628871356</v>
      </c>
      <c r="DS52" s="295"/>
      <c r="DT52" s="295"/>
      <c r="DU52">
        <f t="shared" si="0"/>
        <v>0.7</v>
      </c>
      <c r="DV52">
        <f>EP52/(EM52-EN52-EQ52)</f>
        <v>0.95</v>
      </c>
      <c r="DW52" s="318">
        <v>3800.9253366649718</v>
      </c>
      <c r="DX52" s="234">
        <v>4314.3229256308214</v>
      </c>
      <c r="DZ52" s="309">
        <v>1076.3496956246302</v>
      </c>
      <c r="EA52" s="234">
        <v>3237.9732300061914</v>
      </c>
      <c r="EB52" s="234">
        <v>1793.9161593743838</v>
      </c>
      <c r="EC52" s="234">
        <v>0</v>
      </c>
      <c r="ED52" s="234">
        <v>0</v>
      </c>
      <c r="EE52" s="234">
        <v>1444.0570706318076</v>
      </c>
      <c r="EF52" s="241">
        <v>21470.919222673125</v>
      </c>
      <c r="EG52" s="234">
        <v>375.21224912468267</v>
      </c>
      <c r="EH52" s="234">
        <v>0</v>
      </c>
      <c r="EI52" s="234">
        <v>21095.706973548444</v>
      </c>
      <c r="EJ52" s="234">
        <v>0</v>
      </c>
      <c r="EK52" s="234">
        <v>14766.99488148391</v>
      </c>
      <c r="EL52" s="242">
        <v>6328.712092064533</v>
      </c>
      <c r="EM52" s="234">
        <v>9559.6120308956633</v>
      </c>
      <c r="EN52" s="234">
        <v>124.30079375487844</v>
      </c>
      <c r="EO52" s="234">
        <v>2235.0704323013415</v>
      </c>
      <c r="EP52" s="236">
        <v>7336.7594086908912</v>
      </c>
      <c r="EQ52" s="234">
        <v>1712.4065964135298</v>
      </c>
      <c r="ER52" s="234">
        <v>386.14523203636276</v>
      </c>
      <c r="ES52" s="241">
        <v>4819.6255000458686</v>
      </c>
      <c r="ET52" s="250">
        <v>4800.5129115796053</v>
      </c>
      <c r="EU52" s="250">
        <v>9.7596196423473547</v>
      </c>
      <c r="EV52" s="250">
        <v>0</v>
      </c>
      <c r="EW52" s="250">
        <v>9.3529688239162141</v>
      </c>
      <c r="EX52" s="241">
        <v>0</v>
      </c>
      <c r="EY52" s="266"/>
      <c r="EZ52" s="234">
        <v>65397.456836505713</v>
      </c>
      <c r="FA52" s="234">
        <v>1088.476457349974</v>
      </c>
      <c r="FB52" s="234">
        <v>10177.403412947691</v>
      </c>
      <c r="FC52" s="309">
        <v>8423.7717038010596</v>
      </c>
      <c r="FD52" s="234">
        <v>5540.2107503058487</v>
      </c>
      <c r="FE52" s="275">
        <v>0.68196579026773574</v>
      </c>
      <c r="FF52" s="234">
        <v>31913.463244605649</v>
      </c>
      <c r="FG52" s="234">
        <v>14882.818475151311</v>
      </c>
      <c r="FH52" s="250">
        <v>4268.6136410716726</v>
      </c>
      <c r="FI52" s="250">
        <v>4134.4188709893988</v>
      </c>
      <c r="FJ52" s="320">
        <v>2047.8935216192201</v>
      </c>
      <c r="FK52" s="250">
        <v>4431.8924414710245</v>
      </c>
      <c r="FL52" s="257">
        <v>-4268.6136410716726</v>
      </c>
      <c r="FM52" s="250">
        <v>-4244.2145919658051</v>
      </c>
      <c r="FN52" s="250">
        <v>-14.639429463521033</v>
      </c>
      <c r="FO52" s="250">
        <v>0</v>
      </c>
      <c r="FP52" s="250">
        <v>-9.3529688239162159</v>
      </c>
      <c r="FQ52" s="241">
        <v>616.84184494743249</v>
      </c>
      <c r="FR52" s="234">
        <v>9457.0568792851427</v>
      </c>
      <c r="FS52" s="234">
        <v>540.3061098470647</v>
      </c>
      <c r="FT52" s="388">
        <v>0</v>
      </c>
      <c r="FV52" s="234">
        <v>13619.597116892201</v>
      </c>
      <c r="FW52" s="234">
        <v>1268.39180868319</v>
      </c>
      <c r="FX52" s="234">
        <v>923.94801366971978</v>
      </c>
      <c r="FY52" s="234">
        <v>211.86507640262383</v>
      </c>
      <c r="FZ52" s="234">
        <v>9386.7208418460013</v>
      </c>
      <c r="GA52" s="234">
        <v>3097.0631849738547</v>
      </c>
      <c r="GB52" s="241">
        <v>-494.89404603069721</v>
      </c>
      <c r="GC52" s="250">
        <v>-494.89404603069721</v>
      </c>
      <c r="GD52" s="250">
        <v>0</v>
      </c>
      <c r="GE52" s="250">
        <v>0</v>
      </c>
      <c r="GF52" s="250">
        <v>0</v>
      </c>
      <c r="GG52" s="257">
        <v>-494.89404603069721</v>
      </c>
      <c r="GH52" s="250">
        <v>-494.89404603069721</v>
      </c>
      <c r="GI52" s="250">
        <v>0</v>
      </c>
      <c r="GJ52" s="250">
        <v>0</v>
      </c>
      <c r="GK52" s="250">
        <v>0</v>
      </c>
      <c r="GL52" s="388">
        <v>0</v>
      </c>
      <c r="GN52" s="236">
        <v>-56.117812943497334</v>
      </c>
      <c r="GO52" s="236">
        <v>0</v>
      </c>
      <c r="GP52" s="254">
        <v>-56.117812943497334</v>
      </c>
      <c r="GQ52" s="236">
        <v>-60.997622764670972</v>
      </c>
      <c r="GR52" s="236">
        <v>4.8798098211736773</v>
      </c>
      <c r="GT52" s="236">
        <v>113285.55843697289</v>
      </c>
      <c r="GU52" s="236">
        <v>13394.780628871356</v>
      </c>
      <c r="GV52" s="236">
        <v>10348.043376617214</v>
      </c>
      <c r="GW52" s="236">
        <v>63403.938376626451</v>
      </c>
      <c r="GX52" s="236">
        <v>26138.79605485787</v>
      </c>
      <c r="GY52" s="271"/>
      <c r="GZ52" s="295"/>
      <c r="HB52" s="234">
        <v>11757.3</v>
      </c>
      <c r="HC52" s="234">
        <v>1716.9</v>
      </c>
      <c r="HD52" s="234">
        <v>6981.7879016442394</v>
      </c>
      <c r="HE52" s="234">
        <v>3381.4201511714373</v>
      </c>
      <c r="HG52" s="234">
        <v>9444.6</v>
      </c>
      <c r="HI52" s="234">
        <v>39842.020586609353</v>
      </c>
      <c r="HJ52" s="234">
        <v>26221.638643108814</v>
      </c>
      <c r="HK52" s="250">
        <v>27621.240870548692</v>
      </c>
      <c r="HL52" s="250">
        <v>-1399.6022274398858</v>
      </c>
      <c r="HM52" s="250">
        <v>0</v>
      </c>
      <c r="HN52" s="250"/>
      <c r="HO52" s="267">
        <v>6381.8101926607633</v>
      </c>
      <c r="HP52" s="267">
        <v>23658.254176922946</v>
      </c>
      <c r="HQ52" s="322">
        <v>5179.1862372366795</v>
      </c>
      <c r="HR52" s="322">
        <v>18479.067939686269</v>
      </c>
      <c r="HS52" s="321">
        <v>0</v>
      </c>
      <c r="HU52" s="234">
        <v>1185.7</v>
      </c>
      <c r="HV52" s="236">
        <v>-1642.5000098375435</v>
      </c>
      <c r="HW52" s="310">
        <v>1448.4528610575499</v>
      </c>
      <c r="HX52" s="310">
        <v>-6921.1969296979996</v>
      </c>
      <c r="HY52" s="250">
        <v>3829.8374079844743</v>
      </c>
      <c r="IA52" s="234">
        <v>2847.4</v>
      </c>
      <c r="IB52" s="234">
        <v>311.89999999999998</v>
      </c>
      <c r="IC52" s="234">
        <v>12847.319306695001</v>
      </c>
      <c r="ID52" s="236">
        <v>4431.8924414710245</v>
      </c>
      <c r="IE52" s="310">
        <v>257.55831481865442</v>
      </c>
      <c r="IF52" s="310">
        <v>3948.732812023185</v>
      </c>
      <c r="IG52" s="326">
        <v>225.6013146291852</v>
      </c>
      <c r="IH52" s="310">
        <v>20993.601772254471</v>
      </c>
      <c r="II52" s="310">
        <v>-12731.871922798968</v>
      </c>
      <c r="IJ52" s="250">
        <v>-3829.8374079844743</v>
      </c>
      <c r="IL52" s="234">
        <v>-1210.2827252511695</v>
      </c>
      <c r="IM52" s="248">
        <v>225.6013146291852</v>
      </c>
      <c r="IN52" s="248">
        <v>-1435.8840398803547</v>
      </c>
      <c r="IO52" s="257">
        <v>-1120.7296555962214</v>
      </c>
      <c r="IP52" s="250">
        <v>0</v>
      </c>
      <c r="IQ52" s="250">
        <v>-56.117812943497334</v>
      </c>
      <c r="IR52" s="258">
        <v>-259.03657134063604</v>
      </c>
      <c r="IS52" s="257">
        <v>0</v>
      </c>
      <c r="IT52" s="250">
        <v>1435.4773890619235</v>
      </c>
      <c r="IU52" s="271"/>
      <c r="IV52" s="295"/>
      <c r="IX52" s="350">
        <v>0.14249851261735813</v>
      </c>
      <c r="IY52" s="351">
        <v>1.7086761568934766E-2</v>
      </c>
      <c r="IZ52" s="360">
        <v>0.12541175104842336</v>
      </c>
      <c r="JI52" s="361">
        <v>1021.4000000000001</v>
      </c>
      <c r="JJ52" s="370">
        <v>1016.7</v>
      </c>
      <c r="JK52" s="370">
        <v>4.7</v>
      </c>
      <c r="JL52" s="370">
        <v>3907.1</v>
      </c>
      <c r="JM52" s="370">
        <v>4928.5</v>
      </c>
      <c r="JO52" s="361">
        <v>3483.37</v>
      </c>
      <c r="JP52" s="361">
        <v>186.46000000000004</v>
      </c>
      <c r="JQ52" s="377">
        <v>3296.91</v>
      </c>
      <c r="JR52" s="363">
        <v>2544.6999999999998</v>
      </c>
      <c r="JS52" s="366">
        <v>705.93</v>
      </c>
      <c r="JT52" s="366">
        <v>658.67</v>
      </c>
      <c r="JU52" s="366" t="s">
        <v>534</v>
      </c>
      <c r="JV52" s="366">
        <v>212.75</v>
      </c>
      <c r="JW52" s="363">
        <v>752.20999999999992</v>
      </c>
      <c r="JX52" s="371">
        <v>31.43</v>
      </c>
      <c r="JY52" s="366">
        <v>720.78</v>
      </c>
      <c r="KA52" s="428">
        <v>2576.13</v>
      </c>
      <c r="KL52" s="409"/>
      <c r="KM52" s="388"/>
      <c r="KW52" s="409"/>
      <c r="LI52" s="416"/>
      <c r="LJ52" s="388">
        <v>976.32999999999993</v>
      </c>
      <c r="LV52" s="421"/>
      <c r="MF52" s="422"/>
      <c r="MG52" s="425"/>
      <c r="NC52" s="421"/>
      <c r="NM52" s="422"/>
    </row>
    <row r="53" spans="1:393">
      <c r="A53" s="240">
        <v>1993</v>
      </c>
      <c r="B53" s="269">
        <v>118517</v>
      </c>
      <c r="C53" s="250">
        <v>33173</v>
      </c>
      <c r="D53" s="250">
        <v>85344</v>
      </c>
      <c r="E53" s="234">
        <v>66808</v>
      </c>
      <c r="F53" s="274">
        <v>4.5999999999999996</v>
      </c>
      <c r="G53" s="275">
        <v>0.35386589595730417</v>
      </c>
      <c r="H53" s="275">
        <v>0.64613410404269578</v>
      </c>
      <c r="I53" s="234">
        <v>76577.875608828181</v>
      </c>
      <c r="K53" s="234">
        <v>6607</v>
      </c>
      <c r="L53" s="234">
        <v>1112</v>
      </c>
      <c r="M53" s="234">
        <v>5653</v>
      </c>
      <c r="N53" s="234">
        <v>4266</v>
      </c>
      <c r="O53" s="234">
        <v>3012</v>
      </c>
      <c r="P53" s="234">
        <v>3640</v>
      </c>
      <c r="R53" s="295"/>
      <c r="S53" s="334"/>
      <c r="T53" s="239">
        <v>3.2048833018821163</v>
      </c>
      <c r="U53" s="240"/>
      <c r="V53" s="295"/>
      <c r="X53" s="294">
        <v>5.7620000000000005</v>
      </c>
      <c r="Y53" s="294">
        <v>2.0744591259999998</v>
      </c>
      <c r="AA53" s="295"/>
      <c r="AC53" s="234">
        <v>3541.52</v>
      </c>
      <c r="AD53" s="234">
        <v>861.62</v>
      </c>
      <c r="AE53" s="234">
        <v>0</v>
      </c>
      <c r="AF53" s="234">
        <v>375.47</v>
      </c>
      <c r="AG53" s="239">
        <v>0.10601944927601709</v>
      </c>
      <c r="AH53" s="239">
        <v>1.3805916182862858</v>
      </c>
      <c r="AJ53" s="234">
        <v>381.31</v>
      </c>
      <c r="AK53" s="234">
        <v>123.29</v>
      </c>
      <c r="AL53" s="242">
        <v>1540.74</v>
      </c>
      <c r="AO53" s="313">
        <v>0</v>
      </c>
      <c r="AP53" s="241">
        <v>235.84</v>
      </c>
      <c r="AQ53" s="234">
        <v>255.48</v>
      </c>
      <c r="AR53" s="234">
        <v>802.4</v>
      </c>
      <c r="AT53" s="234">
        <v>5864.7</v>
      </c>
      <c r="AV53" s="295"/>
      <c r="AX53" s="234">
        <v>35260.024714546242</v>
      </c>
      <c r="AY53" s="234">
        <v>35333.924714546243</v>
      </c>
      <c r="AZ53" s="234">
        <v>36534.93696252926</v>
      </c>
      <c r="BA53" s="234">
        <v>36608.836962529262</v>
      </c>
      <c r="BB53" s="234">
        <v>-73.900000000001455</v>
      </c>
      <c r="BD53" s="234">
        <v>35260.024714546242</v>
      </c>
      <c r="BE53" s="234">
        <v>35333.924714546243</v>
      </c>
      <c r="BF53" s="234">
        <v>32090.020088389967</v>
      </c>
      <c r="BG53" s="234">
        <v>102844.76953834268</v>
      </c>
      <c r="BH53" s="234">
        <v>13430.089137453997</v>
      </c>
      <c r="BJ53" s="236">
        <v>35333.924714546243</v>
      </c>
      <c r="BK53" s="236">
        <v>36608.836962529254</v>
      </c>
      <c r="BL53" s="234">
        <v>6963.7628949561667</v>
      </c>
      <c r="BM53" s="234">
        <v>16454.431309439089</v>
      </c>
      <c r="BN53" s="250">
        <v>14187.971305930159</v>
      </c>
      <c r="BO53" s="250">
        <v>2266.4600035089279</v>
      </c>
      <c r="BP53" s="234">
        <v>11915.730510150988</v>
      </c>
      <c r="BQ53" s="234">
        <v>13190.642758134003</v>
      </c>
      <c r="BR53" s="250">
        <v>2173.9946925274176</v>
      </c>
      <c r="BS53" s="250">
        <v>2816.6163262798509</v>
      </c>
      <c r="BT53" s="250">
        <v>712.08409765542297</v>
      </c>
      <c r="BU53" s="250">
        <v>1669.745437535172</v>
      </c>
      <c r="BV53" s="250">
        <v>1379.5768054689811</v>
      </c>
      <c r="BW53" s="250">
        <v>2654.4890534519964</v>
      </c>
      <c r="BX53" s="250">
        <v>3163.7131506841438</v>
      </c>
      <c r="BY53" s="236"/>
      <c r="BZ53" s="236">
        <v>34219.54659399722</v>
      </c>
      <c r="CA53" s="234">
        <v>16934.545412334966</v>
      </c>
      <c r="CB53" s="234">
        <v>4807.7158529016278</v>
      </c>
      <c r="CC53" s="234">
        <v>3996.1951773400438</v>
      </c>
      <c r="CD53" s="234">
        <v>8481.0901514205834</v>
      </c>
      <c r="CF53" s="234">
        <v>36938.1</v>
      </c>
      <c r="CG53" s="234">
        <v>38213.012247983017</v>
      </c>
      <c r="CH53" s="234">
        <v>1604.1752854537554</v>
      </c>
      <c r="CI53" s="234">
        <v>16412.099999999999</v>
      </c>
      <c r="CJ53" s="234">
        <v>17285.221059299489</v>
      </c>
      <c r="CK53" s="234">
        <v>5487.8</v>
      </c>
      <c r="CL53" s="234">
        <v>5889.5911886835247</v>
      </c>
      <c r="CM53" s="234">
        <v>15717.7</v>
      </c>
      <c r="CN53" s="250">
        <v>13309.2</v>
      </c>
      <c r="CO53" s="250">
        <v>2408.5</v>
      </c>
      <c r="CP53" s="234">
        <v>-679.5</v>
      </c>
      <c r="CQ53" s="271"/>
      <c r="CR53" s="295"/>
      <c r="CV53" s="308">
        <v>0.1214165005757724</v>
      </c>
      <c r="CX53" s="234">
        <v>4444.9168741392923</v>
      </c>
      <c r="CY53" s="234">
        <v>14245.43986818307</v>
      </c>
      <c r="CZ53" s="234">
        <v>4807.7158529016278</v>
      </c>
      <c r="DA53" s="307">
        <v>45266974892.113792</v>
      </c>
      <c r="DB53" s="234">
        <v>2608.2830932835968</v>
      </c>
      <c r="DD53" s="234">
        <v>4301.0043069808416</v>
      </c>
      <c r="DE53" s="262">
        <v>2103.7584526398045</v>
      </c>
      <c r="DF53" s="252">
        <v>1285.2900343191889</v>
      </c>
      <c r="DG53" s="252">
        <v>818.46841832061557</v>
      </c>
      <c r="DH53" s="234">
        <v>586.70925266062557</v>
      </c>
      <c r="DI53" s="250">
        <v>464.51991269564644</v>
      </c>
      <c r="DJ53" s="258">
        <v>122.18933996497913</v>
      </c>
      <c r="DK53" s="241">
        <v>1117.6609979050504</v>
      </c>
      <c r="DL53" s="252">
        <v>1117.6609979050504</v>
      </c>
      <c r="DM53" s="258">
        <v>0</v>
      </c>
      <c r="DN53" s="234">
        <v>10437.311164977591</v>
      </c>
      <c r="DO53" s="252">
        <v>1079.5848564359865</v>
      </c>
      <c r="DP53" s="250">
        <v>9357.7263085416052</v>
      </c>
      <c r="DQ53" s="257">
        <v>14245.439868183072</v>
      </c>
      <c r="DS53" s="295"/>
      <c r="DT53" s="295"/>
      <c r="DU53">
        <f t="shared" si="0"/>
        <v>0.7</v>
      </c>
      <c r="DV53">
        <f t="shared" ref="DV53:DV74" si="1">EP53/(EM53-EN53-EQ53)</f>
        <v>0.95</v>
      </c>
      <c r="DW53" s="318">
        <v>4085.9449749257574</v>
      </c>
      <c r="DX53" s="234">
        <v>5001.325649452664</v>
      </c>
      <c r="DZ53" s="309">
        <v>1262.2550715838827</v>
      </c>
      <c r="EA53" s="234">
        <v>3739.0705778687816</v>
      </c>
      <c r="EB53" s="234">
        <v>2103.7584526398045</v>
      </c>
      <c r="EC53" s="234">
        <v>0</v>
      </c>
      <c r="ED53" s="234">
        <v>0</v>
      </c>
      <c r="EE53" s="234">
        <v>1635.3121252289773</v>
      </c>
      <c r="EF53" s="241">
        <v>20086.242678280159</v>
      </c>
      <c r="EG53" s="234">
        <v>464.51991269564644</v>
      </c>
      <c r="EH53" s="234">
        <v>0</v>
      </c>
      <c r="EI53" s="234">
        <v>19621.722765584513</v>
      </c>
      <c r="EJ53" s="234">
        <v>0</v>
      </c>
      <c r="EK53" s="234">
        <v>13735.205935909158</v>
      </c>
      <c r="EL53" s="242">
        <v>5886.5168296753536</v>
      </c>
      <c r="EM53" s="234">
        <v>8744.4939638367869</v>
      </c>
      <c r="EN53" s="234">
        <v>122.18933996497913</v>
      </c>
      <c r="EO53" s="234">
        <v>2644.8449509018646</v>
      </c>
      <c r="EP53" s="236">
        <v>6391.198735009144</v>
      </c>
      <c r="EQ53" s="234">
        <v>1894.7270080727073</v>
      </c>
      <c r="ER53" s="234">
        <v>336.37888078995502</v>
      </c>
      <c r="ES53" s="241">
        <v>5731.9337854161649</v>
      </c>
      <c r="ET53" s="250">
        <v>5696.6800690954615</v>
      </c>
      <c r="EU53" s="250">
        <v>24.357113094304083</v>
      </c>
      <c r="EV53" s="250">
        <v>0</v>
      </c>
      <c r="EW53" s="250">
        <v>10.896603226399195</v>
      </c>
      <c r="EX53" s="241">
        <v>0</v>
      </c>
      <c r="EY53" s="266"/>
      <c r="EZ53" s="234">
        <v>72177.704646336075</v>
      </c>
      <c r="FA53" s="234">
        <v>1162.9389782415853</v>
      </c>
      <c r="FB53" s="234">
        <v>10437.311164977591</v>
      </c>
      <c r="FC53" s="309">
        <v>9229.6311219794079</v>
      </c>
      <c r="FD53" s="234">
        <v>6374.6251865544264</v>
      </c>
      <c r="FE53" s="275">
        <v>0.61655507577385049</v>
      </c>
      <c r="FF53" s="234">
        <v>32375.777065429622</v>
      </c>
      <c r="FG53" s="234">
        <v>20134.985293949456</v>
      </c>
      <c r="FH53" s="250">
        <v>5415.9322918505886</v>
      </c>
      <c r="FI53" s="250">
        <v>2785.6845659959358</v>
      </c>
      <c r="FJ53" s="320">
        <v>2116.5049325629498</v>
      </c>
      <c r="FK53" s="250">
        <v>9817.1839918701735</v>
      </c>
      <c r="FL53" s="257">
        <v>-5415.9322918505886</v>
      </c>
      <c r="FM53" s="250">
        <v>-5338.0536276148514</v>
      </c>
      <c r="FN53" s="250">
        <v>-66.982061009336235</v>
      </c>
      <c r="FO53" s="250">
        <v>0</v>
      </c>
      <c r="FP53" s="250">
        <v>-10.896603226399195</v>
      </c>
      <c r="FQ53" s="241">
        <v>831.19520546963213</v>
      </c>
      <c r="FR53" s="234">
        <v>12704.623875131676</v>
      </c>
      <c r="FS53" s="234">
        <v>1183.2339214975593</v>
      </c>
      <c r="FT53" s="388">
        <v>0</v>
      </c>
      <c r="FV53" s="234">
        <v>12579.459208976456</v>
      </c>
      <c r="FW53" s="234">
        <v>1287.6938714551945</v>
      </c>
      <c r="FX53" s="234">
        <v>1117.6609979050504</v>
      </c>
      <c r="FY53" s="234">
        <v>188.76762648085665</v>
      </c>
      <c r="FZ53" s="234">
        <v>8694.5279096759932</v>
      </c>
      <c r="GA53" s="234">
        <v>2578.5026749145563</v>
      </c>
      <c r="GB53" s="241">
        <v>-552.8423695746651</v>
      </c>
      <c r="GC53" s="250">
        <v>-552.8423695746651</v>
      </c>
      <c r="GD53" s="250">
        <v>0</v>
      </c>
      <c r="GE53" s="250">
        <v>0</v>
      </c>
      <c r="GF53" s="250">
        <v>0</v>
      </c>
      <c r="GG53" s="257">
        <v>-552.8423695746651</v>
      </c>
      <c r="GH53" s="250">
        <v>-552.8423695746651</v>
      </c>
      <c r="GI53" s="250">
        <v>0</v>
      </c>
      <c r="GJ53" s="250">
        <v>0</v>
      </c>
      <c r="GK53" s="250">
        <v>0</v>
      </c>
      <c r="GL53" s="388">
        <v>0</v>
      </c>
      <c r="GN53" s="236">
        <v>236.84087600908833</v>
      </c>
      <c r="GO53" s="236">
        <v>0</v>
      </c>
      <c r="GP53" s="254">
        <v>236.84087600908833</v>
      </c>
      <c r="GQ53" s="236">
        <v>194.21592809405632</v>
      </c>
      <c r="GR53" s="236">
        <v>42.624947915032152</v>
      </c>
      <c r="GT53" s="236">
        <v>117326.97107529826</v>
      </c>
      <c r="GU53" s="236">
        <v>14245.43986818307</v>
      </c>
      <c r="GV53" s="236">
        <v>11313.125756532971</v>
      </c>
      <c r="GW53" s="236">
        <v>61196.709646023912</v>
      </c>
      <c r="GX53" s="236">
        <v>30571.695804558294</v>
      </c>
      <c r="GY53" s="271"/>
      <c r="GZ53" s="295"/>
      <c r="HB53" s="234">
        <v>15203.5</v>
      </c>
      <c r="HC53" s="234">
        <v>2725.8</v>
      </c>
      <c r="HD53" s="234">
        <v>8735.870904270274</v>
      </c>
      <c r="HE53" s="234">
        <v>4434.8665972894323</v>
      </c>
      <c r="HG53" s="234">
        <v>14113.5</v>
      </c>
      <c r="HI53" s="234">
        <v>43033.891024352306</v>
      </c>
      <c r="HJ53" s="234">
        <v>27999.268243986826</v>
      </c>
      <c r="HK53" s="250">
        <v>36127.954405809469</v>
      </c>
      <c r="HL53" s="250">
        <v>-8128.686161822643</v>
      </c>
      <c r="HM53" s="250">
        <v>0</v>
      </c>
      <c r="HN53" s="250"/>
      <c r="HO53" s="267">
        <v>7641.349649804044</v>
      </c>
      <c r="HP53" s="267">
        <v>21799.166191199307</v>
      </c>
      <c r="HQ53" s="322">
        <v>5269.5009515841821</v>
      </c>
      <c r="HR53" s="322">
        <v>16529.665239615126</v>
      </c>
      <c r="HS53" s="321">
        <v>0</v>
      </c>
      <c r="HU53" s="234">
        <v>1455.5</v>
      </c>
      <c r="HV53" s="236">
        <v>-2827.578538570056</v>
      </c>
      <c r="HW53" s="310">
        <v>1852.9453346094833</v>
      </c>
      <c r="HX53" s="310">
        <v>-8093.7245896839941</v>
      </c>
      <c r="HY53" s="250">
        <v>3412.880228174266</v>
      </c>
      <c r="IA53" s="234">
        <v>5029.6000000000004</v>
      </c>
      <c r="IB53" s="234">
        <v>527.6</v>
      </c>
      <c r="IC53" s="234">
        <v>17810.177485219298</v>
      </c>
      <c r="ID53" s="236">
        <v>9817.1839918701735</v>
      </c>
      <c r="IE53" s="310">
        <v>554.38323811267855</v>
      </c>
      <c r="IF53" s="310">
        <v>8473.6178415750874</v>
      </c>
      <c r="IG53" s="326">
        <v>789.1829121824087</v>
      </c>
      <c r="IH53" s="310">
        <v>29005.508119615806</v>
      </c>
      <c r="II53" s="310">
        <v>-15775.443899571364</v>
      </c>
      <c r="IJ53" s="250">
        <v>-3412.880228174266</v>
      </c>
      <c r="IL53" s="234">
        <v>2987.4123689433527</v>
      </c>
      <c r="IM53" s="248">
        <v>789.1829121824087</v>
      </c>
      <c r="IN53" s="248">
        <v>2198.2294567609438</v>
      </c>
      <c r="IO53" s="257">
        <v>2177.7182036288982</v>
      </c>
      <c r="IP53" s="250">
        <v>0</v>
      </c>
      <c r="IQ53" s="250">
        <v>236.84087600908833</v>
      </c>
      <c r="IR53" s="258">
        <v>-216.32962287704285</v>
      </c>
      <c r="IS53" s="257">
        <v>0</v>
      </c>
      <c r="IT53" s="250">
        <v>-2198.2294567609433</v>
      </c>
      <c r="IU53" s="271"/>
      <c r="IV53" s="295"/>
      <c r="IX53" s="350">
        <v>0.12883716271275458</v>
      </c>
      <c r="IY53" s="351">
        <v>7.6885383926081768E-3</v>
      </c>
      <c r="IZ53" s="360">
        <v>0.12114862432014641</v>
      </c>
      <c r="JI53" s="361">
        <v>896.5</v>
      </c>
      <c r="JJ53" s="370">
        <v>869.2</v>
      </c>
      <c r="JK53" s="370">
        <v>27.3</v>
      </c>
      <c r="JL53" s="370">
        <v>5519</v>
      </c>
      <c r="JM53" s="370">
        <v>6415.5</v>
      </c>
      <c r="JO53" s="361">
        <v>4348.95</v>
      </c>
      <c r="JP53" s="361">
        <v>93.649999999999636</v>
      </c>
      <c r="JQ53" s="377">
        <v>4255.3</v>
      </c>
      <c r="JR53" s="363">
        <v>3529.9649600000002</v>
      </c>
      <c r="JS53" s="366">
        <v>1081.48</v>
      </c>
      <c r="JT53" s="366">
        <v>966.09</v>
      </c>
      <c r="JU53" s="366" t="s">
        <v>534</v>
      </c>
      <c r="JV53" s="366">
        <v>256.47000000000003</v>
      </c>
      <c r="JW53" s="363">
        <v>725.33504000000005</v>
      </c>
      <c r="JX53" s="371">
        <v>46.735040000000005</v>
      </c>
      <c r="JY53" s="366">
        <v>678.6</v>
      </c>
      <c r="KA53" s="428">
        <v>3576.7</v>
      </c>
      <c r="KL53" s="409"/>
      <c r="KM53" s="388"/>
      <c r="KW53" s="409"/>
      <c r="LI53" s="416"/>
      <c r="LJ53" s="388">
        <v>1432.54</v>
      </c>
      <c r="LV53" s="421"/>
      <c r="MF53" s="422"/>
      <c r="MG53" s="425"/>
      <c r="NC53" s="421"/>
      <c r="NM53" s="422"/>
    </row>
    <row r="54" spans="1:393">
      <c r="A54" s="240">
        <v>1994</v>
      </c>
      <c r="B54" s="269">
        <v>119850</v>
      </c>
      <c r="C54" s="250">
        <v>34169</v>
      </c>
      <c r="D54" s="250">
        <v>85681</v>
      </c>
      <c r="E54" s="234">
        <v>67455</v>
      </c>
      <c r="F54" s="274">
        <v>4.5</v>
      </c>
      <c r="G54" s="275">
        <v>0.35065986204696781</v>
      </c>
      <c r="H54" s="275">
        <v>0.64934013795303214</v>
      </c>
      <c r="I54" s="234">
        <v>77823.415533670908</v>
      </c>
      <c r="K54" s="234">
        <v>6689</v>
      </c>
      <c r="L54" s="234">
        <v>1125</v>
      </c>
      <c r="M54" s="234">
        <v>5719</v>
      </c>
      <c r="N54" s="234">
        <v>4294</v>
      </c>
      <c r="O54" s="234">
        <v>3045</v>
      </c>
      <c r="P54" s="234">
        <v>3672</v>
      </c>
      <c r="R54" s="295"/>
      <c r="S54" s="334"/>
      <c r="T54" s="239">
        <v>2.5296805997423983</v>
      </c>
      <c r="U54" s="240"/>
      <c r="V54" s="295"/>
      <c r="X54" s="294">
        <v>8.6187000000000005</v>
      </c>
      <c r="Y54" s="294">
        <v>2.4503910430000002</v>
      </c>
      <c r="AA54" s="295"/>
      <c r="AC54" s="234">
        <v>3690.62</v>
      </c>
      <c r="AD54" s="234">
        <v>968.89</v>
      </c>
      <c r="AE54" s="234">
        <v>0</v>
      </c>
      <c r="AF54" s="234">
        <v>326.77999999999997</v>
      </c>
      <c r="AG54" s="239">
        <v>8.8543388373769169E-2</v>
      </c>
      <c r="AH54" s="239">
        <v>-0.25027999123329725</v>
      </c>
      <c r="AJ54" s="234">
        <v>1137.55</v>
      </c>
      <c r="AK54" s="234">
        <v>391.89</v>
      </c>
      <c r="AL54" s="242">
        <v>2286.4</v>
      </c>
      <c r="AO54" s="313">
        <v>0</v>
      </c>
      <c r="AP54" s="241">
        <v>161.75</v>
      </c>
      <c r="AQ54" s="234">
        <v>282.04000000000002</v>
      </c>
      <c r="AR54" s="234">
        <v>682.11</v>
      </c>
      <c r="AT54" s="234">
        <v>7288.6</v>
      </c>
      <c r="AV54" s="295"/>
      <c r="AX54" s="234">
        <v>48108.456444709191</v>
      </c>
      <c r="AY54" s="234">
        <v>48197.856444709192</v>
      </c>
      <c r="AZ54" s="234">
        <v>49528.767287261624</v>
      </c>
      <c r="BA54" s="234">
        <v>49618.167287261625</v>
      </c>
      <c r="BB54" s="234">
        <v>-89.400000000001455</v>
      </c>
      <c r="BD54" s="234">
        <v>48108.456444709191</v>
      </c>
      <c r="BE54" s="234">
        <v>48197.856444709192</v>
      </c>
      <c r="BF54" s="234">
        <v>43346.650408709531</v>
      </c>
      <c r="BG54" s="234">
        <v>109653.1806027284</v>
      </c>
      <c r="BH54" s="234">
        <v>14089.998472925685</v>
      </c>
      <c r="BJ54" s="236">
        <v>48197.856444709192</v>
      </c>
      <c r="BK54" s="236">
        <v>49618.167287261625</v>
      </c>
      <c r="BL54" s="234">
        <v>9572.6947500939077</v>
      </c>
      <c r="BM54" s="234">
        <v>22445.399060048316</v>
      </c>
      <c r="BN54" s="250">
        <v>19480.709478379253</v>
      </c>
      <c r="BO54" s="250">
        <v>2964.6895816690612</v>
      </c>
      <c r="BP54" s="234">
        <v>16179.762634566971</v>
      </c>
      <c r="BQ54" s="234">
        <v>17600.073477119404</v>
      </c>
      <c r="BR54" s="250">
        <v>2787.8884969759124</v>
      </c>
      <c r="BS54" s="250">
        <v>3773.3821548776014</v>
      </c>
      <c r="BT54" s="250">
        <v>1008.4558078774978</v>
      </c>
      <c r="BU54" s="250">
        <v>2234.8437068804383</v>
      </c>
      <c r="BV54" s="250">
        <v>1909.3446041692566</v>
      </c>
      <c r="BW54" s="250">
        <v>3329.6554467216902</v>
      </c>
      <c r="BX54" s="250">
        <v>4465.8478637862645</v>
      </c>
      <c r="BY54" s="236"/>
      <c r="BZ54" s="236">
        <v>45345.138006589084</v>
      </c>
      <c r="CA54" s="234">
        <v>22829.039702072681</v>
      </c>
      <c r="CB54" s="234">
        <v>6270.8831071814075</v>
      </c>
      <c r="CC54" s="234">
        <v>5441.9829230070663</v>
      </c>
      <c r="CD54" s="234">
        <v>10803.232274327929</v>
      </c>
      <c r="CF54" s="234">
        <v>50217.4</v>
      </c>
      <c r="CG54" s="234">
        <v>51637.710842552427</v>
      </c>
      <c r="CH54" s="234">
        <v>2019.543555290802</v>
      </c>
      <c r="CI54" s="234">
        <v>21844.2</v>
      </c>
      <c r="CJ54" s="234">
        <v>22852.452940107036</v>
      </c>
      <c r="CK54" s="234">
        <v>7398</v>
      </c>
      <c r="CL54" s="234">
        <v>7810.0579024453973</v>
      </c>
      <c r="CM54" s="234">
        <v>20341.099999999999</v>
      </c>
      <c r="CN54" s="250">
        <v>17312.7</v>
      </c>
      <c r="CO54" s="250">
        <v>3028.4</v>
      </c>
      <c r="CP54" s="234">
        <v>634.1</v>
      </c>
      <c r="CQ54" s="271"/>
      <c r="CR54" s="295"/>
      <c r="CV54" s="308">
        <v>0.12459381747739838</v>
      </c>
      <c r="CX54" s="234">
        <v>6182.116878552094</v>
      </c>
      <c r="CY54" s="234">
        <v>15638.781133013264</v>
      </c>
      <c r="CZ54" s="234">
        <v>6270.8831071814075</v>
      </c>
      <c r="DA54" s="307">
        <v>42927186192.310127</v>
      </c>
      <c r="DB54" s="234">
        <v>3699.7653963566331</v>
      </c>
      <c r="DD54" s="234">
        <v>4381.4029087668659</v>
      </c>
      <c r="DE54" s="262">
        <v>2232.6904616759884</v>
      </c>
      <c r="DF54" s="252">
        <v>1126.6121560341846</v>
      </c>
      <c r="DG54" s="252">
        <v>1106.0783056418036</v>
      </c>
      <c r="DH54" s="234">
        <v>585.94847017542463</v>
      </c>
      <c r="DI54" s="250">
        <v>448.96382576681083</v>
      </c>
      <c r="DJ54" s="258">
        <v>136.98464440861383</v>
      </c>
      <c r="DK54" s="241">
        <v>1101.9961753646105</v>
      </c>
      <c r="DL54" s="252">
        <v>1101.9961753646105</v>
      </c>
      <c r="DM54" s="258">
        <v>0</v>
      </c>
      <c r="DN54" s="234">
        <v>11718.146025797239</v>
      </c>
      <c r="DO54" s="252">
        <v>1046.7162717262677</v>
      </c>
      <c r="DP54" s="250">
        <v>10671.429754070972</v>
      </c>
      <c r="DQ54" s="257">
        <v>15638.781133013263</v>
      </c>
      <c r="DS54" s="295"/>
      <c r="DT54" s="295"/>
      <c r="DU54">
        <f t="shared" si="0"/>
        <v>0.7</v>
      </c>
      <c r="DV54">
        <f t="shared" si="1"/>
        <v>0.95</v>
      </c>
      <c r="DW54" s="318">
        <v>3592.9327840086712</v>
      </c>
      <c r="DX54" s="234">
        <v>5202.0939558396258</v>
      </c>
      <c r="DZ54" s="309">
        <v>1339.6142770055931</v>
      </c>
      <c r="EA54" s="234">
        <v>3862.4796788340332</v>
      </c>
      <c r="EB54" s="234">
        <v>2232.6904616759884</v>
      </c>
      <c r="EC54" s="234">
        <v>0</v>
      </c>
      <c r="ED54" s="234">
        <v>0</v>
      </c>
      <c r="EE54" s="234">
        <v>1629.7892171580447</v>
      </c>
      <c r="EF54" s="241">
        <v>21794.274176911618</v>
      </c>
      <c r="EG54" s="234">
        <v>448.96382576681083</v>
      </c>
      <c r="EH54" s="234">
        <v>0</v>
      </c>
      <c r="EI54" s="234">
        <v>21345.310351144806</v>
      </c>
      <c r="EJ54" s="234">
        <v>0</v>
      </c>
      <c r="EK54" s="234">
        <v>14941.717245801363</v>
      </c>
      <c r="EL54" s="242">
        <v>6403.5931053434415</v>
      </c>
      <c r="EM54" s="234">
        <v>11260.308951399034</v>
      </c>
      <c r="EN54" s="234">
        <v>136.98464440861383</v>
      </c>
      <c r="EO54" s="234">
        <v>3572.5494924377672</v>
      </c>
      <c r="EP54" s="236">
        <v>8841.9032742135842</v>
      </c>
      <c r="EQ54" s="234">
        <v>1816.0577025550676</v>
      </c>
      <c r="ER54" s="234">
        <v>465.36333022176763</v>
      </c>
      <c r="ES54" s="241">
        <v>6966.487403630591</v>
      </c>
      <c r="ET54" s="250">
        <v>6899.4508677374179</v>
      </c>
      <c r="EU54" s="250">
        <v>62.483110813637239</v>
      </c>
      <c r="EV54" s="250">
        <v>0</v>
      </c>
      <c r="EW54" s="250">
        <v>4.5534250795363169</v>
      </c>
      <c r="EX54" s="241">
        <v>0</v>
      </c>
      <c r="EY54" s="266"/>
      <c r="EZ54" s="234">
        <v>76863.298097690596</v>
      </c>
      <c r="FA54" s="234">
        <v>920.76868506396033</v>
      </c>
      <c r="FB54" s="234">
        <v>11718.146025797239</v>
      </c>
      <c r="FC54" s="309">
        <v>8977.2927189376624</v>
      </c>
      <c r="FD54" s="234">
        <v>7990.0339677145257</v>
      </c>
      <c r="FE54" s="275">
        <v>0.65890632404072336</v>
      </c>
      <c r="FF54" s="234">
        <v>37009.357735492405</v>
      </c>
      <c r="FG54" s="234">
        <v>19158.501617463291</v>
      </c>
      <c r="FH54" s="250">
        <v>6521.0106500159536</v>
      </c>
      <c r="FI54" s="250">
        <v>1618.2366796552124</v>
      </c>
      <c r="FJ54" s="320">
        <v>2291.890623366613</v>
      </c>
      <c r="FK54" s="250">
        <v>8727.616632485493</v>
      </c>
      <c r="FL54" s="257">
        <v>-6521.0106500159536</v>
      </c>
      <c r="FM54" s="250">
        <v>-6367.2060695516166</v>
      </c>
      <c r="FN54" s="250">
        <v>-149.25115538480151</v>
      </c>
      <c r="FO54" s="250">
        <v>0</v>
      </c>
      <c r="FP54" s="250">
        <v>-4.5534250795363169</v>
      </c>
      <c r="FQ54" s="241">
        <v>680.86068923209154</v>
      </c>
      <c r="FR54" s="234">
        <v>10396.252482589167</v>
      </c>
      <c r="FS54" s="234">
        <v>1560.3777956260788</v>
      </c>
      <c r="FT54" s="388">
        <v>0</v>
      </c>
      <c r="FV54" s="234">
        <v>11737.61148943755</v>
      </c>
      <c r="FW54" s="234">
        <v>1042.3748817866663</v>
      </c>
      <c r="FX54" s="234">
        <v>1101.9961753646105</v>
      </c>
      <c r="FY54" s="234">
        <v>173.53608914232851</v>
      </c>
      <c r="FZ54" s="234">
        <v>8021.3642137231709</v>
      </c>
      <c r="GA54" s="234">
        <v>2440.7150112074396</v>
      </c>
      <c r="GB54" s="241">
        <v>-671.3772311716325</v>
      </c>
      <c r="GC54" s="250">
        <v>-671.3772311716325</v>
      </c>
      <c r="GD54" s="250">
        <v>0</v>
      </c>
      <c r="GE54" s="250">
        <v>0</v>
      </c>
      <c r="GF54" s="250">
        <v>0</v>
      </c>
      <c r="GG54" s="257">
        <v>-671.3772311716325</v>
      </c>
      <c r="GH54" s="250">
        <v>-671.3772311716325</v>
      </c>
      <c r="GI54" s="250">
        <v>0</v>
      </c>
      <c r="GJ54" s="250">
        <v>0</v>
      </c>
      <c r="GK54" s="250">
        <v>0</v>
      </c>
      <c r="GL54" s="388">
        <v>0</v>
      </c>
      <c r="GN54" s="236">
        <v>225.64750949702176</v>
      </c>
      <c r="GO54" s="236">
        <v>0</v>
      </c>
      <c r="GP54" s="254">
        <v>225.64750949702176</v>
      </c>
      <c r="GQ54" s="236">
        <v>138.8794649258576</v>
      </c>
      <c r="GR54" s="236">
        <v>87.021012631138504</v>
      </c>
      <c r="GT54" s="236">
        <v>125517.97239427283</v>
      </c>
      <c r="GU54" s="236">
        <v>15638.781133013263</v>
      </c>
      <c r="GV54" s="236">
        <v>10966.886510635059</v>
      </c>
      <c r="GW54" s="236">
        <v>68814.342469230527</v>
      </c>
      <c r="GX54" s="236">
        <v>30097.962281393986</v>
      </c>
      <c r="GY54" s="271"/>
      <c r="GZ54" s="295"/>
      <c r="HB54" s="234">
        <v>21518.799999999999</v>
      </c>
      <c r="HC54" s="234">
        <v>3806.4</v>
      </c>
      <c r="HD54" s="234">
        <v>9628.976234859465</v>
      </c>
      <c r="HE54" s="234">
        <v>5247.573326092599</v>
      </c>
      <c r="HG54" s="234">
        <v>18321.599999999999</v>
      </c>
      <c r="HI54" s="234">
        <v>48017.385272070307</v>
      </c>
      <c r="HJ54" s="234">
        <v>31300.986814768024</v>
      </c>
      <c r="HK54" s="250">
        <v>35817.70491440683</v>
      </c>
      <c r="HL54" s="250">
        <v>-4516.718099638807</v>
      </c>
      <c r="HM54" s="250">
        <v>0</v>
      </c>
      <c r="HN54" s="250"/>
      <c r="HO54" s="267">
        <v>12529.165468543106</v>
      </c>
      <c r="HP54" s="267">
        <v>28876.147884884456</v>
      </c>
      <c r="HQ54" s="322">
        <v>5309.4778031808873</v>
      </c>
      <c r="HR54" s="322">
        <v>23566.923049763544</v>
      </c>
      <c r="HS54" s="321">
        <v>0</v>
      </c>
      <c r="HU54" s="234">
        <v>1528.6</v>
      </c>
      <c r="HV54" s="236">
        <v>-5225.1603783129067</v>
      </c>
      <c r="HW54" s="310">
        <v>2234.1465995756644</v>
      </c>
      <c r="HX54" s="310">
        <v>-10712.729197217268</v>
      </c>
      <c r="HY54" s="250">
        <v>3253.4222193286982</v>
      </c>
      <c r="IA54" s="234">
        <v>6418.3</v>
      </c>
      <c r="IB54" s="234">
        <v>586.70000000000005</v>
      </c>
      <c r="IC54" s="234">
        <v>17720.412601195501</v>
      </c>
      <c r="ID54" s="236">
        <v>8727.616632485493</v>
      </c>
      <c r="IE54" s="310">
        <v>470.21130151975325</v>
      </c>
      <c r="IF54" s="310">
        <v>7179.7880066767229</v>
      </c>
      <c r="IG54" s="326">
        <v>1077.6173242890163</v>
      </c>
      <c r="IH54" s="310">
        <v>28274.080511650285</v>
      </c>
      <c r="II54" s="310">
        <v>-16293.041659836093</v>
      </c>
      <c r="IJ54" s="250">
        <v>-3253.4222193286982</v>
      </c>
      <c r="IL54" s="234">
        <v>-592.47780766091523</v>
      </c>
      <c r="IM54" s="248">
        <v>1077.6173242890163</v>
      </c>
      <c r="IN54" s="248">
        <v>-1670.0951319499316</v>
      </c>
      <c r="IO54" s="257">
        <v>-1604.0704682966548</v>
      </c>
      <c r="IP54" s="250">
        <v>0</v>
      </c>
      <c r="IQ54" s="250">
        <v>225.64750949702176</v>
      </c>
      <c r="IR54" s="258">
        <v>-291.67217315029853</v>
      </c>
      <c r="IS54" s="257">
        <v>0</v>
      </c>
      <c r="IT54" s="250">
        <v>1669.8421638899572</v>
      </c>
      <c r="IU54" s="271"/>
      <c r="IV54" s="295"/>
      <c r="IX54" s="350">
        <v>0.11119651754172856</v>
      </c>
      <c r="IY54" s="351">
        <v>6.8502152640319836E-3</v>
      </c>
      <c r="IZ54" s="360">
        <v>0.10434630227769658</v>
      </c>
      <c r="JI54" s="361">
        <v>712.40000000000009</v>
      </c>
      <c r="JJ54" s="370">
        <v>639.70000000000005</v>
      </c>
      <c r="JK54" s="370">
        <v>72.7</v>
      </c>
      <c r="JL54" s="370">
        <v>7493.8</v>
      </c>
      <c r="JM54" s="370">
        <v>8206.2000000000007</v>
      </c>
      <c r="JO54" s="361">
        <v>5218.1000000000004</v>
      </c>
      <c r="JP54" s="361">
        <v>91.220000000000255</v>
      </c>
      <c r="JQ54" s="377">
        <v>5126.88</v>
      </c>
      <c r="JR54" s="363">
        <v>4335.2850600000002</v>
      </c>
      <c r="JS54" s="366">
        <v>2308.34</v>
      </c>
      <c r="JT54" s="366">
        <v>670.02</v>
      </c>
      <c r="JU54" s="366">
        <v>487.4</v>
      </c>
      <c r="JV54" s="366">
        <v>272.68</v>
      </c>
      <c r="JW54" s="363">
        <v>791.59493999999995</v>
      </c>
      <c r="JX54" s="371">
        <v>83.104939999999999</v>
      </c>
      <c r="JY54" s="366">
        <v>708.49</v>
      </c>
      <c r="KA54" s="428">
        <v>4186.8999999999996</v>
      </c>
      <c r="KL54" s="409"/>
      <c r="KM54" s="388"/>
      <c r="KW54" s="409"/>
      <c r="LI54" s="416"/>
      <c r="LJ54" s="388">
        <v>1862.53</v>
      </c>
      <c r="LV54" s="421"/>
      <c r="MF54" s="422"/>
      <c r="MG54" s="425"/>
      <c r="NC54" s="421"/>
      <c r="NM54" s="422"/>
    </row>
    <row r="55" spans="1:393">
      <c r="A55" s="240">
        <v>1995</v>
      </c>
      <c r="B55" s="269">
        <v>121121</v>
      </c>
      <c r="C55" s="250">
        <v>35174</v>
      </c>
      <c r="D55" s="250">
        <v>85947</v>
      </c>
      <c r="E55" s="234">
        <v>68065</v>
      </c>
      <c r="F55" s="274">
        <v>4.5</v>
      </c>
      <c r="G55" s="275">
        <v>0.34114751771960033</v>
      </c>
      <c r="H55" s="275">
        <v>0.65885248228039961</v>
      </c>
      <c r="I55" s="234">
        <v>79800.871506284282</v>
      </c>
      <c r="K55" s="234">
        <v>6868</v>
      </c>
      <c r="L55" s="234">
        <v>1251</v>
      </c>
      <c r="M55" s="234">
        <v>5772</v>
      </c>
      <c r="N55" s="234">
        <v>4319</v>
      </c>
      <c r="O55" s="234">
        <v>3077</v>
      </c>
      <c r="P55" s="234">
        <v>3701</v>
      </c>
      <c r="R55" s="295"/>
      <c r="S55" s="334"/>
      <c r="T55" s="239">
        <v>2.1123214608320304</v>
      </c>
      <c r="U55" s="240"/>
      <c r="V55" s="295"/>
      <c r="X55" s="294">
        <v>8.3510000000000009</v>
      </c>
      <c r="Y55" s="294">
        <v>2.7280030050000001</v>
      </c>
      <c r="AA55" s="295"/>
      <c r="AC55" s="234">
        <v>3474.28</v>
      </c>
      <c r="AD55" s="234">
        <v>938.22</v>
      </c>
      <c r="AE55" s="234">
        <v>0</v>
      </c>
      <c r="AF55" s="234">
        <v>150.32</v>
      </c>
      <c r="AG55" s="239">
        <v>4.3266518530458105E-2</v>
      </c>
      <c r="AH55" s="239">
        <v>-0.24794296305393632</v>
      </c>
      <c r="AJ55" s="234">
        <v>1510.86</v>
      </c>
      <c r="AK55" s="234">
        <v>496.96</v>
      </c>
      <c r="AL55" s="242">
        <v>3300.3</v>
      </c>
      <c r="AO55" s="313">
        <v>0</v>
      </c>
      <c r="AP55" s="241">
        <v>300.8</v>
      </c>
      <c r="AQ55" s="234">
        <v>336.3</v>
      </c>
      <c r="AR55" s="234">
        <v>646.61</v>
      </c>
      <c r="AT55" s="234">
        <v>7885.3</v>
      </c>
      <c r="AV55" s="295"/>
      <c r="AX55" s="234">
        <v>59810.529211331406</v>
      </c>
      <c r="AY55" s="234">
        <v>60793.729211331403</v>
      </c>
      <c r="AZ55" s="234">
        <v>61519.052569381412</v>
      </c>
      <c r="BA55" s="234">
        <v>62502.25256938141</v>
      </c>
      <c r="BB55" s="234">
        <v>-983.19999999999709</v>
      </c>
      <c r="BC55" s="234">
        <v>59448.076569999997</v>
      </c>
      <c r="BD55" s="234">
        <v>59810.529211331406</v>
      </c>
      <c r="BE55" s="234">
        <v>60793.729211331403</v>
      </c>
      <c r="BF55" s="234">
        <v>53533.068857347258</v>
      </c>
      <c r="BG55" s="234">
        <v>113079.05021157343</v>
      </c>
      <c r="BH55" s="234">
        <v>14170.152289961959</v>
      </c>
      <c r="BJ55" s="236">
        <v>60793.729211331403</v>
      </c>
      <c r="BK55" s="236">
        <v>62502.25256938141</v>
      </c>
      <c r="BL55" s="234">
        <v>12135.81140421533</v>
      </c>
      <c r="BM55" s="234">
        <v>28679.45750448529</v>
      </c>
      <c r="BN55" s="250">
        <v>24950.610900805903</v>
      </c>
      <c r="BO55" s="250">
        <v>3728.8466036793857</v>
      </c>
      <c r="BP55" s="234">
        <v>19978.460302630781</v>
      </c>
      <c r="BQ55" s="234">
        <v>21686.983660680784</v>
      </c>
      <c r="BR55" s="250">
        <v>3244.2970613609905</v>
      </c>
      <c r="BS55" s="250">
        <v>4778.6127586246885</v>
      </c>
      <c r="BT55" s="250">
        <v>1200.1010452002436</v>
      </c>
      <c r="BU55" s="250">
        <v>2798.5029984323178</v>
      </c>
      <c r="BV55" s="250">
        <v>2354.0144374946553</v>
      </c>
      <c r="BW55" s="250">
        <v>4062.5377955446588</v>
      </c>
      <c r="BX55" s="250">
        <v>5602.9320015178873</v>
      </c>
      <c r="BY55" s="236"/>
      <c r="BZ55" s="236">
        <v>57535.196217475204</v>
      </c>
      <c r="CA55" s="234">
        <v>29596.801262119217</v>
      </c>
      <c r="CB55" s="234">
        <v>7457.0934377850645</v>
      </c>
      <c r="CC55" s="234">
        <v>7056.7614172323656</v>
      </c>
      <c r="CD55" s="234">
        <v>13424.540100338558</v>
      </c>
      <c r="CF55" s="234">
        <v>63216.899999999994</v>
      </c>
      <c r="CG55" s="234">
        <v>64925.42335805</v>
      </c>
      <c r="CH55" s="234">
        <v>2423.1707886685908</v>
      </c>
      <c r="CI55" s="234">
        <v>28369.7</v>
      </c>
      <c r="CJ55" s="234">
        <v>29638.371049915771</v>
      </c>
      <c r="CK55" s="234">
        <v>8378.5</v>
      </c>
      <c r="CL55" s="234">
        <v>8818.3523081342337</v>
      </c>
      <c r="CM55" s="234">
        <v>25470.1</v>
      </c>
      <c r="CN55" s="250">
        <v>20885</v>
      </c>
      <c r="CO55" s="250">
        <v>4585.1000000000004</v>
      </c>
      <c r="CP55" s="234">
        <v>998.6</v>
      </c>
      <c r="CQ55" s="271"/>
      <c r="CR55" s="295"/>
      <c r="CT55" s="234">
        <v>7595.7481799999996</v>
      </c>
      <c r="CU55" s="239">
        <v>0.12777113437902438</v>
      </c>
      <c r="CV55" s="239">
        <v>0.12777113437902435</v>
      </c>
      <c r="CX55" s="234">
        <v>7985.9837120341517</v>
      </c>
      <c r="CY55" s="234">
        <v>16868.96478078478</v>
      </c>
      <c r="CZ55" s="234">
        <v>7457.0934377850645</v>
      </c>
      <c r="DA55" s="307">
        <v>60731330664.666237</v>
      </c>
      <c r="DB55" s="234">
        <v>5071.6734238062782</v>
      </c>
      <c r="DD55" s="234">
        <v>4062.3804324775383</v>
      </c>
      <c r="DE55" s="262">
        <v>2407.4802051996958</v>
      </c>
      <c r="DF55" s="252">
        <v>1197.9901760376397</v>
      </c>
      <c r="DG55" s="252">
        <v>1209.4900291620563</v>
      </c>
      <c r="DH55" s="234">
        <v>607.14406342857899</v>
      </c>
      <c r="DI55" s="250">
        <v>440.35847756027505</v>
      </c>
      <c r="DJ55" s="258">
        <v>166.78558586830394</v>
      </c>
      <c r="DK55" s="241">
        <v>856.39108140120948</v>
      </c>
      <c r="DL55" s="252">
        <v>856.39108140120948</v>
      </c>
      <c r="DM55" s="258">
        <v>0</v>
      </c>
      <c r="DN55" s="234">
        <v>12997.949430755296</v>
      </c>
      <c r="DO55" s="252">
        <v>798.50914587663272</v>
      </c>
      <c r="DP55" s="250">
        <v>12199.440284878663</v>
      </c>
      <c r="DQ55" s="257">
        <v>16868.96478078478</v>
      </c>
      <c r="DS55" s="295"/>
      <c r="DT55" s="295"/>
      <c r="DU55">
        <f t="shared" si="0"/>
        <v>0.7</v>
      </c>
      <c r="DV55">
        <f t="shared" si="1"/>
        <v>0.95</v>
      </c>
      <c r="DW55" s="318">
        <v>3608.9505555418295</v>
      </c>
      <c r="DX55" s="234">
        <v>5735.7347225528247</v>
      </c>
      <c r="DZ55" s="309">
        <v>1444.4881231198174</v>
      </c>
      <c r="EA55" s="234">
        <v>4291.2465994330078</v>
      </c>
      <c r="EB55" s="234">
        <v>2407.4802051996958</v>
      </c>
      <c r="EC55" s="234">
        <v>0</v>
      </c>
      <c r="ED55" s="234">
        <v>0</v>
      </c>
      <c r="EE55" s="234">
        <v>1883.766394233312</v>
      </c>
      <c r="EF55" s="241">
        <v>23071.261386360729</v>
      </c>
      <c r="EG55" s="234">
        <v>440.35847756027505</v>
      </c>
      <c r="EH55" s="234">
        <v>0</v>
      </c>
      <c r="EI55" s="234">
        <v>22630.902908800454</v>
      </c>
      <c r="EJ55" s="234">
        <v>0</v>
      </c>
      <c r="EK55" s="234">
        <v>15841.632036160316</v>
      </c>
      <c r="EL55" s="242">
        <v>6789.2708726401361</v>
      </c>
      <c r="EM55" s="234">
        <v>10477.616779014566</v>
      </c>
      <c r="EN55" s="234">
        <v>166.78558586830394</v>
      </c>
      <c r="EO55" s="234">
        <v>3215.8849502324374</v>
      </c>
      <c r="EP55" s="236">
        <v>8184.507218709573</v>
      </c>
      <c r="EQ55" s="234">
        <v>1695.560436609871</v>
      </c>
      <c r="ER55" s="234">
        <v>430.76353782681963</v>
      </c>
      <c r="ES55" s="241">
        <v>6240.0088274439013</v>
      </c>
      <c r="ET55" s="250">
        <v>6170.7246835286096</v>
      </c>
      <c r="EU55" s="250">
        <v>65.059500993626543</v>
      </c>
      <c r="EV55" s="250">
        <v>0</v>
      </c>
      <c r="EW55" s="250">
        <v>4.2246429216640609</v>
      </c>
      <c r="EX55" s="241">
        <v>0</v>
      </c>
      <c r="EY55" s="266"/>
      <c r="EZ55" s="234">
        <v>83163.937734924271</v>
      </c>
      <c r="FA55" s="234">
        <v>796.07469124007366</v>
      </c>
      <c r="FB55" s="234">
        <v>12997.949430755296</v>
      </c>
      <c r="FC55" s="309">
        <v>8733.7977794787148</v>
      </c>
      <c r="FD55" s="234">
        <v>7366.9500914212722</v>
      </c>
      <c r="FE55" s="275">
        <v>0.64471413187814708</v>
      </c>
      <c r="FF55" s="234">
        <v>39606.201383498614</v>
      </c>
      <c r="FG55" s="234">
        <v>21825.989141191647</v>
      </c>
      <c r="FH55" s="250">
        <v>7528.9473828436057</v>
      </c>
      <c r="FI55" s="250">
        <v>1591.0005242986854</v>
      </c>
      <c r="FJ55" s="320">
        <v>2549.3607710781771</v>
      </c>
      <c r="FK55" s="250">
        <v>10156.469230825092</v>
      </c>
      <c r="FL55" s="257">
        <v>-7528.9473828436057</v>
      </c>
      <c r="FM55" s="250">
        <v>-5704.3241049768985</v>
      </c>
      <c r="FN55" s="250">
        <v>-1820.6098670911269</v>
      </c>
      <c r="FO55" s="250">
        <v>0</v>
      </c>
      <c r="FP55" s="250">
        <v>-4.435875067747264</v>
      </c>
      <c r="FQ55" s="241">
        <v>773.48092394248818</v>
      </c>
      <c r="FR55" s="234">
        <v>11652.919470594283</v>
      </c>
      <c r="FS55" s="234">
        <v>1870.6413638112701</v>
      </c>
      <c r="FT55" s="388">
        <v>0</v>
      </c>
      <c r="FV55" s="234">
        <v>11020.725249193471</v>
      </c>
      <c r="FW55" s="234">
        <v>929.10947006844424</v>
      </c>
      <c r="FX55" s="234">
        <v>856.39108140120948</v>
      </c>
      <c r="FY55" s="234">
        <v>161.17012746148393</v>
      </c>
      <c r="FZ55" s="234">
        <v>7871.5659237905611</v>
      </c>
      <c r="GA55" s="234">
        <v>2131.5981165402163</v>
      </c>
      <c r="GB55" s="241">
        <v>-787.89590489034731</v>
      </c>
      <c r="GC55" s="250">
        <v>-787.89590489034731</v>
      </c>
      <c r="GD55" s="250">
        <v>0</v>
      </c>
      <c r="GE55" s="250">
        <v>0</v>
      </c>
      <c r="GF55" s="250">
        <v>0</v>
      </c>
      <c r="GG55" s="257">
        <v>-787.89590489034731</v>
      </c>
      <c r="GH55" s="250">
        <v>-787.89590489034731</v>
      </c>
      <c r="GI55" s="250">
        <v>0</v>
      </c>
      <c r="GJ55" s="250">
        <v>0</v>
      </c>
      <c r="GK55" s="250">
        <v>0</v>
      </c>
      <c r="GL55" s="388">
        <v>0</v>
      </c>
      <c r="GN55" s="236">
        <v>2076.8344602900524</v>
      </c>
      <c r="GO55" s="236">
        <v>0</v>
      </c>
      <c r="GP55" s="254">
        <v>2076.8344602900524</v>
      </c>
      <c r="GQ55" s="236">
        <v>321.49532633863515</v>
      </c>
      <c r="GR55" s="236">
        <v>1755.5503660975005</v>
      </c>
      <c r="GT55" s="236">
        <v>132024.78774892606</v>
      </c>
      <c r="GU55" s="236">
        <v>16868.96478078478</v>
      </c>
      <c r="GV55" s="236">
        <v>10590.52834355007</v>
      </c>
      <c r="GW55" s="236">
        <v>71503.906562159071</v>
      </c>
      <c r="GX55" s="236">
        <v>33061.388062432132</v>
      </c>
      <c r="GY55" s="271"/>
      <c r="GZ55" s="295"/>
      <c r="HB55" s="234">
        <v>29662.3</v>
      </c>
      <c r="HC55" s="234">
        <v>4736.6899999999996</v>
      </c>
      <c r="HD55" s="234">
        <v>10005.41194030847</v>
      </c>
      <c r="HE55" s="234">
        <v>5943.0315078309313</v>
      </c>
      <c r="HG55" s="234">
        <v>23046.9</v>
      </c>
      <c r="HI55" s="234">
        <v>48967.836105008129</v>
      </c>
      <c r="HJ55" s="234">
        <v>30769.987225359731</v>
      </c>
      <c r="HK55" s="250">
        <v>36932.074058753118</v>
      </c>
      <c r="HL55" s="250">
        <v>-6162.0868333933868</v>
      </c>
      <c r="HM55" s="250">
        <v>0</v>
      </c>
      <c r="HN55" s="250"/>
      <c r="HO55" s="267">
        <v>14170.410428384073</v>
      </c>
      <c r="HP55" s="267">
        <v>26917.83778804541</v>
      </c>
      <c r="HQ55" s="322">
        <v>5772.6330084329711</v>
      </c>
      <c r="HR55" s="322">
        <v>21145.204779612439</v>
      </c>
      <c r="HS55" s="321">
        <v>0</v>
      </c>
      <c r="HU55" s="234">
        <v>1537.6</v>
      </c>
      <c r="HV55" s="236">
        <v>-4975.4356946471516</v>
      </c>
      <c r="HW55" s="310">
        <v>2446.6459869018363</v>
      </c>
      <c r="HX55" s="310">
        <v>-10798.205072396822</v>
      </c>
      <c r="HY55" s="250">
        <v>3376.1233908478343</v>
      </c>
      <c r="IA55" s="234">
        <v>8840.2000000000007</v>
      </c>
      <c r="IB55" s="234">
        <v>882.3</v>
      </c>
      <c r="IC55" s="234">
        <v>20537.045402939417</v>
      </c>
      <c r="ID55" s="236">
        <v>10156.469230825092</v>
      </c>
      <c r="IE55" s="310">
        <v>549.47277467837171</v>
      </c>
      <c r="IF55" s="310">
        <v>8278.112357283102</v>
      </c>
      <c r="IG55" s="326">
        <v>1328.884098863618</v>
      </c>
      <c r="IH55" s="310">
        <v>28712.583831272226</v>
      </c>
      <c r="II55" s="310">
        <v>-15180.202441745383</v>
      </c>
      <c r="IJ55" s="250">
        <v>-3375.9121587017512</v>
      </c>
      <c r="IL55" s="234">
        <v>1043.2982373591276</v>
      </c>
      <c r="IM55" s="248">
        <v>1328.884098863618</v>
      </c>
      <c r="IN55" s="248">
        <v>-285.58586150449025</v>
      </c>
      <c r="IO55" s="257">
        <v>-2109.3642107868654</v>
      </c>
      <c r="IP55" s="250">
        <v>0</v>
      </c>
      <c r="IQ55" s="250">
        <v>2076.8344602900524</v>
      </c>
      <c r="IR55" s="258">
        <v>-253.05611100767723</v>
      </c>
      <c r="IS55" s="257">
        <v>0</v>
      </c>
      <c r="IT55" s="250">
        <v>285.37462935840728</v>
      </c>
      <c r="IU55" s="271"/>
      <c r="IV55" s="295"/>
      <c r="IX55" s="350">
        <v>0.10392790535442263</v>
      </c>
      <c r="IY55" s="351">
        <v>7.5929063272637543E-3</v>
      </c>
      <c r="IZ55" s="360">
        <v>9.6334999027158877E-2</v>
      </c>
      <c r="JI55" s="361">
        <v>884.7</v>
      </c>
      <c r="JJ55" s="370">
        <v>753.2</v>
      </c>
      <c r="JK55" s="370">
        <v>131.5</v>
      </c>
      <c r="JL55" s="370">
        <v>8501.2999999999993</v>
      </c>
      <c r="JM55" s="370">
        <v>9386</v>
      </c>
      <c r="JO55" s="361">
        <v>6242.2</v>
      </c>
      <c r="JP55" s="361">
        <v>204.15999999999985</v>
      </c>
      <c r="JQ55" s="377">
        <v>6038.04</v>
      </c>
      <c r="JR55" s="363">
        <v>5013.6915900000004</v>
      </c>
      <c r="JS55" s="366">
        <v>2602.33</v>
      </c>
      <c r="JT55" s="366">
        <v>865.56</v>
      </c>
      <c r="JU55" s="366">
        <v>541.48</v>
      </c>
      <c r="JV55" s="366">
        <v>291.83</v>
      </c>
      <c r="JW55" s="363">
        <v>1024.3484100000001</v>
      </c>
      <c r="JX55" s="371">
        <v>145.90841</v>
      </c>
      <c r="JY55" s="366">
        <v>878.44</v>
      </c>
      <c r="KA55" s="428">
        <v>4881.51</v>
      </c>
      <c r="KL55" s="409"/>
      <c r="KM55" s="388"/>
      <c r="KW55" s="409"/>
      <c r="LI55" s="416"/>
      <c r="LJ55" s="388">
        <v>2406.5</v>
      </c>
      <c r="LV55" s="421"/>
      <c r="MF55" s="422"/>
      <c r="MG55" s="425"/>
      <c r="NC55" s="421"/>
      <c r="NM55" s="422"/>
    </row>
    <row r="56" spans="1:393">
      <c r="A56" s="240">
        <v>1996</v>
      </c>
      <c r="B56" s="269">
        <v>122389</v>
      </c>
      <c r="C56" s="250">
        <v>37304</v>
      </c>
      <c r="D56" s="250">
        <v>85085</v>
      </c>
      <c r="E56" s="234">
        <v>68950</v>
      </c>
      <c r="F56" s="274">
        <v>4.4000000000000004</v>
      </c>
      <c r="G56" s="275">
        <v>0.33047567769688574</v>
      </c>
      <c r="H56" s="275">
        <v>0.66952432230311421</v>
      </c>
      <c r="I56" s="234">
        <v>81942.412282355843</v>
      </c>
      <c r="K56" s="234">
        <v>6961</v>
      </c>
      <c r="L56" s="234">
        <v>1259</v>
      </c>
      <c r="M56" s="234">
        <v>5825</v>
      </c>
      <c r="N56" s="234">
        <v>4343</v>
      </c>
      <c r="O56" s="234">
        <v>3109</v>
      </c>
      <c r="P56" s="234">
        <v>3728</v>
      </c>
      <c r="R56" s="295"/>
      <c r="S56" s="334"/>
      <c r="T56" s="239">
        <v>1.9125929264058881</v>
      </c>
      <c r="U56" s="240"/>
      <c r="V56" s="295"/>
      <c r="X56" s="294">
        <v>8.3141999999999996</v>
      </c>
      <c r="Y56" s="294">
        <v>2.8535447340000002</v>
      </c>
      <c r="AA56" s="295"/>
      <c r="AC56" s="234">
        <v>9842.39</v>
      </c>
      <c r="AD56" s="234">
        <v>2867.03</v>
      </c>
      <c r="AE56" s="234">
        <v>0</v>
      </c>
      <c r="AF56" s="234">
        <v>425.08</v>
      </c>
      <c r="AG56" s="239">
        <v>4.318869705427239E-2</v>
      </c>
      <c r="AH56" s="239">
        <v>1.4542826900750405</v>
      </c>
      <c r="AJ56" s="234">
        <v>1847.77</v>
      </c>
      <c r="AK56" s="234">
        <v>786.64</v>
      </c>
      <c r="AL56" s="242">
        <v>4361.43</v>
      </c>
      <c r="AO56" s="313">
        <v>0</v>
      </c>
      <c r="AP56" s="241">
        <v>268.92</v>
      </c>
      <c r="AQ56" s="234">
        <v>317.8</v>
      </c>
      <c r="AR56" s="234">
        <v>597.73</v>
      </c>
      <c r="AT56" s="234">
        <v>8802</v>
      </c>
      <c r="AV56" s="295"/>
      <c r="AX56" s="234">
        <v>70142.491653987119</v>
      </c>
      <c r="AY56" s="234">
        <v>71176.591653987125</v>
      </c>
      <c r="AZ56" s="234">
        <v>72342.72680605897</v>
      </c>
      <c r="BA56" s="234">
        <v>73376.826806058976</v>
      </c>
      <c r="BB56" s="234">
        <v>-1034.1000000000058</v>
      </c>
      <c r="BD56" s="234">
        <v>70142.491653987119</v>
      </c>
      <c r="BE56" s="234">
        <v>71176.591653987125</v>
      </c>
      <c r="BF56" s="234">
        <v>62657.402639717388</v>
      </c>
      <c r="BG56" s="234">
        <v>119838.10507568909</v>
      </c>
      <c r="BH56" s="234">
        <v>14624.673809059082</v>
      </c>
      <c r="BJ56" s="236">
        <v>71176.591653987125</v>
      </c>
      <c r="BK56" s="236">
        <v>73376.826806058976</v>
      </c>
      <c r="BL56" s="234">
        <v>14015.389992483675</v>
      </c>
      <c r="BM56" s="234">
        <v>33834.959013514926</v>
      </c>
      <c r="BN56" s="250">
        <v>29447.607077639845</v>
      </c>
      <c r="BO56" s="250">
        <v>4387.3519358750846</v>
      </c>
      <c r="BP56" s="234">
        <v>23326.242647988525</v>
      </c>
      <c r="BQ56" s="234">
        <v>25526.477800060376</v>
      </c>
      <c r="BR56" s="250">
        <v>3782.1591095202252</v>
      </c>
      <c r="BS56" s="250">
        <v>5599.655007746951</v>
      </c>
      <c r="BT56" s="250">
        <v>1336.8322570311548</v>
      </c>
      <c r="BU56" s="250">
        <v>3211.6850454371024</v>
      </c>
      <c r="BV56" s="250">
        <v>2617.5626836701399</v>
      </c>
      <c r="BW56" s="250">
        <v>4817.7978357419925</v>
      </c>
      <c r="BX56" s="250">
        <v>6778.3485445829556</v>
      </c>
      <c r="BY56" s="236"/>
      <c r="BZ56" s="236">
        <v>67764.150394860058</v>
      </c>
      <c r="CA56" s="234">
        <v>34703.640901346858</v>
      </c>
      <c r="CB56" s="234">
        <v>8634.1655510243672</v>
      </c>
      <c r="CC56" s="234">
        <v>8736.667145888583</v>
      </c>
      <c r="CD56" s="234">
        <v>15689.676796600246</v>
      </c>
      <c r="CF56" s="234">
        <v>74163.599999999991</v>
      </c>
      <c r="CG56" s="234">
        <v>76363.835152071857</v>
      </c>
      <c r="CH56" s="234">
        <v>2987.0083460128808</v>
      </c>
      <c r="CI56" s="234">
        <v>33955.9</v>
      </c>
      <c r="CJ56" s="234">
        <v>35646.906003997894</v>
      </c>
      <c r="CK56" s="234">
        <v>9963.6</v>
      </c>
      <c r="CL56" s="234">
        <v>10472.829148073963</v>
      </c>
      <c r="CM56" s="234">
        <v>28784.9</v>
      </c>
      <c r="CN56" s="250">
        <v>24048.1</v>
      </c>
      <c r="CO56" s="250">
        <v>4736.8</v>
      </c>
      <c r="CP56" s="234">
        <v>1459.2</v>
      </c>
      <c r="CQ56" s="271"/>
      <c r="CR56" s="295"/>
      <c r="CV56" s="308">
        <v>0.13199431738770462</v>
      </c>
      <c r="CX56" s="234">
        <v>9685.3241663415811</v>
      </c>
      <c r="CY56" s="234">
        <v>18524.082490492914</v>
      </c>
      <c r="CZ56" s="234">
        <v>8634.1655510243672</v>
      </c>
      <c r="DA56" s="307">
        <v>73374477929.308655</v>
      </c>
      <c r="DB56" s="234">
        <v>6100.5008439985804</v>
      </c>
      <c r="DD56" s="234">
        <v>4296.6475524207126</v>
      </c>
      <c r="DE56" s="262">
        <v>2833.4740430026259</v>
      </c>
      <c r="DF56" s="252">
        <v>1462.3973107165575</v>
      </c>
      <c r="DG56" s="252">
        <v>1371.0767322860686</v>
      </c>
      <c r="DH56" s="234">
        <v>634.63696352642989</v>
      </c>
      <c r="DI56" s="250">
        <v>443.14054313839233</v>
      </c>
      <c r="DJ56" s="258">
        <v>191.49642038803756</v>
      </c>
      <c r="DK56" s="241">
        <v>761.09227048503851</v>
      </c>
      <c r="DL56" s="252">
        <v>761.09227048503851</v>
      </c>
      <c r="DM56" s="258">
        <v>0</v>
      </c>
      <c r="DN56" s="234">
        <v>14294.879213478822</v>
      </c>
      <c r="DO56" s="252">
        <v>702.08123893304855</v>
      </c>
      <c r="DP56" s="250">
        <v>13592.797974545774</v>
      </c>
      <c r="DQ56" s="257">
        <v>18524.082490492918</v>
      </c>
      <c r="DS56" s="295"/>
      <c r="DT56" s="295"/>
      <c r="DU56">
        <f t="shared" si="0"/>
        <v>0.7</v>
      </c>
      <c r="DV56">
        <f t="shared" si="1"/>
        <v>0.94999999999999984</v>
      </c>
      <c r="DW56" s="318">
        <v>4208.1541882822085</v>
      </c>
      <c r="DX56" s="234">
        <v>6954.7633693417883</v>
      </c>
      <c r="DZ56" s="309">
        <v>1700.0844258015754</v>
      </c>
      <c r="EA56" s="234">
        <v>5254.6789435402134</v>
      </c>
      <c r="EB56" s="234">
        <v>2833.4740430026259</v>
      </c>
      <c r="EC56" s="234">
        <v>0</v>
      </c>
      <c r="ED56" s="234">
        <v>0</v>
      </c>
      <c r="EE56" s="234">
        <v>2421.2049005375875</v>
      </c>
      <c r="EF56" s="241">
        <v>24125.162184399735</v>
      </c>
      <c r="EG56" s="234">
        <v>443.14054313839233</v>
      </c>
      <c r="EH56" s="234">
        <v>0</v>
      </c>
      <c r="EI56" s="234">
        <v>23682.021641261341</v>
      </c>
      <c r="EJ56" s="234">
        <v>0</v>
      </c>
      <c r="EK56" s="234">
        <v>16577.415148882938</v>
      </c>
      <c r="EL56" s="242">
        <v>7104.6064923784024</v>
      </c>
      <c r="EM56" s="234">
        <v>13659.673528557403</v>
      </c>
      <c r="EN56" s="234">
        <v>191.49642038803756</v>
      </c>
      <c r="EO56" s="234">
        <v>3620.6249017679947</v>
      </c>
      <c r="EP56" s="236">
        <v>10824.634968164088</v>
      </c>
      <c r="EQ56" s="234">
        <v>2073.8245101019043</v>
      </c>
      <c r="ER56" s="234">
        <v>569.71762990337311</v>
      </c>
      <c r="ES56" s="241">
        <v>7010.0355938628618</v>
      </c>
      <c r="ET56" s="250">
        <v>6888.2034244508059</v>
      </c>
      <c r="EU56" s="250">
        <v>68.853345350611974</v>
      </c>
      <c r="EV56" s="250">
        <v>0</v>
      </c>
      <c r="EW56" s="250">
        <v>52.978824061443099</v>
      </c>
      <c r="EX56" s="241">
        <v>0</v>
      </c>
      <c r="EY56" s="266"/>
      <c r="EZ56" s="234">
        <v>86426.972163803352</v>
      </c>
      <c r="FA56" s="234">
        <v>813.00122121866377</v>
      </c>
      <c r="FB56" s="234">
        <v>14294.879213478822</v>
      </c>
      <c r="FC56" s="309">
        <v>8763.6042600690962</v>
      </c>
      <c r="FD56" s="234">
        <v>9466.2752179686249</v>
      </c>
      <c r="FE56" s="275">
        <v>0.69502256066024881</v>
      </c>
      <c r="FF56" s="234">
        <v>44042.529274671346</v>
      </c>
      <c r="FG56" s="234">
        <v>19325.959415584082</v>
      </c>
      <c r="FH56" s="250">
        <v>8062.3442219713797</v>
      </c>
      <c r="FI56" s="250">
        <v>1552.0691597783782</v>
      </c>
      <c r="FJ56" s="320">
        <v>2710.7179545950653</v>
      </c>
      <c r="FK56" s="250">
        <v>7000.6368199466251</v>
      </c>
      <c r="FL56" s="257">
        <v>-8062.3442219713797</v>
      </c>
      <c r="FM56" s="250">
        <v>-6084.3406174824113</v>
      </c>
      <c r="FN56" s="250">
        <v>-1925.0247804275264</v>
      </c>
      <c r="FO56" s="250">
        <v>0</v>
      </c>
      <c r="FP56" s="250">
        <v>-52.978824061443106</v>
      </c>
      <c r="FQ56" s="241">
        <v>599.23375999380391</v>
      </c>
      <c r="FR56" s="234">
        <v>9006.5180903225282</v>
      </c>
      <c r="FS56" s="234">
        <v>1657.8633432963704</v>
      </c>
      <c r="FT56" s="388">
        <v>0</v>
      </c>
      <c r="FV56" s="234">
        <v>10873.529053602835</v>
      </c>
      <c r="FW56" s="234">
        <v>973.94806652595776</v>
      </c>
      <c r="FX56" s="234">
        <v>761.09227048503851</v>
      </c>
      <c r="FY56" s="234">
        <v>156.45010138000163</v>
      </c>
      <c r="FZ56" s="234">
        <v>6977.1389955286795</v>
      </c>
      <c r="GA56" s="234">
        <v>2978.8476862091156</v>
      </c>
      <c r="GB56" s="241">
        <v>-925.50371708780915</v>
      </c>
      <c r="GC56" s="250">
        <v>-925.50371708780915</v>
      </c>
      <c r="GD56" s="250">
        <v>0</v>
      </c>
      <c r="GE56" s="250">
        <v>0</v>
      </c>
      <c r="GF56" s="250">
        <v>0</v>
      </c>
      <c r="GG56" s="257">
        <v>-925.50371708780915</v>
      </c>
      <c r="GH56" s="250">
        <v>-925.50371708780915</v>
      </c>
      <c r="GI56" s="250">
        <v>0</v>
      </c>
      <c r="GJ56" s="250">
        <v>0</v>
      </c>
      <c r="GK56" s="250">
        <v>0</v>
      </c>
      <c r="GL56" s="388">
        <v>0</v>
      </c>
      <c r="GN56" s="236">
        <v>1977.8123451963286</v>
      </c>
      <c r="GO56" s="236">
        <v>0</v>
      </c>
      <c r="GP56" s="254">
        <v>1977.8123451963286</v>
      </c>
      <c r="GQ56" s="236">
        <v>121.64091011941453</v>
      </c>
      <c r="GR56" s="236">
        <v>1855.9801757842738</v>
      </c>
      <c r="GT56" s="236">
        <v>140340.01587390355</v>
      </c>
      <c r="GU56" s="236">
        <v>18524.082490492918</v>
      </c>
      <c r="GV56" s="236">
        <v>10993.878871551002</v>
      </c>
      <c r="GW56" s="236">
        <v>78421.718387247063</v>
      </c>
      <c r="GX56" s="236">
        <v>32400.336124612561</v>
      </c>
      <c r="GY56" s="271"/>
      <c r="GZ56" s="295"/>
      <c r="HB56" s="234">
        <v>38520.800000000003</v>
      </c>
      <c r="HC56" s="234">
        <v>5198.54</v>
      </c>
      <c r="HD56" s="234">
        <v>9942.690831638065</v>
      </c>
      <c r="HE56" s="234">
        <v>5646.0432792173524</v>
      </c>
      <c r="HG56" s="234">
        <v>25797.9</v>
      </c>
      <c r="HI56" s="234">
        <v>50494.174590749215</v>
      </c>
      <c r="HJ56" s="234">
        <v>30939.685879516277</v>
      </c>
      <c r="HK56" s="250">
        <v>36529.713636807937</v>
      </c>
      <c r="HL56" s="250">
        <v>-5590.2190165843022</v>
      </c>
      <c r="HM56" s="250">
        <v>0</v>
      </c>
      <c r="HN56" s="250"/>
      <c r="HO56" s="267">
        <v>17609.176563267371</v>
      </c>
      <c r="HP56" s="267">
        <v>30211.075528208465</v>
      </c>
      <c r="HQ56" s="322">
        <v>7247.9559008304932</v>
      </c>
      <c r="HR56" s="322">
        <v>22963.119627377964</v>
      </c>
      <c r="HS56" s="321">
        <v>0</v>
      </c>
      <c r="HU56" s="234">
        <v>2606.6999999999998</v>
      </c>
      <c r="HV56" s="236">
        <v>-5241.8115071914353</v>
      </c>
      <c r="HW56" s="310">
        <v>2722.887004255927</v>
      </c>
      <c r="HX56" s="310">
        <v>-12040.242778325668</v>
      </c>
      <c r="HY56" s="250">
        <v>4075.7355261709477</v>
      </c>
      <c r="IA56" s="234">
        <v>8671.9</v>
      </c>
      <c r="IB56" s="234">
        <v>953</v>
      </c>
      <c r="IC56" s="234">
        <v>18408.515657364031</v>
      </c>
      <c r="ID56" s="236">
        <v>7000.6368199466251</v>
      </c>
      <c r="IE56" s="310">
        <v>372.4397408699266</v>
      </c>
      <c r="IF56" s="310">
        <v>5597.7908583366743</v>
      </c>
      <c r="IG56" s="326">
        <v>1030.4062207400243</v>
      </c>
      <c r="IH56" s="310">
        <v>26558.870731721508</v>
      </c>
      <c r="II56" s="310">
        <v>-15482.498385603936</v>
      </c>
      <c r="IJ56" s="250">
        <v>-4075.7355261709477</v>
      </c>
      <c r="IL56" s="234">
        <v>-122.69605459008608</v>
      </c>
      <c r="IM56" s="248">
        <v>1030.4062207400243</v>
      </c>
      <c r="IN56" s="248">
        <v>-1153.1022753301104</v>
      </c>
      <c r="IO56" s="257">
        <v>-2790.8555982114722</v>
      </c>
      <c r="IP56" s="250">
        <v>0</v>
      </c>
      <c r="IQ56" s="250">
        <v>1977.8123451963286</v>
      </c>
      <c r="IR56" s="258">
        <v>-340.05902231496691</v>
      </c>
      <c r="IS56" s="257">
        <v>0</v>
      </c>
      <c r="IT56" s="250">
        <v>1153.2935346227505</v>
      </c>
      <c r="IU56" s="271"/>
      <c r="IV56" s="295"/>
      <c r="IX56" s="350">
        <v>0.10443128434973491</v>
      </c>
      <c r="IY56" s="351">
        <v>1.1056636948583942E-2</v>
      </c>
      <c r="IZ56" s="360">
        <v>9.3374647401150965E-2</v>
      </c>
      <c r="JI56" s="361">
        <v>1004.7</v>
      </c>
      <c r="JJ56" s="370">
        <v>811.5</v>
      </c>
      <c r="JK56" s="370">
        <v>193.2</v>
      </c>
      <c r="JL56" s="370">
        <v>10697.6</v>
      </c>
      <c r="JM56" s="370">
        <v>11702.300000000001</v>
      </c>
      <c r="JO56" s="361">
        <v>7407.99</v>
      </c>
      <c r="JP56" s="361">
        <v>498.17000000000007</v>
      </c>
      <c r="JQ56" s="377">
        <v>6909.82</v>
      </c>
      <c r="JR56" s="363">
        <v>5748.1540999999997</v>
      </c>
      <c r="JS56" s="366">
        <v>2962.81</v>
      </c>
      <c r="JT56" s="366">
        <v>1052.57</v>
      </c>
      <c r="JU56" s="366">
        <v>620.23</v>
      </c>
      <c r="JV56" s="366">
        <v>301.83999999999997</v>
      </c>
      <c r="JW56" s="363">
        <v>1161.6659</v>
      </c>
      <c r="JX56" s="371">
        <v>193.1859</v>
      </c>
      <c r="JY56" s="366">
        <v>968.48</v>
      </c>
      <c r="KA56" s="428">
        <v>5571.88</v>
      </c>
      <c r="KL56" s="409"/>
      <c r="KM56" s="388"/>
      <c r="KW56" s="409"/>
      <c r="LI56" s="416"/>
      <c r="LJ56" s="388">
        <v>3893.34</v>
      </c>
      <c r="LV56" s="421"/>
      <c r="MF56" s="422"/>
      <c r="MG56" s="425"/>
      <c r="NC56" s="421"/>
      <c r="NM56" s="422"/>
      <c r="NZ56" s="361">
        <v>756.36259999999993</v>
      </c>
      <c r="OA56" s="361">
        <v>125.24303999999999</v>
      </c>
      <c r="OB56" s="361">
        <v>0</v>
      </c>
      <c r="OC56" s="361">
        <v>98.103449999999995</v>
      </c>
    </row>
    <row r="57" spans="1:393">
      <c r="A57" s="240">
        <v>1997</v>
      </c>
      <c r="B57" s="269">
        <v>123626</v>
      </c>
      <c r="C57" s="250">
        <v>39449</v>
      </c>
      <c r="D57" s="250">
        <v>84177</v>
      </c>
      <c r="E57" s="234">
        <v>69820</v>
      </c>
      <c r="F57" s="274">
        <v>4.4000000000000004</v>
      </c>
      <c r="G57" s="275">
        <v>0.32357927549024418</v>
      </c>
      <c r="H57" s="275">
        <v>0.67642072450975577</v>
      </c>
      <c r="I57" s="234">
        <v>83623.18848824306</v>
      </c>
      <c r="K57" s="234">
        <v>7051</v>
      </c>
      <c r="L57" s="234">
        <v>1240</v>
      </c>
      <c r="M57" s="234">
        <v>5873</v>
      </c>
      <c r="N57" s="234">
        <v>4435</v>
      </c>
      <c r="O57" s="234">
        <v>3141</v>
      </c>
      <c r="P57" s="234">
        <v>3751</v>
      </c>
      <c r="R57" s="295"/>
      <c r="S57" s="334"/>
      <c r="T57" s="239">
        <v>1.796092137803748</v>
      </c>
      <c r="U57" s="240"/>
      <c r="V57" s="295"/>
      <c r="X57" s="294">
        <v>8.2897999999999996</v>
      </c>
      <c r="Y57" s="294">
        <v>2.8505056519999998</v>
      </c>
      <c r="AA57" s="295"/>
      <c r="AC57" s="234">
        <v>17529.240000000002</v>
      </c>
      <c r="AD57" s="234">
        <v>5204.42</v>
      </c>
      <c r="AE57" s="234">
        <v>0</v>
      </c>
      <c r="AF57" s="234">
        <v>1293.82</v>
      </c>
      <c r="AG57" s="239">
        <v>7.3809246721477928E-2</v>
      </c>
      <c r="AH57" s="239">
        <v>0.54906280051567014</v>
      </c>
      <c r="AJ57" s="234">
        <v>2411.79</v>
      </c>
      <c r="AK57" s="234">
        <v>1264.29</v>
      </c>
      <c r="AL57" s="242">
        <v>5508.93</v>
      </c>
      <c r="AM57" s="314">
        <v>1435.7</v>
      </c>
      <c r="AN57" s="314"/>
      <c r="AO57" s="313">
        <v>0</v>
      </c>
      <c r="AP57" s="241">
        <v>255.23</v>
      </c>
      <c r="AQ57" s="234">
        <v>219.81</v>
      </c>
      <c r="AR57" s="234">
        <v>521.02</v>
      </c>
      <c r="AT57" s="234">
        <v>10177.6</v>
      </c>
      <c r="AV57" s="295"/>
      <c r="AX57" s="234">
        <v>78060.852760831447</v>
      </c>
      <c r="AY57" s="234">
        <v>78973.034996491449</v>
      </c>
      <c r="AZ57" s="234">
        <v>80729.844833093564</v>
      </c>
      <c r="BA57" s="234">
        <v>81642.027068753567</v>
      </c>
      <c r="BB57" s="234">
        <v>-912.18223566000233</v>
      </c>
      <c r="BC57" s="234">
        <v>75704.071282999997</v>
      </c>
      <c r="BD57" s="234">
        <v>77653.134996491455</v>
      </c>
      <c r="BE57" s="234">
        <v>78973.034996491449</v>
      </c>
      <c r="BF57" s="234">
        <v>69608.771978493955</v>
      </c>
      <c r="BG57" s="234">
        <v>125023.76807274684</v>
      </c>
      <c r="BH57" s="234">
        <v>14950.849200198156</v>
      </c>
      <c r="BJ57" s="236">
        <v>78973.034996491449</v>
      </c>
      <c r="BK57" s="236">
        <v>81642.027068753552</v>
      </c>
      <c r="BL57" s="234">
        <v>14441.88566713665</v>
      </c>
      <c r="BM57" s="234">
        <v>37543.002190786159</v>
      </c>
      <c r="BN57" s="250">
        <v>32921.388558616214</v>
      </c>
      <c r="BO57" s="250">
        <v>4621.6136321699469</v>
      </c>
      <c r="BP57" s="234">
        <v>26988.147138568638</v>
      </c>
      <c r="BQ57" s="234">
        <v>29657.139210830748</v>
      </c>
      <c r="BR57" s="250">
        <v>4148.5664464233978</v>
      </c>
      <c r="BS57" s="250">
        <v>6327.3891383139171</v>
      </c>
      <c r="BT57" s="250">
        <v>1561.3375100673868</v>
      </c>
      <c r="BU57" s="250">
        <v>3606.7620504590573</v>
      </c>
      <c r="BV57" s="250">
        <v>2921.0876786676904</v>
      </c>
      <c r="BW57" s="250">
        <v>5590.0797509298027</v>
      </c>
      <c r="BX57" s="250">
        <v>8423.0043146371863</v>
      </c>
      <c r="BY57" s="236"/>
      <c r="BZ57" s="236">
        <v>76339.236306907158</v>
      </c>
      <c r="CA57" s="234">
        <v>38954.491189562563</v>
      </c>
      <c r="CB57" s="234">
        <v>9958.1156834585108</v>
      </c>
      <c r="CC57" s="234">
        <v>10420.286030717998</v>
      </c>
      <c r="CD57" s="234">
        <v>17006.343403168084</v>
      </c>
      <c r="CF57" s="234">
        <v>81658.5</v>
      </c>
      <c r="CG57" s="234">
        <v>84327.492072262103</v>
      </c>
      <c r="CH57" s="234">
        <v>2685.465003508536</v>
      </c>
      <c r="CI57" s="234">
        <v>36921.5</v>
      </c>
      <c r="CJ57" s="234">
        <v>39054.906814760623</v>
      </c>
      <c r="CK57" s="234">
        <v>11219.1</v>
      </c>
      <c r="CL57" s="234">
        <v>11754.685257501485</v>
      </c>
      <c r="CM57" s="234">
        <v>29968</v>
      </c>
      <c r="CN57" s="250">
        <v>25965</v>
      </c>
      <c r="CO57" s="250">
        <v>4003</v>
      </c>
      <c r="CP57" s="234">
        <v>3549.9</v>
      </c>
      <c r="CQ57" s="271"/>
      <c r="CR57" s="295"/>
      <c r="CT57" s="234">
        <v>10312.219359999999</v>
      </c>
      <c r="CU57" s="239">
        <v>0.13621750039638486</v>
      </c>
      <c r="CV57" s="239">
        <v>0.13621750039638486</v>
      </c>
      <c r="CX57" s="234">
        <v>11121.072854599603</v>
      </c>
      <c r="CY57" s="234">
        <v>19974.471518089031</v>
      </c>
      <c r="CZ57" s="234">
        <v>9958.1156834585108</v>
      </c>
      <c r="DA57" s="307">
        <v>83041048355.666183</v>
      </c>
      <c r="DB57" s="234">
        <v>6883.9368265880148</v>
      </c>
      <c r="DD57" s="234">
        <v>4837.4536810857417</v>
      </c>
      <c r="DE57" s="262">
        <v>3417.3258543798975</v>
      </c>
      <c r="DF57" s="252">
        <v>1574.9830870669073</v>
      </c>
      <c r="DG57" s="252">
        <v>1842.3427673129904</v>
      </c>
      <c r="DH57" s="234">
        <v>775.18780376727136</v>
      </c>
      <c r="DI57" s="250">
        <v>568.1086995581735</v>
      </c>
      <c r="DJ57" s="258">
        <v>207.07910420909786</v>
      </c>
      <c r="DK57" s="241">
        <v>746.34064979259608</v>
      </c>
      <c r="DL57" s="252">
        <v>746.34064979259608</v>
      </c>
      <c r="DM57" s="258">
        <v>0</v>
      </c>
      <c r="DN57" s="234">
        <v>15035.617210149265</v>
      </c>
      <c r="DO57" s="252">
        <v>673.78717691324766</v>
      </c>
      <c r="DP57" s="250">
        <v>14361.830033236018</v>
      </c>
      <c r="DQ57" s="257">
        <v>19974.471518089031</v>
      </c>
      <c r="DS57" s="295"/>
      <c r="DT57" s="295"/>
      <c r="DU57">
        <f t="shared" si="0"/>
        <v>0.7</v>
      </c>
      <c r="DV57">
        <f t="shared" si="1"/>
        <v>0.95</v>
      </c>
      <c r="DW57" s="318">
        <v>4793.7556768505119</v>
      </c>
      <c r="DX57" s="234">
        <v>8525.4997201786809</v>
      </c>
      <c r="DZ57" s="309">
        <v>2050.3955126279384</v>
      </c>
      <c r="EA57" s="234">
        <v>6475.104207550743</v>
      </c>
      <c r="EB57" s="234">
        <v>3417.3258543798975</v>
      </c>
      <c r="EC57" s="234">
        <v>0</v>
      </c>
      <c r="ED57" s="234">
        <v>0</v>
      </c>
      <c r="EE57" s="234">
        <v>3057.7783531708451</v>
      </c>
      <c r="EF57" s="241">
        <v>23345.061571624297</v>
      </c>
      <c r="EG57" s="234">
        <v>568.1086995581735</v>
      </c>
      <c r="EH57" s="234">
        <v>0</v>
      </c>
      <c r="EI57" s="234">
        <v>22776.952872066126</v>
      </c>
      <c r="EJ57" s="234">
        <v>0</v>
      </c>
      <c r="EK57" s="234">
        <v>15943.867010446287</v>
      </c>
      <c r="EL57" s="242">
        <v>6833.0858616198375</v>
      </c>
      <c r="EM57" s="234">
        <v>15745.006762541991</v>
      </c>
      <c r="EN57" s="234">
        <v>207.07910420909786</v>
      </c>
      <c r="EO57" s="234">
        <v>6409.54436724478</v>
      </c>
      <c r="EP57" s="236">
        <v>12882.067446374233</v>
      </c>
      <c r="EQ57" s="234">
        <v>1977.8566621494874</v>
      </c>
      <c r="ER57" s="234">
        <v>678.00354980917018</v>
      </c>
      <c r="ES57" s="241">
        <v>6020.1416274906032</v>
      </c>
      <c r="ET57" s="250">
        <v>5848.4352191165635</v>
      </c>
      <c r="EU57" s="250">
        <v>97.527803082743517</v>
      </c>
      <c r="EV57" s="250">
        <v>0</v>
      </c>
      <c r="EW57" s="250">
        <v>74.178605291294787</v>
      </c>
      <c r="EX57" s="241">
        <v>0</v>
      </c>
      <c r="EY57" s="266"/>
      <c r="EZ57" s="234">
        <v>89655.252775700152</v>
      </c>
      <c r="FA57" s="234">
        <v>774.01685355765244</v>
      </c>
      <c r="FB57" s="234">
        <v>15035.617210149265</v>
      </c>
      <c r="FC57" s="309">
        <v>10447.94404806736</v>
      </c>
      <c r="FD57" s="234">
        <v>9524.9597427378776</v>
      </c>
      <c r="FE57" s="275">
        <v>0.71517484660932962</v>
      </c>
      <c r="FF57" s="234">
        <v>45893.97963767749</v>
      </c>
      <c r="FG57" s="234">
        <v>18277.711879806033</v>
      </c>
      <c r="FH57" s="250">
        <v>6911.9013739101629</v>
      </c>
      <c r="FI57" s="250">
        <v>1673.4190447917522</v>
      </c>
      <c r="FJ57" s="320">
        <v>3547.8207998037433</v>
      </c>
      <c r="FK57" s="250">
        <v>6144.3910520865902</v>
      </c>
      <c r="FL57" s="257">
        <v>-6911.9013739101629</v>
      </c>
      <c r="FM57" s="250">
        <v>-5077.1932551436339</v>
      </c>
      <c r="FN57" s="250">
        <v>-1760.7091226890141</v>
      </c>
      <c r="FO57" s="250">
        <v>0</v>
      </c>
      <c r="FP57" s="250">
        <v>-74.178605291294787</v>
      </c>
      <c r="FQ57" s="241">
        <v>829.31789417762525</v>
      </c>
      <c r="FR57" s="234">
        <v>8809.305677756669</v>
      </c>
      <c r="FS57" s="234">
        <v>1727.1869339615755</v>
      </c>
      <c r="FT57" s="388">
        <v>0</v>
      </c>
      <c r="FV57" s="234">
        <v>11416.29436742251</v>
      </c>
      <c r="FW57" s="234">
        <v>961.9604701220145</v>
      </c>
      <c r="FX57" s="234">
        <v>746.34064979259608</v>
      </c>
      <c r="FY57" s="234">
        <v>155.72118834758496</v>
      </c>
      <c r="FZ57" s="234">
        <v>7683.861774738215</v>
      </c>
      <c r="GA57" s="234">
        <v>2830.3707545441148</v>
      </c>
      <c r="GB57" s="241">
        <v>-771.42157318670968</v>
      </c>
      <c r="GC57" s="250">
        <v>-771.42157318670968</v>
      </c>
      <c r="GD57" s="250">
        <v>0</v>
      </c>
      <c r="GE57" s="250">
        <v>0</v>
      </c>
      <c r="GF57" s="250">
        <v>0</v>
      </c>
      <c r="GG57" s="257">
        <v>-771.42157318670968</v>
      </c>
      <c r="GH57" s="250">
        <v>-771.42157318670968</v>
      </c>
      <c r="GI57" s="250">
        <v>0</v>
      </c>
      <c r="GJ57" s="250">
        <v>0</v>
      </c>
      <c r="GK57" s="250">
        <v>0</v>
      </c>
      <c r="GL57" s="388">
        <v>0</v>
      </c>
      <c r="GN57" s="236">
        <v>1663.1813196062703</v>
      </c>
      <c r="GO57" s="236">
        <v>-24.786071501691723</v>
      </c>
      <c r="GP57" s="254">
        <v>1663.1813196062703</v>
      </c>
      <c r="GQ57" s="236">
        <v>0</v>
      </c>
      <c r="GR57" s="236">
        <v>1663.1813196062703</v>
      </c>
      <c r="GT57" s="236">
        <v>146636.71968483971</v>
      </c>
      <c r="GU57" s="236">
        <v>19974.471518089031</v>
      </c>
      <c r="GV57" s="236">
        <v>12581.521898564433</v>
      </c>
      <c r="GW57" s="236">
        <v>82403.775869236211</v>
      </c>
      <c r="GX57" s="236">
        <v>31676.950398950001</v>
      </c>
      <c r="GY57" s="271"/>
      <c r="GZ57" s="295"/>
      <c r="HB57" s="234">
        <v>46279.8</v>
      </c>
      <c r="HC57" s="234">
        <v>5370.68</v>
      </c>
      <c r="HD57" s="234">
        <v>9646.2361226598332</v>
      </c>
      <c r="HE57" s="234">
        <v>4808.7824415740915</v>
      </c>
      <c r="HG57" s="234">
        <v>27282.5</v>
      </c>
      <c r="HI57" s="234">
        <v>54505.110059861436</v>
      </c>
      <c r="HJ57" s="234">
        <v>33596.916134838975</v>
      </c>
      <c r="HK57" s="250">
        <v>33850.817667613686</v>
      </c>
      <c r="HL57" s="250">
        <v>-256.9548894089794</v>
      </c>
      <c r="HM57" s="250">
        <v>3.0533566342664531</v>
      </c>
      <c r="HN57" s="250"/>
      <c r="HO57" s="267">
        <v>20713.384951732096</v>
      </c>
      <c r="HP57" s="267">
        <v>33010.634200961314</v>
      </c>
      <c r="HQ57" s="322">
        <v>6584.5779963166606</v>
      </c>
      <c r="HR57" s="322">
        <v>26426.05620464465</v>
      </c>
      <c r="HS57" s="321">
        <v>0</v>
      </c>
      <c r="HU57" s="234">
        <v>3144</v>
      </c>
      <c r="HV57" s="236">
        <v>-4624.3867112754897</v>
      </c>
      <c r="HW57" s="310">
        <v>3334.9195149388606</v>
      </c>
      <c r="HX57" s="310">
        <v>-10813.117023970726</v>
      </c>
      <c r="HY57" s="250">
        <v>2853.8107977563755</v>
      </c>
      <c r="IA57" s="234">
        <v>9659.6</v>
      </c>
      <c r="IB57" s="234">
        <v>622.20000000000005</v>
      </c>
      <c r="IC57" s="234">
        <v>18467.060142470578</v>
      </c>
      <c r="ID57" s="236">
        <v>6144.3910520865902</v>
      </c>
      <c r="IE57" s="310">
        <v>448.33172660031494</v>
      </c>
      <c r="IF57" s="310">
        <v>4762.3369185528436</v>
      </c>
      <c r="IG57" s="326">
        <v>933.72240693343167</v>
      </c>
      <c r="IH57" s="310">
        <v>23931.320156358168</v>
      </c>
      <c r="II57" s="310">
        <v>-14936.171663149473</v>
      </c>
      <c r="IJ57" s="250">
        <v>-2850.757441122109</v>
      </c>
      <c r="IL57" s="234">
        <v>-4569.6835125110329</v>
      </c>
      <c r="IM57" s="248">
        <v>933.72240693343167</v>
      </c>
      <c r="IN57" s="248">
        <v>-5503.4059194444644</v>
      </c>
      <c r="IO57" s="257">
        <v>-6375.9474799895252</v>
      </c>
      <c r="IP57" s="250">
        <v>-24.786071501691723</v>
      </c>
      <c r="IQ57" s="250">
        <v>1663.1813196062703</v>
      </c>
      <c r="IR57" s="258">
        <v>-765.85368755951811</v>
      </c>
      <c r="IS57" s="257">
        <v>3.0533566342663714</v>
      </c>
      <c r="IT57" s="250">
        <v>5500.1729535964178</v>
      </c>
      <c r="IU57" s="271"/>
      <c r="IV57" s="295"/>
      <c r="IX57" s="350">
        <v>0.11031307212353889</v>
      </c>
      <c r="IY57" s="351">
        <v>9.8213903022955351E-3</v>
      </c>
      <c r="IZ57" s="360">
        <v>0.10049168182124335</v>
      </c>
      <c r="JI57" s="361">
        <v>1191.5999999999999</v>
      </c>
      <c r="JJ57" s="370">
        <v>931.7</v>
      </c>
      <c r="JK57" s="370">
        <v>259.89999999999998</v>
      </c>
      <c r="JL57" s="370">
        <v>12308.1</v>
      </c>
      <c r="JM57" s="370">
        <v>13499.7</v>
      </c>
      <c r="JO57" s="361">
        <v>8651.14</v>
      </c>
      <c r="JP57" s="361">
        <v>417.09999999999854</v>
      </c>
      <c r="JQ57" s="377">
        <v>8234.0400000000009</v>
      </c>
      <c r="JR57" s="363">
        <v>7004.9423600000009</v>
      </c>
      <c r="JS57" s="366">
        <v>3283.92</v>
      </c>
      <c r="JT57" s="366">
        <v>1324.27</v>
      </c>
      <c r="JU57" s="366">
        <v>678.7</v>
      </c>
      <c r="JV57" s="366">
        <v>319.49</v>
      </c>
      <c r="JW57" s="363">
        <v>1229.09764</v>
      </c>
      <c r="JX57" s="371">
        <v>265.91764000000001</v>
      </c>
      <c r="JY57" s="366">
        <v>963.18</v>
      </c>
      <c r="KA57" s="361">
        <v>8234.0400000000009</v>
      </c>
      <c r="KL57" s="409"/>
      <c r="KM57" s="388"/>
      <c r="KW57" s="409"/>
      <c r="LI57" s="416"/>
      <c r="LJ57" s="388">
        <v>2826</v>
      </c>
      <c r="LV57" s="421"/>
      <c r="MF57" s="422"/>
      <c r="MG57" s="425"/>
      <c r="NC57" s="421"/>
      <c r="NM57" s="422"/>
      <c r="NZ57" s="361">
        <v>865.61020000000008</v>
      </c>
      <c r="OA57" s="361">
        <v>145.81556</v>
      </c>
      <c r="OB57" s="361">
        <v>0</v>
      </c>
      <c r="OC57" s="361">
        <v>72.435299999999998</v>
      </c>
    </row>
    <row r="58" spans="1:393">
      <c r="A58" s="240">
        <v>1998</v>
      </c>
      <c r="B58" s="269">
        <v>124761</v>
      </c>
      <c r="C58" s="250">
        <v>41608</v>
      </c>
      <c r="D58" s="250">
        <v>83153</v>
      </c>
      <c r="E58" s="234">
        <v>70637</v>
      </c>
      <c r="F58" s="274">
        <v>4.3</v>
      </c>
      <c r="G58" s="275">
        <v>0.31707519119301708</v>
      </c>
      <c r="H58" s="275">
        <v>0.68292480880698292</v>
      </c>
      <c r="I58" s="234">
        <v>85202.38207156799</v>
      </c>
      <c r="K58" s="234">
        <v>7143</v>
      </c>
      <c r="L58" s="234">
        <v>1246</v>
      </c>
      <c r="M58" s="234">
        <v>5907</v>
      </c>
      <c r="N58" s="234">
        <v>4456</v>
      </c>
      <c r="O58" s="234">
        <v>3172</v>
      </c>
      <c r="P58" s="234">
        <v>3773</v>
      </c>
      <c r="R58" s="295"/>
      <c r="S58" s="334"/>
      <c r="T58" s="239">
        <v>1.7832085320151452</v>
      </c>
      <c r="U58" s="240"/>
      <c r="V58" s="295"/>
      <c r="X58" s="294">
        <v>8.2790999999999997</v>
      </c>
      <c r="Y58" s="294">
        <v>2.7941026830000002</v>
      </c>
      <c r="AA58" s="295"/>
      <c r="AC58" s="234">
        <v>19521.810000000001</v>
      </c>
      <c r="AD58" s="234">
        <v>5745.59</v>
      </c>
      <c r="AE58" s="234">
        <v>120</v>
      </c>
      <c r="AF58" s="234">
        <v>841.52</v>
      </c>
      <c r="AG58" s="239">
        <v>4.3106658655114455E-2</v>
      </c>
      <c r="AH58" s="239">
        <v>5.8020417092360575E-2</v>
      </c>
      <c r="AJ58" s="234">
        <v>3808.77</v>
      </c>
      <c r="AK58" s="234">
        <v>2060.86</v>
      </c>
      <c r="AL58" s="242">
        <v>7765.7</v>
      </c>
      <c r="AM58" s="314">
        <v>1930.23</v>
      </c>
      <c r="AN58" s="314"/>
      <c r="AO58" s="313">
        <v>0</v>
      </c>
      <c r="AP58" s="241">
        <v>147.88999999999999</v>
      </c>
      <c r="AQ58" s="234">
        <v>105.25</v>
      </c>
      <c r="AR58" s="234">
        <v>676.93</v>
      </c>
      <c r="AT58" s="234">
        <v>11204.2</v>
      </c>
      <c r="AV58" s="295"/>
      <c r="AX58" s="234">
        <v>83024.279768922002</v>
      </c>
      <c r="AY58" s="234">
        <v>84402.279768922002</v>
      </c>
      <c r="AZ58" s="234">
        <v>86031.147317569616</v>
      </c>
      <c r="BA58" s="234">
        <v>87409.147317569616</v>
      </c>
      <c r="BB58" s="234">
        <v>-1378</v>
      </c>
      <c r="BC58" s="234" t="s">
        <v>534</v>
      </c>
      <c r="BD58" s="234">
        <v>83024.279768922002</v>
      </c>
      <c r="BE58" s="234">
        <v>84402.279768922002</v>
      </c>
      <c r="BF58" s="234">
        <v>73485.189630006906</v>
      </c>
      <c r="BG58" s="234">
        <v>131039.41712497918</v>
      </c>
      <c r="BH58" s="234">
        <v>15379.783280578842</v>
      </c>
      <c r="BJ58" s="236">
        <v>84402.279768922017</v>
      </c>
      <c r="BK58" s="236">
        <v>87409.14731756963</v>
      </c>
      <c r="BL58" s="234">
        <v>14817.625518145247</v>
      </c>
      <c r="BM58" s="234">
        <v>39004.188543792865</v>
      </c>
      <c r="BN58" s="250">
        <v>34018.430548402954</v>
      </c>
      <c r="BO58" s="250">
        <v>4985.7579953899121</v>
      </c>
      <c r="BP58" s="234">
        <v>30580.465706983894</v>
      </c>
      <c r="BQ58" s="234">
        <v>33587.333255631514</v>
      </c>
      <c r="BR58" s="250">
        <v>4660.9008776653427</v>
      </c>
      <c r="BS58" s="250">
        <v>6913.2253842186901</v>
      </c>
      <c r="BT58" s="250">
        <v>1786.9402651961714</v>
      </c>
      <c r="BU58" s="250">
        <v>3697.6665616870391</v>
      </c>
      <c r="BV58" s="250">
        <v>3434.4569190545221</v>
      </c>
      <c r="BW58" s="250">
        <v>6441.3244677021412</v>
      </c>
      <c r="BX58" s="250">
        <v>10087.275699162126</v>
      </c>
      <c r="BY58" s="236"/>
      <c r="BZ58" s="236">
        <v>82558.510626968797</v>
      </c>
      <c r="CA58" s="234">
        <v>41960.460108512445</v>
      </c>
      <c r="CB58" s="234">
        <v>10932.507927073431</v>
      </c>
      <c r="CC58" s="234">
        <v>11768.961058996487</v>
      </c>
      <c r="CD58" s="234">
        <v>17896.581532386434</v>
      </c>
      <c r="CF58" s="234">
        <v>86531.6</v>
      </c>
      <c r="CG58" s="234">
        <v>89538.467548647619</v>
      </c>
      <c r="CH58" s="234">
        <v>2129.3202310780034</v>
      </c>
      <c r="CI58" s="234">
        <v>39229.300000000003</v>
      </c>
      <c r="CJ58" s="234">
        <v>41713.758634846723</v>
      </c>
      <c r="CK58" s="234">
        <v>12358.9</v>
      </c>
      <c r="CL58" s="234">
        <v>12881.308913800902</v>
      </c>
      <c r="CM58" s="234">
        <v>31314.2</v>
      </c>
      <c r="CN58" s="250">
        <v>28569</v>
      </c>
      <c r="CO58" s="250">
        <v>2745.2</v>
      </c>
      <c r="CP58" s="234">
        <v>3629.2</v>
      </c>
      <c r="CQ58" s="271"/>
      <c r="CR58" s="295"/>
      <c r="CT58" s="234" t="s">
        <v>534</v>
      </c>
      <c r="CV58" s="308">
        <v>0.1435314045792199</v>
      </c>
      <c r="CX58" s="234">
        <v>12545.957687562717</v>
      </c>
      <c r="CY58" s="234">
        <v>22372.05879076284</v>
      </c>
      <c r="CZ58" s="234">
        <v>10932.507927073431</v>
      </c>
      <c r="DA58" s="307">
        <v>89759723166.455841</v>
      </c>
      <c r="DB58" s="234">
        <v>7431.2972406740455</v>
      </c>
      <c r="DD58" s="234">
        <v>5410.112911337671</v>
      </c>
      <c r="DE58" s="262">
        <v>4044.6833023702902</v>
      </c>
      <c r="DF58" s="252">
        <v>1634.8462974570932</v>
      </c>
      <c r="DG58" s="252">
        <v>2409.8370049131968</v>
      </c>
      <c r="DH58" s="234">
        <v>901.63785952255898</v>
      </c>
      <c r="DI58" s="250">
        <v>670.48211253447721</v>
      </c>
      <c r="DJ58" s="258">
        <v>231.15574698808177</v>
      </c>
      <c r="DK58" s="241">
        <v>727.42442877037081</v>
      </c>
      <c r="DL58" s="252">
        <v>727.42442877037081</v>
      </c>
      <c r="DM58" s="258">
        <v>0</v>
      </c>
      <c r="DN58" s="234">
        <v>16698.313200099623</v>
      </c>
      <c r="DO58" s="252">
        <v>638.00518019701053</v>
      </c>
      <c r="DP58" s="250">
        <v>16060.308019902612</v>
      </c>
      <c r="DQ58" s="257">
        <v>22372.058790762843</v>
      </c>
      <c r="DS58" s="295"/>
      <c r="DT58" s="295"/>
      <c r="DU58">
        <f t="shared" si="0"/>
        <v>0.7</v>
      </c>
      <c r="DV58">
        <f t="shared" si="1"/>
        <v>0.95</v>
      </c>
      <c r="DW58" s="318">
        <v>5361.8718673878993</v>
      </c>
      <c r="DX58" s="234">
        <v>10180.869180743612</v>
      </c>
      <c r="DZ58" s="309">
        <v>2426.8099814221741</v>
      </c>
      <c r="EA58" s="234">
        <v>7754.0591993214384</v>
      </c>
      <c r="EB58" s="234">
        <v>4044.6833023702902</v>
      </c>
      <c r="EC58" s="234">
        <v>0</v>
      </c>
      <c r="ED58" s="234">
        <v>0</v>
      </c>
      <c r="EE58" s="234">
        <v>3709.3758969511478</v>
      </c>
      <c r="EF58" s="241">
        <v>23780.62462334575</v>
      </c>
      <c r="EG58" s="234">
        <v>670.48211253447721</v>
      </c>
      <c r="EH58" s="234">
        <v>0</v>
      </c>
      <c r="EI58" s="234">
        <v>23110.142510811271</v>
      </c>
      <c r="EJ58" s="234">
        <v>0</v>
      </c>
      <c r="EK58" s="234">
        <v>16177.099757567888</v>
      </c>
      <c r="EL58" s="242">
        <v>6933.0427532433814</v>
      </c>
      <c r="EM58" s="234">
        <v>18486.935821808896</v>
      </c>
      <c r="EN58" s="234">
        <v>231.15574698808177</v>
      </c>
      <c r="EO58" s="234">
        <v>8722.626277603893</v>
      </c>
      <c r="EP58" s="236">
        <v>15366.036932061181</v>
      </c>
      <c r="EQ58" s="234">
        <v>2081.0043568616743</v>
      </c>
      <c r="ER58" s="234">
        <v>808.73878589795697</v>
      </c>
      <c r="ES58" s="241">
        <v>6378.0019564585691</v>
      </c>
      <c r="ET58" s="250">
        <v>6236.236878163365</v>
      </c>
      <c r="EU58" s="250">
        <v>105.5659450952966</v>
      </c>
      <c r="EV58" s="250">
        <v>0</v>
      </c>
      <c r="EW58" s="250">
        <v>36.377454053108956</v>
      </c>
      <c r="EX58" s="241">
        <v>0</v>
      </c>
      <c r="EY58" s="266"/>
      <c r="EZ58" s="234">
        <v>92809.208627619126</v>
      </c>
      <c r="FA58" s="234">
        <v>720.93193814621839</v>
      </c>
      <c r="FB58" s="234">
        <v>16698.313200099623</v>
      </c>
      <c r="FC58" s="309">
        <v>12014.208101273449</v>
      </c>
      <c r="FD58" s="234">
        <v>10431.216012054385</v>
      </c>
      <c r="FE58" s="275">
        <v>0.71571241846392131</v>
      </c>
      <c r="FF58" s="234">
        <v>45874.795101793337</v>
      </c>
      <c r="FG58" s="234">
        <v>18221.892224452713</v>
      </c>
      <c r="FH58" s="250">
        <v>7978.6099347953641</v>
      </c>
      <c r="FI58" s="250">
        <v>1526.7831451113673</v>
      </c>
      <c r="FJ58" s="320">
        <v>2448.7019561631969</v>
      </c>
      <c r="FK58" s="250">
        <v>6267.6188675296044</v>
      </c>
      <c r="FL58" s="257">
        <v>-7978.6099347953641</v>
      </c>
      <c r="FM58" s="250">
        <v>-5424.8769960964755</v>
      </c>
      <c r="FN58" s="250">
        <v>-2517.177163792579</v>
      </c>
      <c r="FO58" s="250">
        <v>0</v>
      </c>
      <c r="FP58" s="250">
        <v>-36.199133199907443</v>
      </c>
      <c r="FQ58" s="241">
        <v>955.34901576281277</v>
      </c>
      <c r="FR58" s="234">
        <v>7733.7011431536603</v>
      </c>
      <c r="FS58" s="234">
        <v>1554.2321307408768</v>
      </c>
      <c r="FT58" s="388">
        <v>0</v>
      </c>
      <c r="FV58" s="234">
        <v>13038.123397847756</v>
      </c>
      <c r="FW58" s="234">
        <v>931.56403229053331</v>
      </c>
      <c r="FX58" s="234">
        <v>727.42442877037081</v>
      </c>
      <c r="FY58" s="234">
        <v>167.97824371582669</v>
      </c>
      <c r="FZ58" s="234">
        <v>9527.3265448505172</v>
      </c>
      <c r="GA58" s="234">
        <v>2615.3941805110408</v>
      </c>
      <c r="GB58" s="241">
        <v>-840.7828228451408</v>
      </c>
      <c r="GC58" s="250">
        <v>-840.7828228451408</v>
      </c>
      <c r="GD58" s="250">
        <v>0</v>
      </c>
      <c r="GE58" s="250">
        <v>0</v>
      </c>
      <c r="GF58" s="250">
        <v>0</v>
      </c>
      <c r="GG58" s="257">
        <v>-840.7828228451408</v>
      </c>
      <c r="GH58" s="250">
        <v>-840.7828228451408</v>
      </c>
      <c r="GI58" s="250">
        <v>0</v>
      </c>
      <c r="GJ58" s="250">
        <v>0</v>
      </c>
      <c r="GK58" s="250">
        <v>0</v>
      </c>
      <c r="GL58" s="388">
        <v>0</v>
      </c>
      <c r="GN58" s="236">
        <v>2441.2124803287338</v>
      </c>
      <c r="GO58" s="236">
        <v>15.870555934934789</v>
      </c>
      <c r="GP58" s="254">
        <v>2441.2124803287338</v>
      </c>
      <c r="GQ58" s="236">
        <v>29.422940778249895</v>
      </c>
      <c r="GR58" s="236">
        <v>2411.7895395504838</v>
      </c>
      <c r="GT58" s="236">
        <v>155868.95166994297</v>
      </c>
      <c r="GU58" s="236">
        <v>22372.058790762843</v>
      </c>
      <c r="GV58" s="236">
        <v>14263.19070185095</v>
      </c>
      <c r="GW58" s="236">
        <v>86945.25833627292</v>
      </c>
      <c r="GX58" s="236">
        <v>32288.44384105624</v>
      </c>
      <c r="GY58" s="271"/>
      <c r="GZ58" s="295"/>
      <c r="HB58" s="234">
        <v>53407.47</v>
      </c>
      <c r="HC58" s="234">
        <v>6393.81</v>
      </c>
      <c r="HD58" s="234">
        <v>11401.496544083757</v>
      </c>
      <c r="HE58" s="234">
        <v>5991.3836327460858</v>
      </c>
      <c r="HG58" s="234">
        <v>29185</v>
      </c>
      <c r="HI58" s="234">
        <v>56689.625799587076</v>
      </c>
      <c r="HJ58" s="234">
        <v>33366.569628132296</v>
      </c>
      <c r="HK58" s="250">
        <v>33467.689822465822</v>
      </c>
      <c r="HL58" s="250">
        <v>-108.07470760837919</v>
      </c>
      <c r="HM58" s="250">
        <v>6.9545132748592282</v>
      </c>
      <c r="HN58" s="250"/>
      <c r="HO58" s="267">
        <v>22000.895333422515</v>
      </c>
      <c r="HP58" s="267">
        <v>34285.863108638368</v>
      </c>
      <c r="HQ58" s="322">
        <v>6703.2018569088923</v>
      </c>
      <c r="HR58" s="322">
        <v>27582.482930876282</v>
      </c>
      <c r="HS58" s="321">
        <v>0</v>
      </c>
      <c r="HU58" s="234">
        <v>2760.6</v>
      </c>
      <c r="HV58" s="236">
        <v>-6235.914967343746</v>
      </c>
      <c r="HW58" s="310">
        <v>3951.0014758245638</v>
      </c>
      <c r="HX58" s="310">
        <v>-13703.581989155378</v>
      </c>
      <c r="HY58" s="250">
        <v>3516.8438668402696</v>
      </c>
      <c r="IA58" s="234">
        <v>10774.7</v>
      </c>
      <c r="IB58" s="234">
        <v>441.3</v>
      </c>
      <c r="IC58" s="234">
        <v>20000.466895081867</v>
      </c>
      <c r="ID58" s="236">
        <v>6267.6188675296044</v>
      </c>
      <c r="IE58" s="310">
        <v>584.55515985502939</v>
      </c>
      <c r="IF58" s="310">
        <v>4732.0663269826373</v>
      </c>
      <c r="IG58" s="326">
        <v>950.99738069193825</v>
      </c>
      <c r="IH58" s="310">
        <v>22813.48648973236</v>
      </c>
      <c r="II58" s="310">
        <v>-13035.978268637344</v>
      </c>
      <c r="IJ58" s="250">
        <v>-3509.8893535654101</v>
      </c>
      <c r="IL58" s="234">
        <v>-3695.6874120331272</v>
      </c>
      <c r="IM58" s="248">
        <v>950.99738069193825</v>
      </c>
      <c r="IN58" s="248">
        <v>-4646.6847927250656</v>
      </c>
      <c r="IO58" s="257">
        <v>-6471.6204043893649</v>
      </c>
      <c r="IP58" s="250">
        <v>15.870555934934789</v>
      </c>
      <c r="IQ58" s="250">
        <v>2441.2124803287338</v>
      </c>
      <c r="IR58" s="258">
        <v>-632.14742459936895</v>
      </c>
      <c r="IS58" s="257">
        <v>6.9545132748590657</v>
      </c>
      <c r="IT58" s="250">
        <v>4639.7302794502066</v>
      </c>
      <c r="IU58" s="271"/>
      <c r="IV58" s="295"/>
      <c r="IX58" s="350">
        <v>0.11772577879063834</v>
      </c>
      <c r="IY58" s="351">
        <v>7.68505378382002E-3</v>
      </c>
      <c r="IZ58" s="360">
        <v>0.11004072500681832</v>
      </c>
      <c r="JI58" s="361">
        <v>1194.8999999999999</v>
      </c>
      <c r="JJ58" s="370">
        <v>856.19999999999993</v>
      </c>
      <c r="JK58" s="370">
        <v>338.7</v>
      </c>
      <c r="JL58" s="370">
        <v>13848.3</v>
      </c>
      <c r="JM58" s="370">
        <v>15043.199999999999</v>
      </c>
      <c r="JO58" s="361">
        <v>9875.9500000000007</v>
      </c>
      <c r="JP58" s="361">
        <v>613.15000000000146</v>
      </c>
      <c r="JQ58" s="377">
        <v>9262.7999999999993</v>
      </c>
      <c r="JR58" s="363">
        <v>7998.6106199999995</v>
      </c>
      <c r="JS58" s="366">
        <v>3628.46</v>
      </c>
      <c r="JT58" s="366">
        <v>1575.08</v>
      </c>
      <c r="JU58" s="366">
        <v>814.93</v>
      </c>
      <c r="JV58" s="366">
        <v>313.04000000000002</v>
      </c>
      <c r="JW58" s="363">
        <v>1264.18938</v>
      </c>
      <c r="JX58" s="371">
        <v>338.64938000000001</v>
      </c>
      <c r="JY58" s="366">
        <v>925.54</v>
      </c>
      <c r="KA58" s="361">
        <v>9262.7999999999993</v>
      </c>
      <c r="KL58" s="409"/>
      <c r="KM58" s="388"/>
      <c r="KW58" s="409"/>
      <c r="LI58" s="416"/>
      <c r="LJ58" s="388">
        <v>3082.29</v>
      </c>
      <c r="LV58" s="421"/>
      <c r="MF58" s="422"/>
      <c r="MG58" s="425"/>
      <c r="NC58" s="421"/>
      <c r="NM58" s="422"/>
      <c r="NZ58" s="361">
        <v>966.41480000000001</v>
      </c>
      <c r="OA58" s="361">
        <v>162.30891</v>
      </c>
      <c r="OB58" s="361">
        <v>0</v>
      </c>
      <c r="OC58" s="361">
        <v>97.379649999999998</v>
      </c>
    </row>
    <row r="59" spans="1:393">
      <c r="A59" s="240">
        <v>1999</v>
      </c>
      <c r="B59" s="269">
        <v>125786</v>
      </c>
      <c r="C59" s="250">
        <v>43748</v>
      </c>
      <c r="D59" s="250">
        <v>82038</v>
      </c>
      <c r="E59" s="234">
        <v>71394</v>
      </c>
      <c r="F59" s="274">
        <v>4.3</v>
      </c>
      <c r="G59" s="275">
        <v>0.31184728931941103</v>
      </c>
      <c r="H59" s="275">
        <v>0.68815271068058892</v>
      </c>
      <c r="I59" s="234">
        <v>86559.976865668563</v>
      </c>
      <c r="K59" s="234">
        <v>7270</v>
      </c>
      <c r="L59" s="234">
        <v>1257</v>
      </c>
      <c r="M59" s="234">
        <v>5938</v>
      </c>
      <c r="N59" s="234">
        <v>4475</v>
      </c>
      <c r="O59" s="234">
        <v>3204</v>
      </c>
      <c r="P59" s="234">
        <v>3792</v>
      </c>
      <c r="R59" s="295"/>
      <c r="S59" s="334"/>
      <c r="T59" s="239">
        <v>1.763062711872331</v>
      </c>
      <c r="U59" s="240"/>
      <c r="V59" s="295"/>
      <c r="X59" s="294">
        <v>8.2782999999999998</v>
      </c>
      <c r="Y59" s="294">
        <v>2.716964677</v>
      </c>
      <c r="AA59" s="295"/>
      <c r="AC59" s="234">
        <v>26471.18</v>
      </c>
      <c r="AD59" s="234">
        <v>8213.9699999999993</v>
      </c>
      <c r="AE59" s="234">
        <v>510</v>
      </c>
      <c r="AF59" s="234">
        <v>944.56</v>
      </c>
      <c r="AG59" s="239">
        <v>3.568258007387657E-2</v>
      </c>
      <c r="AH59" s="239">
        <v>0.2928223714483903</v>
      </c>
      <c r="AJ59" s="234">
        <v>4015</v>
      </c>
      <c r="AK59" s="234">
        <v>1238.7</v>
      </c>
      <c r="AL59" s="242">
        <v>10542</v>
      </c>
      <c r="AM59" s="314">
        <v>1851</v>
      </c>
      <c r="AN59" s="314">
        <v>175.84</v>
      </c>
      <c r="AO59" s="313">
        <v>2004.4300000000053</v>
      </c>
      <c r="AP59" s="241">
        <v>158.19999999999999</v>
      </c>
      <c r="AQ59" s="234">
        <v>56.5</v>
      </c>
      <c r="AR59" s="234">
        <v>778.63</v>
      </c>
      <c r="AT59" s="234">
        <v>13455.5</v>
      </c>
      <c r="AV59" s="295"/>
      <c r="AX59" s="234">
        <v>88479.154750904505</v>
      </c>
      <c r="AY59" s="234">
        <v>89677.054750904499</v>
      </c>
      <c r="AZ59" s="234">
        <v>91741.238941115182</v>
      </c>
      <c r="BA59" s="234">
        <v>92939.138941115176</v>
      </c>
      <c r="BB59" s="234">
        <v>-1197.8999999999942</v>
      </c>
      <c r="BC59" s="234" t="s">
        <v>534</v>
      </c>
      <c r="BD59" s="234">
        <v>88188.954750904493</v>
      </c>
      <c r="BE59" s="234">
        <v>89677.054750904499</v>
      </c>
      <c r="BF59" s="234">
        <v>77721.805831463134</v>
      </c>
      <c r="BG59" s="234">
        <v>137028.41776083416</v>
      </c>
      <c r="BH59" s="234">
        <v>15830.459147821513</v>
      </c>
      <c r="BJ59" s="236">
        <v>89677.054750904499</v>
      </c>
      <c r="BK59" s="236">
        <v>92939.13894111519</v>
      </c>
      <c r="BL59" s="234">
        <v>14770.028471086789</v>
      </c>
      <c r="BM59" s="234">
        <v>41033.581585429209</v>
      </c>
      <c r="BN59" s="250">
        <v>35861.479298405844</v>
      </c>
      <c r="BO59" s="250">
        <v>5172.1022870233628</v>
      </c>
      <c r="BP59" s="234">
        <v>33873.444694388505</v>
      </c>
      <c r="BQ59" s="234">
        <v>37135.528884599189</v>
      </c>
      <c r="BR59" s="250">
        <v>5175.1715174115561</v>
      </c>
      <c r="BS59" s="250">
        <v>7491.1045330152556</v>
      </c>
      <c r="BT59" s="250">
        <v>1941.2142982959906</v>
      </c>
      <c r="BU59" s="250">
        <v>3816.4587249871756</v>
      </c>
      <c r="BV59" s="250">
        <v>3681.7901302208011</v>
      </c>
      <c r="BW59" s="250">
        <v>6943.8743204314833</v>
      </c>
      <c r="BX59" s="250">
        <v>11767.705490457723</v>
      </c>
      <c r="BY59" s="236"/>
      <c r="BZ59" s="236">
        <v>88215.616747822365</v>
      </c>
      <c r="CA59" s="234">
        <v>44082.164519679398</v>
      </c>
      <c r="CB59" s="234">
        <v>11847.266655448546</v>
      </c>
      <c r="CC59" s="234">
        <v>13136.296601615248</v>
      </c>
      <c r="CD59" s="234">
        <v>19149.88897107917</v>
      </c>
      <c r="CF59" s="234">
        <v>91125</v>
      </c>
      <c r="CG59" s="234">
        <v>94387.084190210691</v>
      </c>
      <c r="CH59" s="234">
        <v>1447.9452490955155</v>
      </c>
      <c r="CI59" s="234">
        <v>41920.400000000001</v>
      </c>
      <c r="CJ59" s="234">
        <v>44672.825586122992</v>
      </c>
      <c r="CK59" s="234">
        <v>13716.5</v>
      </c>
      <c r="CL59" s="234">
        <v>14226.158604087694</v>
      </c>
      <c r="CM59" s="234">
        <v>32951.5</v>
      </c>
      <c r="CN59" s="250">
        <v>30527.3</v>
      </c>
      <c r="CO59" s="250">
        <v>2424.1999999999998</v>
      </c>
      <c r="CP59" s="234">
        <v>2536.6</v>
      </c>
      <c r="CQ59" s="271"/>
      <c r="CR59" s="295"/>
      <c r="CT59" s="234" t="s">
        <v>534</v>
      </c>
      <c r="CV59" s="308">
        <v>0.15084530876205493</v>
      </c>
      <c r="CX59" s="234">
        <v>14019.433109652042</v>
      </c>
      <c r="CY59" s="234">
        <v>24717.139757215875</v>
      </c>
      <c r="CZ59" s="234">
        <v>11847.266655448546</v>
      </c>
      <c r="DA59" s="307">
        <v>96230093844.325623</v>
      </c>
      <c r="DB59" s="234">
        <v>7966.2158587148087</v>
      </c>
      <c r="DD59" s="234">
        <v>6010.7690663376507</v>
      </c>
      <c r="DE59" s="262">
        <v>4654.4487627769095</v>
      </c>
      <c r="DF59" s="252">
        <v>1706.0978046386731</v>
      </c>
      <c r="DG59" s="252">
        <v>2948.3509581382364</v>
      </c>
      <c r="DH59" s="234">
        <v>1062.747858957119</v>
      </c>
      <c r="DI59" s="250">
        <v>784.5401162005578</v>
      </c>
      <c r="DJ59" s="258">
        <v>278.20774275656117</v>
      </c>
      <c r="DK59" s="241">
        <v>730.96930376645059</v>
      </c>
      <c r="DL59" s="252">
        <v>730.96930376645059</v>
      </c>
      <c r="DM59" s="258">
        <v>0</v>
      </c>
      <c r="DN59" s="234">
        <v>18268.973831715397</v>
      </c>
      <c r="DO59" s="252">
        <v>625.35099979429049</v>
      </c>
      <c r="DP59" s="250">
        <v>17643.622831921108</v>
      </c>
      <c r="DQ59" s="257">
        <v>24717.139757215875</v>
      </c>
      <c r="DS59" s="295"/>
      <c r="DT59" s="295"/>
      <c r="DU59">
        <f t="shared" si="0"/>
        <v>0.7</v>
      </c>
      <c r="DV59">
        <f t="shared" si="1"/>
        <v>0.94999999999999984</v>
      </c>
      <c r="DW59" s="318">
        <v>5751.2589987487017</v>
      </c>
      <c r="DX59" s="234">
        <v>11626.743984678849</v>
      </c>
      <c r="DZ59" s="309">
        <v>2792.6692576661458</v>
      </c>
      <c r="EA59" s="234">
        <v>8834.0747270127031</v>
      </c>
      <c r="EB59" s="234">
        <v>4654.4487627769095</v>
      </c>
      <c r="EC59" s="234">
        <v>0</v>
      </c>
      <c r="ED59" s="234">
        <v>0</v>
      </c>
      <c r="EE59" s="234">
        <v>4179.6259642357936</v>
      </c>
      <c r="EF59" s="241">
        <v>23436.437805599231</v>
      </c>
      <c r="EG59" s="234">
        <v>784.5401162005578</v>
      </c>
      <c r="EH59" s="234">
        <v>0</v>
      </c>
      <c r="EI59" s="234">
        <v>22651.897689398673</v>
      </c>
      <c r="EJ59" s="234">
        <v>0</v>
      </c>
      <c r="EK59" s="234">
        <v>15856.32838257907</v>
      </c>
      <c r="EL59" s="242">
        <v>6795.5693068196015</v>
      </c>
      <c r="EM59" s="234">
        <v>21405.864923541234</v>
      </c>
      <c r="EN59" s="234">
        <v>278.20774275656117</v>
      </c>
      <c r="EO59" s="234">
        <v>11275.07068770297</v>
      </c>
      <c r="EP59" s="236">
        <v>17670.458935107526</v>
      </c>
      <c r="EQ59" s="234">
        <v>2527.1740911977995</v>
      </c>
      <c r="ER59" s="234">
        <v>930.02415447934368</v>
      </c>
      <c r="ES59" s="241">
        <v>5326.3887588374992</v>
      </c>
      <c r="ET59" s="250">
        <v>5083.791329683866</v>
      </c>
      <c r="EU59" s="250">
        <v>173.83798339061184</v>
      </c>
      <c r="EV59" s="250">
        <v>0</v>
      </c>
      <c r="EW59" s="250">
        <v>68.759445763020906</v>
      </c>
      <c r="EX59" s="241">
        <v>0</v>
      </c>
      <c r="EY59" s="266"/>
      <c r="EZ59" s="234">
        <v>96321.869667002757</v>
      </c>
      <c r="FA59" s="234">
        <v>673.07295386099213</v>
      </c>
      <c r="FB59" s="234">
        <v>18268.973831715397</v>
      </c>
      <c r="FC59" s="309">
        <v>13967.176740350911</v>
      </c>
      <c r="FD59" s="234">
        <v>9066.0034463627817</v>
      </c>
      <c r="FE59" s="275">
        <v>0.70986115033663655</v>
      </c>
      <c r="FF59" s="234">
        <v>45491.962276882135</v>
      </c>
      <c r="FG59" s="234">
        <v>18593.756818054309</v>
      </c>
      <c r="FH59" s="250">
        <v>6454.9252007069799</v>
      </c>
      <c r="FI59" s="250">
        <v>1779.6355013639309</v>
      </c>
      <c r="FJ59" s="320">
        <v>2960.3585995048306</v>
      </c>
      <c r="FK59" s="250">
        <v>7398.6612102073914</v>
      </c>
      <c r="FL59" s="257">
        <v>-6454.9252007069799</v>
      </c>
      <c r="FM59" s="250">
        <v>-4353.8833669687219</v>
      </c>
      <c r="FN59" s="250">
        <v>-2032.1060817040486</v>
      </c>
      <c r="FO59" s="250">
        <v>0</v>
      </c>
      <c r="FP59" s="250">
        <v>-68.759445763020906</v>
      </c>
      <c r="FQ59" s="241">
        <v>1429.5118783506928</v>
      </c>
      <c r="FR59" s="234">
        <v>8885.9507342898523</v>
      </c>
      <c r="FS59" s="234">
        <v>1823.3690047067835</v>
      </c>
      <c r="FT59" s="388">
        <v>0</v>
      </c>
      <c r="FV59" s="234">
        <v>13859.362994438981</v>
      </c>
      <c r="FW59" s="234">
        <v>898.56008065191486</v>
      </c>
      <c r="FX59" s="234">
        <v>730.96930376645059</v>
      </c>
      <c r="FY59" s="234">
        <v>179.83239661097775</v>
      </c>
      <c r="FZ59" s="234">
        <v>10846.009190896206</v>
      </c>
      <c r="GA59" s="234">
        <v>2102.5521031653461</v>
      </c>
      <c r="GB59" s="241">
        <v>-928.42882407196953</v>
      </c>
      <c r="GC59" s="250">
        <v>-928.42882407196953</v>
      </c>
      <c r="GD59" s="250">
        <v>0</v>
      </c>
      <c r="GE59" s="250">
        <v>0</v>
      </c>
      <c r="GF59" s="250">
        <v>0</v>
      </c>
      <c r="GG59" s="257">
        <v>-928.42882407196953</v>
      </c>
      <c r="GH59" s="250">
        <v>-928.42882407196953</v>
      </c>
      <c r="GI59" s="250">
        <v>0</v>
      </c>
      <c r="GJ59" s="250">
        <v>0</v>
      </c>
      <c r="GK59" s="250">
        <v>0</v>
      </c>
      <c r="GL59" s="388">
        <v>0</v>
      </c>
      <c r="GN59" s="236">
        <v>2056.9652659414487</v>
      </c>
      <c r="GO59" s="236">
        <v>55.007556610416721</v>
      </c>
      <c r="GP59" s="254">
        <v>2056.9652659414487</v>
      </c>
      <c r="GQ59" s="236">
        <v>198.87347389919884</v>
      </c>
      <c r="GR59" s="236">
        <v>1858.0917920422498</v>
      </c>
      <c r="GT59" s="236">
        <v>163857.61011759489</v>
      </c>
      <c r="GU59" s="236">
        <v>24717.139757215875</v>
      </c>
      <c r="GV59" s="236">
        <v>16674.183228159691</v>
      </c>
      <c r="GW59" s="236">
        <v>89864.758785464946</v>
      </c>
      <c r="GX59" s="236">
        <v>32601.5283467544</v>
      </c>
      <c r="GY59" s="271"/>
      <c r="GZ59" s="295"/>
      <c r="HB59" s="234">
        <v>59621.83</v>
      </c>
      <c r="HC59" s="234">
        <v>7058.78</v>
      </c>
      <c r="HD59" s="234">
        <v>12445.071809310171</v>
      </c>
      <c r="HE59" s="234">
        <v>6434.3027429725207</v>
      </c>
      <c r="HG59" s="234">
        <v>31664.5</v>
      </c>
      <c r="HI59" s="234">
        <v>58624.656070093995</v>
      </c>
      <c r="HJ59" s="234">
        <v>32796.166394510394</v>
      </c>
      <c r="HK59" s="250">
        <v>33378.421193045244</v>
      </c>
      <c r="HL59" s="250">
        <v>-586.13353650095962</v>
      </c>
      <c r="HM59" s="250">
        <v>3.7024316949317346</v>
      </c>
      <c r="HN59" s="250"/>
      <c r="HO59" s="267">
        <v>21462.940908649551</v>
      </c>
      <c r="HP59" s="267">
        <v>32123.314181425238</v>
      </c>
      <c r="HQ59" s="322">
        <v>6803.7221454408918</v>
      </c>
      <c r="HR59" s="322">
        <v>25319.592035984344</v>
      </c>
      <c r="HS59" s="321">
        <v>0</v>
      </c>
      <c r="HU59" s="234">
        <v>2372.3000000000002</v>
      </c>
      <c r="HV59" s="236">
        <v>-5614.4590787545003</v>
      </c>
      <c r="HW59" s="310">
        <v>4034.2365938820863</v>
      </c>
      <c r="HX59" s="310">
        <v>-14686.118452998211</v>
      </c>
      <c r="HY59" s="250">
        <v>5037.246474090437</v>
      </c>
      <c r="IA59" s="234">
        <v>12229</v>
      </c>
      <c r="IB59" s="234">
        <v>837.6</v>
      </c>
      <c r="IC59" s="234">
        <v>23037.235230951002</v>
      </c>
      <c r="ID59" s="236">
        <v>7398.6612102073914</v>
      </c>
      <c r="IE59" s="310">
        <v>871.292593660281</v>
      </c>
      <c r="IF59" s="310">
        <v>5416.0186981793831</v>
      </c>
      <c r="IG59" s="326">
        <v>1111.349918367727</v>
      </c>
      <c r="IH59" s="310">
        <v>22540.462453722255</v>
      </c>
      <c r="II59" s="310">
        <v>-10108.257201119366</v>
      </c>
      <c r="IJ59" s="250">
        <v>-5033.5440423955051</v>
      </c>
      <c r="IL59" s="234">
        <v>-1686.6306053736614</v>
      </c>
      <c r="IM59" s="248">
        <v>1111.349918367727</v>
      </c>
      <c r="IN59" s="248">
        <v>-2797.9805237413884</v>
      </c>
      <c r="IO59" s="257">
        <v>-4188.5080845950961</v>
      </c>
      <c r="IP59" s="250">
        <v>55.007556610416721</v>
      </c>
      <c r="IQ59" s="250">
        <v>2056.9652659414487</v>
      </c>
      <c r="IR59" s="258">
        <v>-721.44526169815776</v>
      </c>
      <c r="IS59" s="257">
        <v>3.8787379661191284</v>
      </c>
      <c r="IT59" s="250">
        <v>2794.2780920464575</v>
      </c>
      <c r="IU59" s="271"/>
      <c r="IV59" s="295"/>
      <c r="IX59" s="350">
        <v>0.12246913580246914</v>
      </c>
      <c r="IY59" s="351">
        <v>1.0589849108367633E-2</v>
      </c>
      <c r="IZ59" s="360">
        <v>0.11187928669410151</v>
      </c>
      <c r="JI59" s="361">
        <v>1423.7</v>
      </c>
      <c r="JJ59" s="370">
        <v>1009.4</v>
      </c>
      <c r="JK59" s="370">
        <v>414.3</v>
      </c>
      <c r="JL59" s="370">
        <v>14599.7</v>
      </c>
      <c r="JM59" s="370">
        <v>16023.400000000001</v>
      </c>
      <c r="JO59" s="361">
        <v>11444.08</v>
      </c>
      <c r="JP59" s="361">
        <v>761.5</v>
      </c>
      <c r="JQ59" s="377">
        <v>10682.58</v>
      </c>
      <c r="JR59" s="363">
        <v>9457.51</v>
      </c>
      <c r="JS59" s="366">
        <v>3881.87</v>
      </c>
      <c r="JT59" s="366">
        <v>1668.56</v>
      </c>
      <c r="JU59" s="366">
        <v>820.66</v>
      </c>
      <c r="JV59" s="366">
        <v>562.23</v>
      </c>
      <c r="JW59" s="363">
        <v>1225.07</v>
      </c>
      <c r="JX59" s="366">
        <v>413.66</v>
      </c>
      <c r="JY59" s="366">
        <v>811.41</v>
      </c>
      <c r="KA59" s="361">
        <v>10682.58</v>
      </c>
      <c r="KL59" s="409"/>
      <c r="KM59" s="388"/>
      <c r="KW59" s="409"/>
      <c r="LI59" s="416"/>
      <c r="LJ59" s="388">
        <v>3385.17</v>
      </c>
      <c r="LV59" s="421"/>
      <c r="MF59" s="422"/>
      <c r="MG59" s="425"/>
      <c r="NC59" s="421"/>
      <c r="NM59" s="422"/>
      <c r="NZ59" s="361">
        <v>1100.7053999999998</v>
      </c>
      <c r="OA59" s="361">
        <v>221.18476000000001</v>
      </c>
      <c r="OB59" s="361">
        <v>51.433</v>
      </c>
      <c r="OC59" s="361">
        <v>142.60724999999999</v>
      </c>
    </row>
    <row r="60" spans="1:393">
      <c r="A60" s="240">
        <v>2000</v>
      </c>
      <c r="B60" s="269">
        <v>126743</v>
      </c>
      <c r="C60" s="250">
        <v>45906</v>
      </c>
      <c r="D60" s="250">
        <v>80837</v>
      </c>
      <c r="E60" s="234">
        <v>72085</v>
      </c>
      <c r="F60" s="274">
        <v>4.2</v>
      </c>
      <c r="G60" s="275">
        <v>0.31189034752020861</v>
      </c>
      <c r="H60" s="275">
        <v>0.68810965247979139</v>
      </c>
      <c r="I60" s="234">
        <v>87213.081684246194</v>
      </c>
      <c r="K60" s="234">
        <v>8650</v>
      </c>
      <c r="L60" s="234">
        <v>1364</v>
      </c>
      <c r="M60" s="234">
        <v>5646</v>
      </c>
      <c r="N60" s="234">
        <v>4680</v>
      </c>
      <c r="O60" s="234">
        <v>3247</v>
      </c>
      <c r="P60" s="234">
        <v>3807</v>
      </c>
      <c r="R60" s="295"/>
      <c r="S60" s="334"/>
      <c r="T60" s="239">
        <v>1.6513600865957518</v>
      </c>
      <c r="U60" s="240"/>
      <c r="V60" s="295"/>
      <c r="X60" s="294">
        <v>8.2783999999999995</v>
      </c>
      <c r="Y60" s="294">
        <v>2.710477445</v>
      </c>
      <c r="AA60" s="295"/>
      <c r="AC60" s="234">
        <v>48090.94</v>
      </c>
      <c r="AD60" s="234">
        <v>16087.52</v>
      </c>
      <c r="AE60" s="234">
        <v>562</v>
      </c>
      <c r="AF60" s="234">
        <v>2103.2399999999998</v>
      </c>
      <c r="AG60" s="239">
        <v>4.3734641077924442E-2</v>
      </c>
      <c r="AH60" s="239">
        <v>0.6272055300188405</v>
      </c>
      <c r="AJ60" s="234">
        <v>4657</v>
      </c>
      <c r="AK60" s="234">
        <v>2179</v>
      </c>
      <c r="AL60" s="242">
        <v>13020</v>
      </c>
      <c r="AM60" s="314">
        <v>1645</v>
      </c>
      <c r="AN60" s="314">
        <v>708.77</v>
      </c>
      <c r="AO60" s="313">
        <v>2940.6600000000053</v>
      </c>
      <c r="AP60" s="241">
        <v>83</v>
      </c>
      <c r="AR60" s="234">
        <v>861.63</v>
      </c>
      <c r="AT60" s="234">
        <v>14652.7</v>
      </c>
      <c r="AV60" s="295"/>
      <c r="AX60" s="234">
        <v>98000.454308477201</v>
      </c>
      <c r="AY60" s="234">
        <v>99214.554308477207</v>
      </c>
      <c r="AZ60" s="234">
        <v>101763.09099447934</v>
      </c>
      <c r="BA60" s="234">
        <v>102977.19099447934</v>
      </c>
      <c r="BB60" s="234">
        <v>-1214.1000000000058</v>
      </c>
      <c r="BC60" s="234">
        <v>92346.876694999999</v>
      </c>
      <c r="BD60" s="234">
        <v>98000.454308477201</v>
      </c>
      <c r="BE60" s="234">
        <v>99214.554308477207</v>
      </c>
      <c r="BF60" s="234">
        <v>85476.299515516876</v>
      </c>
      <c r="BG60" s="234">
        <v>141152.14936982837</v>
      </c>
      <c r="BH60" s="234">
        <v>16184.745068505646</v>
      </c>
      <c r="BJ60" s="236">
        <v>99214.554308477207</v>
      </c>
      <c r="BK60" s="236">
        <v>102977.19099447934</v>
      </c>
      <c r="BL60" s="234">
        <v>14944.722503171741</v>
      </c>
      <c r="BM60" s="234">
        <v>45555.877958968071</v>
      </c>
      <c r="BN60" s="250">
        <v>40033.592873885995</v>
      </c>
      <c r="BO60" s="250">
        <v>5522.2850850820751</v>
      </c>
      <c r="BP60" s="234">
        <v>38713.953846337397</v>
      </c>
      <c r="BQ60" s="234">
        <v>42476.590532339535</v>
      </c>
      <c r="BR60" s="250">
        <v>6160.9516725114527</v>
      </c>
      <c r="BS60" s="250">
        <v>8158.5901305849466</v>
      </c>
      <c r="BT60" s="250">
        <v>2146.2599473369901</v>
      </c>
      <c r="BU60" s="250">
        <v>4086.685764743152</v>
      </c>
      <c r="BV60" s="250">
        <v>4149.0614455040995</v>
      </c>
      <c r="BW60" s="250">
        <v>7911.6981315062367</v>
      </c>
      <c r="BX60" s="250">
        <v>14012.404885656753</v>
      </c>
      <c r="BY60" s="236"/>
      <c r="BZ60" s="236">
        <v>98504.137783444647</v>
      </c>
      <c r="CA60" s="234">
        <v>47977.691385133032</v>
      </c>
      <c r="CB60" s="234">
        <v>13854.88015358966</v>
      </c>
      <c r="CC60" s="234">
        <v>15078.569652141015</v>
      </c>
      <c r="CD60" s="234">
        <v>21592.996592580934</v>
      </c>
      <c r="CF60" s="234">
        <v>98749</v>
      </c>
      <c r="CG60" s="234">
        <v>102511.63668600214</v>
      </c>
      <c r="CH60" s="234">
        <v>-465.55430847720709</v>
      </c>
      <c r="CI60" s="234">
        <v>45854.6</v>
      </c>
      <c r="CJ60" s="234">
        <v>49135.417047646202</v>
      </c>
      <c r="CK60" s="234">
        <v>15661.4</v>
      </c>
      <c r="CL60" s="234">
        <v>16143.219638355931</v>
      </c>
      <c r="CM60" s="234">
        <v>34842.800000000003</v>
      </c>
      <c r="CN60" s="250">
        <v>33844.400000000001</v>
      </c>
      <c r="CO60" s="250">
        <v>998.4</v>
      </c>
      <c r="CP60" s="234">
        <v>2390.1999999999998</v>
      </c>
      <c r="CQ60" s="271"/>
      <c r="CR60" s="295"/>
      <c r="CT60" s="234">
        <v>14605.509335999999</v>
      </c>
      <c r="CU60" s="239">
        <v>0.15815921294488994</v>
      </c>
      <c r="CV60" s="239">
        <v>0.15815921294488997</v>
      </c>
      <c r="CX60" s="234">
        <v>16286.791478962465</v>
      </c>
      <c r="CY60" s="234">
        <v>26895.357387066408</v>
      </c>
      <c r="CZ60" s="234">
        <v>13854.88015358966</v>
      </c>
      <c r="DA60" s="307">
        <v>110802219700.06219</v>
      </c>
      <c r="DB60" s="234">
        <v>9172.6509556499495</v>
      </c>
      <c r="DD60" s="234">
        <v>6566.7517088391796</v>
      </c>
      <c r="DE60" s="262">
        <v>5411.4269323862773</v>
      </c>
      <c r="DF60" s="252">
        <v>1918.7692904234871</v>
      </c>
      <c r="DG60" s="252">
        <v>3492.65764196279</v>
      </c>
      <c r="DH60" s="234">
        <v>1098.6107953212368</v>
      </c>
      <c r="DI60" s="250">
        <v>795.43312975281469</v>
      </c>
      <c r="DJ60" s="258">
        <v>303.17766556842201</v>
      </c>
      <c r="DK60" s="241">
        <v>626.96190161761547</v>
      </c>
      <c r="DL60" s="252">
        <v>626.96190161761547</v>
      </c>
      <c r="DM60" s="258">
        <v>0</v>
      </c>
      <c r="DN60" s="234">
        <v>19758.357757741276</v>
      </c>
      <c r="DO60" s="252">
        <v>528.36287483528724</v>
      </c>
      <c r="DP60" s="250">
        <v>19229.99488290599</v>
      </c>
      <c r="DQ60" s="257">
        <v>26895.357387066404</v>
      </c>
      <c r="DS60" s="295"/>
      <c r="DT60" s="295"/>
      <c r="DU60">
        <f t="shared" si="0"/>
        <v>0.7</v>
      </c>
      <c r="DV60">
        <f t="shared" si="1"/>
        <v>0.95</v>
      </c>
      <c r="DW60" s="318">
        <v>6213.4680436248418</v>
      </c>
      <c r="DX60" s="234">
        <v>13508.152259979619</v>
      </c>
      <c r="DZ60" s="309">
        <v>3246.8561594317662</v>
      </c>
      <c r="EA60" s="234">
        <v>10261.296100547854</v>
      </c>
      <c r="EB60" s="234">
        <v>5411.4269323862773</v>
      </c>
      <c r="EC60" s="234">
        <v>0</v>
      </c>
      <c r="ED60" s="234">
        <v>0</v>
      </c>
      <c r="EE60" s="234">
        <v>4849.8691681615755</v>
      </c>
      <c r="EF60" s="241">
        <v>22211.206422288451</v>
      </c>
      <c r="EG60" s="234">
        <v>795.43312975281469</v>
      </c>
      <c r="EH60" s="234">
        <v>0</v>
      </c>
      <c r="EI60" s="234">
        <v>21415.773292535636</v>
      </c>
      <c r="EJ60" s="234">
        <v>0</v>
      </c>
      <c r="EK60" s="234">
        <v>14991.041304774944</v>
      </c>
      <c r="EL60" s="242">
        <v>6424.7319877606906</v>
      </c>
      <c r="EM60" s="234">
        <v>25082.670577141267</v>
      </c>
      <c r="EN60" s="234">
        <v>303.17766556842201</v>
      </c>
      <c r="EO60" s="234">
        <v>10186.502847857657</v>
      </c>
      <c r="EP60" s="236">
        <v>21720.970457298845</v>
      </c>
      <c r="EQ60" s="234">
        <v>1915.3134828372167</v>
      </c>
      <c r="ER60" s="234">
        <v>1143.2089714367814</v>
      </c>
      <c r="ES60" s="241">
        <v>3218.1375095560688</v>
      </c>
      <c r="ET60" s="250">
        <v>2929.5788480243277</v>
      </c>
      <c r="EU60" s="250">
        <v>209.35943177860943</v>
      </c>
      <c r="EV60" s="250">
        <v>-5.664165097023429</v>
      </c>
      <c r="EW60" s="250">
        <v>84.863394850155686</v>
      </c>
      <c r="EX60" s="241">
        <v>243.27836795728615</v>
      </c>
      <c r="EY60" s="266"/>
      <c r="EZ60" s="234">
        <v>98806.328864071882</v>
      </c>
      <c r="FA60" s="234">
        <v>567.94115574428349</v>
      </c>
      <c r="FB60" s="234">
        <v>19758.357757741276</v>
      </c>
      <c r="FC60" s="234">
        <v>17685.273874598937</v>
      </c>
      <c r="FF60" s="234">
        <v>44670.748934053561</v>
      </c>
      <c r="FG60" s="234">
        <v>16691.948297678107</v>
      </c>
      <c r="FH60" s="250">
        <v>4538.8787932144851</v>
      </c>
      <c r="FI60" s="250">
        <v>2409.7141791631184</v>
      </c>
      <c r="FJ60" s="250">
        <v>321.75099927231634</v>
      </c>
      <c r="FK60" s="250">
        <v>9421.6208396290422</v>
      </c>
      <c r="FL60" s="257">
        <v>-4538.8787932144851</v>
      </c>
      <c r="FM60" s="250">
        <v>-2172.4467619210418</v>
      </c>
      <c r="FN60" s="250">
        <v>-2182.9659256726559</v>
      </c>
      <c r="FO60" s="250">
        <v>-133.330813391741</v>
      </c>
      <c r="FP60" s="250">
        <v>-50.10226502731512</v>
      </c>
      <c r="FQ60" s="241">
        <v>1741.3791405062721</v>
      </c>
      <c r="FR60" s="234">
        <v>8605.2654726252731</v>
      </c>
      <c r="FS60" s="234">
        <v>1806.4248913320791</v>
      </c>
      <c r="FT60" s="388">
        <v>-736.02770419659248</v>
      </c>
      <c r="FV60" s="234">
        <v>13690.996527138283</v>
      </c>
      <c r="FW60" s="234">
        <v>795.65771971898357</v>
      </c>
      <c r="FX60" s="234">
        <v>626.96190161761547</v>
      </c>
      <c r="FY60" s="234">
        <v>174.96160117481992</v>
      </c>
      <c r="FZ60" s="234">
        <v>10632.001186332027</v>
      </c>
      <c r="GA60" s="234">
        <v>2257.0718380138205</v>
      </c>
      <c r="GB60" s="241">
        <v>-618.8637060526238</v>
      </c>
      <c r="GC60" s="250">
        <v>-757.11557250242026</v>
      </c>
      <c r="GD60" s="250">
        <v>138.99497848876445</v>
      </c>
      <c r="GE60" s="250">
        <v>-34.76112982284058</v>
      </c>
      <c r="GF60" s="250">
        <v>34.018017783872487</v>
      </c>
      <c r="GG60" s="257">
        <v>-618.8637060526238</v>
      </c>
      <c r="GH60" s="250">
        <v>-757.11557250242026</v>
      </c>
      <c r="GI60" s="250">
        <v>34.018017783872487</v>
      </c>
      <c r="GJ60" s="250">
        <v>138.99497848876445</v>
      </c>
      <c r="GK60" s="250">
        <v>-34.76112982284058</v>
      </c>
      <c r="GL60" s="388">
        <v>492.74933623930639</v>
      </c>
      <c r="GN60" s="236">
        <v>1939.5884761101747</v>
      </c>
      <c r="GO60" s="236">
        <v>65.278264223130066</v>
      </c>
      <c r="GP60" s="254">
        <v>1939.5884761101747</v>
      </c>
      <c r="GQ60" s="236">
        <v>0</v>
      </c>
      <c r="GR60" s="236">
        <v>1939.5884761101747</v>
      </c>
      <c r="GT60" s="236">
        <v>170052.49849118775</v>
      </c>
      <c r="GU60" s="236">
        <v>26895.357387066404</v>
      </c>
      <c r="GV60" s="236">
        <v>19775.548958610972</v>
      </c>
      <c r="GW60" s="236">
        <v>92014.761882459366</v>
      </c>
      <c r="GX60" s="236">
        <v>31366.830263050975</v>
      </c>
      <c r="GY60" s="271"/>
      <c r="GZ60" s="295"/>
      <c r="HB60" s="234">
        <v>64332.38</v>
      </c>
      <c r="HC60" s="234">
        <v>7594.14</v>
      </c>
      <c r="HD60" s="234">
        <v>12540.659688020263</v>
      </c>
      <c r="HE60" s="234">
        <v>5973.9079791810836</v>
      </c>
      <c r="HG60" s="234">
        <v>35308.400000000001</v>
      </c>
      <c r="HI60" s="234">
        <v>61111.882724648989</v>
      </c>
      <c r="HJ60" s="234">
        <v>32816.101321645874</v>
      </c>
      <c r="HK60" s="250">
        <v>30642.65183817206</v>
      </c>
      <c r="HL60" s="250">
        <v>2168.6605392226857</v>
      </c>
      <c r="HM60" s="250">
        <v>4.7724306502615121</v>
      </c>
      <c r="HN60" s="250"/>
      <c r="HO60" s="271">
        <v>20684.07</v>
      </c>
      <c r="HP60" s="271">
        <v>27646.809898645082</v>
      </c>
      <c r="HQ60" s="321">
        <v>5941.2998932287855</v>
      </c>
      <c r="HR60" s="321">
        <v>21705.510005416294</v>
      </c>
      <c r="HS60" s="321">
        <v>0</v>
      </c>
      <c r="HU60" s="234">
        <v>-1347.34</v>
      </c>
      <c r="HV60" s="234">
        <v>-2851.9054006915358</v>
      </c>
      <c r="HW60" s="250">
        <v>3812.2738239716828</v>
      </c>
      <c r="HX60" s="250">
        <v>-11502.020247954999</v>
      </c>
      <c r="HY60" s="250">
        <v>4837.8410232917804</v>
      </c>
      <c r="IA60" s="234">
        <v>17152.68</v>
      </c>
      <c r="IB60" s="234">
        <v>517.59</v>
      </c>
      <c r="IC60" s="234">
        <v>29179.978597370318</v>
      </c>
      <c r="ID60" s="234">
        <v>9421.6208396290422</v>
      </c>
      <c r="IE60" s="310">
        <v>1349.9975453825325</v>
      </c>
      <c r="IF60" s="310">
        <v>6671.1992783097976</v>
      </c>
      <c r="IG60" s="326">
        <v>1400.424015936713</v>
      </c>
      <c r="IH60" s="250">
        <v>20889.07812097159</v>
      </c>
      <c r="II60" s="250">
        <v>-6634.4052023018967</v>
      </c>
      <c r="IJ60" s="250">
        <v>-4833.068592641519</v>
      </c>
      <c r="IL60" s="234">
        <v>-1404.5597135539645</v>
      </c>
      <c r="IM60" s="248">
        <v>1400.424015936713</v>
      </c>
      <c r="IN60" s="248">
        <v>-2804.9837294906774</v>
      </c>
      <c r="IO60" s="257">
        <v>-3947.0808789811658</v>
      </c>
      <c r="IP60" s="250">
        <v>65.278264223130066</v>
      </c>
      <c r="IQ60" s="250">
        <v>1939.5884761101747</v>
      </c>
      <c r="IR60" s="258">
        <v>-862.76959084281657</v>
      </c>
      <c r="IS60" s="257">
        <v>4.7889442511276803</v>
      </c>
      <c r="IT60" s="250">
        <v>2800.2112988404165</v>
      </c>
      <c r="IU60" s="271"/>
      <c r="IV60" s="295"/>
      <c r="IX60" s="350">
        <v>0.13843178158766162</v>
      </c>
      <c r="IY60" s="351">
        <v>1.1038086461635038E-2</v>
      </c>
      <c r="IZ60" s="351">
        <v>0.12739369512602658</v>
      </c>
      <c r="JA60" s="356">
        <v>2.6531914247232884E-2</v>
      </c>
      <c r="JB60" s="356">
        <v>2.6531914247232884E-2</v>
      </c>
      <c r="JE60" s="351">
        <v>0.1008617808787937</v>
      </c>
      <c r="JF60" s="356">
        <v>8.5773020486283408E-2</v>
      </c>
      <c r="JG60" s="356">
        <v>1.5088760392510303E-2</v>
      </c>
      <c r="JH60" s="346"/>
      <c r="JI60" s="361">
        <v>2118.87</v>
      </c>
      <c r="JJ60" s="370">
        <v>1459.2299999999998</v>
      </c>
      <c r="JK60" s="370">
        <v>659.64</v>
      </c>
      <c r="JL60" s="370">
        <v>11975.31</v>
      </c>
      <c r="JM60" s="370">
        <v>14094.18</v>
      </c>
      <c r="JO60" s="361">
        <v>13395.23</v>
      </c>
      <c r="JP60" s="361">
        <v>813.71999999999935</v>
      </c>
      <c r="JQ60" s="377">
        <v>12581.51</v>
      </c>
      <c r="JR60" s="363">
        <v>10922.24</v>
      </c>
      <c r="JS60" s="366">
        <v>4553.17</v>
      </c>
      <c r="JT60" s="366">
        <v>1868.78</v>
      </c>
      <c r="JU60" s="366">
        <v>858.29</v>
      </c>
      <c r="JV60" s="366">
        <v>750.48</v>
      </c>
      <c r="JW60" s="363">
        <v>1659.27</v>
      </c>
      <c r="JX60" s="366">
        <v>659.64</v>
      </c>
      <c r="JY60" s="366">
        <v>999.63</v>
      </c>
      <c r="KA60" s="361">
        <v>12581.51</v>
      </c>
      <c r="KL60" s="409"/>
      <c r="KM60" s="388"/>
      <c r="KW60" s="409"/>
      <c r="LI60" s="416"/>
      <c r="LJ60" s="388">
        <v>3826.43</v>
      </c>
      <c r="LV60" s="421"/>
      <c r="MF60" s="422"/>
      <c r="MG60" s="425"/>
      <c r="NC60" s="421"/>
      <c r="NM60" s="422"/>
      <c r="NZ60" s="361">
        <v>1276.5189999999998</v>
      </c>
      <c r="OA60" s="361">
        <v>264.45037000000002</v>
      </c>
      <c r="OB60" s="361">
        <v>59.558</v>
      </c>
      <c r="OC60" s="361">
        <v>290.92079999999999</v>
      </c>
    </row>
    <row r="61" spans="1:393">
      <c r="A61" s="240">
        <v>2001</v>
      </c>
      <c r="B61" s="269">
        <v>127627</v>
      </c>
      <c r="C61" s="250">
        <v>48064</v>
      </c>
      <c r="D61" s="250">
        <v>79563</v>
      </c>
      <c r="E61" s="234">
        <v>72797</v>
      </c>
      <c r="F61" s="274">
        <v>4.2</v>
      </c>
      <c r="G61" s="275">
        <v>0.30145531678517795</v>
      </c>
      <c r="H61" s="275">
        <v>0.6985446832148221</v>
      </c>
      <c r="I61" s="234">
        <v>89153.162284658101</v>
      </c>
      <c r="K61" s="234">
        <v>8733</v>
      </c>
      <c r="L61" s="234">
        <v>1385</v>
      </c>
      <c r="M61" s="234">
        <v>5658</v>
      </c>
      <c r="N61" s="234">
        <v>4729</v>
      </c>
      <c r="O61" s="234">
        <v>3272</v>
      </c>
      <c r="P61" s="234">
        <v>3811</v>
      </c>
      <c r="R61" s="295"/>
      <c r="S61" s="334"/>
      <c r="T61" s="239">
        <v>1.6223021095250878</v>
      </c>
      <c r="U61" s="240"/>
      <c r="V61" s="295"/>
      <c r="X61" s="294">
        <v>8.277000000000001</v>
      </c>
      <c r="Y61" s="294">
        <v>2.7043902559999999</v>
      </c>
      <c r="AA61" s="295"/>
      <c r="AC61" s="234">
        <v>43522.2</v>
      </c>
      <c r="AD61" s="234">
        <v>14463.17</v>
      </c>
      <c r="AE61" s="234">
        <v>804.23</v>
      </c>
      <c r="AF61" s="234">
        <v>1252.3399999999999</v>
      </c>
      <c r="AG61" s="239">
        <v>2.877474024750587E-2</v>
      </c>
      <c r="AH61" s="239">
        <v>-0.13650964123988246</v>
      </c>
      <c r="AJ61" s="234">
        <v>4884</v>
      </c>
      <c r="AK61" s="234">
        <v>2286</v>
      </c>
      <c r="AL61" s="242">
        <v>15618</v>
      </c>
      <c r="AM61" s="314">
        <v>2625</v>
      </c>
      <c r="AN61" s="314">
        <v>835</v>
      </c>
      <c r="AO61" s="313">
        <v>4730.6600000000053</v>
      </c>
      <c r="AP61" s="241">
        <v>147</v>
      </c>
      <c r="AR61" s="309">
        <v>1836.1542857142858</v>
      </c>
      <c r="AS61" s="309"/>
      <c r="AT61" s="234">
        <v>15688.8</v>
      </c>
      <c r="AV61" s="295"/>
      <c r="AX61" s="234">
        <v>108068.22055815921</v>
      </c>
      <c r="AY61" s="234">
        <v>109655.17055815921</v>
      </c>
      <c r="AZ61" s="234">
        <v>112220.40224028856</v>
      </c>
      <c r="BA61" s="234">
        <v>113807.35224028856</v>
      </c>
      <c r="BB61" s="234">
        <v>-1586.9499999999971</v>
      </c>
      <c r="BC61" s="234" t="s">
        <v>534</v>
      </c>
      <c r="BD61" s="234">
        <v>108068.22055815921</v>
      </c>
      <c r="BE61" s="234">
        <v>109655.17055815921</v>
      </c>
      <c r="BF61" s="234">
        <v>94469.398353087105</v>
      </c>
      <c r="BG61" s="234">
        <v>153257.90423377906</v>
      </c>
      <c r="BH61" s="234">
        <v>17190.405848357936</v>
      </c>
      <c r="BJ61" s="236">
        <v>109655.17055815921</v>
      </c>
      <c r="BK61" s="236">
        <v>113807.35224028856</v>
      </c>
      <c r="BL61" s="234">
        <v>15781.269049012264</v>
      </c>
      <c r="BM61" s="234">
        <v>49512.290969951253</v>
      </c>
      <c r="BN61" s="250">
        <v>43580.616108634014</v>
      </c>
      <c r="BO61" s="250">
        <v>5931.6748613172394</v>
      </c>
      <c r="BP61" s="234">
        <v>44361.610539195695</v>
      </c>
      <c r="BQ61" s="234">
        <v>48513.792221325042</v>
      </c>
      <c r="BR61" s="250">
        <v>6870.2508081881915</v>
      </c>
      <c r="BS61" s="250">
        <v>9119.4081187280717</v>
      </c>
      <c r="BT61" s="250">
        <v>2400.1299867114408</v>
      </c>
      <c r="BU61" s="250">
        <v>4353.4563906838457</v>
      </c>
      <c r="BV61" s="250">
        <v>4715.0690796838771</v>
      </c>
      <c r="BW61" s="250">
        <v>8867.2507618132258</v>
      </c>
      <c r="BX61" s="250">
        <v>16903.296155200274</v>
      </c>
      <c r="BY61" s="236"/>
      <c r="BZ61" s="236">
        <v>108545.74609226873</v>
      </c>
      <c r="CA61" s="234">
        <v>52351.290999156299</v>
      </c>
      <c r="CB61" s="234">
        <v>15113.932303407133</v>
      </c>
      <c r="CC61" s="234">
        <v>16967.569371083337</v>
      </c>
      <c r="CD61" s="234">
        <v>24112.953418621968</v>
      </c>
      <c r="CF61" s="234">
        <v>109027.98684622654</v>
      </c>
      <c r="CG61" s="234">
        <v>113180.16852835591</v>
      </c>
      <c r="CH61" s="234">
        <v>-627.18371193265193</v>
      </c>
      <c r="CI61" s="234">
        <v>49435.858194085864</v>
      </c>
      <c r="CJ61" s="234">
        <v>53152.727598612102</v>
      </c>
      <c r="CK61" s="234">
        <v>17498.028652140685</v>
      </c>
      <c r="CL61" s="234">
        <v>17933.340929743794</v>
      </c>
      <c r="CM61" s="234">
        <v>39769.4</v>
      </c>
      <c r="CN61" s="250">
        <v>37754.5</v>
      </c>
      <c r="CO61" s="250">
        <v>2014.9</v>
      </c>
      <c r="CP61" s="234">
        <v>2324.6999999999998</v>
      </c>
      <c r="CQ61" s="271"/>
      <c r="CR61" s="295"/>
      <c r="CT61" s="234" t="s">
        <v>534</v>
      </c>
      <c r="CV61" s="308">
        <v>0.15597413996349416</v>
      </c>
      <c r="CX61" s="234">
        <v>17751.003887201448</v>
      </c>
      <c r="CY61" s="234">
        <v>28797.491052394944</v>
      </c>
      <c r="CZ61" s="234">
        <v>15113.932303407133</v>
      </c>
      <c r="DA61" s="307">
        <v>124142393244.91652</v>
      </c>
      <c r="DB61" s="234">
        <v>10275.265888881742</v>
      </c>
      <c r="DD61" s="234">
        <v>6984.5487539557571</v>
      </c>
      <c r="DE61" s="262">
        <v>6014.9129722789276</v>
      </c>
      <c r="DF61" s="252">
        <v>2011.8848514714375</v>
      </c>
      <c r="DG61" s="252">
        <v>4003.0281208074903</v>
      </c>
      <c r="DH61" s="234">
        <v>1105.2905149080548</v>
      </c>
      <c r="DI61" s="250">
        <v>831.5557826016659</v>
      </c>
      <c r="DJ61" s="258">
        <v>273.73473230638893</v>
      </c>
      <c r="DK61" s="241">
        <v>527.20834948706079</v>
      </c>
      <c r="DL61" s="252">
        <v>527.20834948706079</v>
      </c>
      <c r="DM61" s="258">
        <v>0</v>
      </c>
      <c r="DN61" s="234">
        <v>21150.0792157209</v>
      </c>
      <c r="DO61" s="252">
        <v>442.42743218976875</v>
      </c>
      <c r="DP61" s="250">
        <v>20707.651783531132</v>
      </c>
      <c r="DQ61" s="257">
        <v>28797.491052394944</v>
      </c>
      <c r="DS61" s="295"/>
      <c r="DT61" s="295"/>
      <c r="DU61">
        <f t="shared" si="0"/>
        <v>0.7</v>
      </c>
      <c r="DV61">
        <f t="shared" si="1"/>
        <v>0.94999999999999984</v>
      </c>
      <c r="DW61" s="318">
        <v>6736.0931020498692</v>
      </c>
      <c r="DX61" s="234">
        <v>15172.061713143539</v>
      </c>
      <c r="DZ61" s="309">
        <v>3608.9477833673564</v>
      </c>
      <c r="EA61" s="234">
        <v>11563.113929776184</v>
      </c>
      <c r="EB61" s="234">
        <v>6014.9129722789276</v>
      </c>
      <c r="EC61" s="234">
        <v>0</v>
      </c>
      <c r="ED61" s="234">
        <v>0</v>
      </c>
      <c r="EE61" s="234">
        <v>5548.2009574972553</v>
      </c>
      <c r="EF61" s="241">
        <v>23041.787462276017</v>
      </c>
      <c r="EG61" s="234">
        <v>831.5557826016659</v>
      </c>
      <c r="EH61" s="234">
        <v>0</v>
      </c>
      <c r="EI61" s="234">
        <v>22210.231679674351</v>
      </c>
      <c r="EJ61" s="234">
        <v>0</v>
      </c>
      <c r="EK61" s="234">
        <v>15547.162175772044</v>
      </c>
      <c r="EL61" s="242">
        <v>6663.0695039023049</v>
      </c>
      <c r="EM61" s="234">
        <v>25289.609083480729</v>
      </c>
      <c r="EN61" s="234">
        <v>273.73473230638893</v>
      </c>
      <c r="EO61" s="234">
        <v>11372.508929908345</v>
      </c>
      <c r="EP61" s="236">
        <v>22225.034107949785</v>
      </c>
      <c r="EQ61" s="234">
        <v>1621.1016059640392</v>
      </c>
      <c r="ER61" s="234">
        <v>1169.7386372605151</v>
      </c>
      <c r="ES61" s="241">
        <v>3113.7168848536912</v>
      </c>
      <c r="ET61" s="250">
        <v>2687.3434444283084</v>
      </c>
      <c r="EU61" s="250">
        <v>355.86819074542331</v>
      </c>
      <c r="EV61" s="250">
        <v>-6.0025178052428254</v>
      </c>
      <c r="EW61" s="250">
        <v>76.507767485203132</v>
      </c>
      <c r="EX61" s="241">
        <v>520.02894120826693</v>
      </c>
      <c r="EY61" s="266"/>
      <c r="EZ61" s="234">
        <v>109248.96149744664</v>
      </c>
      <c r="FA61" s="234">
        <v>481.68411829492254</v>
      </c>
      <c r="FB61" s="234">
        <v>21150.0792157209</v>
      </c>
      <c r="FC61" s="234">
        <v>19221.165177822004</v>
      </c>
      <c r="FF61" s="234">
        <v>47240.162209659858</v>
      </c>
      <c r="FG61" s="234">
        <v>21637.554894243876</v>
      </c>
      <c r="FH61" s="250">
        <v>5276.3753810193957</v>
      </c>
      <c r="FI61" s="250">
        <v>3841.2058198280265</v>
      </c>
      <c r="FJ61" s="250">
        <v>280.46358869469719</v>
      </c>
      <c r="FK61" s="250">
        <v>12239.510104701745</v>
      </c>
      <c r="FL61" s="257">
        <v>-5276.3753810193957</v>
      </c>
      <c r="FM61" s="250">
        <v>-1805.5411327959475</v>
      </c>
      <c r="FN61" s="250">
        <v>-3282.8743258138725</v>
      </c>
      <c r="FO61" s="250">
        <v>-144.61201004306633</v>
      </c>
      <c r="FP61" s="250">
        <v>-43.3641353876056</v>
      </c>
      <c r="FQ61" s="241">
        <v>2839.1952062850396</v>
      </c>
      <c r="FR61" s="234">
        <v>11116.204419261638</v>
      </c>
      <c r="FS61" s="234">
        <v>2405.7798876778024</v>
      </c>
      <c r="FT61" s="388">
        <v>-1573.2923627963348</v>
      </c>
      <c r="FV61" s="234">
        <v>15486.483409465718</v>
      </c>
      <c r="FW61" s="234">
        <v>706.20802625769147</v>
      </c>
      <c r="FX61" s="234">
        <v>527.20834948706079</v>
      </c>
      <c r="FY61" s="234">
        <v>196.02276389391636</v>
      </c>
      <c r="FZ61" s="234">
        <v>13063.944643414865</v>
      </c>
      <c r="GA61" s="234">
        <v>1699.3076526698769</v>
      </c>
      <c r="GB61" s="241">
        <v>-337.47128482340872</v>
      </c>
      <c r="GC61" s="250">
        <v>-881.80231163236158</v>
      </c>
      <c r="GD61" s="250">
        <v>150.61452784830917</v>
      </c>
      <c r="GE61" s="250">
        <v>-33.143632097597539</v>
      </c>
      <c r="GF61" s="250">
        <v>426.86013105824111</v>
      </c>
      <c r="GG61" s="257">
        <v>-337.47128482340872</v>
      </c>
      <c r="GH61" s="250">
        <v>-881.80231163236158</v>
      </c>
      <c r="GI61" s="250">
        <v>426.86013105824111</v>
      </c>
      <c r="GJ61" s="250">
        <v>150.61452784830917</v>
      </c>
      <c r="GK61" s="250">
        <v>-33.143632097597539</v>
      </c>
      <c r="GL61" s="388">
        <v>1053.263421588068</v>
      </c>
      <c r="GN61" s="236">
        <v>2500.1460040102079</v>
      </c>
      <c r="GO61" s="236">
        <v>74.414997763915764</v>
      </c>
      <c r="GP61" s="254">
        <v>2500.1460040102079</v>
      </c>
      <c r="GQ61" s="236">
        <v>-365.55333433928809</v>
      </c>
      <c r="GR61" s="236">
        <v>2500.1460040102079</v>
      </c>
      <c r="GT61" s="236">
        <v>184629.95538244527</v>
      </c>
      <c r="GU61" s="236">
        <v>28797.491052394944</v>
      </c>
      <c r="GV61" s="236">
        <v>21038.28954767996</v>
      </c>
      <c r="GW61" s="236">
        <v>98076.30313679656</v>
      </c>
      <c r="GX61" s="236">
        <v>36717.871645573825</v>
      </c>
      <c r="GY61" s="271"/>
      <c r="GZ61" s="295"/>
      <c r="HB61" s="234">
        <v>73762.429999999993</v>
      </c>
      <c r="HC61" s="234">
        <v>8339.1</v>
      </c>
      <c r="HD61" s="234">
        <v>13528.539521540661</v>
      </c>
      <c r="HE61" s="234">
        <v>6543.9907675849036</v>
      </c>
      <c r="HG61" s="234">
        <v>40396.6</v>
      </c>
      <c r="HI61" s="234">
        <v>67872.626485686298</v>
      </c>
      <c r="HJ61" s="234">
        <v>37275.413889919721</v>
      </c>
      <c r="HK61" s="250">
        <v>35720.490462152084</v>
      </c>
      <c r="HL61" s="250">
        <v>1547.6717373380532</v>
      </c>
      <c r="HM61" s="250">
        <v>7.2516904295768176</v>
      </c>
      <c r="HN61" s="250"/>
      <c r="HO61" s="271">
        <v>22429.439999999999</v>
      </c>
      <c r="HP61" s="271">
        <v>29267.124340279399</v>
      </c>
      <c r="HQ61" s="321">
        <v>6132.6095678187939</v>
      </c>
      <c r="HR61" s="321">
        <v>23134.514772460607</v>
      </c>
      <c r="HS61" s="321">
        <v>0</v>
      </c>
      <c r="HU61" s="234">
        <v>-1173.82</v>
      </c>
      <c r="HV61" s="234">
        <v>-2431.4990116897993</v>
      </c>
      <c r="HW61" s="250">
        <v>3919.1810492782047</v>
      </c>
      <c r="HX61" s="250">
        <v>-11929.598562392734</v>
      </c>
      <c r="HY61" s="250">
        <v>5578.9347244458249</v>
      </c>
      <c r="IA61" s="234">
        <v>19327.189999999999</v>
      </c>
      <c r="IB61" s="234">
        <v>1254.42</v>
      </c>
      <c r="IC61" s="234">
        <v>33389.589320422645</v>
      </c>
      <c r="ID61" s="234">
        <v>12239.510104701745</v>
      </c>
      <c r="IE61" s="310">
        <v>2123.9519063071425</v>
      </c>
      <c r="IF61" s="310">
        <v>8315.8366550229694</v>
      </c>
      <c r="IG61" s="326">
        <v>1799.7215433716322</v>
      </c>
      <c r="IH61" s="250">
        <v>25668.716068076181</v>
      </c>
      <c r="II61" s="250">
        <v>-7857.5229293581906</v>
      </c>
      <c r="IJ61" s="250">
        <v>-5571.6830340162478</v>
      </c>
      <c r="IL61" s="234">
        <v>-537.39932165239929</v>
      </c>
      <c r="IM61" s="248">
        <v>1799.7215433716322</v>
      </c>
      <c r="IN61" s="248">
        <v>-2337.1208650240314</v>
      </c>
      <c r="IO61" s="257">
        <v>-3771.3657140129712</v>
      </c>
      <c r="IP61" s="250">
        <v>74.414997763915764</v>
      </c>
      <c r="IQ61" s="250">
        <v>2500.1460040102079</v>
      </c>
      <c r="IR61" s="258">
        <v>-1140.3161527851842</v>
      </c>
      <c r="IS61" s="257">
        <v>7.2516904295771418</v>
      </c>
      <c r="IT61" s="250">
        <v>2329.8853976155501</v>
      </c>
      <c r="IU61" s="271"/>
      <c r="IV61" s="295"/>
      <c r="IX61" s="350">
        <v>0.15207102762593094</v>
      </c>
      <c r="IY61" s="351">
        <v>1.1740103459661727E-2</v>
      </c>
      <c r="IZ61" s="351">
        <v>0.14033092416626922</v>
      </c>
      <c r="JA61" s="356">
        <v>3.5862347286935464E-2</v>
      </c>
      <c r="JB61" s="356">
        <v>3.5862347286935464E-2</v>
      </c>
      <c r="JE61" s="351">
        <v>0.10446857687933375</v>
      </c>
      <c r="JF61" s="356">
        <v>8.9610008438199357E-2</v>
      </c>
      <c r="JG61" s="356">
        <v>1.4858568441134387E-2</v>
      </c>
      <c r="JH61" s="346"/>
      <c r="JI61" s="361">
        <v>3363.01</v>
      </c>
      <c r="JJ61" s="370">
        <v>2367.75</v>
      </c>
      <c r="JK61" s="370">
        <v>995.26</v>
      </c>
      <c r="JL61" s="370">
        <v>12968.17</v>
      </c>
      <c r="JM61" s="370">
        <v>16331.18</v>
      </c>
      <c r="JO61" s="361">
        <v>16386.04</v>
      </c>
      <c r="JP61" s="361">
        <v>1084.6600000000017</v>
      </c>
      <c r="JQ61" s="377">
        <v>15301.38</v>
      </c>
      <c r="JR61" s="363">
        <v>11675.25</v>
      </c>
      <c r="JS61" s="366">
        <v>5357.13</v>
      </c>
      <c r="JT61" s="366">
        <v>2064.09</v>
      </c>
      <c r="JU61" s="366">
        <v>929.99</v>
      </c>
      <c r="JV61" s="366">
        <v>840.52</v>
      </c>
      <c r="JW61" s="363">
        <v>3626.13</v>
      </c>
      <c r="JX61" s="366">
        <v>995.26</v>
      </c>
      <c r="JY61" s="366">
        <v>2630.87</v>
      </c>
      <c r="KA61" s="361">
        <v>15301.38</v>
      </c>
      <c r="KL61" s="409"/>
      <c r="KM61" s="388"/>
      <c r="KW61" s="409"/>
      <c r="LI61" s="416"/>
      <c r="LJ61" s="388">
        <v>4300</v>
      </c>
      <c r="LV61" s="421"/>
      <c r="MF61" s="422"/>
      <c r="MG61" s="425"/>
      <c r="NC61" s="421"/>
      <c r="NM61" s="422"/>
      <c r="NZ61" s="361">
        <v>1559.5495999999998</v>
      </c>
      <c r="OA61" s="361">
        <v>310.18991999999997</v>
      </c>
      <c r="OB61" s="361">
        <v>129.589</v>
      </c>
      <c r="OC61" s="361">
        <v>224.43374999999997</v>
      </c>
    </row>
    <row r="62" spans="1:393">
      <c r="A62" s="240">
        <v>2002</v>
      </c>
      <c r="B62" s="269">
        <v>128453</v>
      </c>
      <c r="C62" s="250">
        <v>50212</v>
      </c>
      <c r="D62" s="250">
        <v>78241</v>
      </c>
      <c r="E62" s="234">
        <v>73280</v>
      </c>
      <c r="F62" s="274">
        <v>4.0999999999999996</v>
      </c>
      <c r="G62" s="275">
        <v>0.2933140368449606</v>
      </c>
      <c r="H62" s="275">
        <v>0.7066859631550394</v>
      </c>
      <c r="I62" s="234">
        <v>90775.932025154281</v>
      </c>
      <c r="K62" s="234">
        <v>8842</v>
      </c>
      <c r="L62" s="234">
        <v>1423</v>
      </c>
      <c r="M62" s="234">
        <v>5672</v>
      </c>
      <c r="N62" s="234">
        <v>4776</v>
      </c>
      <c r="O62" s="234">
        <v>3294</v>
      </c>
      <c r="P62" s="234">
        <v>3813</v>
      </c>
      <c r="R62" s="295"/>
      <c r="S62" s="334"/>
      <c r="T62" s="239">
        <v>1.6214651899717132</v>
      </c>
      <c r="U62" s="240"/>
      <c r="V62" s="295"/>
      <c r="X62" s="294">
        <v>8.277000000000001</v>
      </c>
      <c r="Y62" s="294">
        <v>2.6791565689999999</v>
      </c>
      <c r="AA62" s="295"/>
      <c r="AC62" s="234">
        <v>38329.129999999997</v>
      </c>
      <c r="AD62" s="234">
        <v>12484.55</v>
      </c>
      <c r="AE62" s="234">
        <v>1318.85</v>
      </c>
      <c r="AF62" s="234">
        <v>961.75</v>
      </c>
      <c r="AG62" s="239">
        <v>2.5091881814171102E-2</v>
      </c>
      <c r="AH62" s="239">
        <v>-0.14186087169427913</v>
      </c>
      <c r="AJ62" s="234">
        <v>5934.3</v>
      </c>
      <c r="AK62" s="234">
        <v>2216.1999999999998</v>
      </c>
      <c r="AL62" s="242">
        <v>19336.099999999999</v>
      </c>
      <c r="AM62" s="314">
        <v>3220</v>
      </c>
      <c r="AN62" s="314">
        <v>660</v>
      </c>
      <c r="AO62" s="313">
        <v>7290.6600000000053</v>
      </c>
      <c r="AP62" s="241">
        <v>325</v>
      </c>
      <c r="AR62" s="309">
        <v>2810.6785714285716</v>
      </c>
      <c r="AS62" s="309"/>
      <c r="AT62" s="234">
        <v>17278.03</v>
      </c>
      <c r="AV62" s="295"/>
      <c r="AX62" s="234">
        <v>119095.68927425226</v>
      </c>
      <c r="AY62" s="234">
        <v>120332.68927425226</v>
      </c>
      <c r="AZ62" s="234">
        <v>123976.55478035583</v>
      </c>
      <c r="BA62" s="234">
        <v>125213.55478035583</v>
      </c>
      <c r="BB62" s="234">
        <v>-1237</v>
      </c>
      <c r="BC62" s="234">
        <v>121858.9041</v>
      </c>
      <c r="BD62" s="234">
        <v>119095.68927425226</v>
      </c>
      <c r="BE62" s="234">
        <v>120332.68927425226</v>
      </c>
      <c r="BF62" s="234">
        <v>104720.07901717305</v>
      </c>
      <c r="BG62" s="234">
        <v>169799.96281743332</v>
      </c>
      <c r="BH62" s="234">
        <v>18705.3945940628</v>
      </c>
      <c r="BJ62" s="236">
        <v>120332.68927425226</v>
      </c>
      <c r="BK62" s="236">
        <v>125213.55478035583</v>
      </c>
      <c r="BL62" s="234">
        <v>16537.019657742621</v>
      </c>
      <c r="BM62" s="234">
        <v>53896.767792499406</v>
      </c>
      <c r="BN62" s="250">
        <v>47431.308275517542</v>
      </c>
      <c r="BO62" s="250">
        <v>6465.4595169818604</v>
      </c>
      <c r="BP62" s="234">
        <v>49898.90182401023</v>
      </c>
      <c r="BQ62" s="234">
        <v>54779.767330113791</v>
      </c>
      <c r="BR62" s="250">
        <v>7492.946605707315</v>
      </c>
      <c r="BS62" s="250">
        <v>9995.3534193094056</v>
      </c>
      <c r="BT62" s="250">
        <v>2724.7500551669427</v>
      </c>
      <c r="BU62" s="250">
        <v>4612.8007288772669</v>
      </c>
      <c r="BV62" s="250">
        <v>5346.3536658002231</v>
      </c>
      <c r="BW62" s="250">
        <v>10227.219171903786</v>
      </c>
      <c r="BX62" s="250">
        <v>19726.697349149075</v>
      </c>
      <c r="BY62" s="236"/>
      <c r="BZ62" s="236">
        <v>120571.01996308783</v>
      </c>
      <c r="CA62" s="234">
        <v>57576.786122473088</v>
      </c>
      <c r="CB62" s="234">
        <v>16643.55036958538</v>
      </c>
      <c r="CC62" s="234">
        <v>18794.455046485131</v>
      </c>
      <c r="CD62" s="234">
        <v>27556.228424544221</v>
      </c>
      <c r="CF62" s="234">
        <v>120475.61500994448</v>
      </c>
      <c r="CG62" s="234">
        <v>125356.48051604803</v>
      </c>
      <c r="CH62" s="234">
        <v>142.92573569220258</v>
      </c>
      <c r="CI62" s="234">
        <v>53056.565610040561</v>
      </c>
      <c r="CJ62" s="234">
        <v>57549.616026495452</v>
      </c>
      <c r="CK62" s="234">
        <v>18759.949399903908</v>
      </c>
      <c r="CL62" s="234">
        <v>19147.764489552581</v>
      </c>
      <c r="CM62" s="234">
        <v>45565</v>
      </c>
      <c r="CN62" s="250">
        <v>43632.1</v>
      </c>
      <c r="CO62" s="250">
        <v>1932.9</v>
      </c>
      <c r="CP62" s="234">
        <v>3094.1</v>
      </c>
      <c r="CQ62" s="271"/>
      <c r="CR62" s="295"/>
      <c r="CT62" s="234">
        <v>18740.567165</v>
      </c>
      <c r="CU62" s="239">
        <v>0.15378906698209835</v>
      </c>
      <c r="CV62" s="239">
        <v>0.15378906698209835</v>
      </c>
      <c r="CX62" s="234">
        <v>19256.475763182785</v>
      </c>
      <c r="CY62" s="234">
        <v>31223.705131534865</v>
      </c>
      <c r="CZ62" s="234">
        <v>16643.55036958538</v>
      </c>
      <c r="DA62" s="307">
        <v>137923949530.4798</v>
      </c>
      <c r="DB62" s="234">
        <v>11415.965302637815</v>
      </c>
      <c r="DD62" s="234">
        <v>7543.7284406680365</v>
      </c>
      <c r="DE62" s="262">
        <v>6708.7293026098996</v>
      </c>
      <c r="DF62" s="252">
        <v>2108.6542092363634</v>
      </c>
      <c r="DG62" s="252">
        <v>4600.0750933735362</v>
      </c>
      <c r="DH62" s="234">
        <v>1045.5478754418743</v>
      </c>
      <c r="DI62" s="250">
        <v>766.85329363646656</v>
      </c>
      <c r="DJ62" s="258">
        <v>278.69458180540772</v>
      </c>
      <c r="DK62" s="241">
        <v>468.86154910542012</v>
      </c>
      <c r="DL62" s="252">
        <v>468.86154910542012</v>
      </c>
      <c r="DM62" s="258">
        <v>0</v>
      </c>
      <c r="DN62" s="234">
        <v>23000.566404377674</v>
      </c>
      <c r="DO62" s="252">
        <v>366.13758895271701</v>
      </c>
      <c r="DP62" s="250">
        <v>22634.428815424959</v>
      </c>
      <c r="DQ62" s="257">
        <v>31223.705131534869</v>
      </c>
      <c r="DS62" s="295"/>
      <c r="DT62" s="295"/>
      <c r="DU62">
        <f t="shared" si="0"/>
        <v>0.7</v>
      </c>
      <c r="DV62">
        <f t="shared" si="1"/>
        <v>0.95</v>
      </c>
      <c r="DW62" s="318">
        <v>7914.1535150805948</v>
      </c>
      <c r="DX62" s="234">
        <v>17583.118219335651</v>
      </c>
      <c r="DZ62" s="309">
        <v>4025.2375815659398</v>
      </c>
      <c r="EA62" s="234">
        <v>13557.880637769711</v>
      </c>
      <c r="EB62" s="234">
        <v>6708.7293026098996</v>
      </c>
      <c r="EC62" s="234">
        <v>0</v>
      </c>
      <c r="ED62" s="234">
        <v>0</v>
      </c>
      <c r="EE62" s="234">
        <v>6849.1513351598105</v>
      </c>
      <c r="EF62" s="241">
        <v>24132.781548816838</v>
      </c>
      <c r="EG62" s="234">
        <v>766.85329363646656</v>
      </c>
      <c r="EH62" s="234">
        <v>0</v>
      </c>
      <c r="EI62" s="234">
        <v>23365.92825518037</v>
      </c>
      <c r="EJ62" s="234">
        <v>0</v>
      </c>
      <c r="EK62" s="234">
        <v>16356.149778626257</v>
      </c>
      <c r="EL62" s="242">
        <v>7009.778476554111</v>
      </c>
      <c r="EM62" s="234">
        <v>24878.518936761215</v>
      </c>
      <c r="EN62" s="234">
        <v>278.69458180540772</v>
      </c>
      <c r="EO62" s="234">
        <v>13965.45396518398</v>
      </c>
      <c r="EP62" s="236">
        <v>21703.298511548444</v>
      </c>
      <c r="EQ62" s="234">
        <v>1754.246974378497</v>
      </c>
      <c r="ER62" s="234">
        <v>1142.2788690288655</v>
      </c>
      <c r="ES62" s="241">
        <v>3309.7185311183612</v>
      </c>
      <c r="ET62" s="250">
        <v>2705.9983969361933</v>
      </c>
      <c r="EU62" s="250">
        <v>552.23861440056601</v>
      </c>
      <c r="EV62" s="250">
        <v>-9.242351582838765</v>
      </c>
      <c r="EW62" s="250">
        <v>60.707656712540938</v>
      </c>
      <c r="EX62" s="241">
        <v>969.3281052169898</v>
      </c>
      <c r="EY62" s="266"/>
      <c r="EZ62" s="234">
        <v>121364.30150601269</v>
      </c>
      <c r="FA62" s="234">
        <v>436.17351190969879</v>
      </c>
      <c r="FB62" s="234">
        <v>23000.566404377674</v>
      </c>
      <c r="FC62" s="234">
        <v>21937.288994684302</v>
      </c>
      <c r="FF62" s="234">
        <v>51979.957556806512</v>
      </c>
      <c r="FG62" s="234">
        <v>24446.488550144197</v>
      </c>
      <c r="FH62" s="250">
        <v>5784.8364996544824</v>
      </c>
      <c r="FI62" s="250">
        <v>3779.8137189949607</v>
      </c>
      <c r="FJ62" s="250">
        <v>197.68903596135129</v>
      </c>
      <c r="FK62" s="250">
        <v>14684.149295533407</v>
      </c>
      <c r="FL62" s="257">
        <v>-5784.8364996544824</v>
      </c>
      <c r="FM62" s="250">
        <v>-2024.5776508505803</v>
      </c>
      <c r="FN62" s="250">
        <v>-3524.4005222706164</v>
      </c>
      <c r="FO62" s="250">
        <v>-169.97819586473469</v>
      </c>
      <c r="FP62" s="250">
        <v>-65.880130668550706</v>
      </c>
      <c r="FQ62" s="241">
        <v>3614.6568815982951</v>
      </c>
      <c r="FR62" s="234">
        <v>12314.759387566481</v>
      </c>
      <c r="FS62" s="234">
        <v>2732.2357813249369</v>
      </c>
      <c r="FT62" s="388">
        <v>-2932.6143718866397</v>
      </c>
      <c r="FV62" s="234">
        <v>19095.955151029324</v>
      </c>
      <c r="FW62" s="234">
        <v>628.82866801108526</v>
      </c>
      <c r="FX62" s="234">
        <v>468.86154910542012</v>
      </c>
      <c r="FY62" s="234">
        <v>244.12779900214113</v>
      </c>
      <c r="FZ62" s="234">
        <v>15748.918453201557</v>
      </c>
      <c r="GA62" s="234">
        <v>2634.0473497202074</v>
      </c>
      <c r="GB62" s="241">
        <v>506.48086673956419</v>
      </c>
      <c r="GC62" s="250">
        <v>-681.43696073751221</v>
      </c>
      <c r="GD62" s="250">
        <v>179.22054744757347</v>
      </c>
      <c r="GE62" s="250">
        <v>5.1724739560097728</v>
      </c>
      <c r="GF62" s="250">
        <v>1003.5248060734932</v>
      </c>
      <c r="GG62" s="257">
        <v>506.48086673956419</v>
      </c>
      <c r="GH62" s="250">
        <v>-681.43696073751221</v>
      </c>
      <c r="GI62" s="250">
        <v>1003.5248060734932</v>
      </c>
      <c r="GJ62" s="250">
        <v>179.22054744757347</v>
      </c>
      <c r="GK62" s="250">
        <v>5.1724739560097728</v>
      </c>
      <c r="GL62" s="388">
        <v>1963.2862666696499</v>
      </c>
      <c r="GN62" s="236">
        <v>1968.6533164484563</v>
      </c>
      <c r="GO62" s="236">
        <v>37.115338198452505</v>
      </c>
      <c r="GP62" s="254">
        <v>1968.6533164484563</v>
      </c>
      <c r="GQ62" s="236">
        <v>0</v>
      </c>
      <c r="GR62" s="236">
        <v>1968.6533164484563</v>
      </c>
      <c r="GT62" s="236">
        <v>203029.4377803898</v>
      </c>
      <c r="GU62" s="236">
        <v>31223.705131534865</v>
      </c>
      <c r="GV62" s="236">
        <v>23935.66376806494</v>
      </c>
      <c r="GW62" s="236">
        <v>105788.32430018278</v>
      </c>
      <c r="GX62" s="236">
        <v>42081.744580607192</v>
      </c>
      <c r="GY62" s="271"/>
      <c r="GZ62" s="295"/>
      <c r="HB62" s="234">
        <v>86910.65</v>
      </c>
      <c r="HC62" s="234">
        <v>9407.1</v>
      </c>
      <c r="HD62" s="234">
        <v>15253.285188582904</v>
      </c>
      <c r="HE62" s="234">
        <v>7709.5567479148676</v>
      </c>
      <c r="HG62" s="234">
        <v>45422.11</v>
      </c>
      <c r="HI62" s="234">
        <v>78404.181864025129</v>
      </c>
      <c r="HJ62" s="234">
        <v>45030.583571101</v>
      </c>
      <c r="HK62" s="250">
        <v>42658.404893481944</v>
      </c>
      <c r="HL62" s="250">
        <v>2365.4658117325657</v>
      </c>
      <c r="HM62" s="250">
        <v>6.7128658864826862</v>
      </c>
      <c r="HN62" s="250"/>
      <c r="HO62" s="271">
        <v>24366.720000000001</v>
      </c>
      <c r="HP62" s="271">
        <v>31755.511095735776</v>
      </c>
      <c r="HQ62" s="321">
        <v>8632.233817150458</v>
      </c>
      <c r="HR62" s="321">
        <v>23123.277278585309</v>
      </c>
      <c r="HS62" s="321">
        <v>0</v>
      </c>
      <c r="HU62" s="234">
        <v>746.04</v>
      </c>
      <c r="HV62" s="234">
        <v>740.81634122107675</v>
      </c>
      <c r="HW62" s="250">
        <v>4081.4886428159984</v>
      </c>
      <c r="HX62" s="250">
        <v>-9234.9901308762928</v>
      </c>
      <c r="HY62" s="250">
        <v>5894.3340439332715</v>
      </c>
      <c r="IA62" s="234">
        <v>21313.62</v>
      </c>
      <c r="IB62" s="234">
        <v>1927.53</v>
      </c>
      <c r="IC62" s="234">
        <v>37684.715699911081</v>
      </c>
      <c r="ID62" s="234">
        <v>14684.149295533407</v>
      </c>
      <c r="IE62" s="310">
        <v>2844.2370031287628</v>
      </c>
      <c r="IF62" s="310">
        <v>9690.0191310153823</v>
      </c>
      <c r="IG62" s="326">
        <v>2149.8931613892623</v>
      </c>
      <c r="IH62" s="250">
        <v>29944.682433515478</v>
      </c>
      <c r="II62" s="250">
        <v>-9372.9119599352889</v>
      </c>
      <c r="IJ62" s="250">
        <v>-5887.6211780467884</v>
      </c>
      <c r="IL62" s="234">
        <v>-2603.9184825698062</v>
      </c>
      <c r="IM62" s="248">
        <v>2149.8931613892623</v>
      </c>
      <c r="IN62" s="248">
        <v>-4753.8116439590685</v>
      </c>
      <c r="IO62" s="257">
        <v>-5016.9754442914773</v>
      </c>
      <c r="IP62" s="250">
        <v>37.115338198452505</v>
      </c>
      <c r="IQ62" s="250">
        <v>1968.6533164484563</v>
      </c>
      <c r="IR62" s="258">
        <v>-1742.6048543145</v>
      </c>
      <c r="IS62" s="257">
        <v>6.7128658864828923</v>
      </c>
      <c r="IT62" s="250">
        <v>4747.0987780725854</v>
      </c>
      <c r="IU62" s="271"/>
      <c r="IV62" s="295"/>
      <c r="IX62" s="350">
        <v>0.15903635258923798</v>
      </c>
      <c r="IY62" s="351">
        <v>1.2699666986510122E-2</v>
      </c>
      <c r="IZ62" s="351">
        <v>0.14633668560272786</v>
      </c>
      <c r="JA62" s="356">
        <v>3.9178057631586813E-2</v>
      </c>
      <c r="JB62" s="356">
        <v>3.9178057631586813E-2</v>
      </c>
      <c r="JE62" s="351">
        <v>0.10715862797114105</v>
      </c>
      <c r="JF62" s="356">
        <v>9.2217843281129128E-2</v>
      </c>
      <c r="JG62" s="356">
        <v>1.4940784690011919E-2</v>
      </c>
      <c r="JH62" s="346"/>
      <c r="JI62" s="361">
        <v>3542.8900000000003</v>
      </c>
      <c r="JJ62" s="370">
        <v>2331.11</v>
      </c>
      <c r="JK62" s="370">
        <v>1211.78</v>
      </c>
      <c r="JL62" s="370">
        <v>14761.76</v>
      </c>
      <c r="JM62" s="370">
        <v>18304.650000000001</v>
      </c>
      <c r="JO62" s="361">
        <v>18903.64</v>
      </c>
      <c r="JP62" s="361">
        <v>1267.1899999999987</v>
      </c>
      <c r="JQ62" s="377">
        <v>17636.45</v>
      </c>
      <c r="JR62" s="363">
        <v>13341.880000000001</v>
      </c>
      <c r="JS62" s="366">
        <v>6178.39</v>
      </c>
      <c r="JT62" s="366">
        <v>2450.33</v>
      </c>
      <c r="JU62" s="366">
        <v>1046.32</v>
      </c>
      <c r="JV62" s="366">
        <v>704.27</v>
      </c>
      <c r="JW62" s="363">
        <v>4294.57</v>
      </c>
      <c r="JX62" s="366">
        <v>1211.78</v>
      </c>
      <c r="JY62" s="366">
        <v>3082.79</v>
      </c>
      <c r="KA62" s="361">
        <v>17636.45</v>
      </c>
      <c r="KL62" s="409"/>
      <c r="KM62" s="388"/>
      <c r="KW62" s="409"/>
      <c r="LI62" s="416"/>
      <c r="LJ62" s="388">
        <v>4479</v>
      </c>
      <c r="LV62" s="421"/>
      <c r="MF62" s="422"/>
      <c r="MG62" s="425"/>
      <c r="NC62" s="421"/>
      <c r="NM62" s="422"/>
      <c r="NZ62" s="361">
        <v>1789.0892000000001</v>
      </c>
      <c r="OA62" s="361">
        <v>404.86626999999999</v>
      </c>
      <c r="OB62" s="361">
        <v>241.679</v>
      </c>
      <c r="OC62" s="361">
        <v>358.90199999999999</v>
      </c>
    </row>
    <row r="63" spans="1:393">
      <c r="A63" s="240">
        <v>2003</v>
      </c>
      <c r="B63" s="269">
        <v>129227</v>
      </c>
      <c r="C63" s="250">
        <v>52376</v>
      </c>
      <c r="D63" s="250">
        <v>76851</v>
      </c>
      <c r="E63" s="234">
        <v>73736</v>
      </c>
      <c r="F63" s="274">
        <v>4.0999999999999996</v>
      </c>
      <c r="G63" s="275">
        <v>0.28644234262965906</v>
      </c>
      <c r="H63" s="275">
        <v>0.71355765737034094</v>
      </c>
      <c r="I63" s="234">
        <v>92210.915388997048</v>
      </c>
      <c r="K63" s="234">
        <v>8963</v>
      </c>
      <c r="L63" s="234">
        <v>1456</v>
      </c>
      <c r="M63" s="234">
        <v>5685</v>
      </c>
      <c r="N63" s="234">
        <v>4857</v>
      </c>
      <c r="O63" s="234">
        <v>3314</v>
      </c>
      <c r="P63" s="234">
        <v>3815</v>
      </c>
      <c r="R63" s="295"/>
      <c r="S63" s="334"/>
      <c r="T63" s="239">
        <v>1.5673637671340905</v>
      </c>
      <c r="U63" s="240"/>
      <c r="V63" s="295"/>
      <c r="X63" s="294">
        <v>8.277000000000001</v>
      </c>
      <c r="Y63" s="294">
        <v>2.694618476</v>
      </c>
      <c r="AA63" s="295"/>
      <c r="AC63" s="234">
        <v>42457.72</v>
      </c>
      <c r="AD63" s="234">
        <v>13178.52</v>
      </c>
      <c r="AE63" s="234">
        <v>1614.67</v>
      </c>
      <c r="AF63" s="234">
        <v>1357.75</v>
      </c>
      <c r="AG63" s="239">
        <v>3.197887215799624E-2</v>
      </c>
      <c r="AH63" s="239">
        <v>3.6512912030777757E-2</v>
      </c>
      <c r="AJ63" s="234">
        <v>6280.1</v>
      </c>
      <c r="AK63" s="234">
        <v>2755.8</v>
      </c>
      <c r="AL63" s="242">
        <v>22603.599999999999</v>
      </c>
      <c r="AM63" s="314">
        <v>4620</v>
      </c>
      <c r="AN63" s="314">
        <v>995.22</v>
      </c>
      <c r="AO63" s="313">
        <v>10915.440000000006</v>
      </c>
      <c r="AP63" s="241">
        <v>358</v>
      </c>
      <c r="AR63" s="309">
        <v>3785.2028571428577</v>
      </c>
      <c r="AS63" s="309"/>
      <c r="AT63" s="234">
        <v>19745.900000000001</v>
      </c>
      <c r="AV63" s="295"/>
      <c r="AX63" s="234">
        <v>134976.97185649374</v>
      </c>
      <c r="AY63" s="234">
        <v>135822.75614955736</v>
      </c>
      <c r="AZ63" s="234">
        <v>140479.36024979068</v>
      </c>
      <c r="BA63" s="234">
        <v>141325.14454285431</v>
      </c>
      <c r="BB63" s="234">
        <v>-845.78429306362523</v>
      </c>
      <c r="BC63" s="234" t="s">
        <v>534</v>
      </c>
      <c r="BD63" s="235">
        <v>135173.97614955736</v>
      </c>
      <c r="BE63" s="234">
        <v>135822.75614955736</v>
      </c>
      <c r="BF63" s="234">
        <v>118905.41478317237</v>
      </c>
      <c r="BG63" s="234">
        <v>186368.03884719464</v>
      </c>
      <c r="BH63" s="234">
        <v>20211.060486818762</v>
      </c>
      <c r="BI63" s="235"/>
      <c r="BJ63" s="236">
        <v>135822.70000000001</v>
      </c>
      <c r="BK63" s="236">
        <v>141325.08839329693</v>
      </c>
      <c r="BL63" s="234">
        <v>17381.7</v>
      </c>
      <c r="BM63" s="234">
        <v>62436.3</v>
      </c>
      <c r="BN63" s="250">
        <v>54945.5</v>
      </c>
      <c r="BO63" s="250">
        <v>7490.8</v>
      </c>
      <c r="BP63" s="234">
        <v>56004.7</v>
      </c>
      <c r="BQ63" s="234">
        <v>61507.088393296937</v>
      </c>
      <c r="BR63" s="250">
        <v>7913.2</v>
      </c>
      <c r="BS63" s="250">
        <v>11169.5</v>
      </c>
      <c r="BT63" s="250">
        <v>3126.1</v>
      </c>
      <c r="BU63" s="250">
        <v>4989.3999999999996</v>
      </c>
      <c r="BV63" s="250">
        <v>6172.7</v>
      </c>
      <c r="BW63" s="250">
        <v>11675.088393296937</v>
      </c>
      <c r="BX63" s="250">
        <v>22633.9</v>
      </c>
      <c r="BZ63" s="236">
        <v>139250.04293400369</v>
      </c>
      <c r="CA63" s="234">
        <v>64271.526918949101</v>
      </c>
      <c r="CB63" s="234">
        <v>19376.466643846161</v>
      </c>
      <c r="CC63" s="234">
        <v>21962.094921791246</v>
      </c>
      <c r="CD63" s="234">
        <v>33639.954449417201</v>
      </c>
      <c r="CF63" s="234">
        <v>136613.42710314071</v>
      </c>
      <c r="CG63" s="234">
        <v>142115.81549643766</v>
      </c>
      <c r="CH63" s="234">
        <v>790.67095358335064</v>
      </c>
      <c r="CI63" s="234">
        <v>57649.81249205854</v>
      </c>
      <c r="CJ63" s="234">
        <v>62826.767508594188</v>
      </c>
      <c r="CK63" s="234">
        <v>20035.699758264971</v>
      </c>
      <c r="CL63" s="234">
        <v>20361.133135026263</v>
      </c>
      <c r="CM63" s="234">
        <v>55963</v>
      </c>
      <c r="CN63" s="250">
        <v>53490.7</v>
      </c>
      <c r="CO63" s="250">
        <v>2472.3000000000002</v>
      </c>
      <c r="CP63" s="234">
        <v>2964.9148528171863</v>
      </c>
      <c r="CQ63" s="271"/>
      <c r="CR63" s="295"/>
      <c r="CT63" s="234" t="s">
        <v>534</v>
      </c>
      <c r="CV63" s="308">
        <v>0.15265468531027332</v>
      </c>
      <c r="CX63" s="234">
        <v>21573.945466618316</v>
      </c>
      <c r="CY63" s="234">
        <v>33814.220438504315</v>
      </c>
      <c r="CZ63" s="234">
        <v>19376.466643846161</v>
      </c>
      <c r="DA63" s="307">
        <v>158219581425.80121</v>
      </c>
      <c r="DB63" s="234">
        <v>13095.834754613566</v>
      </c>
      <c r="DD63" s="234">
        <v>8750.4299461392675</v>
      </c>
      <c r="DE63" s="262">
        <v>7919.1917573171922</v>
      </c>
      <c r="DF63" s="252">
        <v>2199.8728196981879</v>
      </c>
      <c r="DG63" s="252">
        <v>5719.3189376190048</v>
      </c>
      <c r="DH63" s="234">
        <v>1162.6801219772715</v>
      </c>
      <c r="DI63" s="250">
        <v>856.03305184978967</v>
      </c>
      <c r="DJ63" s="258">
        <v>306.64707012748175</v>
      </c>
      <c r="DK63" s="241">
        <v>465.9183407580241</v>
      </c>
      <c r="DL63" s="252">
        <v>465.9183407580241</v>
      </c>
      <c r="DM63" s="258">
        <v>0</v>
      </c>
      <c r="DN63" s="234">
        <v>24266.430218451827</v>
      </c>
      <c r="DO63" s="252">
        <v>365.3198480640508</v>
      </c>
      <c r="DP63" s="250">
        <v>23901.110370387778</v>
      </c>
      <c r="DQ63" s="257">
        <v>33814.220438504315</v>
      </c>
      <c r="DS63" s="295"/>
      <c r="DT63" s="295"/>
      <c r="DU63">
        <f t="shared" si="0"/>
        <v>0.7</v>
      </c>
      <c r="DV63">
        <f t="shared" si="1"/>
        <v>0.95</v>
      </c>
      <c r="DW63" s="318">
        <v>8624.2442003527849</v>
      </c>
      <c r="DX63" s="234">
        <v>20384.938054554754</v>
      </c>
      <c r="DZ63" s="309">
        <v>4751.5150543903155</v>
      </c>
      <c r="EA63" s="234">
        <v>15633.423000164439</v>
      </c>
      <c r="EB63" s="234">
        <v>7919.1917573171922</v>
      </c>
      <c r="EC63" s="234">
        <v>0</v>
      </c>
      <c r="ED63" s="234">
        <v>0</v>
      </c>
      <c r="EE63" s="234">
        <v>7714.2312428472469</v>
      </c>
      <c r="EF63" s="241">
        <v>24519.102112075161</v>
      </c>
      <c r="EG63" s="234">
        <v>856.03305184978967</v>
      </c>
      <c r="EH63" s="234">
        <v>0</v>
      </c>
      <c r="EI63" s="234">
        <v>23663.069060225371</v>
      </c>
      <c r="EJ63" s="234">
        <v>0</v>
      </c>
      <c r="EK63" s="234">
        <v>16564.148342157758</v>
      </c>
      <c r="EL63" s="242">
        <v>7098.9207180676112</v>
      </c>
      <c r="EM63" s="234">
        <v>29952.956253393146</v>
      </c>
      <c r="EN63" s="234">
        <v>306.64707012748175</v>
      </c>
      <c r="EO63" s="234">
        <v>16658.633413950487</v>
      </c>
      <c r="EP63" s="236">
        <v>25857.658692222511</v>
      </c>
      <c r="EQ63" s="234">
        <v>2427.7210861893354</v>
      </c>
      <c r="ER63" s="234">
        <v>1360.9294048538165</v>
      </c>
      <c r="ES63" s="241">
        <v>3518.6532890276762</v>
      </c>
      <c r="ET63" s="250">
        <v>3063.4595037765939</v>
      </c>
      <c r="EU63" s="250">
        <v>390.7437871465288</v>
      </c>
      <c r="EV63" s="250">
        <v>-16.316256815865884</v>
      </c>
      <c r="EW63" s="250">
        <v>80.781928558091039</v>
      </c>
      <c r="EX63" s="241">
        <v>2485.9956710513807</v>
      </c>
      <c r="EY63" s="266"/>
      <c r="EZ63" s="234">
        <v>131539.08823462683</v>
      </c>
      <c r="FA63" s="234">
        <v>399.94047415379288</v>
      </c>
      <c r="FB63" s="234">
        <v>24266.430218451827</v>
      </c>
      <c r="FC63" s="234">
        <v>24763.156324255611</v>
      </c>
      <c r="FF63" s="234">
        <v>55393.656804283521</v>
      </c>
      <c r="FG63" s="234">
        <v>27115.844887635867</v>
      </c>
      <c r="FH63" s="250">
        <v>4240.6437347203228</v>
      </c>
      <c r="FI63" s="250">
        <v>4353.9014405334328</v>
      </c>
      <c r="FJ63" s="250">
        <v>146.06262945922589</v>
      </c>
      <c r="FK63" s="250">
        <v>18375.237082922893</v>
      </c>
      <c r="FL63" s="257">
        <v>-4240.6437347203228</v>
      </c>
      <c r="FM63" s="250">
        <v>-2061.4751947231125</v>
      </c>
      <c r="FN63" s="250">
        <v>-1859.8338460813118</v>
      </c>
      <c r="FO63" s="250">
        <v>-181.40668240809964</v>
      </c>
      <c r="FP63" s="250">
        <v>-137.92801150779997</v>
      </c>
      <c r="FQ63" s="241">
        <v>4877.0777548237038</v>
      </c>
      <c r="FR63" s="234">
        <v>14505.597733590379</v>
      </c>
      <c r="FS63" s="234">
        <v>3492.5256645014597</v>
      </c>
      <c r="FT63" s="388">
        <v>-7521.1831202449894</v>
      </c>
      <c r="FV63" s="234">
        <v>19863.410070793358</v>
      </c>
      <c r="FW63" s="234">
        <v>510.07248335174501</v>
      </c>
      <c r="FX63" s="234">
        <v>465.9183407580241</v>
      </c>
      <c r="FY63" s="234">
        <v>263.34846015386989</v>
      </c>
      <c r="FZ63" s="234">
        <v>17099.515511215799</v>
      </c>
      <c r="GA63" s="234">
        <v>2034.6277586656652</v>
      </c>
      <c r="GB63" s="241">
        <v>-624.75119757964865</v>
      </c>
      <c r="GC63" s="250">
        <v>-1001.9999826911528</v>
      </c>
      <c r="GD63" s="250">
        <v>197.72293922396554</v>
      </c>
      <c r="GE63" s="250">
        <v>57.146082949708934</v>
      </c>
      <c r="GF63" s="250">
        <v>122.37976293782978</v>
      </c>
      <c r="GG63" s="257">
        <v>-624.75119757964865</v>
      </c>
      <c r="GH63" s="250">
        <v>-1001.9999826911528</v>
      </c>
      <c r="GI63" s="250">
        <v>122.37976293782978</v>
      </c>
      <c r="GJ63" s="250">
        <v>197.72293922396554</v>
      </c>
      <c r="GK63" s="250">
        <v>57.146082949708934</v>
      </c>
      <c r="GL63" s="388">
        <v>5035.1717755559375</v>
      </c>
      <c r="GN63" s="236">
        <v>1346.7102959969529</v>
      </c>
      <c r="GO63" s="236">
        <v>-21.065369030282174</v>
      </c>
      <c r="GP63" s="254">
        <v>1346.7102959969529</v>
      </c>
      <c r="GQ63" s="236">
        <v>0</v>
      </c>
      <c r="GR63" s="236">
        <v>1346.7102959969529</v>
      </c>
      <c r="GT63" s="236">
        <v>221507.97967105295</v>
      </c>
      <c r="GU63" s="236">
        <v>33814.220438504315</v>
      </c>
      <c r="GV63" s="236">
        <v>27454.225870598817</v>
      </c>
      <c r="GW63" s="236">
        <v>114914.97934987959</v>
      </c>
      <c r="GX63" s="236">
        <v>45324.554012070206</v>
      </c>
      <c r="GY63" s="271"/>
      <c r="GZ63" s="295"/>
      <c r="HB63" s="234">
        <v>103617.65</v>
      </c>
      <c r="HC63" s="234">
        <v>10792.3</v>
      </c>
      <c r="HD63" s="234">
        <v>16915.459984041245</v>
      </c>
      <c r="HE63" s="234">
        <v>8165.0300379019773</v>
      </c>
      <c r="HG63" s="234">
        <v>55172.39</v>
      </c>
      <c r="HI63" s="234">
        <v>92060.286385446161</v>
      </c>
      <c r="HJ63" s="234">
        <v>55440.58298421705</v>
      </c>
      <c r="HK63" s="250">
        <v>53900.158061620794</v>
      </c>
      <c r="HL63" s="250">
        <v>1534.1868148030612</v>
      </c>
      <c r="HM63" s="250">
        <v>6.2224341555220262</v>
      </c>
      <c r="HN63" s="250"/>
      <c r="HO63" s="271">
        <v>29618.65</v>
      </c>
      <c r="HP63" s="271">
        <v>37341.326962131672</v>
      </c>
      <c r="HQ63" s="321">
        <v>9222.0216242248425</v>
      </c>
      <c r="HR63" s="321">
        <v>28119.305337906819</v>
      </c>
      <c r="HS63" s="321">
        <v>0</v>
      </c>
      <c r="HU63" s="234">
        <v>1911.12</v>
      </c>
      <c r="HV63" s="234">
        <v>2529.501901887279</v>
      </c>
      <c r="HW63" s="250">
        <v>4319.3686294037252</v>
      </c>
      <c r="HX63" s="250">
        <v>-8065.6852929473735</v>
      </c>
      <c r="HY63" s="250">
        <v>6275.8185654309264</v>
      </c>
      <c r="IA63" s="234">
        <v>24339.09</v>
      </c>
      <c r="IB63" s="234">
        <v>2866.89</v>
      </c>
      <c r="IC63" s="234">
        <v>42641.66730137472</v>
      </c>
      <c r="ID63" s="234">
        <v>18375.237082922893</v>
      </c>
      <c r="IE63" s="310">
        <v>3917.6687198360532</v>
      </c>
      <c r="IF63" s="310">
        <v>11652.085400362044</v>
      </c>
      <c r="IG63" s="326">
        <v>2805.482962724795</v>
      </c>
      <c r="IH63" s="250">
        <v>40358.799155267567</v>
      </c>
      <c r="II63" s="250">
        <v>-15713.950267431595</v>
      </c>
      <c r="IJ63" s="250">
        <v>-6269.5961312754034</v>
      </c>
      <c r="IL63" s="234">
        <v>-2779.6140641678089</v>
      </c>
      <c r="IM63" s="248">
        <v>2805.482962724795</v>
      </c>
      <c r="IN63" s="248">
        <v>-5585.0970268926039</v>
      </c>
      <c r="IO63" s="257">
        <v>-4647.0925068135357</v>
      </c>
      <c r="IP63" s="250">
        <v>-21.065369030282174</v>
      </c>
      <c r="IQ63" s="250">
        <v>1346.7102959969529</v>
      </c>
      <c r="IR63" s="258">
        <v>-2263.6494470457387</v>
      </c>
      <c r="IS63" s="257">
        <v>6.2224341555223397</v>
      </c>
      <c r="IT63" s="250">
        <v>5578.8589190994107</v>
      </c>
      <c r="IU63" s="271"/>
      <c r="IV63" s="295"/>
      <c r="IX63" s="350">
        <v>0.16059917987547342</v>
      </c>
      <c r="IY63" s="351">
        <v>1.4054258220643073E-2</v>
      </c>
      <c r="IZ63" s="351">
        <v>0.14654492165483035</v>
      </c>
      <c r="JA63" s="356">
        <v>3.4842848505344276E-2</v>
      </c>
      <c r="JB63" s="356">
        <v>3.4842848505344276E-2</v>
      </c>
      <c r="JE63" s="351">
        <v>0.11170207314948606</v>
      </c>
      <c r="JF63" s="356">
        <v>9.5085840774038269E-2</v>
      </c>
      <c r="JG63" s="356">
        <v>1.6616232375447796E-2</v>
      </c>
      <c r="JH63" s="346"/>
      <c r="JI63" s="361">
        <v>4195.88</v>
      </c>
      <c r="JJ63" s="370">
        <v>2777.85</v>
      </c>
      <c r="JK63" s="370">
        <v>1418.03</v>
      </c>
      <c r="JL63" s="370">
        <v>17516.169999999998</v>
      </c>
      <c r="JM63" s="370">
        <v>21712.05</v>
      </c>
      <c r="JO63" s="361">
        <v>21715.25</v>
      </c>
      <c r="JP63" s="361">
        <v>1697.9399999999987</v>
      </c>
      <c r="JQ63" s="377">
        <v>20017.310000000001</v>
      </c>
      <c r="JR63" s="363">
        <v>15679.77</v>
      </c>
      <c r="JS63" s="366">
        <v>7236.54</v>
      </c>
      <c r="JT63" s="366">
        <v>2844.45</v>
      </c>
      <c r="JU63" s="366">
        <v>1182.26</v>
      </c>
      <c r="JV63" s="366">
        <v>923.13</v>
      </c>
      <c r="JW63" s="363">
        <v>4337.54</v>
      </c>
      <c r="JX63" s="366">
        <v>1418.03</v>
      </c>
      <c r="JY63" s="366">
        <v>2919.51</v>
      </c>
      <c r="KA63" s="361">
        <v>20017.310000000001</v>
      </c>
      <c r="KL63" s="409"/>
      <c r="KM63" s="388"/>
      <c r="KW63" s="409"/>
      <c r="LI63" s="416"/>
      <c r="LJ63" s="388">
        <v>4566.8</v>
      </c>
      <c r="LV63" s="421"/>
      <c r="MF63" s="422"/>
      <c r="MG63" s="425"/>
      <c r="NC63" s="421"/>
      <c r="NM63" s="422"/>
      <c r="NZ63" s="361">
        <v>2048.7518</v>
      </c>
      <c r="OA63" s="361">
        <v>488.28999999999996</v>
      </c>
      <c r="OB63" s="361">
        <v>542.13099999999997</v>
      </c>
      <c r="OC63" s="361">
        <v>569.24399999999991</v>
      </c>
    </row>
    <row r="64" spans="1:393">
      <c r="A64" s="240">
        <v>2004</v>
      </c>
      <c r="B64" s="269">
        <v>129988</v>
      </c>
      <c r="C64" s="250">
        <v>54283</v>
      </c>
      <c r="D64" s="250">
        <v>75705</v>
      </c>
      <c r="E64" s="234">
        <v>74264</v>
      </c>
      <c r="F64" s="274">
        <v>4.0999999999999996</v>
      </c>
      <c r="G64" s="275">
        <v>0.28021291792524727</v>
      </c>
      <c r="H64" s="275">
        <v>0.71978708207475273</v>
      </c>
      <c r="I64" s="234">
        <v>93563.683224732958</v>
      </c>
      <c r="K64" s="234">
        <v>9111</v>
      </c>
      <c r="L64" s="234">
        <v>1493</v>
      </c>
      <c r="M64" s="234">
        <v>5698</v>
      </c>
      <c r="N64" s="234">
        <v>4925</v>
      </c>
      <c r="O64" s="234">
        <v>3335</v>
      </c>
      <c r="P64" s="234">
        <v>3817</v>
      </c>
      <c r="R64" s="295"/>
      <c r="S64" s="334"/>
      <c r="T64" s="239">
        <v>1.4698647732384709</v>
      </c>
      <c r="U64" s="240"/>
      <c r="V64" s="295"/>
      <c r="X64" s="294">
        <v>8.2767999999999997</v>
      </c>
      <c r="Y64" s="294">
        <v>2.8037678709999998</v>
      </c>
      <c r="AA64" s="295"/>
      <c r="AC64" s="234">
        <v>37055.57</v>
      </c>
      <c r="AD64" s="234">
        <v>11688.64</v>
      </c>
      <c r="AE64" s="234">
        <v>3308.79</v>
      </c>
      <c r="AF64" s="234">
        <v>1510.94</v>
      </c>
      <c r="AG64" s="239">
        <v>4.0774976609454394E-2</v>
      </c>
      <c r="AH64" s="239">
        <v>-0.21490012540749046</v>
      </c>
      <c r="AJ64" s="234">
        <v>6923.9</v>
      </c>
      <c r="AK64" s="234">
        <v>3749.9</v>
      </c>
      <c r="AL64" s="242">
        <v>25777.599999999999</v>
      </c>
      <c r="AM64" s="314">
        <v>5123.3</v>
      </c>
      <c r="AN64" s="314">
        <v>1460.22</v>
      </c>
      <c r="AO64" s="313">
        <v>14578.520000000008</v>
      </c>
      <c r="AP64" s="241">
        <v>327</v>
      </c>
      <c r="AR64" s="309">
        <v>4759.727142857143</v>
      </c>
      <c r="AS64" s="309"/>
      <c r="AT64" s="234">
        <v>21468.3</v>
      </c>
      <c r="AV64" s="295"/>
      <c r="AX64" s="234">
        <v>159453.60478245548</v>
      </c>
      <c r="AY64" s="234">
        <v>159878.33791738964</v>
      </c>
      <c r="AZ64" s="234">
        <v>166472.66206968049</v>
      </c>
      <c r="BA64" s="234">
        <v>166897.39520461464</v>
      </c>
      <c r="BB64" s="234">
        <v>-424.7331349341548</v>
      </c>
      <c r="BC64" s="234" t="s">
        <v>534</v>
      </c>
      <c r="BD64" s="235">
        <v>159586.74791738964</v>
      </c>
      <c r="BE64" s="234">
        <v>159878.33791738964</v>
      </c>
      <c r="BF64" s="234">
        <v>141184.31807181117</v>
      </c>
      <c r="BG64" s="234">
        <v>207521.85566745087</v>
      </c>
      <c r="BH64" s="234">
        <v>22179.744160883336</v>
      </c>
      <c r="BI64" s="235"/>
      <c r="BJ64" s="236">
        <v>159878.29999999999</v>
      </c>
      <c r="BK64" s="236">
        <v>166897.35728722502</v>
      </c>
      <c r="BL64" s="234">
        <v>21412.7</v>
      </c>
      <c r="BM64" s="234">
        <v>73904.3</v>
      </c>
      <c r="BN64" s="250">
        <v>65210</v>
      </c>
      <c r="BO64" s="250">
        <v>8694.2999999999993</v>
      </c>
      <c r="BP64" s="234">
        <v>64561.3</v>
      </c>
      <c r="BQ64" s="234">
        <v>71580.357287225008</v>
      </c>
      <c r="BR64" s="250">
        <v>9304.4</v>
      </c>
      <c r="BS64" s="250">
        <v>12453.8</v>
      </c>
      <c r="BT64" s="250">
        <v>3664.8</v>
      </c>
      <c r="BU64" s="250">
        <v>5393</v>
      </c>
      <c r="BV64" s="250">
        <v>7174.1</v>
      </c>
      <c r="BW64" s="250">
        <v>14193.157287225004</v>
      </c>
      <c r="BX64" s="250">
        <v>26571.200000000001</v>
      </c>
      <c r="BZ64" s="236">
        <v>167587.11332464748</v>
      </c>
      <c r="CA64" s="234">
        <v>69639.636663597004</v>
      </c>
      <c r="CB64" s="234">
        <v>23624.010838219983</v>
      </c>
      <c r="CC64" s="234">
        <v>23568.555975566651</v>
      </c>
      <c r="CD64" s="234">
        <v>50754.909847263851</v>
      </c>
      <c r="CF64" s="234">
        <v>160956.61228750361</v>
      </c>
      <c r="CG64" s="234">
        <v>167975.66957472861</v>
      </c>
      <c r="CH64" s="234">
        <v>1078.2743701139698</v>
      </c>
      <c r="CI64" s="234">
        <v>65218.479700605472</v>
      </c>
      <c r="CJ64" s="234">
        <v>71866.955047069554</v>
      </c>
      <c r="CK64" s="234">
        <v>22334.12</v>
      </c>
      <c r="CL64" s="234">
        <v>22704.701940760915</v>
      </c>
      <c r="CM64" s="234">
        <v>69168.41129283153</v>
      </c>
      <c r="CN64" s="250">
        <v>65117.741302732371</v>
      </c>
      <c r="CO64" s="250">
        <v>4050.6699900991653</v>
      </c>
      <c r="CP64" s="234">
        <v>4235.6012940666187</v>
      </c>
      <c r="CQ64" s="271"/>
      <c r="CR64" s="295"/>
      <c r="CT64" s="234" t="s">
        <v>534</v>
      </c>
      <c r="CV64" s="308">
        <v>0.15152030363844829</v>
      </c>
      <c r="CX64" s="234">
        <v>25288.343997869313</v>
      </c>
      <c r="CY64" s="234">
        <v>37170.446016004622</v>
      </c>
      <c r="CZ64" s="234">
        <v>23624.010838219983</v>
      </c>
      <c r="DA64" s="307">
        <v>190342288153.75974</v>
      </c>
      <c r="DB64" s="234">
        <v>15754.250505910386</v>
      </c>
      <c r="DD64" s="234">
        <v>9372.6418216124475</v>
      </c>
      <c r="DE64" s="262">
        <v>8548.3780354974533</v>
      </c>
      <c r="DF64" s="252">
        <v>2170.9820446644908</v>
      </c>
      <c r="DG64" s="252">
        <v>6377.3959908329625</v>
      </c>
      <c r="DH64" s="234">
        <v>1268.9893294320113</v>
      </c>
      <c r="DI64" s="250">
        <v>940.86251630119182</v>
      </c>
      <c r="DJ64" s="258">
        <v>328.12681313081947</v>
      </c>
      <c r="DK64" s="241">
        <v>446.91251561727933</v>
      </c>
      <c r="DL64" s="252">
        <v>446.91251561727933</v>
      </c>
      <c r="DM64" s="258">
        <v>0</v>
      </c>
      <c r="DN64" s="234">
        <v>26906.166135457883</v>
      </c>
      <c r="DO64" s="252">
        <v>377.35127049771552</v>
      </c>
      <c r="DP64" s="250">
        <v>26528.814864960168</v>
      </c>
      <c r="DQ64" s="257">
        <v>37170.446016004629</v>
      </c>
      <c r="DS64" s="295"/>
      <c r="DT64" s="295"/>
      <c r="DU64">
        <f t="shared" si="0"/>
        <v>0.70000000000000007</v>
      </c>
      <c r="DV64">
        <f t="shared" si="1"/>
        <v>0.95</v>
      </c>
      <c r="DW64" s="318">
        <v>10317.065047834816</v>
      </c>
      <c r="DX64" s="234">
        <v>23406.970225524528</v>
      </c>
      <c r="DY64" s="234">
        <v>9589</v>
      </c>
      <c r="DZ64" s="234">
        <v>5546.1552750862447</v>
      </c>
      <c r="EA64" s="234">
        <v>17860.814950438282</v>
      </c>
      <c r="EB64" s="234">
        <v>8548.3780354974533</v>
      </c>
      <c r="EC64" s="234">
        <v>0</v>
      </c>
      <c r="ED64" s="234">
        <v>0</v>
      </c>
      <c r="EE64" s="234">
        <v>9312.4369149408303</v>
      </c>
      <c r="EF64" s="241">
        <v>28326.396086931069</v>
      </c>
      <c r="EG64" s="234">
        <v>940.86251630119182</v>
      </c>
      <c r="EH64" s="234">
        <v>0</v>
      </c>
      <c r="EI64" s="234">
        <v>27385.533570629876</v>
      </c>
      <c r="EJ64" s="234">
        <v>0</v>
      </c>
      <c r="EK64" s="234">
        <v>19169.873499440913</v>
      </c>
      <c r="EL64" s="242">
        <v>8215.6600711889623</v>
      </c>
      <c r="EM64" s="234">
        <v>28794.506639376232</v>
      </c>
      <c r="EN64" s="234">
        <v>328.12681313081947</v>
      </c>
      <c r="EO64" s="234">
        <v>16191.929526412106</v>
      </c>
      <c r="EP64" s="236">
        <v>25364.496576934016</v>
      </c>
      <c r="EQ64" s="234">
        <v>1766.9097452622334</v>
      </c>
      <c r="ER64" s="234">
        <v>1334.9735040491589</v>
      </c>
      <c r="ES64" s="241">
        <v>3985.0679759086779</v>
      </c>
      <c r="ET64" s="250">
        <v>3264.3932775898552</v>
      </c>
      <c r="EU64" s="250">
        <v>591.78225635354079</v>
      </c>
      <c r="EV64" s="250">
        <v>-15.301292289412482</v>
      </c>
      <c r="EW64" s="250">
        <v>144.20843290242641</v>
      </c>
      <c r="EX64" s="241">
        <v>2331.3525168335386</v>
      </c>
      <c r="EY64" s="266"/>
      <c r="EZ64" s="234">
        <v>148506.15791927546</v>
      </c>
      <c r="FA64" s="234">
        <v>459.92279257116934</v>
      </c>
      <c r="FB64" s="234">
        <v>26906.166135457883</v>
      </c>
      <c r="FC64" s="234">
        <v>28011.110093071413</v>
      </c>
      <c r="FF64" s="234">
        <v>57024.449586800336</v>
      </c>
      <c r="FG64" s="234">
        <v>36564.432103945823</v>
      </c>
      <c r="FH64" s="250">
        <v>4600.706137531879</v>
      </c>
      <c r="FI64" s="250">
        <v>5397.0200770815527</v>
      </c>
      <c r="FJ64" s="250">
        <v>84.017470438310951</v>
      </c>
      <c r="FK64" s="250">
        <v>26482.688418894097</v>
      </c>
      <c r="FL64" s="257">
        <v>-4600.706137531879</v>
      </c>
      <c r="FM64" s="250">
        <v>-2782.7038927518761</v>
      </c>
      <c r="FN64" s="250">
        <v>-1439.7325453870819</v>
      </c>
      <c r="FO64" s="250">
        <v>-242.07202950464375</v>
      </c>
      <c r="FP64" s="250">
        <v>-136.19766988827669</v>
      </c>
      <c r="FQ64" s="241">
        <v>7741.3027773376698</v>
      </c>
      <c r="FR64" s="234">
        <v>19933.556933162217</v>
      </c>
      <c r="FS64" s="234">
        <v>4288.8662559140557</v>
      </c>
      <c r="FT64" s="388">
        <v>-7365.8304475958221</v>
      </c>
      <c r="FV64" s="234">
        <v>21828.655928418255</v>
      </c>
      <c r="FW64" s="234">
        <v>544.70534032281682</v>
      </c>
      <c r="FX64" s="234">
        <v>446.91251561727933</v>
      </c>
      <c r="FY64" s="234">
        <v>514.17339632654955</v>
      </c>
      <c r="FZ64" s="234">
        <v>18767.747877379428</v>
      </c>
      <c r="GA64" s="234">
        <v>2099.8221390949984</v>
      </c>
      <c r="GB64" s="241">
        <v>-85.575527097943819</v>
      </c>
      <c r="GC64" s="250">
        <v>-481.68938483797916</v>
      </c>
      <c r="GD64" s="250">
        <v>257.37332179405627</v>
      </c>
      <c r="GE64" s="250">
        <v>-8.01076301414966</v>
      </c>
      <c r="GF64" s="250">
        <v>146.75129896012893</v>
      </c>
      <c r="GG64" s="257">
        <v>-85.575527097943819</v>
      </c>
      <c r="GH64" s="250">
        <v>-481.68938483797916</v>
      </c>
      <c r="GI64" s="250">
        <v>146.75129896012893</v>
      </c>
      <c r="GJ64" s="250">
        <v>257.37332179405627</v>
      </c>
      <c r="GK64" s="250">
        <v>-8.01076301414966</v>
      </c>
      <c r="GL64" s="388">
        <v>5034.492629410016</v>
      </c>
      <c r="GN64" s="236">
        <v>701.19899007341246</v>
      </c>
      <c r="GO64" s="236">
        <v>-76.903324935836793</v>
      </c>
      <c r="GP64" s="254">
        <v>701.19899007341246</v>
      </c>
      <c r="GQ64" s="236">
        <v>0</v>
      </c>
      <c r="GR64" s="236">
        <v>701.19899007341246</v>
      </c>
      <c r="GT64" s="236">
        <v>245316.53152443928</v>
      </c>
      <c r="GU64" s="236">
        <v>37170.446016004629</v>
      </c>
      <c r="GV64" s="236">
        <v>30292.193234660197</v>
      </c>
      <c r="GW64" s="236">
        <v>120326.56754055469</v>
      </c>
      <c r="GX64" s="236">
        <v>57527.324733219772</v>
      </c>
      <c r="GY64" s="271"/>
      <c r="GZ64" s="295"/>
      <c r="HB64" s="234">
        <v>119555.39</v>
      </c>
      <c r="HC64" s="234">
        <v>13464.08</v>
      </c>
      <c r="HD64" s="234">
        <v>19790.37689606463</v>
      </c>
      <c r="HE64" s="234">
        <v>10417.735074452183</v>
      </c>
      <c r="HG64" s="234">
        <v>68090.100000000006</v>
      </c>
      <c r="HI64" s="234">
        <v>108470.40538156538</v>
      </c>
      <c r="HJ64" s="234">
        <v>67746.534184622011</v>
      </c>
      <c r="HK64" s="250">
        <v>64497.748565263217</v>
      </c>
      <c r="HL64" s="250">
        <v>3240.3926915035959</v>
      </c>
      <c r="HM64" s="250">
        <v>8.407626502924094</v>
      </c>
      <c r="HN64" s="250"/>
      <c r="HO64" s="271">
        <v>33290.44</v>
      </c>
      <c r="HP64" s="271">
        <v>39115.077676679459</v>
      </c>
      <c r="HQ64" s="321">
        <v>13487.294518823292</v>
      </c>
      <c r="HR64" s="321">
        <v>25627.76845920843</v>
      </c>
      <c r="HS64" s="321">
        <v>0</v>
      </c>
      <c r="HU64" s="234">
        <v>4183.46</v>
      </c>
      <c r="HV64" s="234">
        <v>5702.2079686349343</v>
      </c>
      <c r="HW64" s="250">
        <v>5642.9871169211556</v>
      </c>
      <c r="HX64" s="250">
        <v>-2035.5569298670287</v>
      </c>
      <c r="HY64" s="250">
        <v>2094.7777815808067</v>
      </c>
      <c r="IA64" s="234">
        <v>33246.660000000003</v>
      </c>
      <c r="IB64" s="234">
        <v>3075.63</v>
      </c>
      <c r="IC64" s="234">
        <v>53388.854554351979</v>
      </c>
      <c r="ID64" s="234">
        <v>26482.688418894097</v>
      </c>
      <c r="IE64" s="310">
        <v>6413.8489243703607</v>
      </c>
      <c r="IF64" s="310">
        <v>16515.414313584995</v>
      </c>
      <c r="IG64" s="326">
        <v>3553.4251809387429</v>
      </c>
      <c r="IH64" s="250">
        <v>45367.452230871044</v>
      </c>
      <c r="II64" s="250">
        <v>-16798.393656899061</v>
      </c>
      <c r="IJ64" s="250">
        <v>-2086.3701550778828</v>
      </c>
      <c r="IL64" s="234">
        <v>-4833.7555029895648</v>
      </c>
      <c r="IM64" s="248">
        <v>3553.4251809387429</v>
      </c>
      <c r="IN64" s="248">
        <v>-8387.1806839283072</v>
      </c>
      <c r="IO64" s="257">
        <v>-6225.7592335288673</v>
      </c>
      <c r="IP64" s="250">
        <v>-76.903324935836793</v>
      </c>
      <c r="IQ64" s="250">
        <v>701.19899007341246</v>
      </c>
      <c r="IR64" s="258">
        <v>-2785.7171155370147</v>
      </c>
      <c r="IS64" s="257">
        <v>8.3929278551916688</v>
      </c>
      <c r="IT64" s="250">
        <v>8378.7730574253819</v>
      </c>
      <c r="IU64" s="271"/>
      <c r="IV64" s="295"/>
      <c r="IX64" s="350">
        <v>0.16538619727305376</v>
      </c>
      <c r="IY64" s="351">
        <v>1.5345751587695078E-2</v>
      </c>
      <c r="IZ64" s="351">
        <v>0.15004044568535868</v>
      </c>
      <c r="JA64" s="356">
        <v>3.6842229520255773E-2</v>
      </c>
      <c r="JB64" s="356">
        <v>3.6842229520255773E-2</v>
      </c>
      <c r="JE64" s="351">
        <v>0.11319821616510289</v>
      </c>
      <c r="JF64" s="356">
        <v>9.5367322619886355E-2</v>
      </c>
      <c r="JG64" s="356">
        <v>1.7830893545216536E-2</v>
      </c>
      <c r="JH64" s="346"/>
      <c r="JI64" s="361">
        <v>5408.84</v>
      </c>
      <c r="JJ64" s="370">
        <v>3671.78</v>
      </c>
      <c r="JK64" s="370">
        <v>1737.06</v>
      </c>
      <c r="JL64" s="370">
        <v>20608.830000000002</v>
      </c>
      <c r="JM64" s="370">
        <v>26017.670000000002</v>
      </c>
      <c r="JO64" s="361">
        <v>26396.47</v>
      </c>
      <c r="JP64" s="361">
        <v>2230.7900000000009</v>
      </c>
      <c r="JQ64" s="377">
        <v>24165.68</v>
      </c>
      <c r="JR64" s="363">
        <v>18471.29</v>
      </c>
      <c r="JS64" s="366">
        <v>9017.94</v>
      </c>
      <c r="JT64" s="366">
        <v>3581.97</v>
      </c>
      <c r="JU64" s="366">
        <v>1501.9</v>
      </c>
      <c r="JV64" s="366">
        <v>1043.77</v>
      </c>
      <c r="JW64" s="363">
        <v>5694.3899999999994</v>
      </c>
      <c r="JX64" s="366">
        <v>1737.06</v>
      </c>
      <c r="JY64" s="366">
        <v>3957.33</v>
      </c>
      <c r="KA64" s="361">
        <v>24165.68</v>
      </c>
      <c r="KL64" s="409"/>
      <c r="KM64" s="388"/>
      <c r="KW64" s="409"/>
      <c r="LI64" s="416">
        <v>5220.6994000000004</v>
      </c>
      <c r="LJ64" s="388">
        <v>4699.18</v>
      </c>
      <c r="LV64" s="421"/>
      <c r="MF64" s="422"/>
      <c r="MG64" s="425"/>
      <c r="NC64" s="421"/>
      <c r="NM64" s="422"/>
      <c r="NZ64" s="361">
        <v>2497.8524000000002</v>
      </c>
      <c r="OA64" s="361">
        <v>578.03</v>
      </c>
      <c r="OB64" s="361">
        <v>641.21799999999996</v>
      </c>
      <c r="OC64" s="361">
        <v>650.33899999999994</v>
      </c>
    </row>
    <row r="65" spans="1:393">
      <c r="A65" s="240">
        <v>2005</v>
      </c>
      <c r="B65" s="269">
        <v>130756</v>
      </c>
      <c r="C65" s="250">
        <v>56212</v>
      </c>
      <c r="D65" s="250">
        <v>74544</v>
      </c>
      <c r="E65" s="234">
        <v>74647</v>
      </c>
      <c r="F65" s="274">
        <v>4.0999999999999996</v>
      </c>
      <c r="G65" s="275">
        <v>0.28050033186610485</v>
      </c>
      <c r="H65" s="275">
        <v>0.71949966813389521</v>
      </c>
      <c r="I65" s="234">
        <v>94078.898606515606</v>
      </c>
      <c r="K65" s="234">
        <v>9194</v>
      </c>
      <c r="L65" s="234">
        <v>1538</v>
      </c>
      <c r="M65" s="234">
        <v>5710</v>
      </c>
      <c r="N65" s="234">
        <v>4991</v>
      </c>
      <c r="O65" s="234">
        <v>3355</v>
      </c>
      <c r="P65" s="234">
        <v>3820</v>
      </c>
      <c r="R65" s="295"/>
      <c r="S65" s="334"/>
      <c r="T65" s="239">
        <v>1.409995525275995</v>
      </c>
      <c r="U65" s="240"/>
      <c r="V65" s="295"/>
      <c r="X65" s="294">
        <v>8.1916999999999991</v>
      </c>
      <c r="Y65" s="294">
        <v>2.8216515109999998</v>
      </c>
      <c r="AA65" s="295"/>
      <c r="AC65" s="234">
        <v>32430.28</v>
      </c>
      <c r="AD65" s="234">
        <v>10630.51</v>
      </c>
      <c r="AE65" s="234">
        <v>4714.18</v>
      </c>
      <c r="AF65" s="234">
        <v>1882.51</v>
      </c>
      <c r="AG65" s="239">
        <v>5.8047910779678746E-2</v>
      </c>
      <c r="AH65" s="239">
        <v>-0.20920053538608646</v>
      </c>
      <c r="AJ65" s="234">
        <v>7042</v>
      </c>
      <c r="AK65" s="234">
        <v>4045.5</v>
      </c>
      <c r="AL65" s="242">
        <v>28774</v>
      </c>
      <c r="AM65" s="314">
        <v>7158.77</v>
      </c>
      <c r="AN65" s="314">
        <v>1932.22</v>
      </c>
      <c r="AO65" s="313">
        <v>19805.070000000007</v>
      </c>
      <c r="AP65" s="241">
        <v>2046.5</v>
      </c>
      <c r="AQ65" s="234">
        <v>37</v>
      </c>
      <c r="AR65" s="309">
        <v>5734.2514285714287</v>
      </c>
      <c r="AS65" s="309"/>
      <c r="AT65" s="234">
        <v>24031.7</v>
      </c>
      <c r="AV65" s="295"/>
      <c r="AX65" s="234">
        <v>183617.37455142252</v>
      </c>
      <c r="AY65" s="234">
        <v>184937.36896018017</v>
      </c>
      <c r="AZ65" s="234">
        <v>192236.92472444638</v>
      </c>
      <c r="BA65" s="234">
        <v>193556.91913320404</v>
      </c>
      <c r="BB65" s="234">
        <v>-1319.9944087576587</v>
      </c>
      <c r="BC65" s="234">
        <v>186256.05916899999</v>
      </c>
      <c r="BF65" s="234">
        <v>163128.68898758036</v>
      </c>
      <c r="BG65" s="234">
        <v>230010.72151662779</v>
      </c>
      <c r="BH65" s="234">
        <v>24448.704749260105</v>
      </c>
      <c r="BJ65" s="236">
        <v>184937.40000000002</v>
      </c>
      <c r="BK65" s="236">
        <v>193556.95017302386</v>
      </c>
      <c r="BL65" s="234">
        <v>22420</v>
      </c>
      <c r="BM65" s="234">
        <v>87598.1</v>
      </c>
      <c r="BN65" s="250">
        <v>77230.8</v>
      </c>
      <c r="BO65" s="250">
        <v>10367.299999999999</v>
      </c>
      <c r="BP65" s="234">
        <v>74919.3</v>
      </c>
      <c r="BQ65" s="234">
        <v>83538.850173023864</v>
      </c>
      <c r="BR65" s="250">
        <v>10666.2</v>
      </c>
      <c r="BS65" s="250">
        <v>13966.2</v>
      </c>
      <c r="BT65" s="250">
        <v>4195.7</v>
      </c>
      <c r="BU65" s="250">
        <v>6086.8</v>
      </c>
      <c r="BV65" s="250">
        <v>8516.4</v>
      </c>
      <c r="BW65" s="250">
        <v>17135.950173023855</v>
      </c>
      <c r="BX65" s="250">
        <v>31488</v>
      </c>
      <c r="BZ65" s="234">
        <v>231053.34000000005</v>
      </c>
      <c r="CA65" s="234">
        <v>93822.830000000016</v>
      </c>
      <c r="CB65" s="234">
        <v>33641.840000000004</v>
      </c>
      <c r="CC65" s="234">
        <v>32726.659999999993</v>
      </c>
      <c r="CD65" s="234">
        <v>70862.01999999999</v>
      </c>
      <c r="CF65" s="234">
        <v>187423.42027844535</v>
      </c>
      <c r="CG65" s="234">
        <v>196042.97045146924</v>
      </c>
      <c r="CH65" s="234">
        <v>2486.0513182652066</v>
      </c>
      <c r="CI65" s="234">
        <v>72958.714367511202</v>
      </c>
      <c r="CJ65" s="234">
        <v>81212.352342304657</v>
      </c>
      <c r="CK65" s="234">
        <v>26398.828799999992</v>
      </c>
      <c r="CL65" s="234">
        <v>26764.740998230398</v>
      </c>
      <c r="CM65" s="234">
        <v>77856.823738716848</v>
      </c>
      <c r="CN65" s="250">
        <v>74232.864224058314</v>
      </c>
      <c r="CO65" s="250">
        <v>3623.9595146585407</v>
      </c>
      <c r="CP65" s="234">
        <v>10209.053372217328</v>
      </c>
      <c r="CQ65" s="271"/>
      <c r="CR65" s="295"/>
      <c r="CT65" s="234">
        <v>28010.28918</v>
      </c>
      <c r="CU65" s="239">
        <v>0.15038592196662329</v>
      </c>
      <c r="CV65" s="239">
        <v>0.15038592196662326</v>
      </c>
      <c r="CX65" s="234">
        <v>29108.23573686603</v>
      </c>
      <c r="CY65" s="234">
        <v>41042.482137659907</v>
      </c>
      <c r="CZ65" s="234">
        <v>33641.840000000004</v>
      </c>
      <c r="DA65" s="307">
        <v>206432079018.96933</v>
      </c>
      <c r="DB65" s="234">
        <v>16910.296616996908</v>
      </c>
      <c r="DD65" s="234">
        <v>11498.677779370417</v>
      </c>
      <c r="DE65" s="262">
        <v>10692.14712615393</v>
      </c>
      <c r="DF65" s="252">
        <v>2585.5144537519727</v>
      </c>
      <c r="DG65" s="252">
        <v>8106.6326724019573</v>
      </c>
      <c r="DH65" s="234">
        <v>1384.2134349992407</v>
      </c>
      <c r="DI65" s="250">
        <v>1012.4922550960806</v>
      </c>
      <c r="DJ65" s="258">
        <v>371.72117990316008</v>
      </c>
      <c r="DK65" s="241">
        <v>438.38436264563927</v>
      </c>
      <c r="DL65" s="252">
        <v>438.38436264563927</v>
      </c>
      <c r="DM65" s="258">
        <v>0</v>
      </c>
      <c r="DN65" s="234">
        <v>28527.737213861095</v>
      </c>
      <c r="DO65" s="252">
        <v>368.14629057085074</v>
      </c>
      <c r="DP65" s="250">
        <v>28159.590923290245</v>
      </c>
      <c r="DQ65" s="257">
        <v>41042.482137659907</v>
      </c>
      <c r="DS65" s="295"/>
      <c r="DT65" s="295"/>
      <c r="DU65">
        <f t="shared" si="0"/>
        <v>0.7</v>
      </c>
      <c r="DV65">
        <f t="shared" si="1"/>
        <v>0.95</v>
      </c>
      <c r="DW65" s="318">
        <v>12153.527173855566</v>
      </c>
      <c r="DX65" s="234">
        <v>26896.302437853363</v>
      </c>
      <c r="DY65" s="234">
        <v>11129.1</v>
      </c>
      <c r="DZ65" s="234">
        <v>4999.834074195147</v>
      </c>
      <c r="EA65" s="234">
        <v>21896.468363658216</v>
      </c>
      <c r="EB65" s="234">
        <v>10692.14712615393</v>
      </c>
      <c r="EC65" s="234">
        <v>0</v>
      </c>
      <c r="ED65" s="234">
        <v>0</v>
      </c>
      <c r="EE65" s="234">
        <v>11204.321237504286</v>
      </c>
      <c r="EF65" s="241">
        <v>28450.889709019029</v>
      </c>
      <c r="EG65" s="234">
        <v>1012.4922550960806</v>
      </c>
      <c r="EH65" s="234">
        <v>0</v>
      </c>
      <c r="EI65" s="234">
        <v>27438.397453922949</v>
      </c>
      <c r="EJ65" s="234">
        <v>0</v>
      </c>
      <c r="EK65" s="234">
        <v>19206.878217746063</v>
      </c>
      <c r="EL65" s="242">
        <v>8231.5192361768841</v>
      </c>
      <c r="EM65" s="234">
        <v>33629.807314879465</v>
      </c>
      <c r="EN65" s="234">
        <v>371.72117990316008</v>
      </c>
      <c r="EO65" s="234">
        <v>20811.719920797867</v>
      </c>
      <c r="EP65" s="236">
        <v>29867.084967469367</v>
      </c>
      <c r="EQ65" s="234">
        <v>1819.0493271138139</v>
      </c>
      <c r="ER65" s="234">
        <v>1571.9518403931247</v>
      </c>
      <c r="ES65" s="241">
        <v>4606.610480584457</v>
      </c>
      <c r="ET65" s="250">
        <v>3636.5335591945709</v>
      </c>
      <c r="EU65" s="250">
        <v>621.41322789963658</v>
      </c>
      <c r="EV65" s="250">
        <v>-19.345138606786652</v>
      </c>
      <c r="EW65" s="250">
        <v>368.00883209703471</v>
      </c>
      <c r="EX65" s="241">
        <v>2052.1074874866831</v>
      </c>
      <c r="EY65" s="266"/>
      <c r="EZ65" s="234">
        <v>164291.8969568605</v>
      </c>
      <c r="FA65" s="234">
        <v>433.27137420250961</v>
      </c>
      <c r="FB65" s="234">
        <v>28527.737213861095</v>
      </c>
      <c r="FC65" s="234">
        <v>30987.838257827116</v>
      </c>
      <c r="FF65" s="234">
        <v>62942.391496934404</v>
      </c>
      <c r="FG65" s="234">
        <v>41833.929988237898</v>
      </c>
      <c r="FH65" s="250">
        <v>6874.6023829461465</v>
      </c>
      <c r="FI65" s="250">
        <v>6844.6117781235262</v>
      </c>
      <c r="FJ65" s="250">
        <v>117.79102618155673</v>
      </c>
      <c r="FK65" s="250">
        <v>27996.896601076143</v>
      </c>
      <c r="FL65" s="257">
        <v>-6874.6023829461465</v>
      </c>
      <c r="FM65" s="250">
        <v>-3169.3174419391189</v>
      </c>
      <c r="FN65" s="250">
        <v>-2928.7722053270327</v>
      </c>
      <c r="FO65" s="250">
        <v>-412.19809185918433</v>
      </c>
      <c r="FP65" s="250">
        <v>-364.32874377606436</v>
      </c>
      <c r="FQ65" s="241">
        <v>8838.891307614409</v>
      </c>
      <c r="FR65" s="234">
        <v>20631.30232821243</v>
      </c>
      <c r="FS65" s="234">
        <v>5489.1339694649096</v>
      </c>
      <c r="FT65" s="388">
        <v>-6535.7240584013143</v>
      </c>
      <c r="FV65" s="234">
        <v>24645.385385570415</v>
      </c>
      <c r="FW65" s="234">
        <v>515.93456214877472</v>
      </c>
      <c r="FX65" s="234">
        <v>438.38436264563927</v>
      </c>
      <c r="FY65" s="234">
        <v>589.81522817820144</v>
      </c>
      <c r="FZ65" s="234">
        <v>20403.495348014068</v>
      </c>
      <c r="GA65" s="234">
        <v>3213.6904467325039</v>
      </c>
      <c r="GB65" s="241">
        <v>231.2956659662745</v>
      </c>
      <c r="GC65" s="250">
        <v>-467.21611725545375</v>
      </c>
      <c r="GD65" s="250">
        <v>431.54323046597102</v>
      </c>
      <c r="GE65" s="250">
        <v>-3.6800883209703463</v>
      </c>
      <c r="GF65" s="250">
        <v>270.64864107672724</v>
      </c>
      <c r="GG65" s="257">
        <v>231.2956659662745</v>
      </c>
      <c r="GH65" s="250">
        <v>-467.21611725545375</v>
      </c>
      <c r="GI65" s="250">
        <v>270.64864107672724</v>
      </c>
      <c r="GJ65" s="250">
        <v>431.54323046597102</v>
      </c>
      <c r="GK65" s="250">
        <v>-3.6800883209703463</v>
      </c>
      <c r="GL65" s="388">
        <v>4483.6165709146317</v>
      </c>
      <c r="GN65" s="236">
        <v>2036.7103363506687</v>
      </c>
      <c r="GO65" s="236">
        <v>-175.51624298635588</v>
      </c>
      <c r="GP65" s="254">
        <v>2036.7103363506687</v>
      </c>
      <c r="GQ65" s="236">
        <v>0</v>
      </c>
      <c r="GR65" s="236">
        <v>2036.7103363506687</v>
      </c>
      <c r="GT65" s="236">
        <v>272914.44772998762</v>
      </c>
      <c r="GU65" s="236">
        <v>41042.482137659899</v>
      </c>
      <c r="GV65" s="236">
        <v>33396.702813119133</v>
      </c>
      <c r="GW65" s="236">
        <v>132419.85003016389</v>
      </c>
      <c r="GX65" s="236">
        <v>66055.412749044699</v>
      </c>
      <c r="GY65" s="271"/>
      <c r="GZ65" s="295"/>
      <c r="HB65" s="234">
        <v>141050.99</v>
      </c>
      <c r="HC65" s="234">
        <v>15427.23</v>
      </c>
      <c r="HD65" s="234">
        <v>21752.325267403587</v>
      </c>
      <c r="HE65" s="234">
        <v>10253.64748803317</v>
      </c>
      <c r="HG65" s="234">
        <v>75370.820000000007</v>
      </c>
      <c r="HI65" s="234">
        <v>121562.52451243062</v>
      </c>
      <c r="HJ65" s="234">
        <v>76124.113542624022</v>
      </c>
      <c r="HK65" s="250">
        <v>68735.398474200701</v>
      </c>
      <c r="HL65" s="250">
        <v>7862.4876648712943</v>
      </c>
      <c r="HM65" s="250">
        <v>-473.77259644798676</v>
      </c>
      <c r="HN65" s="250"/>
      <c r="HO65" s="271">
        <v>39951.46</v>
      </c>
      <c r="HP65" s="271">
        <v>44255.019267089738</v>
      </c>
      <c r="HQ65" s="321">
        <v>16722.403243861947</v>
      </c>
      <c r="HR65" s="321">
        <v>27532.616023227787</v>
      </c>
      <c r="HS65" s="321">
        <v>0</v>
      </c>
      <c r="HU65" s="234">
        <v>6174.86</v>
      </c>
      <c r="HV65" s="234">
        <v>8268.1406065600895</v>
      </c>
      <c r="HW65" s="250">
        <v>6901.981842164927</v>
      </c>
      <c r="HX65" s="250">
        <v>-474.80189318143857</v>
      </c>
      <c r="HY65" s="250">
        <v>1840.9606575766027</v>
      </c>
      <c r="IA65" s="234">
        <v>36987.870000000003</v>
      </c>
      <c r="IB65" s="234">
        <v>3100.65</v>
      </c>
      <c r="IC65" s="234">
        <v>56524.633814937239</v>
      </c>
      <c r="ID65" s="234">
        <v>27996.896601076143</v>
      </c>
      <c r="IE65" s="310">
        <v>7078.5550798171926</v>
      </c>
      <c r="IF65" s="310">
        <v>16522.412689112261</v>
      </c>
      <c r="IG65" s="326">
        <v>4395.9288321466902</v>
      </c>
      <c r="IH65" s="250">
        <v>45111.027488129082</v>
      </c>
      <c r="II65" s="250">
        <v>-14799.411732983614</v>
      </c>
      <c r="IJ65" s="250">
        <v>-2314.7332540245902</v>
      </c>
      <c r="IL65" s="234">
        <v>-10894.062643946199</v>
      </c>
      <c r="IM65" s="248">
        <v>4395.9288321466902</v>
      </c>
      <c r="IN65" s="248">
        <v>-15289.99147609289</v>
      </c>
      <c r="IO65" s="257">
        <v>-14394.714817318896</v>
      </c>
      <c r="IP65" s="250">
        <v>-175.51624298635588</v>
      </c>
      <c r="IQ65" s="250">
        <v>2036.7103363506687</v>
      </c>
      <c r="IR65" s="258">
        <v>-2756.4707521383066</v>
      </c>
      <c r="IS65" s="257">
        <v>-473.7725964479871</v>
      </c>
      <c r="IT65" s="250">
        <v>15763.778172496131</v>
      </c>
      <c r="IU65" s="271"/>
      <c r="IV65" s="295"/>
      <c r="IX65" s="350">
        <v>0.16332005501981076</v>
      </c>
      <c r="IY65" s="351">
        <v>1.6326669988912801E-2</v>
      </c>
      <c r="IZ65" s="351">
        <v>0.14699338503089796</v>
      </c>
      <c r="JA65" s="356">
        <v>4.0016348012041188E-2</v>
      </c>
      <c r="JB65" s="356">
        <v>4.0016348012041188E-2</v>
      </c>
      <c r="JE65" s="351">
        <v>0.10697703701885677</v>
      </c>
      <c r="JF65" s="356">
        <v>8.8889647717414158E-2</v>
      </c>
      <c r="JG65" s="356">
        <v>1.8087389301442616E-2</v>
      </c>
      <c r="JH65" s="346"/>
      <c r="JI65" s="361">
        <v>6949.2599999999993</v>
      </c>
      <c r="JJ65" s="370">
        <v>4854.3499999999995</v>
      </c>
      <c r="JK65" s="370">
        <v>2094.91</v>
      </c>
      <c r="JL65" s="370">
        <v>23685.68</v>
      </c>
      <c r="JM65" s="370">
        <v>30634.94</v>
      </c>
      <c r="JO65" s="361">
        <v>31649.29</v>
      </c>
      <c r="JP65" s="361">
        <v>2870.75</v>
      </c>
      <c r="JQ65" s="377">
        <v>28778.54</v>
      </c>
      <c r="JR65" s="363">
        <v>21339.71</v>
      </c>
      <c r="JS65" s="366">
        <v>10792.11</v>
      </c>
      <c r="JT65" s="366">
        <v>4232.46</v>
      </c>
      <c r="JU65" s="366">
        <v>1633.81</v>
      </c>
      <c r="JV65" s="366">
        <v>1066.17</v>
      </c>
      <c r="JW65" s="363">
        <v>7438.83</v>
      </c>
      <c r="JX65" s="366">
        <v>2094.91</v>
      </c>
      <c r="JY65" s="366">
        <v>5343.92</v>
      </c>
      <c r="KA65" s="361">
        <v>28778.54</v>
      </c>
      <c r="KL65" s="409"/>
      <c r="KM65" s="388"/>
      <c r="KW65" s="409"/>
      <c r="LI65" s="416">
        <v>6296.9398000000001</v>
      </c>
      <c r="LJ65" s="388">
        <v>5544.16</v>
      </c>
      <c r="LV65" s="421"/>
      <c r="MF65" s="422"/>
      <c r="MG65" s="425"/>
      <c r="NC65" s="421"/>
      <c r="NM65" s="422"/>
      <c r="NZ65" s="361">
        <v>3002.491</v>
      </c>
      <c r="OA65" s="361">
        <v>697.52</v>
      </c>
      <c r="OB65" s="361">
        <v>588.38199999999995</v>
      </c>
      <c r="OC65" s="361">
        <v>828.07049999999992</v>
      </c>
    </row>
    <row r="66" spans="1:393">
      <c r="A66" s="240">
        <v>2006</v>
      </c>
      <c r="B66" s="269">
        <v>131448</v>
      </c>
      <c r="C66" s="250">
        <v>58288</v>
      </c>
      <c r="D66" s="250">
        <v>73160</v>
      </c>
      <c r="E66" s="234">
        <v>74978</v>
      </c>
      <c r="F66" s="274">
        <v>4.0999999999999996</v>
      </c>
      <c r="G66" s="275">
        <v>0.27275280757563308</v>
      </c>
      <c r="H66" s="275">
        <v>0.72724719242436686</v>
      </c>
      <c r="I66" s="234">
        <v>95595.188949798176</v>
      </c>
      <c r="K66" s="234">
        <v>9442</v>
      </c>
      <c r="L66" s="234">
        <v>1601</v>
      </c>
      <c r="M66" s="234">
        <v>5693</v>
      </c>
      <c r="N66" s="234">
        <v>5072</v>
      </c>
      <c r="O66" s="234">
        <v>3375</v>
      </c>
      <c r="P66" s="234">
        <v>3823</v>
      </c>
      <c r="R66" s="295"/>
      <c r="S66" s="334"/>
      <c r="T66" s="239">
        <v>1.3637234313248976</v>
      </c>
      <c r="U66" s="240"/>
      <c r="V66" s="295"/>
      <c r="X66" s="294">
        <v>7.9717999999999991</v>
      </c>
      <c r="Y66" s="294">
        <v>2.844364653</v>
      </c>
      <c r="AA66" s="295"/>
      <c r="AC66" s="234">
        <v>89403.89</v>
      </c>
      <c r="AD66" s="234">
        <v>25003.64</v>
      </c>
      <c r="AE66" s="234">
        <v>6220.67</v>
      </c>
      <c r="AF66" s="234">
        <v>5594.29</v>
      </c>
      <c r="AG66" s="239">
        <v>6.2573228077659707E-2</v>
      </c>
      <c r="AH66" s="239">
        <v>1.4994913476128671</v>
      </c>
      <c r="AJ66" s="234">
        <v>8883.2999999999993</v>
      </c>
      <c r="AK66" s="234">
        <v>6208.61</v>
      </c>
      <c r="AL66" s="242">
        <v>31448.7</v>
      </c>
      <c r="AM66" s="314">
        <v>9665.7999999999993</v>
      </c>
      <c r="AN66" s="314">
        <v>3642.52</v>
      </c>
      <c r="AO66" s="313">
        <v>25828.350000000006</v>
      </c>
      <c r="AP66" s="241">
        <v>3938.3</v>
      </c>
      <c r="AQ66" s="234">
        <v>1672.4</v>
      </c>
      <c r="AR66" s="309">
        <v>6708.7757142857154</v>
      </c>
      <c r="AS66" s="309"/>
      <c r="AT66" s="234">
        <v>27072.62</v>
      </c>
      <c r="AV66" s="295"/>
      <c r="AX66" s="234">
        <v>215904.4055790354</v>
      </c>
      <c r="AY66" s="234">
        <v>216314.42593935409</v>
      </c>
      <c r="AZ66" s="234">
        <v>225673.60405071656</v>
      </c>
      <c r="BA66" s="234">
        <v>226083.62441103524</v>
      </c>
      <c r="BB66" s="234">
        <v>-410.02036031868192</v>
      </c>
      <c r="BC66" s="234" t="s">
        <v>534</v>
      </c>
      <c r="BF66" s="234">
        <v>192843.85971180722</v>
      </c>
      <c r="BG66" s="234">
        <v>262985.69007612293</v>
      </c>
      <c r="BH66" s="234">
        <v>27510.347849642298</v>
      </c>
      <c r="BJ66" s="236">
        <v>216314.4</v>
      </c>
      <c r="BK66" s="236">
        <v>226083.59847168115</v>
      </c>
      <c r="BL66" s="234">
        <v>24040</v>
      </c>
      <c r="BM66" s="234">
        <v>103719.5</v>
      </c>
      <c r="BN66" s="250">
        <v>91310.9</v>
      </c>
      <c r="BO66" s="250">
        <v>12408.6</v>
      </c>
      <c r="BP66" s="234">
        <v>88554.9</v>
      </c>
      <c r="BQ66" s="234">
        <v>98324.098471681151</v>
      </c>
      <c r="BR66" s="250">
        <v>12183</v>
      </c>
      <c r="BS66" s="250">
        <v>16530.7</v>
      </c>
      <c r="BT66" s="250">
        <v>4792.6000000000004</v>
      </c>
      <c r="BU66" s="250">
        <v>8099.1</v>
      </c>
      <c r="BV66" s="250">
        <v>10370.5</v>
      </c>
      <c r="BW66" s="250">
        <v>20139.698471681164</v>
      </c>
      <c r="BX66" s="250">
        <v>36579.1</v>
      </c>
      <c r="BZ66" s="234">
        <v>197789.03000000003</v>
      </c>
      <c r="CA66" s="234">
        <v>81888.020000000033</v>
      </c>
      <c r="CB66" s="234">
        <v>27919.209999999995</v>
      </c>
      <c r="CC66" s="234">
        <v>29521.99</v>
      </c>
      <c r="CD66" s="234">
        <v>58459.810000000005</v>
      </c>
      <c r="CF66" s="234">
        <v>222712.52612492151</v>
      </c>
      <c r="CG66" s="234">
        <v>232481.72459660267</v>
      </c>
      <c r="CH66" s="234">
        <v>6398.1001855674258</v>
      </c>
      <c r="CI66" s="234">
        <v>82575.450746833783</v>
      </c>
      <c r="CJ66" s="234">
        <v>91998.956261227373</v>
      </c>
      <c r="CK66" s="234">
        <v>30528.397599999993</v>
      </c>
      <c r="CL66" s="234">
        <v>30874.090557287567</v>
      </c>
      <c r="CM66" s="234">
        <v>92954.078954749479</v>
      </c>
      <c r="CN66" s="250">
        <v>87954.060884709732</v>
      </c>
      <c r="CO66" s="250">
        <v>5000.0180700397523</v>
      </c>
      <c r="CP66" s="234">
        <v>16654.598823338267</v>
      </c>
      <c r="CQ66" s="271"/>
      <c r="CR66" s="295"/>
      <c r="CT66" s="234" t="s">
        <v>534</v>
      </c>
      <c r="CV66" s="308">
        <v>0.14521062471655466</v>
      </c>
      <c r="CX66" s="234">
        <v>32829.744338909331</v>
      </c>
      <c r="CY66" s="234">
        <v>44770.691599376565</v>
      </c>
      <c r="CZ66" s="234">
        <v>27919.209999999995</v>
      </c>
      <c r="DA66" s="307">
        <v>255543909399.28949</v>
      </c>
      <c r="DB66" s="234">
        <v>20371.449369492555</v>
      </c>
      <c r="DD66" s="234">
        <v>13207.892807735079</v>
      </c>
      <c r="DE66" s="262">
        <v>12401.168598649168</v>
      </c>
      <c r="DF66" s="252">
        <v>2726.3316473057894</v>
      </c>
      <c r="DG66" s="252">
        <v>9674.836951343379</v>
      </c>
      <c r="DH66" s="234">
        <v>1590.8488790011681</v>
      </c>
      <c r="DI66" s="250">
        <v>1181.280548646243</v>
      </c>
      <c r="DJ66" s="258">
        <v>409.56833035492502</v>
      </c>
      <c r="DK66" s="241">
        <v>428.703830095581</v>
      </c>
      <c r="DL66" s="252">
        <v>428.703830095581</v>
      </c>
      <c r="DM66" s="258">
        <v>0</v>
      </c>
      <c r="DN66" s="234">
        <v>30349.970291630649</v>
      </c>
      <c r="DO66" s="252">
        <v>378.02037899032808</v>
      </c>
      <c r="DP66" s="250">
        <v>29971.949912640321</v>
      </c>
      <c r="DQ66" s="257">
        <v>44770.691599376565</v>
      </c>
      <c r="DS66" s="295"/>
      <c r="DT66" s="295"/>
      <c r="DU66">
        <f t="shared" si="0"/>
        <v>0.70000000000000007</v>
      </c>
      <c r="DV66">
        <f t="shared" si="1"/>
        <v>0.94999999999999984</v>
      </c>
      <c r="DW66" s="318">
        <v>13322.484861094979</v>
      </c>
      <c r="DX66" s="234">
        <v>30076.759439290072</v>
      </c>
      <c r="DY66" s="234">
        <v>12936.2</v>
      </c>
      <c r="DZ66" s="234">
        <v>5240.2304536559714</v>
      </c>
      <c r="EA66" s="234">
        <v>24836.528985634101</v>
      </c>
      <c r="EB66" s="234">
        <v>12401.168598649168</v>
      </c>
      <c r="EC66" s="234">
        <v>0</v>
      </c>
      <c r="ED66" s="234">
        <v>0</v>
      </c>
      <c r="EE66" s="234">
        <v>12435.360386984932</v>
      </c>
      <c r="EF66" s="241">
        <v>29505.520160145483</v>
      </c>
      <c r="EG66" s="234">
        <v>1181.280548646243</v>
      </c>
      <c r="EH66" s="234">
        <v>0</v>
      </c>
      <c r="EI66" s="234">
        <v>28324.239611499241</v>
      </c>
      <c r="EJ66" s="234">
        <v>0</v>
      </c>
      <c r="EK66" s="234">
        <v>19826.967728049469</v>
      </c>
      <c r="EL66" s="242">
        <v>8497.2718834497718</v>
      </c>
      <c r="EM66" s="234">
        <v>40037.311183731268</v>
      </c>
      <c r="EN66" s="234">
        <v>409.56833035492502</v>
      </c>
      <c r="EO66" s="234">
        <v>25070.428491988951</v>
      </c>
      <c r="EP66" s="236">
        <v>35806.019122475162</v>
      </c>
      <c r="EQ66" s="234">
        <v>1937.1964086656435</v>
      </c>
      <c r="ER66" s="234">
        <v>1884.5273222355352</v>
      </c>
      <c r="ES66" s="241">
        <v>7134.4555033193346</v>
      </c>
      <c r="ET66" s="250">
        <v>5668.9028433774074</v>
      </c>
      <c r="EU66" s="250">
        <v>646.63673943132676</v>
      </c>
      <c r="EV66" s="250">
        <v>-26.415322864763269</v>
      </c>
      <c r="EW66" s="250">
        <v>845.33124337536424</v>
      </c>
      <c r="EX66" s="241">
        <v>2724.8012391930247</v>
      </c>
      <c r="EY66" s="266"/>
      <c r="EZ66" s="234">
        <v>186305.43585041957</v>
      </c>
      <c r="FA66" s="234">
        <v>415.69488821298381</v>
      </c>
      <c r="FB66" s="234">
        <v>30349.970291630649</v>
      </c>
      <c r="FC66" s="234">
        <v>35116.082915130813</v>
      </c>
      <c r="FF66" s="234">
        <v>69154.160806910135</v>
      </c>
      <c r="FG66" s="234">
        <v>51685.221836747965</v>
      </c>
      <c r="FH66" s="250">
        <v>9189.9549196524131</v>
      </c>
      <c r="FI66" s="250">
        <v>8674.8356679380595</v>
      </c>
      <c r="FJ66" s="250">
        <v>88.287454943973884</v>
      </c>
      <c r="FK66" s="250">
        <v>33732.143794213524</v>
      </c>
      <c r="FL66" s="257">
        <v>-9189.9549196524131</v>
      </c>
      <c r="FM66" s="250">
        <v>-5215.0420481981664</v>
      </c>
      <c r="FN66" s="250">
        <v>-1871.7513211963617</v>
      </c>
      <c r="FO66" s="250">
        <v>-764.35334602329192</v>
      </c>
      <c r="FP66" s="250">
        <v>-1338.8082042345916</v>
      </c>
      <c r="FQ66" s="241">
        <v>11302.974351209416</v>
      </c>
      <c r="FR66" s="234">
        <v>24160.722905320992</v>
      </c>
      <c r="FS66" s="234">
        <v>7031.5696605651374</v>
      </c>
      <c r="FT66" s="388">
        <v>-8651.2432525761378</v>
      </c>
      <c r="FV66" s="234">
        <v>27630.663582448058</v>
      </c>
      <c r="FW66" s="234">
        <v>471.42958589706126</v>
      </c>
      <c r="FX66" s="234">
        <v>428.703830095581</v>
      </c>
      <c r="FY66" s="234">
        <v>662.78322485821343</v>
      </c>
      <c r="FZ66" s="234">
        <v>22708.49074543887</v>
      </c>
      <c r="GA66" s="234">
        <v>3830.685782055396</v>
      </c>
      <c r="GB66" s="241">
        <v>1280.0726360474284</v>
      </c>
      <c r="GC66" s="250">
        <v>-453.86079517923912</v>
      </c>
      <c r="GD66" s="250">
        <v>790.76866888805512</v>
      </c>
      <c r="GE66" s="250">
        <v>493.47696085922746</v>
      </c>
      <c r="GF66" s="250">
        <v>449.67416424507172</v>
      </c>
      <c r="GG66" s="257">
        <v>1280.0726360474284</v>
      </c>
      <c r="GH66" s="250">
        <v>-453.86079517923912</v>
      </c>
      <c r="GI66" s="250">
        <v>449.67416424507172</v>
      </c>
      <c r="GJ66" s="250">
        <v>790.76866888805512</v>
      </c>
      <c r="GK66" s="250">
        <v>493.47696085922746</v>
      </c>
      <c r="GL66" s="388">
        <v>5926.4283761488005</v>
      </c>
      <c r="GN66" s="236">
        <v>775.44041751996315</v>
      </c>
      <c r="GO66" s="236">
        <v>-216.28653620812872</v>
      </c>
      <c r="GP66" s="254">
        <v>775.44041751996315</v>
      </c>
      <c r="GQ66" s="236">
        <v>0</v>
      </c>
      <c r="GR66" s="236">
        <v>775.44041751996315</v>
      </c>
      <c r="GT66" s="236">
        <v>308315.45976237848</v>
      </c>
      <c r="GU66" s="236">
        <v>44770.691599376565</v>
      </c>
      <c r="GV66" s="236">
        <v>37716.062548654671</v>
      </c>
      <c r="GW66" s="236">
        <v>147495.63840287362</v>
      </c>
      <c r="GX66" s="236">
        <v>78333.067211473608</v>
      </c>
      <c r="GY66" s="271"/>
      <c r="GZ66" s="295"/>
      <c r="HB66" s="234">
        <v>161587.29999999999</v>
      </c>
      <c r="HC66" s="234">
        <v>19333.05</v>
      </c>
      <c r="HD66" s="234">
        <v>26364.93328397581</v>
      </c>
      <c r="HE66" s="234">
        <v>13157.040476240731</v>
      </c>
      <c r="HG66" s="234">
        <v>86555.88</v>
      </c>
      <c r="HI66" s="234">
        <v>143242.65904439578</v>
      </c>
      <c r="HJ66" s="234">
        <v>92890.406577265443</v>
      </c>
      <c r="HK66" s="250">
        <v>81992.965333872475</v>
      </c>
      <c r="HL66" s="250">
        <v>11334.487328663959</v>
      </c>
      <c r="HM66" s="250">
        <v>-437.04608527100322</v>
      </c>
      <c r="HN66" s="250"/>
      <c r="HO66" s="271">
        <v>48850.92</v>
      </c>
      <c r="HP66" s="271">
        <v>52627.126768127731</v>
      </c>
      <c r="HQ66" s="321">
        <v>11424.214326855679</v>
      </c>
      <c r="HR66" s="321">
        <v>41202.912441272048</v>
      </c>
      <c r="HS66" s="321">
        <v>0</v>
      </c>
      <c r="HU66" s="234">
        <v>9196.4500000000007</v>
      </c>
      <c r="HV66" s="234">
        <v>12112.710519912274</v>
      </c>
      <c r="HW66" s="250">
        <v>7597.7086207161155</v>
      </c>
      <c r="HX66" s="250">
        <v>2587.8834066880054</v>
      </c>
      <c r="HY66" s="250">
        <v>1927.1321297424658</v>
      </c>
      <c r="IA66" s="234">
        <v>42687.11</v>
      </c>
      <c r="IB66" s="234">
        <v>4303.4399999999996</v>
      </c>
      <c r="IC66" s="234">
        <v>64082.114085844172</v>
      </c>
      <c r="ID66" s="234">
        <v>33732.143794213524</v>
      </c>
      <c r="IE66" s="310">
        <v>8972.1416943005388</v>
      </c>
      <c r="IF66" s="310">
        <v>19178.441232159203</v>
      </c>
      <c r="IG66" s="326">
        <v>5581.5608677537812</v>
      </c>
      <c r="IH66" s="250">
        <v>62971.056023534991</v>
      </c>
      <c r="II66" s="250">
        <v>-26874.734014308</v>
      </c>
      <c r="IJ66" s="250">
        <v>-2364.1782150134686</v>
      </c>
      <c r="IL66" s="234">
        <v>-19622.81650169591</v>
      </c>
      <c r="IM66" s="248">
        <v>5581.5608677537812</v>
      </c>
      <c r="IN66" s="248">
        <v>-25204.377369449692</v>
      </c>
      <c r="IO66" s="257">
        <v>-22712.268259343637</v>
      </c>
      <c r="IP66" s="250">
        <v>-216.28653620812872</v>
      </c>
      <c r="IQ66" s="250">
        <v>775.44041751996315</v>
      </c>
      <c r="IR66" s="258">
        <v>-3051.262991417892</v>
      </c>
      <c r="IS66" s="257">
        <v>-437.03244803668997</v>
      </c>
      <c r="IT66" s="250">
        <v>25641.423454720698</v>
      </c>
      <c r="IU66" s="271"/>
      <c r="IV66" s="295"/>
      <c r="IX66" s="350">
        <v>0.17161138238760734</v>
      </c>
      <c r="IY66" s="351">
        <v>2.0834034910478749E-2</v>
      </c>
      <c r="IZ66" s="351">
        <v>0.15077734747712859</v>
      </c>
      <c r="JA66" s="356">
        <v>4.2835494190941237E-2</v>
      </c>
      <c r="JB66" s="356">
        <v>4.2835494190941237E-2</v>
      </c>
      <c r="JE66" s="351">
        <v>0.10794185328618736</v>
      </c>
      <c r="JF66" s="356">
        <v>8.8903855867991238E-2</v>
      </c>
      <c r="JG66" s="356">
        <v>1.9037997418196104E-2</v>
      </c>
      <c r="JH66" s="346"/>
      <c r="JI66" s="361">
        <v>8814.85</v>
      </c>
      <c r="JJ66" s="370">
        <v>6361.14</v>
      </c>
      <c r="JK66" s="370">
        <v>2453.71</v>
      </c>
      <c r="JL66" s="370">
        <v>27656.69</v>
      </c>
      <c r="JM66" s="370">
        <v>36471.54</v>
      </c>
      <c r="JO66" s="361">
        <v>38760.199999999997</v>
      </c>
      <c r="JP66" s="361">
        <v>3955.8499999999985</v>
      </c>
      <c r="JQ66" s="377">
        <v>34804.35</v>
      </c>
      <c r="JR66" s="363">
        <v>25311.039999999997</v>
      </c>
      <c r="JS66" s="366">
        <v>12784.81</v>
      </c>
      <c r="JT66" s="366">
        <v>5128.71</v>
      </c>
      <c r="JU66" s="366">
        <v>1885.69</v>
      </c>
      <c r="JV66" s="366">
        <v>1141.78</v>
      </c>
      <c r="JW66" s="363">
        <v>9493.3100000000013</v>
      </c>
      <c r="JX66" s="366">
        <v>2453.71</v>
      </c>
      <c r="JY66" s="366">
        <v>7039.6</v>
      </c>
      <c r="KA66" s="361">
        <v>34804.35</v>
      </c>
      <c r="KL66" s="409"/>
      <c r="KM66" s="388"/>
      <c r="KW66" s="409"/>
      <c r="LI66" s="416">
        <v>7914.0348999999997</v>
      </c>
      <c r="LJ66" s="388">
        <v>6407.88</v>
      </c>
      <c r="LV66" s="421"/>
      <c r="MF66" s="422"/>
      <c r="MG66" s="425"/>
      <c r="NC66" s="421"/>
      <c r="NM66" s="422"/>
      <c r="NZ66" s="361">
        <v>3681.652</v>
      </c>
      <c r="OA66" s="361">
        <v>864.32</v>
      </c>
      <c r="OB66" s="361">
        <v>807.76400000000001</v>
      </c>
      <c r="OC66" s="361">
        <v>1023.9529999999999</v>
      </c>
    </row>
    <row r="67" spans="1:393">
      <c r="A67" s="240">
        <v>2007</v>
      </c>
      <c r="B67" s="269">
        <v>132129</v>
      </c>
      <c r="C67" s="250">
        <v>60633</v>
      </c>
      <c r="D67" s="250">
        <v>71496</v>
      </c>
      <c r="E67" s="234">
        <v>75321</v>
      </c>
      <c r="F67" s="274">
        <v>4</v>
      </c>
      <c r="G67" s="275">
        <v>0.26195153015085731</v>
      </c>
      <c r="H67" s="275">
        <v>0.73804846984914274</v>
      </c>
      <c r="I67" s="234">
        <v>97517.606272697376</v>
      </c>
      <c r="K67" s="234">
        <v>9660</v>
      </c>
      <c r="L67" s="234">
        <v>1676</v>
      </c>
      <c r="M67" s="234">
        <v>5699</v>
      </c>
      <c r="N67" s="234">
        <v>5155</v>
      </c>
      <c r="O67" s="234">
        <v>3393</v>
      </c>
      <c r="P67" s="234">
        <v>3824</v>
      </c>
      <c r="R67" s="295"/>
      <c r="S67" s="334"/>
      <c r="T67" s="239">
        <v>1.2683596296132167</v>
      </c>
      <c r="U67" s="240"/>
      <c r="V67" s="295"/>
      <c r="X67" s="294">
        <v>7.6040000000000001</v>
      </c>
      <c r="Y67" s="294">
        <v>2.987623084</v>
      </c>
      <c r="AA67" s="295"/>
      <c r="AC67" s="234">
        <v>327141</v>
      </c>
      <c r="AD67" s="234">
        <v>93064</v>
      </c>
      <c r="AE67" s="234">
        <v>22339.8</v>
      </c>
      <c r="AF67" s="234">
        <v>8680.17</v>
      </c>
      <c r="AG67" s="239">
        <v>2.6533421368767594E-2</v>
      </c>
      <c r="AH67" s="239">
        <v>2.3129563592331039</v>
      </c>
      <c r="AJ67" s="234">
        <v>23139.1</v>
      </c>
      <c r="AK67" s="234">
        <v>5846.8</v>
      </c>
      <c r="AL67" s="242">
        <v>48741</v>
      </c>
      <c r="AM67" s="314">
        <v>12082.68</v>
      </c>
      <c r="AN67" s="314">
        <v>4216.62</v>
      </c>
      <c r="AO67" s="313">
        <v>33694.410000000003</v>
      </c>
      <c r="AP67" s="241">
        <v>5058.5</v>
      </c>
      <c r="AQ67" s="234">
        <v>2880.9</v>
      </c>
      <c r="AR67" s="234">
        <v>7683.3</v>
      </c>
      <c r="AT67" s="234">
        <v>30375.23</v>
      </c>
      <c r="AV67" s="295"/>
      <c r="AX67" s="234">
        <v>266421.99914205883</v>
      </c>
      <c r="AY67" s="234">
        <v>265810.30584365001</v>
      </c>
      <c r="AZ67" s="234">
        <v>279480.47052791342</v>
      </c>
      <c r="BA67" s="234">
        <v>278868.7772295046</v>
      </c>
      <c r="BB67" s="234">
        <v>611.69329840881983</v>
      </c>
      <c r="BC67" s="234">
        <v>266043.81108700001</v>
      </c>
      <c r="BF67" s="234">
        <v>240428.98998840118</v>
      </c>
      <c r="BG67" s="234">
        <v>304950.42468996829</v>
      </c>
      <c r="BH67" s="234">
        <v>31271.31974888797</v>
      </c>
      <c r="BJ67" s="236">
        <v>265810.3</v>
      </c>
      <c r="BK67" s="236">
        <v>278868.77138585458</v>
      </c>
      <c r="BL67" s="234">
        <v>28627</v>
      </c>
      <c r="BM67" s="234">
        <v>125831.4</v>
      </c>
      <c r="BN67" s="250">
        <v>110534.9</v>
      </c>
      <c r="BO67" s="250">
        <v>15296.5</v>
      </c>
      <c r="BP67" s="234">
        <v>111351.9</v>
      </c>
      <c r="BQ67" s="234">
        <v>124410.37138585455</v>
      </c>
      <c r="BR67" s="250">
        <v>14601</v>
      </c>
      <c r="BS67" s="250">
        <v>20937.8</v>
      </c>
      <c r="BT67" s="250">
        <v>5548.1</v>
      </c>
      <c r="BU67" s="250">
        <v>12337.5</v>
      </c>
      <c r="BV67" s="250">
        <v>13809.7</v>
      </c>
      <c r="BW67" s="250">
        <v>26868.171385854566</v>
      </c>
      <c r="BX67" s="250">
        <v>44117.7</v>
      </c>
      <c r="BZ67" s="234">
        <v>275624.61999999994</v>
      </c>
      <c r="CA67" s="234">
        <v>109532.26999999997</v>
      </c>
      <c r="CB67" s="234">
        <v>39018.849999999991</v>
      </c>
      <c r="CC67" s="234">
        <v>40827.51999999999</v>
      </c>
      <c r="CD67" s="234">
        <v>86245.970000000016</v>
      </c>
      <c r="CF67" s="234">
        <v>266599.17244465963</v>
      </c>
      <c r="CG67" s="234">
        <v>279657.64383051422</v>
      </c>
      <c r="CH67" s="234">
        <v>788.86660100962035</v>
      </c>
      <c r="CI67" s="234">
        <v>96332.496293109798</v>
      </c>
      <c r="CJ67" s="234">
        <v>108992.72836415954</v>
      </c>
      <c r="CK67" s="234">
        <v>35900.371383000005</v>
      </c>
      <c r="CL67" s="234">
        <v>36298.610697804826</v>
      </c>
      <c r="CM67" s="234">
        <v>110943.24513986355</v>
      </c>
      <c r="CN67" s="250">
        <v>103948.60526761475</v>
      </c>
      <c r="CO67" s="250">
        <v>6994.6398722487875</v>
      </c>
      <c r="CP67" s="234">
        <v>23423.059628686315</v>
      </c>
      <c r="CQ67" s="271"/>
      <c r="CR67" s="295"/>
      <c r="CT67" s="234">
        <v>37255.532206000003</v>
      </c>
      <c r="CU67" s="239">
        <v>0.14003532746648606</v>
      </c>
      <c r="CV67" s="239">
        <v>0.14003532746648606</v>
      </c>
      <c r="CX67" s="234">
        <v>39051.480539512231</v>
      </c>
      <c r="CY67" s="234">
        <v>49531.321392943471</v>
      </c>
      <c r="CZ67" s="234">
        <v>39018.849999999991</v>
      </c>
      <c r="DA67" s="307">
        <v>342350691534.27911</v>
      </c>
      <c r="DB67" s="234">
        <v>26032.346584266583</v>
      </c>
      <c r="DD67" s="234">
        <v>14338.765926465403</v>
      </c>
      <c r="DE67" s="262">
        <v>13554.691820602178</v>
      </c>
      <c r="DF67" s="252">
        <v>2779.3088639615016</v>
      </c>
      <c r="DG67" s="252">
        <v>10775.382956640677</v>
      </c>
      <c r="DH67" s="234">
        <v>1727.6196776475467</v>
      </c>
      <c r="DI67" s="250">
        <v>1286.5391870703977</v>
      </c>
      <c r="DJ67" s="258">
        <v>441.08049057714902</v>
      </c>
      <c r="DK67" s="241">
        <v>400.20144812182383</v>
      </c>
      <c r="DL67" s="252">
        <v>400.20144812182383</v>
      </c>
      <c r="DM67" s="258">
        <v>0</v>
      </c>
      <c r="DN67" s="234">
        <v>33848.808446571922</v>
      </c>
      <c r="DO67" s="252">
        <v>383.87265774139763</v>
      </c>
      <c r="DP67" s="250">
        <v>33464.935788830524</v>
      </c>
      <c r="DQ67" s="257">
        <v>49531.321392943471</v>
      </c>
      <c r="DS67" s="295"/>
      <c r="DT67" s="295"/>
      <c r="DU67">
        <f t="shared" si="0"/>
        <v>0.7</v>
      </c>
      <c r="DV67">
        <f t="shared" si="1"/>
        <v>0.95</v>
      </c>
      <c r="DW67" s="318">
        <v>16562.837930277285</v>
      </c>
      <c r="DX67" s="234">
        <v>34346.089868959258</v>
      </c>
      <c r="DY67" s="234">
        <v>14800.9</v>
      </c>
      <c r="DZ67" s="234">
        <v>5218.1722213400808</v>
      </c>
      <c r="EA67" s="234">
        <v>29127.917647619179</v>
      </c>
      <c r="EB67" s="234">
        <v>13554.691820602178</v>
      </c>
      <c r="EC67" s="234">
        <v>0</v>
      </c>
      <c r="ED67" s="234">
        <v>0</v>
      </c>
      <c r="EE67" s="234">
        <v>15573.225827017002</v>
      </c>
      <c r="EF67" s="241">
        <v>32678.398005243798</v>
      </c>
      <c r="EG67" s="234">
        <v>1286.5391870703977</v>
      </c>
      <c r="EH67" s="234">
        <v>0</v>
      </c>
      <c r="EI67" s="234">
        <v>31391.858818173401</v>
      </c>
      <c r="EJ67" s="234">
        <v>0</v>
      </c>
      <c r="EK67" s="234">
        <v>21974.301172721378</v>
      </c>
      <c r="EL67" s="242">
        <v>9417.5576454520196</v>
      </c>
      <c r="EM67" s="234">
        <v>46522.138672942645</v>
      </c>
      <c r="EN67" s="234">
        <v>441.08049057714902</v>
      </c>
      <c r="EO67" s="234">
        <v>27724.620498213466</v>
      </c>
      <c r="EP67" s="236">
        <v>40435.26830398231</v>
      </c>
      <c r="EQ67" s="234">
        <v>3517.6178623841106</v>
      </c>
      <c r="ER67" s="234">
        <v>2128.1720159990691</v>
      </c>
      <c r="ES67" s="241">
        <v>9053.8934932791344</v>
      </c>
      <c r="ET67" s="250">
        <v>5822.607817280209</v>
      </c>
      <c r="EU67" s="250">
        <v>1030.4153630977771</v>
      </c>
      <c r="EV67" s="250">
        <v>-30.998709347747017</v>
      </c>
      <c r="EW67" s="250">
        <v>2231.8690222488967</v>
      </c>
      <c r="EX67" s="241">
        <v>3832.843281131883</v>
      </c>
      <c r="EY67" s="266"/>
      <c r="EZ67" s="234">
        <v>214045.80974559567</v>
      </c>
      <c r="FA67" s="234">
        <v>484.50143343701717</v>
      </c>
      <c r="FB67" s="234">
        <v>33848.808446571922</v>
      </c>
      <c r="FC67" s="234">
        <v>40507.677592535074</v>
      </c>
      <c r="FF67" s="234">
        <v>77016.61120290593</v>
      </c>
      <c r="FG67" s="234">
        <v>62672.712503582748</v>
      </c>
      <c r="FH67" s="250">
        <v>9829.3178364394716</v>
      </c>
      <c r="FI67" s="250">
        <v>11135.246278281833</v>
      </c>
      <c r="FJ67" s="250">
        <v>99.109621457976729</v>
      </c>
      <c r="FK67" s="250">
        <v>41609.064134596068</v>
      </c>
      <c r="FL67" s="257">
        <v>-9829.3178364394716</v>
      </c>
      <c r="FM67" s="250">
        <v>-4901.0430775958357</v>
      </c>
      <c r="FN67" s="250">
        <v>-1016.9200166386925</v>
      </c>
      <c r="FO67" s="250">
        <v>-1193.8054505845519</v>
      </c>
      <c r="FP67" s="250">
        <v>-2717.5619752166858</v>
      </c>
      <c r="FQ67" s="241">
        <v>15308.879614686452</v>
      </c>
      <c r="FR67" s="234">
        <v>30199.338206241839</v>
      </c>
      <c r="FS67" s="234">
        <v>7335.1768462149885</v>
      </c>
      <c r="FT67" s="388">
        <v>-12218.374667586335</v>
      </c>
      <c r="FV67" s="234">
        <v>31331.640197850287</v>
      </c>
      <c r="FW67" s="234">
        <v>505.11066982326344</v>
      </c>
      <c r="FX67" s="234">
        <v>400.20144812182383</v>
      </c>
      <c r="FY67" s="234">
        <v>753.96369822728059</v>
      </c>
      <c r="FZ67" s="234">
        <v>26180.033544498259</v>
      </c>
      <c r="GA67" s="234">
        <v>3997.4415070029208</v>
      </c>
      <c r="GB67" s="241">
        <v>1132.7085672260828</v>
      </c>
      <c r="GC67" s="250">
        <v>-921.56473968437092</v>
      </c>
      <c r="GD67" s="250">
        <v>1224.8041599322987</v>
      </c>
      <c r="GE67" s="250">
        <v>485.69295296778915</v>
      </c>
      <c r="GF67" s="250">
        <v>343.77619401036628</v>
      </c>
      <c r="GG67" s="257">
        <v>1132.7085672260828</v>
      </c>
      <c r="GH67" s="250">
        <v>-921.56473968437092</v>
      </c>
      <c r="GI67" s="250">
        <v>343.77619401036628</v>
      </c>
      <c r="GJ67" s="250">
        <v>1224.8041599322987</v>
      </c>
      <c r="GK67" s="250">
        <v>485.69295296778915</v>
      </c>
      <c r="GL67" s="388">
        <v>8385.5187028581568</v>
      </c>
      <c r="GN67" s="236">
        <v>-357.27154046945009</v>
      </c>
      <c r="GO67" s="236">
        <v>-418.58404496495382</v>
      </c>
      <c r="GP67" s="254">
        <v>-357.27154046945009</v>
      </c>
      <c r="GQ67" s="236">
        <v>0</v>
      </c>
      <c r="GR67" s="236">
        <v>-357.27154046945009</v>
      </c>
      <c r="GT67" s="236">
        <v>353705.90426925162</v>
      </c>
      <c r="GU67" s="236">
        <v>49531.321392943471</v>
      </c>
      <c r="GV67" s="236">
        <v>44779.259153146464</v>
      </c>
      <c r="GW67" s="236">
        <v>165606.21422410788</v>
      </c>
      <c r="GX67" s="236">
        <v>93789.109499053768</v>
      </c>
      <c r="GY67" s="271"/>
      <c r="GZ67" s="295"/>
      <c r="HB67" s="234">
        <v>172534.19</v>
      </c>
      <c r="HC67" s="234">
        <v>25005.01</v>
      </c>
      <c r="HD67" s="234">
        <v>31715.345222074779</v>
      </c>
      <c r="HE67" s="234">
        <v>17376.579295609376</v>
      </c>
      <c r="HG67" s="234">
        <v>110154.35</v>
      </c>
      <c r="HI67" s="234">
        <v>173778.34604479201</v>
      </c>
      <c r="HJ67" s="234">
        <v>118471.28208732825</v>
      </c>
      <c r="HK67" s="250">
        <v>91184.618085143025</v>
      </c>
      <c r="HL67" s="250">
        <v>27585.552948903569</v>
      </c>
      <c r="HM67" s="250">
        <v>-298.90163031465045</v>
      </c>
      <c r="HN67" s="250"/>
      <c r="HO67" s="271">
        <v>62226.13</v>
      </c>
      <c r="HP67" s="271">
        <v>63642.799700814146</v>
      </c>
      <c r="HQ67" s="321">
        <v>10063.255562329705</v>
      </c>
      <c r="HR67" s="321">
        <v>53579.544138484445</v>
      </c>
      <c r="HS67" s="321">
        <v>0</v>
      </c>
      <c r="HU67" s="234">
        <v>15291.69</v>
      </c>
      <c r="HV67" s="234">
        <v>18995.160816438307</v>
      </c>
      <c r="HW67" s="250">
        <v>5890.938416337508</v>
      </c>
      <c r="HX67" s="250">
        <v>10733.785088316657</v>
      </c>
      <c r="HY67" s="250">
        <v>2370.437311784141</v>
      </c>
      <c r="IA67" s="234">
        <v>54207.96</v>
      </c>
      <c r="IB67" s="234">
        <v>5284.53</v>
      </c>
      <c r="IC67" s="234">
        <v>75457.872581167991</v>
      </c>
      <c r="ID67" s="234">
        <v>41609.064134596068</v>
      </c>
      <c r="IE67" s="310">
        <v>12054.262556912576</v>
      </c>
      <c r="IF67" s="310">
        <v>23779.059013163209</v>
      </c>
      <c r="IG67" s="326">
        <v>5775.7425645202829</v>
      </c>
      <c r="IH67" s="250">
        <v>75230.436790072126</v>
      </c>
      <c r="II67" s="250">
        <v>-30952.033713377252</v>
      </c>
      <c r="IJ67" s="250">
        <v>-2669.3389420987914</v>
      </c>
      <c r="IL67" s="234">
        <v>-28287.285597583381</v>
      </c>
      <c r="IM67" s="248">
        <v>5775.7425645202829</v>
      </c>
      <c r="IN67" s="248">
        <v>-34063.028162103663</v>
      </c>
      <c r="IO67" s="257">
        <v>-29708.863706008153</v>
      </c>
      <c r="IP67" s="250">
        <v>-418.58404496495382</v>
      </c>
      <c r="IQ67" s="250">
        <v>-357.27154046945009</v>
      </c>
      <c r="IR67" s="258">
        <v>-3578.3088706611029</v>
      </c>
      <c r="IS67" s="257">
        <v>-298.88894671835453</v>
      </c>
      <c r="IT67" s="250">
        <v>34361.91710882201</v>
      </c>
      <c r="IU67" s="271"/>
      <c r="IV67" s="295"/>
      <c r="IX67" s="350">
        <v>0.19006058532808801</v>
      </c>
      <c r="IY67" s="351">
        <v>2.6256642930661461E-2</v>
      </c>
      <c r="IZ67" s="351">
        <v>0.16380394239742654</v>
      </c>
      <c r="JA67" s="356">
        <v>4.4861349921530146E-2</v>
      </c>
      <c r="JB67" s="356">
        <v>4.4861349921530146E-2</v>
      </c>
      <c r="JE67" s="351">
        <v>0.11894259247589641</v>
      </c>
      <c r="JF67" s="356">
        <v>9.0998022499692424E-2</v>
      </c>
      <c r="JG67" s="356">
        <v>2.7944569976203981E-2</v>
      </c>
      <c r="JH67" s="346"/>
      <c r="JI67" s="361">
        <v>11964.83</v>
      </c>
      <c r="JJ67" s="370">
        <v>8779.25</v>
      </c>
      <c r="JK67" s="370">
        <v>3185.58</v>
      </c>
      <c r="JL67" s="370">
        <v>35304.86</v>
      </c>
      <c r="JM67" s="370">
        <v>47269.69</v>
      </c>
      <c r="JO67" s="361">
        <v>51321.78</v>
      </c>
      <c r="JP67" s="361">
        <v>5699.8099999999977</v>
      </c>
      <c r="JQ67" s="377">
        <v>45621.97</v>
      </c>
      <c r="JR67" s="363">
        <v>33657.14</v>
      </c>
      <c r="JS67" s="366">
        <v>15470.23</v>
      </c>
      <c r="JT67" s="366">
        <v>6582.17</v>
      </c>
      <c r="JU67" s="366">
        <v>2206.83</v>
      </c>
      <c r="JV67" s="366">
        <v>1432.57</v>
      </c>
      <c r="JW67" s="363">
        <v>11964.83</v>
      </c>
      <c r="JX67" s="366">
        <v>3185.58</v>
      </c>
      <c r="JY67" s="366">
        <v>8779.25</v>
      </c>
      <c r="KA67" s="361">
        <v>45621.97</v>
      </c>
      <c r="KC67" s="361">
        <v>52969.499999999993</v>
      </c>
      <c r="KD67" s="361">
        <v>45621.97</v>
      </c>
      <c r="KE67" s="377">
        <v>47269.689999999995</v>
      </c>
      <c r="KF67" s="361">
        <v>5699.8099999999995</v>
      </c>
      <c r="KG67" s="366">
        <v>1241.8499999999999</v>
      </c>
      <c r="KH67" s="366">
        <v>1897.35</v>
      </c>
      <c r="KI67" s="366">
        <v>840.26</v>
      </c>
      <c r="KL67" s="409">
        <v>1720.35</v>
      </c>
      <c r="KM67" s="388"/>
      <c r="KW67" s="409"/>
      <c r="LI67" s="416">
        <v>9840.2145</v>
      </c>
      <c r="LJ67" s="388">
        <v>6820.32</v>
      </c>
      <c r="LL67" s="374">
        <v>28701.824849279852</v>
      </c>
      <c r="LM67" s="374">
        <v>26369.85</v>
      </c>
      <c r="LN67" s="443">
        <v>27322.24484927985</v>
      </c>
      <c r="LO67" s="374">
        <v>1379.58</v>
      </c>
      <c r="LP67" s="408">
        <v>153.69</v>
      </c>
      <c r="LQ67" s="408">
        <v>353.66</v>
      </c>
      <c r="LR67" s="408">
        <v>28.52</v>
      </c>
      <c r="LU67" s="408">
        <v>843.71</v>
      </c>
      <c r="LV67" s="421"/>
      <c r="MF67" s="422"/>
      <c r="MG67" s="425"/>
      <c r="MH67" s="398">
        <v>139.9</v>
      </c>
      <c r="MS67" s="361">
        <v>24267.945150720145</v>
      </c>
      <c r="MT67" s="361">
        <v>19252.12</v>
      </c>
      <c r="MU67" s="377">
        <v>19947.445150720145</v>
      </c>
      <c r="MV67" s="361">
        <v>4320.5000000000009</v>
      </c>
      <c r="MW67" s="366">
        <v>1088.1600000000001</v>
      </c>
      <c r="MX67" s="366">
        <v>1543.69</v>
      </c>
      <c r="MY67" s="366">
        <v>812.01</v>
      </c>
      <c r="NB67" s="366">
        <v>876.64</v>
      </c>
      <c r="NC67" s="421"/>
      <c r="NM67" s="422"/>
      <c r="NZ67" s="361">
        <v>4958.8994999999995</v>
      </c>
      <c r="OA67" s="361">
        <v>1081.23</v>
      </c>
      <c r="OB67" s="361">
        <v>1221.672</v>
      </c>
      <c r="OC67" s="361">
        <v>1366.27217</v>
      </c>
    </row>
    <row r="68" spans="1:393">
      <c r="A68" s="240">
        <v>2008</v>
      </c>
      <c r="B68" s="269">
        <v>132802</v>
      </c>
      <c r="C68" s="250">
        <v>62403</v>
      </c>
      <c r="D68" s="250">
        <v>70399</v>
      </c>
      <c r="E68" s="234">
        <v>75564</v>
      </c>
      <c r="F68" s="274">
        <v>4</v>
      </c>
      <c r="G68" s="275">
        <v>0.2518885959605302</v>
      </c>
      <c r="H68" s="275">
        <v>0.74811140403946985</v>
      </c>
      <c r="I68" s="234">
        <v>99350.690679249674</v>
      </c>
      <c r="K68" s="234">
        <v>9893</v>
      </c>
      <c r="L68" s="234">
        <v>1771</v>
      </c>
      <c r="M68" s="234">
        <v>5711</v>
      </c>
      <c r="N68" s="234">
        <v>5212</v>
      </c>
      <c r="O68" s="234">
        <v>3411</v>
      </c>
      <c r="P68" s="234">
        <v>3825</v>
      </c>
      <c r="R68" s="295"/>
      <c r="S68" s="334"/>
      <c r="T68" s="239">
        <v>1.1765379287754547</v>
      </c>
      <c r="U68" s="240"/>
      <c r="V68" s="295"/>
      <c r="X68" s="294">
        <v>6.9451000000000001</v>
      </c>
      <c r="Y68" s="294">
        <v>3.1589202140000001</v>
      </c>
      <c r="AA68" s="295"/>
      <c r="AC68" s="234">
        <v>121366.43</v>
      </c>
      <c r="AD68" s="234">
        <v>45213.9</v>
      </c>
      <c r="AE68" s="234">
        <v>25741.79</v>
      </c>
      <c r="AF68" s="234">
        <v>3852.21</v>
      </c>
      <c r="AG68" s="239">
        <v>3.1740325557899331E-2</v>
      </c>
      <c r="AH68" s="239">
        <v>-0.66678927826643608</v>
      </c>
      <c r="AJ68" s="234">
        <v>8558.2000000000007</v>
      </c>
      <c r="AK68" s="234">
        <v>7531.43</v>
      </c>
      <c r="AL68" s="242">
        <v>49767.83</v>
      </c>
      <c r="AM68" s="314">
        <v>12098.98</v>
      </c>
      <c r="AN68" s="314">
        <v>4462.8100000000004</v>
      </c>
      <c r="AO68" s="314">
        <v>41330.58</v>
      </c>
      <c r="AP68" s="241">
        <v>2366.9</v>
      </c>
      <c r="AR68" s="234">
        <v>6891.76</v>
      </c>
      <c r="AT68" s="234">
        <v>34218.959999999999</v>
      </c>
      <c r="AV68" s="295"/>
      <c r="AX68" s="234">
        <v>316030.33878446621</v>
      </c>
      <c r="AY68" s="234">
        <v>314045.42708655354</v>
      </c>
      <c r="AZ68" s="234">
        <v>329160.7899050939</v>
      </c>
      <c r="BA68" s="234">
        <v>327175.87820718123</v>
      </c>
      <c r="BB68" s="234">
        <v>1984.9116979126702</v>
      </c>
      <c r="BC68" s="234" t="s">
        <v>534</v>
      </c>
      <c r="BF68" s="234">
        <v>283677.81192647037</v>
      </c>
      <c r="BG68" s="234">
        <v>333757.70528352243</v>
      </c>
      <c r="BH68" s="234">
        <v>33593.898844754673</v>
      </c>
      <c r="BJ68" s="236">
        <v>314045.40000000002</v>
      </c>
      <c r="BK68" s="236">
        <v>327175.85112062772</v>
      </c>
      <c r="BL68" s="234">
        <v>33702</v>
      </c>
      <c r="BM68" s="234">
        <v>149003.4</v>
      </c>
      <c r="BN68" s="250">
        <v>130260.2</v>
      </c>
      <c r="BO68" s="250">
        <v>18743.2</v>
      </c>
      <c r="BP68" s="234">
        <v>131340</v>
      </c>
      <c r="BQ68" s="234">
        <v>144470.45112062769</v>
      </c>
      <c r="BR68" s="250">
        <v>16362.5</v>
      </c>
      <c r="BS68" s="250">
        <v>26182.3</v>
      </c>
      <c r="BT68" s="250">
        <v>6616.1</v>
      </c>
      <c r="BU68" s="250">
        <v>14863.3</v>
      </c>
      <c r="BV68" s="250">
        <v>14738.7</v>
      </c>
      <c r="BW68" s="250">
        <v>27869.151120627692</v>
      </c>
      <c r="BX68" s="250">
        <v>52577.1</v>
      </c>
      <c r="CF68" s="234">
        <v>315974.566144543</v>
      </c>
      <c r="CG68" s="234">
        <v>329105.0172651707</v>
      </c>
      <c r="CH68" s="234">
        <v>1929.1390579894651</v>
      </c>
      <c r="CI68" s="234">
        <v>111670.40089960409</v>
      </c>
      <c r="CJ68" s="234">
        <v>124433.47601448893</v>
      </c>
      <c r="CK68" s="234">
        <v>41752.092999999986</v>
      </c>
      <c r="CL68" s="234">
        <v>42119.469005742838</v>
      </c>
      <c r="CM68" s="234">
        <v>138325.30398486511</v>
      </c>
      <c r="CN68" s="250">
        <v>128084.4197392451</v>
      </c>
      <c r="CO68" s="250">
        <v>10240.884245619996</v>
      </c>
      <c r="CP68" s="234">
        <v>24226.768260073848</v>
      </c>
      <c r="CQ68" s="271"/>
      <c r="CR68" s="295"/>
      <c r="CT68" s="234" t="s">
        <v>534</v>
      </c>
      <c r="CV68" s="308">
        <v>0.13901690499879035</v>
      </c>
      <c r="CX68" s="234">
        <v>45482.977978623516</v>
      </c>
      <c r="CY68" s="234">
        <v>53512.448705509327</v>
      </c>
      <c r="CZ68" s="309">
        <v>44194.244999999995</v>
      </c>
      <c r="DA68" s="307">
        <v>460516188992.37708</v>
      </c>
      <c r="DB68" s="234">
        <v>31983.309841709579</v>
      </c>
      <c r="DD68" s="234">
        <v>17527.720683804924</v>
      </c>
      <c r="DE68" s="262">
        <v>16607.626484894434</v>
      </c>
      <c r="DF68" s="252">
        <v>2762.1691522227457</v>
      </c>
      <c r="DG68" s="252">
        <v>13845.457332671687</v>
      </c>
      <c r="DH68" s="234">
        <v>1924.5221980593158</v>
      </c>
      <c r="DI68" s="250">
        <v>1458.3502383774</v>
      </c>
      <c r="DJ68" s="258">
        <v>466.17195968191572</v>
      </c>
      <c r="DK68" s="241">
        <v>465.20105202850573</v>
      </c>
      <c r="DL68" s="252">
        <v>465.20105202850573</v>
      </c>
      <c r="DM68" s="258">
        <v>0</v>
      </c>
      <c r="DN68" s="234">
        <v>34515.098970527077</v>
      </c>
      <c r="DO68" s="252">
        <v>454.89314688198766</v>
      </c>
      <c r="DP68" s="250">
        <v>34060.20582364509</v>
      </c>
      <c r="DQ68" s="257">
        <v>53512.448705509334</v>
      </c>
      <c r="DS68" s="295"/>
      <c r="DT68" s="295"/>
      <c r="DU68">
        <f t="shared" si="0"/>
        <v>0.7</v>
      </c>
      <c r="DV68">
        <f t="shared" si="1"/>
        <v>0.95</v>
      </c>
      <c r="DW68" s="318">
        <v>15448.473765350653</v>
      </c>
      <c r="DX68" s="234">
        <v>37174.291727585471</v>
      </c>
      <c r="DY68" s="234">
        <v>19192.5</v>
      </c>
      <c r="DZ68" s="234">
        <v>5973.0777131284813</v>
      </c>
      <c r="EA68" s="234">
        <v>31201.214014456986</v>
      </c>
      <c r="EB68" s="234">
        <v>16607.626484894434</v>
      </c>
      <c r="EC68" s="234">
        <v>0</v>
      </c>
      <c r="ED68" s="234">
        <v>0</v>
      </c>
      <c r="EE68" s="234">
        <v>14593.587529562552</v>
      </c>
      <c r="EF68" s="241">
        <v>35686.513148031336</v>
      </c>
      <c r="EG68" s="234">
        <v>1458.3502383774</v>
      </c>
      <c r="EH68" s="234">
        <v>0</v>
      </c>
      <c r="EI68" s="234">
        <v>34228.162909653933</v>
      </c>
      <c r="EJ68" s="234">
        <v>0</v>
      </c>
      <c r="EK68" s="234">
        <v>23959.714036757752</v>
      </c>
      <c r="EL68" s="242">
        <v>10268.448872896179</v>
      </c>
      <c r="EM68" s="234">
        <v>45997.239131589864</v>
      </c>
      <c r="EN68" s="234">
        <v>466.17195968191572</v>
      </c>
      <c r="EO68" s="234">
        <v>30154.945663140177</v>
      </c>
      <c r="EP68" s="236">
        <v>40944.663370995884</v>
      </c>
      <c r="EQ68" s="234">
        <v>2431.4215182280673</v>
      </c>
      <c r="ER68" s="234">
        <v>2154.9822826839941</v>
      </c>
      <c r="ES68" s="241">
        <v>9565.2180648065842</v>
      </c>
      <c r="ET68" s="250">
        <v>7248.5560561512748</v>
      </c>
      <c r="EU68" s="250">
        <v>860.68455641639605</v>
      </c>
      <c r="EV68" s="250">
        <v>-28.754586979272116</v>
      </c>
      <c r="EW68" s="250">
        <v>1484.7202738388974</v>
      </c>
      <c r="EX68" s="241">
        <v>5101.8214205490049</v>
      </c>
      <c r="EY68" s="266"/>
      <c r="EZ68" s="234">
        <v>236687.41261795579</v>
      </c>
      <c r="FA68" s="234">
        <v>422.65443090960798</v>
      </c>
      <c r="FB68" s="234">
        <v>34515.098970527077</v>
      </c>
      <c r="FC68" s="234">
        <v>43521.914557676522</v>
      </c>
      <c r="FF68" s="234">
        <v>84492.019181628973</v>
      </c>
      <c r="FG68" s="234">
        <v>74158.379908123199</v>
      </c>
      <c r="FH68" s="250">
        <v>9743.3812033610502</v>
      </c>
      <c r="FI68" s="250">
        <v>13148.552572960834</v>
      </c>
      <c r="FJ68" s="250">
        <v>415.32965423702325</v>
      </c>
      <c r="FK68" s="250">
        <v>50851.104712185042</v>
      </c>
      <c r="FL68" s="257">
        <v>-9743.3812033610502</v>
      </c>
      <c r="FM68" s="250">
        <v>-5162.754319880285</v>
      </c>
      <c r="FN68" s="250">
        <v>-1022.30557169228</v>
      </c>
      <c r="FO68" s="250">
        <v>-1544.3472160692372</v>
      </c>
      <c r="FP68" s="250">
        <v>-2013.9740957192478</v>
      </c>
      <c r="FQ68" s="241">
        <v>19777.135876813481</v>
      </c>
      <c r="FR68" s="234">
        <v>35769.645940218106</v>
      </c>
      <c r="FS68" s="234">
        <v>8868.2168877305521</v>
      </c>
      <c r="FT68" s="388">
        <v>-10304.44861083549</v>
      </c>
      <c r="FV68" s="234">
        <v>35362.454606913685</v>
      </c>
      <c r="FW68" s="234">
        <v>432.23180487849311</v>
      </c>
      <c r="FX68" s="234">
        <v>465.20105202850573</v>
      </c>
      <c r="FY68" s="234">
        <v>586.18649225379477</v>
      </c>
      <c r="FZ68" s="234">
        <v>28107.255810859857</v>
      </c>
      <c r="GA68" s="234">
        <v>6203.8112517715308</v>
      </c>
      <c r="GB68" s="241">
        <v>1990.525694798753</v>
      </c>
      <c r="GC68" s="250">
        <v>-1992.6669938291243</v>
      </c>
      <c r="GD68" s="250">
        <v>1573.1018030485095</v>
      </c>
      <c r="GE68" s="250">
        <v>529.25382188035053</v>
      </c>
      <c r="GF68" s="250">
        <v>1880.8370636990173</v>
      </c>
      <c r="GG68" s="257">
        <v>1990.525694798753</v>
      </c>
      <c r="GH68" s="250">
        <v>-1992.6669938291243</v>
      </c>
      <c r="GI68" s="250">
        <v>1880.8370636990173</v>
      </c>
      <c r="GJ68" s="250">
        <v>1573.1018030485095</v>
      </c>
      <c r="GK68" s="250">
        <v>529.25382188035053</v>
      </c>
      <c r="GL68" s="388">
        <v>5202.6154249071978</v>
      </c>
      <c r="GN68" s="236">
        <v>-1812.3507908649981</v>
      </c>
      <c r="GO68" s="236">
        <v>-522.95934396140183</v>
      </c>
      <c r="GP68" s="254">
        <v>-1812.3507908649981</v>
      </c>
      <c r="GQ68" s="236">
        <v>-93.15827320044049</v>
      </c>
      <c r="GR68" s="236">
        <v>-1719.2042830438463</v>
      </c>
      <c r="GT68" s="236">
        <v>384934.83351894765</v>
      </c>
      <c r="GU68" s="236">
        <v>53512.448705509327</v>
      </c>
      <c r="GV68" s="236">
        <v>46539.522568158383</v>
      </c>
      <c r="GW68" s="236">
        <v>177503.65240024246</v>
      </c>
      <c r="GX68" s="236">
        <v>107379.20984503746</v>
      </c>
      <c r="GY68" s="271"/>
      <c r="GZ68" s="295"/>
      <c r="HB68" s="234">
        <v>217885.35</v>
      </c>
      <c r="HC68" s="234">
        <v>30881.200000000001</v>
      </c>
      <c r="HD68" s="234">
        <v>36332.903086100574</v>
      </c>
      <c r="HE68" s="234">
        <v>18805.18240229565</v>
      </c>
      <c r="HG68" s="234">
        <v>136396.16</v>
      </c>
      <c r="HI68" s="234">
        <v>194840.55192947987</v>
      </c>
      <c r="HJ68" s="234">
        <v>134327.27058194464</v>
      </c>
      <c r="HK68" s="250">
        <v>109232.37206918262</v>
      </c>
      <c r="HL68" s="250">
        <v>25344.277492145298</v>
      </c>
      <c r="HM68" s="250">
        <v>-249.3672140039574</v>
      </c>
      <c r="HN68" s="250"/>
      <c r="HO68" s="271">
        <v>74255.91</v>
      </c>
      <c r="HP68" s="271">
        <v>68832.74586778284</v>
      </c>
      <c r="HQ68" s="321">
        <v>8640.8654201826721</v>
      </c>
      <c r="HR68" s="321">
        <v>60191.880447600153</v>
      </c>
      <c r="HS68" s="321">
        <v>0</v>
      </c>
      <c r="HU68" s="234">
        <v>18791.97</v>
      </c>
      <c r="HV68" s="234">
        <v>21644.264409381976</v>
      </c>
      <c r="HW68" s="250">
        <v>12056.456816342903</v>
      </c>
      <c r="HX68" s="250">
        <v>6748.6097940767204</v>
      </c>
      <c r="HY68" s="250">
        <v>2839.2095643416392</v>
      </c>
      <c r="IA68" s="234">
        <v>65450.94</v>
      </c>
      <c r="IB68" s="234">
        <v>7106.18</v>
      </c>
      <c r="IC68" s="234">
        <v>85366.203682712119</v>
      </c>
      <c r="ID68" s="234">
        <v>50851.104712185042</v>
      </c>
      <c r="IE68" s="310">
        <v>15612.655865886156</v>
      </c>
      <c r="IF68" s="310">
        <v>28237.616204272996</v>
      </c>
      <c r="IG68" s="326">
        <v>7000.8326420258863</v>
      </c>
      <c r="IH68" s="250">
        <v>88535.061598036322</v>
      </c>
      <c r="II68" s="250">
        <v>-34595.391872884982</v>
      </c>
      <c r="IJ68" s="250">
        <v>-3088.5767783455976</v>
      </c>
      <c r="IL68" s="234">
        <v>-27364.451942749187</v>
      </c>
      <c r="IM68" s="248">
        <v>7000.8326420258863</v>
      </c>
      <c r="IN68" s="248">
        <v>-34365.284584775072</v>
      </c>
      <c r="IO68" s="257">
        <v>-28503.713796719323</v>
      </c>
      <c r="IP68" s="250">
        <v>-522.95934396140183</v>
      </c>
      <c r="IQ68" s="250">
        <v>-1812.3507908649981</v>
      </c>
      <c r="IR68" s="258">
        <v>-3526.2606532293535</v>
      </c>
      <c r="IS68" s="257">
        <v>-249.3672140039576</v>
      </c>
      <c r="IT68" s="250">
        <v>34614.675329537611</v>
      </c>
      <c r="IU68" s="271"/>
      <c r="IV68" s="295"/>
      <c r="IX68" s="350">
        <v>0.18495157522155262</v>
      </c>
      <c r="IY68" s="351">
        <v>2.376773322918993E-2</v>
      </c>
      <c r="IZ68" s="351">
        <v>0.16118384199236269</v>
      </c>
      <c r="JA68" s="356">
        <v>4.7155689096528647E-2</v>
      </c>
      <c r="JB68" s="356">
        <v>4.7155689096528647E-2</v>
      </c>
      <c r="JE68" s="351">
        <v>0.11402815289583403</v>
      </c>
      <c r="JF68" s="356">
        <v>8.9216031921553182E-2</v>
      </c>
      <c r="JG68" s="356">
        <v>2.4812120974280844E-2</v>
      </c>
      <c r="JH68" s="346"/>
      <c r="JI68" s="361">
        <v>14897.939999999999</v>
      </c>
      <c r="JJ68" s="370">
        <v>11175.63</v>
      </c>
      <c r="JK68" s="370">
        <v>3722.31</v>
      </c>
      <c r="JL68" s="370">
        <v>39556.339999999997</v>
      </c>
      <c r="JM68" s="370">
        <v>54454.28</v>
      </c>
      <c r="JO68" s="361">
        <v>61330.35</v>
      </c>
      <c r="JP68" s="361">
        <v>7106.5599999999977</v>
      </c>
      <c r="JQ68" s="377">
        <v>54223.79</v>
      </c>
      <c r="JR68" s="363">
        <v>39325.850000000006</v>
      </c>
      <c r="JS68" s="366">
        <v>17996.939999999999</v>
      </c>
      <c r="JT68" s="366">
        <v>7626.39</v>
      </c>
      <c r="JU68" s="366">
        <v>2568.27</v>
      </c>
      <c r="JV68" s="366">
        <v>1769.95</v>
      </c>
      <c r="JW68" s="363">
        <v>14897.939999999999</v>
      </c>
      <c r="JX68" s="366">
        <v>3722.31</v>
      </c>
      <c r="JY68" s="366">
        <v>11175.63</v>
      </c>
      <c r="KA68" s="361">
        <v>54223.79</v>
      </c>
      <c r="KC68" s="361">
        <v>61560.829999999994</v>
      </c>
      <c r="KD68" s="361">
        <v>54223.79</v>
      </c>
      <c r="KE68" s="377">
        <v>54454.27</v>
      </c>
      <c r="KF68" s="361">
        <v>7106.5599999999995</v>
      </c>
      <c r="KG68" s="366">
        <v>1554.1</v>
      </c>
      <c r="KH68" s="366">
        <v>2134.86</v>
      </c>
      <c r="KI68" s="366">
        <v>898.4</v>
      </c>
      <c r="KL68" s="409">
        <v>2519.1999999999998</v>
      </c>
      <c r="KM68" s="388"/>
      <c r="KW68" s="409"/>
      <c r="LI68" s="416">
        <v>12436.2456</v>
      </c>
      <c r="LJ68" s="388">
        <v>6617.25</v>
      </c>
      <c r="LL68" s="374">
        <v>21707.784891317999</v>
      </c>
      <c r="LM68" s="374">
        <v>20182.150000000001</v>
      </c>
      <c r="LN68" s="443">
        <v>20267.934891318</v>
      </c>
      <c r="LO68" s="374">
        <v>1439.85</v>
      </c>
      <c r="LP68" s="408">
        <v>155</v>
      </c>
      <c r="LQ68" s="408">
        <v>350</v>
      </c>
      <c r="LR68" s="408">
        <v>30</v>
      </c>
      <c r="LU68" s="408">
        <v>904.85</v>
      </c>
      <c r="LV68" s="421"/>
      <c r="MF68" s="422"/>
      <c r="MG68" s="425"/>
      <c r="MH68" s="398">
        <v>443.6</v>
      </c>
      <c r="MS68" s="361">
        <v>39581.015108681997</v>
      </c>
      <c r="MT68" s="361">
        <v>23255.11</v>
      </c>
      <c r="MU68" s="377">
        <v>34186.335108681997</v>
      </c>
      <c r="MV68" s="361">
        <v>5394.68</v>
      </c>
      <c r="MW68" s="366">
        <v>1353.45</v>
      </c>
      <c r="MX68" s="366">
        <v>1761.98</v>
      </c>
      <c r="MY68" s="366">
        <v>866.68</v>
      </c>
      <c r="NB68" s="366">
        <v>1412.57</v>
      </c>
      <c r="NC68" s="421"/>
      <c r="NM68" s="422"/>
      <c r="NZ68" s="361">
        <v>5988.8679999999995</v>
      </c>
      <c r="OA68" s="361">
        <v>1369.6122464930902</v>
      </c>
      <c r="OB68" s="361">
        <v>1025.98</v>
      </c>
      <c r="OC68" s="361">
        <v>1485.2815000000001</v>
      </c>
    </row>
    <row r="69" spans="1:393">
      <c r="A69" s="240">
        <v>2009</v>
      </c>
      <c r="B69" s="269">
        <v>133450</v>
      </c>
      <c r="C69" s="250">
        <v>64512</v>
      </c>
      <c r="D69" s="250">
        <v>68938</v>
      </c>
      <c r="E69" s="234">
        <v>75828</v>
      </c>
      <c r="F69" s="274">
        <v>4</v>
      </c>
      <c r="G69" s="431">
        <v>0.2403745624410937</v>
      </c>
      <c r="H69" s="431">
        <v>0.75962543755890632</v>
      </c>
      <c r="I69" s="234">
        <v>101372.01464223606</v>
      </c>
      <c r="K69" s="234">
        <v>10130</v>
      </c>
      <c r="L69" s="234">
        <v>1860</v>
      </c>
      <c r="M69" s="234">
        <v>5720</v>
      </c>
      <c r="N69" s="234">
        <v>5276</v>
      </c>
      <c r="O69" s="234">
        <v>3427</v>
      </c>
      <c r="P69" s="234">
        <v>3826</v>
      </c>
      <c r="R69" s="295"/>
      <c r="S69" s="432"/>
      <c r="T69" s="239">
        <v>1.1936048010173093</v>
      </c>
      <c r="U69" s="240"/>
      <c r="V69" s="295"/>
      <c r="X69" s="294">
        <v>6.8310000000000004</v>
      </c>
      <c r="Y69" s="294">
        <v>3.1317591409999999</v>
      </c>
      <c r="AA69" s="295"/>
      <c r="AC69" s="234">
        <v>243939.12</v>
      </c>
      <c r="AD69" s="234">
        <v>151258.65</v>
      </c>
      <c r="AE69" s="234">
        <v>26767.05</v>
      </c>
      <c r="AF69" s="234">
        <v>6124.69</v>
      </c>
      <c r="AG69" s="239">
        <v>2.5107453039922418E-2</v>
      </c>
      <c r="AH69" s="239">
        <v>0.98789870278615655</v>
      </c>
      <c r="AJ69" s="234">
        <v>17927.240000000002</v>
      </c>
      <c r="AK69" s="234">
        <v>9745.06</v>
      </c>
      <c r="AL69" s="242">
        <v>57949.98</v>
      </c>
      <c r="AM69" s="314">
        <v>14524.1</v>
      </c>
      <c r="AN69" s="314">
        <v>5064.0200000000004</v>
      </c>
      <c r="AO69" s="314">
        <v>50990.71</v>
      </c>
      <c r="AP69" s="241">
        <v>4252.33</v>
      </c>
      <c r="AQ69" s="234">
        <v>44.4</v>
      </c>
      <c r="AR69" s="234">
        <v>10970.67</v>
      </c>
      <c r="AT69" s="234">
        <v>38247</v>
      </c>
      <c r="AV69" s="295"/>
      <c r="AX69" s="234">
        <v>340319.95200498332</v>
      </c>
      <c r="AY69" s="234">
        <v>340902.81258114678</v>
      </c>
      <c r="AZ69" s="234">
        <v>357747.98058576154</v>
      </c>
      <c r="BA69" s="234">
        <v>358330.841161925</v>
      </c>
      <c r="BB69" s="234">
        <v>-582.86057616345352</v>
      </c>
      <c r="BC69" s="234" t="s">
        <v>534</v>
      </c>
      <c r="BF69" s="234">
        <v>308298.86826132517</v>
      </c>
      <c r="BG69" s="234">
        <v>367987.00930492068</v>
      </c>
      <c r="BH69" s="234">
        <v>36300.6506878281</v>
      </c>
      <c r="BJ69" s="236">
        <v>340902.8</v>
      </c>
      <c r="BK69" s="236">
        <v>358330.82858077821</v>
      </c>
      <c r="BL69" s="234">
        <v>35226</v>
      </c>
      <c r="BM69" s="234">
        <v>157638.79999999999</v>
      </c>
      <c r="BN69" s="250">
        <v>135239.9</v>
      </c>
      <c r="BO69" s="250">
        <v>22398.799999999999</v>
      </c>
      <c r="BP69" s="234">
        <v>148038</v>
      </c>
      <c r="BQ69" s="234">
        <v>165466.02858077822</v>
      </c>
      <c r="BR69" s="250">
        <v>16727.099999999999</v>
      </c>
      <c r="BS69" s="250">
        <v>28984.5</v>
      </c>
      <c r="BT69" s="250">
        <v>7118.2</v>
      </c>
      <c r="BU69" s="250">
        <v>17767.5</v>
      </c>
      <c r="BV69" s="250">
        <v>18654.900000000001</v>
      </c>
      <c r="BW69" s="250">
        <v>36082.928580778214</v>
      </c>
      <c r="BX69" s="250">
        <v>58785.9</v>
      </c>
      <c r="BZ69" s="234">
        <v>365303.69</v>
      </c>
      <c r="CA69" s="234">
        <v>170299.71000000002</v>
      </c>
      <c r="CB69" s="234">
        <v>49369.639999999992</v>
      </c>
      <c r="CC69" s="234">
        <v>55531.109999999986</v>
      </c>
      <c r="CD69" s="234">
        <v>90103.239999999991</v>
      </c>
      <c r="CF69" s="234">
        <v>348775.06669634266</v>
      </c>
      <c r="CG69" s="234">
        <v>366203.09527712094</v>
      </c>
      <c r="CH69" s="234">
        <v>7872.2541151959449</v>
      </c>
      <c r="CI69" s="234">
        <v>123584.62088159178</v>
      </c>
      <c r="CJ69" s="234">
        <v>140518.46905400575</v>
      </c>
      <c r="CK69" s="234">
        <v>45690.177977498075</v>
      </c>
      <c r="CL69" s="234">
        <v>46184.358385862302</v>
      </c>
      <c r="CM69" s="234">
        <v>164463.22379397115</v>
      </c>
      <c r="CN69" s="250">
        <v>156679.79284579115</v>
      </c>
      <c r="CO69" s="250">
        <v>7783.4309481800146</v>
      </c>
      <c r="CP69" s="234">
        <v>15037.044043281727</v>
      </c>
      <c r="CQ69" s="271"/>
      <c r="CR69" s="295"/>
      <c r="CT69" s="234" t="s">
        <v>534</v>
      </c>
      <c r="CV69" s="308">
        <v>0.13799848253109462</v>
      </c>
      <c r="CX69" s="234">
        <v>49449.112324436348</v>
      </c>
      <c r="CY69" s="234">
        <v>59022.697876491424</v>
      </c>
      <c r="CZ69" s="234">
        <v>49369.639999999992</v>
      </c>
      <c r="DA69" s="307">
        <v>514780105105.94427</v>
      </c>
      <c r="DB69" s="234">
        <v>35164.628979787056</v>
      </c>
      <c r="DD69" s="234">
        <v>16735.437666577123</v>
      </c>
      <c r="DE69" s="262">
        <v>15891.002388147142</v>
      </c>
      <c r="DF69" s="252">
        <v>3073.1666196638471</v>
      </c>
      <c r="DG69" s="252">
        <v>12817.835768483295</v>
      </c>
      <c r="DH69" s="234">
        <v>2281.3533891727475</v>
      </c>
      <c r="DI69" s="250">
        <v>1751.5602599539152</v>
      </c>
      <c r="DJ69" s="258">
        <v>529.79312921883218</v>
      </c>
      <c r="DK69" s="241">
        <v>432.41253039633352</v>
      </c>
      <c r="DL69" s="252">
        <v>432.41253039633352</v>
      </c>
      <c r="DM69" s="258">
        <v>0</v>
      </c>
      <c r="DN69" s="234">
        <v>40417.929568775202</v>
      </c>
      <c r="DO69" s="252">
        <v>412.02274803364838</v>
      </c>
      <c r="DP69" s="250">
        <v>40005.906820741555</v>
      </c>
      <c r="DQ69" s="257">
        <v>59022.697876491424</v>
      </c>
      <c r="DS69" s="295"/>
      <c r="DT69" s="295"/>
      <c r="DU69">
        <f t="shared" si="0"/>
        <v>0.7</v>
      </c>
      <c r="DV69">
        <f t="shared" si="1"/>
        <v>0.95</v>
      </c>
      <c r="DW69" s="318">
        <v>20802.178586283757</v>
      </c>
      <c r="DX69" s="234">
        <v>44405.046945690796</v>
      </c>
      <c r="DY69" s="234">
        <v>20739.5</v>
      </c>
      <c r="DZ69" s="234">
        <v>8863.7643825513442</v>
      </c>
      <c r="EA69" s="234">
        <v>35541.282563139452</v>
      </c>
      <c r="EB69" s="234">
        <v>15891.002388147142</v>
      </c>
      <c r="EC69" s="234">
        <v>0</v>
      </c>
      <c r="ED69" s="234">
        <v>0</v>
      </c>
      <c r="EE69" s="234">
        <v>19650.280174992313</v>
      </c>
      <c r="EF69" s="241">
        <v>37841.330448572167</v>
      </c>
      <c r="EG69" s="234">
        <v>1751.5602599539152</v>
      </c>
      <c r="EH69" s="234">
        <v>0</v>
      </c>
      <c r="EI69" s="234">
        <v>36089.770188618255</v>
      </c>
      <c r="EJ69" s="234">
        <v>0</v>
      </c>
      <c r="EK69" s="234">
        <v>25262.839132032776</v>
      </c>
      <c r="EL69" s="242">
        <v>10826.931056585476</v>
      </c>
      <c r="EM69" s="234">
        <v>56689.718352113392</v>
      </c>
      <c r="EN69" s="234">
        <v>529.79312921883218</v>
      </c>
      <c r="EO69" s="234">
        <v>35749.220656194106</v>
      </c>
      <c r="EP69" s="236">
        <v>52668.489950364135</v>
      </c>
      <c r="EQ69" s="234">
        <v>719.40948566915267</v>
      </c>
      <c r="ER69" s="234">
        <v>2772.0257868612707</v>
      </c>
      <c r="ES69" s="241">
        <v>9386.4962191521099</v>
      </c>
      <c r="ET69" s="250">
        <v>6683.3274902401999</v>
      </c>
      <c r="EU69" s="250">
        <v>946.13471762239044</v>
      </c>
      <c r="EV69" s="250">
        <v>-31.749887707060427</v>
      </c>
      <c r="EW69" s="250">
        <v>1788.7719629485703</v>
      </c>
      <c r="EX69" s="241">
        <v>7842.5564729882099</v>
      </c>
      <c r="EY69" s="433"/>
      <c r="EZ69" s="234">
        <v>257378.21839485559</v>
      </c>
      <c r="FA69" s="234">
        <v>562.04230329920836</v>
      </c>
      <c r="FB69" s="234">
        <v>40417.929568775202</v>
      </c>
      <c r="FC69" s="234">
        <v>49116.682393238145</v>
      </c>
      <c r="FF69" s="234">
        <v>94598.143551190165</v>
      </c>
      <c r="FG69" s="234">
        <v>73245.462881652071</v>
      </c>
      <c r="FH69" s="250">
        <v>13198.177662816805</v>
      </c>
      <c r="FI69" s="250">
        <v>13770.427612568534</v>
      </c>
      <c r="FJ69" s="250">
        <v>66.80606071293856</v>
      </c>
      <c r="FK69" s="250">
        <v>46210.063481601828</v>
      </c>
      <c r="FL69" s="257">
        <v>-13198.177662816805</v>
      </c>
      <c r="FM69" s="250">
        <v>-4168.2470058725985</v>
      </c>
      <c r="FN69" s="250">
        <v>-4690.0671527813429</v>
      </c>
      <c r="FO69" s="250">
        <v>-2037.7340523447606</v>
      </c>
      <c r="FP69" s="250">
        <v>-2302.1175157700945</v>
      </c>
      <c r="FQ69" s="241">
        <v>18001.411354752647</v>
      </c>
      <c r="FR69" s="234">
        <v>32714.211309158891</v>
      </c>
      <c r="FS69" s="234">
        <v>9331.662554923736</v>
      </c>
      <c r="FT69" s="388">
        <v>-16831.116787529158</v>
      </c>
      <c r="FV69" s="234">
        <v>40254.859523894709</v>
      </c>
      <c r="FW69" s="234">
        <v>589.85610799223775</v>
      </c>
      <c r="FX69" s="234">
        <v>432.41253039633352</v>
      </c>
      <c r="FY69" s="234">
        <v>250.85992102980788</v>
      </c>
      <c r="FZ69" s="234">
        <v>32823.093591799123</v>
      </c>
      <c r="GA69" s="234">
        <v>6748.4934806694509</v>
      </c>
      <c r="GB69" s="241">
        <v>2532.3519458383225</v>
      </c>
      <c r="GC69" s="250">
        <v>-2515.1043564636234</v>
      </c>
      <c r="GD69" s="250">
        <v>2069.4839400518208</v>
      </c>
      <c r="GE69" s="250">
        <v>513.34555282152428</v>
      </c>
      <c r="GF69" s="250">
        <v>2464.6268094286015</v>
      </c>
      <c r="GG69" s="257">
        <v>2532.3519458383225</v>
      </c>
      <c r="GH69" s="250">
        <v>-2515.1043564636234</v>
      </c>
      <c r="GI69" s="250">
        <v>2464.6268094286015</v>
      </c>
      <c r="GJ69" s="250">
        <v>2069.4839400518208</v>
      </c>
      <c r="GK69" s="250">
        <v>513.34555282152428</v>
      </c>
      <c r="GL69" s="388">
        <v>8988.5603145409495</v>
      </c>
      <c r="GN69" s="236">
        <v>1279.3175617783616</v>
      </c>
      <c r="GO69" s="236">
        <v>-583.61306745741342</v>
      </c>
      <c r="GP69" s="254">
        <v>1279.3175617783616</v>
      </c>
      <c r="GQ69" s="236">
        <v>0</v>
      </c>
      <c r="GR69" s="236">
        <v>1279.3175617783616</v>
      </c>
      <c r="GT69" s="236">
        <v>427705.40928257536</v>
      </c>
      <c r="GU69" s="236">
        <v>59022.697876491424</v>
      </c>
      <c r="GV69" s="236">
        <v>50086.951799937102</v>
      </c>
      <c r="GW69" s="236">
        <v>205352.5662253862</v>
      </c>
      <c r="GX69" s="236">
        <v>113243.19338076058</v>
      </c>
      <c r="GY69" s="271"/>
      <c r="GZ69" s="295"/>
      <c r="HB69" s="234">
        <v>260771.66</v>
      </c>
      <c r="HC69" s="234">
        <v>36428.230000000003</v>
      </c>
      <c r="HD69" s="234">
        <v>43480.910220562779</v>
      </c>
      <c r="HE69" s="234">
        <v>26745.472553985655</v>
      </c>
      <c r="HG69" s="234">
        <v>156590.9</v>
      </c>
      <c r="HI69" s="234">
        <v>206741.53035711779</v>
      </c>
      <c r="HJ69" s="234">
        <v>140537.54664096859</v>
      </c>
      <c r="HK69" s="250">
        <v>137281.36723417853</v>
      </c>
      <c r="HL69" s="250">
        <v>3582.3199826200571</v>
      </c>
      <c r="HM69" s="250">
        <v>-326.14057582996929</v>
      </c>
      <c r="HN69" s="250"/>
      <c r="HO69" s="271">
        <v>83717.77</v>
      </c>
      <c r="HP69" s="271">
        <v>81753.576425142979</v>
      </c>
      <c r="HQ69" s="321">
        <v>14508.412378005929</v>
      </c>
      <c r="HR69" s="321">
        <v>67245.164047137048</v>
      </c>
      <c r="HS69" s="321">
        <v>0</v>
      </c>
      <c r="HU69" s="234">
        <v>16913.14</v>
      </c>
      <c r="HV69" s="234">
        <v>19755.192573881559</v>
      </c>
      <c r="HW69" s="250">
        <v>13942.945931375782</v>
      </c>
      <c r="HX69" s="250">
        <v>2440.9098820323875</v>
      </c>
      <c r="HY69" s="250">
        <v>3371.3248244253796</v>
      </c>
      <c r="IA69" s="234">
        <v>64171.08</v>
      </c>
      <c r="IB69" s="234">
        <v>8405.7000000000007</v>
      </c>
      <c r="IC69" s="234">
        <v>86627.99305037703</v>
      </c>
      <c r="ID69" s="234">
        <v>46210.063481601828</v>
      </c>
      <c r="IE69" s="310">
        <v>13853.188506857246</v>
      </c>
      <c r="IF69" s="310">
        <v>25175.589135086822</v>
      </c>
      <c r="IG69" s="326">
        <v>7181.2858396577622</v>
      </c>
      <c r="IH69" s="250">
        <v>108829.99698874878</v>
      </c>
      <c r="II69" s="250">
        <v>-58922.468106891611</v>
      </c>
      <c r="IJ69" s="250">
        <v>-3697.4654002553493</v>
      </c>
      <c r="IL69" s="234">
        <v>-12652.594481838652</v>
      </c>
      <c r="IM69" s="248">
        <v>7181.2858396577622</v>
      </c>
      <c r="IN69" s="248">
        <v>-19833.880321496414</v>
      </c>
      <c r="IO69" s="257">
        <v>-17948.366689425391</v>
      </c>
      <c r="IP69" s="250">
        <v>-583.61306745741342</v>
      </c>
      <c r="IQ69" s="250">
        <v>1279.3175617783616</v>
      </c>
      <c r="IR69" s="258">
        <v>-2581.218126391972</v>
      </c>
      <c r="IS69" s="257">
        <v>-326.14057582996958</v>
      </c>
      <c r="IT69" s="250">
        <v>20160.008961278374</v>
      </c>
      <c r="IU69" s="271"/>
      <c r="IV69" s="295"/>
      <c r="IX69" s="434">
        <v>0.18777143207757663</v>
      </c>
      <c r="IY69" s="435">
        <v>2.491576950304078E-2</v>
      </c>
      <c r="IZ69" s="435">
        <v>0.16285566257453585</v>
      </c>
      <c r="JA69" s="436">
        <v>4.4412574177457052E-2</v>
      </c>
      <c r="JB69" s="436">
        <v>4.4412574177457052E-2</v>
      </c>
      <c r="JC69" s="436"/>
      <c r="JD69" s="436"/>
      <c r="JE69" s="435">
        <v>0.1184430883970788</v>
      </c>
      <c r="JF69" s="436">
        <v>9.2495135117157165E-2</v>
      </c>
      <c r="JG69" s="436">
        <v>2.5947953279921644E-2</v>
      </c>
      <c r="JH69" s="346"/>
      <c r="JI69" s="361">
        <v>15486.18</v>
      </c>
      <c r="JJ69" s="437">
        <v>11536.84</v>
      </c>
      <c r="JK69" s="437">
        <v>3949.34</v>
      </c>
      <c r="JL69" s="437">
        <v>41962.76</v>
      </c>
      <c r="JM69" s="437">
        <v>57448.94</v>
      </c>
      <c r="JO69" s="361">
        <v>68518.3</v>
      </c>
      <c r="JP69" s="361">
        <v>8996.7100000000064</v>
      </c>
      <c r="JQ69" s="377">
        <v>59521.59</v>
      </c>
      <c r="JR69" s="363">
        <v>44035.399999999994</v>
      </c>
      <c r="JS69" s="366">
        <v>18481.22</v>
      </c>
      <c r="JT69" s="366">
        <v>9013.98</v>
      </c>
      <c r="JU69" s="366">
        <v>4761.22</v>
      </c>
      <c r="JV69" s="366">
        <v>1483.81</v>
      </c>
      <c r="JW69" s="363">
        <v>15486.19</v>
      </c>
      <c r="JX69" s="366">
        <v>3949.35</v>
      </c>
      <c r="JY69" s="366">
        <v>11536.84</v>
      </c>
      <c r="KA69" s="361">
        <v>59521.59</v>
      </c>
      <c r="KC69" s="361">
        <v>66445.649999999994</v>
      </c>
      <c r="KD69" s="361">
        <v>59521.59</v>
      </c>
      <c r="KE69" s="377">
        <v>57448.939999999988</v>
      </c>
      <c r="KF69" s="361">
        <v>8996.7099999999991</v>
      </c>
      <c r="KG69" s="366">
        <v>1636.99</v>
      </c>
      <c r="KH69" s="366">
        <v>2317.04</v>
      </c>
      <c r="KI69" s="366">
        <v>973.86</v>
      </c>
      <c r="KL69" s="409">
        <v>4068.82</v>
      </c>
      <c r="KM69" s="388">
        <v>18335.04</v>
      </c>
      <c r="KP69" s="438">
        <v>981.66</v>
      </c>
      <c r="KQ69" s="366">
        <v>14239.7</v>
      </c>
      <c r="KR69" s="438">
        <v>1025.23</v>
      </c>
      <c r="KW69" s="409"/>
      <c r="LI69" s="416">
        <v>14582.853999999999</v>
      </c>
      <c r="LJ69" s="388">
        <v>6414.65</v>
      </c>
      <c r="LL69" s="374">
        <v>34753.909626429668</v>
      </c>
      <c r="LM69" s="374">
        <v>33364.15</v>
      </c>
      <c r="LN69" s="443">
        <v>32202.349626429666</v>
      </c>
      <c r="LO69" s="374">
        <v>2551.56</v>
      </c>
      <c r="LP69" s="408">
        <v>223.71</v>
      </c>
      <c r="LQ69" s="408">
        <v>359.54</v>
      </c>
      <c r="LR69" s="408">
        <v>35.25</v>
      </c>
      <c r="LU69" s="408">
        <v>1933.06</v>
      </c>
      <c r="LV69" s="421">
        <v>2507.67</v>
      </c>
      <c r="MF69" s="422"/>
      <c r="MG69" s="439">
        <v>1301.1331126919815</v>
      </c>
      <c r="MH69" s="398">
        <v>988.7</v>
      </c>
      <c r="MS69" s="361">
        <v>31691.740373570319</v>
      </c>
      <c r="MT69" s="361">
        <v>26157.439999999999</v>
      </c>
      <c r="MU69" s="377">
        <v>25246.590373570321</v>
      </c>
      <c r="MV69" s="361">
        <v>6445.15</v>
      </c>
      <c r="MW69" s="366">
        <v>1413.28</v>
      </c>
      <c r="MX69" s="366">
        <v>1957.5</v>
      </c>
      <c r="MY69" s="366">
        <v>938.61</v>
      </c>
      <c r="NB69" s="366">
        <v>2135.7600000000002</v>
      </c>
      <c r="NC69" s="421">
        <v>15827.37</v>
      </c>
      <c r="NM69" s="422"/>
      <c r="NZ69" s="361">
        <v>6697.0465000000004</v>
      </c>
      <c r="OA69" s="361">
        <v>1611.56422803239</v>
      </c>
      <c r="OB69" s="361">
        <v>1590</v>
      </c>
      <c r="OC69" s="361">
        <v>1729.4494999999999</v>
      </c>
    </row>
    <row r="70" spans="1:393">
      <c r="A70" s="240">
        <v>2010</v>
      </c>
      <c r="B70" s="269">
        <v>134091</v>
      </c>
      <c r="C70" s="250">
        <v>66978</v>
      </c>
      <c r="D70" s="250">
        <v>67113</v>
      </c>
      <c r="E70" s="234">
        <v>76105</v>
      </c>
      <c r="F70" s="274">
        <v>4</v>
      </c>
      <c r="G70" s="275">
        <v>0.24100323794703388</v>
      </c>
      <c r="H70" s="275">
        <v>0.75899676205296607</v>
      </c>
      <c r="I70" s="234">
        <v>101774.63482044428</v>
      </c>
      <c r="K70" s="234">
        <v>10441</v>
      </c>
      <c r="L70" s="234">
        <v>1962</v>
      </c>
      <c r="M70" s="234">
        <v>5728</v>
      </c>
      <c r="N70" s="234">
        <v>5447</v>
      </c>
      <c r="O70" s="234">
        <v>3574</v>
      </c>
      <c r="P70" s="234">
        <v>3833</v>
      </c>
      <c r="R70" s="295"/>
      <c r="S70" s="334"/>
      <c r="T70" s="239">
        <v>1.1164422490429036</v>
      </c>
      <c r="U70" s="240"/>
      <c r="V70" s="295"/>
      <c r="X70" s="294">
        <v>6.7695000000000007</v>
      </c>
      <c r="Y70" s="294">
        <v>3.3086168979999999</v>
      </c>
      <c r="AA70" s="295"/>
      <c r="AC70" s="234">
        <v>265422.59000000003</v>
      </c>
      <c r="AD70" s="234">
        <v>193110.41</v>
      </c>
      <c r="AE70" s="234">
        <v>24228.35</v>
      </c>
      <c r="AF70" s="234">
        <v>11971.93</v>
      </c>
      <c r="AG70" s="239">
        <v>4.5105166067439847E-2</v>
      </c>
      <c r="AH70" s="239">
        <v>-2.8175866766534715E-2</v>
      </c>
      <c r="AJ70" s="234">
        <v>19778.3</v>
      </c>
      <c r="AK70" s="234">
        <v>10043.379999999999</v>
      </c>
      <c r="AL70" s="242">
        <v>67684.899999999994</v>
      </c>
      <c r="AM70" s="314">
        <v>14122.2</v>
      </c>
      <c r="AN70" s="314">
        <v>6445.29</v>
      </c>
      <c r="AO70" s="314">
        <v>58789.99</v>
      </c>
      <c r="AP70" s="241">
        <v>3628.53</v>
      </c>
      <c r="AQ70" s="234">
        <v>1.8</v>
      </c>
      <c r="AR70" s="234">
        <v>14597.4</v>
      </c>
      <c r="AT70" s="234">
        <v>44628.2</v>
      </c>
      <c r="AV70" s="295"/>
      <c r="AX70" s="234">
        <v>399759.5394478548</v>
      </c>
      <c r="AY70" s="234">
        <v>401512.79520725785</v>
      </c>
      <c r="AZ70" s="234">
        <v>418816.79767978919</v>
      </c>
      <c r="BA70" s="234">
        <v>420570.05343919224</v>
      </c>
      <c r="BB70" s="234">
        <v>-1753.2557594030513</v>
      </c>
      <c r="BC70" s="234">
        <v>403648.97532099998</v>
      </c>
      <c r="BF70" s="234">
        <v>361207.08649882174</v>
      </c>
      <c r="BG70" s="234">
        <v>403266.85202097916</v>
      </c>
      <c r="BH70" s="234">
        <v>39623.512551279797</v>
      </c>
      <c r="BJ70" s="236">
        <v>401512.80000000005</v>
      </c>
      <c r="BK70" s="236">
        <v>420570.05823193444</v>
      </c>
      <c r="BL70" s="234">
        <v>40533.599999999999</v>
      </c>
      <c r="BM70" s="234">
        <v>187383.2</v>
      </c>
      <c r="BN70" s="250">
        <v>160722.20000000001</v>
      </c>
      <c r="BO70" s="250">
        <v>26661</v>
      </c>
      <c r="BP70" s="234">
        <v>173596</v>
      </c>
      <c r="BQ70" s="234">
        <v>192653.25823193442</v>
      </c>
      <c r="BR70" s="250">
        <v>19132.2</v>
      </c>
      <c r="BS70" s="250">
        <v>35746.1</v>
      </c>
      <c r="BT70" s="250">
        <v>8068.5</v>
      </c>
      <c r="BU70" s="250">
        <v>20980.6</v>
      </c>
      <c r="BV70" s="250">
        <v>22782</v>
      </c>
      <c r="BW70" s="250">
        <v>41839.258231934407</v>
      </c>
      <c r="BX70" s="250">
        <v>66886.600000000006</v>
      </c>
      <c r="BZ70" s="234">
        <v>437041.99</v>
      </c>
      <c r="CA70" s="234">
        <v>196714.07</v>
      </c>
      <c r="CB70" s="234">
        <v>56227.58</v>
      </c>
      <c r="CC70" s="234">
        <v>66608.73</v>
      </c>
      <c r="CD70" s="234">
        <v>117456.61</v>
      </c>
      <c r="CF70" s="234">
        <v>402816.4672059468</v>
      </c>
      <c r="CG70" s="234">
        <v>421873.72543788119</v>
      </c>
      <c r="CH70" s="234">
        <v>1303.6719986889511</v>
      </c>
      <c r="CI70" s="234">
        <v>140758.64687988264</v>
      </c>
      <c r="CJ70" s="234">
        <v>159295.58628360444</v>
      </c>
      <c r="CK70" s="234">
        <v>53356.308187478549</v>
      </c>
      <c r="CL70" s="234">
        <v>53876.627015691149</v>
      </c>
      <c r="CM70" s="234">
        <v>193603.91114298758</v>
      </c>
      <c r="CN70" s="250">
        <v>183615.16222999996</v>
      </c>
      <c r="CO70" s="250">
        <v>9988.7489129876139</v>
      </c>
      <c r="CP70" s="234">
        <v>15097.600995597997</v>
      </c>
      <c r="CQ70" s="271"/>
      <c r="CR70" s="295"/>
      <c r="CT70" s="234">
        <v>55291.860884000002</v>
      </c>
      <c r="CU70" s="239">
        <v>0.13698006006339891</v>
      </c>
      <c r="CV70" s="239">
        <v>0.13698006006339891</v>
      </c>
      <c r="CX70" s="234">
        <v>57609.711180967446</v>
      </c>
      <c r="CY70" s="234">
        <v>64317.915517591406</v>
      </c>
      <c r="CZ70" s="234">
        <v>56227.58</v>
      </c>
      <c r="DD70" s="234">
        <v>21910.147343259767</v>
      </c>
      <c r="DE70" s="262">
        <v>20786.224793946374</v>
      </c>
      <c r="DF70" s="252">
        <v>3095.2831710252963</v>
      </c>
      <c r="DG70" s="252">
        <v>17690.941622921076</v>
      </c>
      <c r="DH70" s="234">
        <v>2879.6041446142858</v>
      </c>
      <c r="DI70" s="250">
        <v>2231.6824673853903</v>
      </c>
      <c r="DJ70" s="258">
        <v>647.92167722889553</v>
      </c>
      <c r="DK70" s="241">
        <v>567.49807481104722</v>
      </c>
      <c r="DL70" s="252">
        <v>567.49807481104722</v>
      </c>
      <c r="DM70" s="258">
        <v>0</v>
      </c>
      <c r="DN70" s="234">
        <v>40084.588504219704</v>
      </c>
      <c r="DO70" s="252">
        <v>556.4244745023467</v>
      </c>
      <c r="DP70" s="250">
        <v>39528.164029717358</v>
      </c>
      <c r="DQ70" s="257">
        <v>64317.915517591406</v>
      </c>
      <c r="DS70" s="295"/>
      <c r="DT70" s="295"/>
      <c r="DU70">
        <f t="shared" si="0"/>
        <v>0.7</v>
      </c>
      <c r="DV70">
        <f t="shared" si="1"/>
        <v>0.95</v>
      </c>
      <c r="DW70" s="318">
        <v>21276.328241052241</v>
      </c>
      <c r="DX70" s="234">
        <v>47155.253405368989</v>
      </c>
      <c r="DY70" s="234">
        <v>24210.3</v>
      </c>
      <c r="DZ70" s="234">
        <v>6243.1769880570318</v>
      </c>
      <c r="EA70" s="234">
        <v>40912.076417311953</v>
      </c>
      <c r="EB70" s="234">
        <v>20786.224793946374</v>
      </c>
      <c r="EC70" s="234">
        <v>0</v>
      </c>
      <c r="ED70" s="234">
        <v>0</v>
      </c>
      <c r="EE70" s="234">
        <v>20125.851623365579</v>
      </c>
      <c r="EF70" s="241">
        <v>40728.08119122489</v>
      </c>
      <c r="EG70" s="234">
        <v>2231.6824673853903</v>
      </c>
      <c r="EH70" s="234">
        <v>0</v>
      </c>
      <c r="EI70" s="234">
        <v>38496.398723839498</v>
      </c>
      <c r="EJ70" s="234">
        <v>0</v>
      </c>
      <c r="EK70" s="234">
        <v>26947.479106687646</v>
      </c>
      <c r="EL70" s="242">
        <v>11548.919617151849</v>
      </c>
      <c r="EM70" s="234">
        <v>63829.044905240196</v>
      </c>
      <c r="EN70" s="234">
        <v>647.92167722889553</v>
      </c>
      <c r="EO70" s="234">
        <v>38014.471552052251</v>
      </c>
      <c r="EP70" s="236">
        <v>58945.304291541062</v>
      </c>
      <c r="EQ70" s="234">
        <v>1133.4345000733365</v>
      </c>
      <c r="ER70" s="234">
        <v>3102.3844363968983</v>
      </c>
      <c r="ES70" s="241">
        <v>9233.9710331864608</v>
      </c>
      <c r="ET70" s="250">
        <v>6237.3395569528939</v>
      </c>
      <c r="EU70" s="250">
        <v>1189.3682567503859</v>
      </c>
      <c r="EV70" s="250">
        <v>-29.697363824541238</v>
      </c>
      <c r="EW70" s="250">
        <v>1836.9605833077221</v>
      </c>
      <c r="EX70" s="241">
        <v>11041.055621909794</v>
      </c>
      <c r="EY70" s="266"/>
      <c r="EZ70" s="234">
        <v>283126.33339670167</v>
      </c>
      <c r="FA70" s="234">
        <v>569.57069489762387</v>
      </c>
      <c r="FB70" s="234">
        <v>40084.588504219704</v>
      </c>
      <c r="FC70" s="234">
        <v>57385.767972887195</v>
      </c>
      <c r="FF70" s="234">
        <v>101863.37115253614</v>
      </c>
      <c r="FG70" s="234">
        <v>83792.605767058601</v>
      </c>
      <c r="FH70" s="250">
        <v>14501.233919945977</v>
      </c>
      <c r="FI70" s="250">
        <v>14339.070683272492</v>
      </c>
      <c r="FJ70" s="250">
        <v>-168.53812191551651</v>
      </c>
      <c r="FK70" s="250">
        <v>55120.828121333208</v>
      </c>
      <c r="FL70" s="257">
        <v>-14501.233919945977</v>
      </c>
      <c r="FM70" s="250">
        <v>4198.4034063708204</v>
      </c>
      <c r="FN70" s="250">
        <v>-13438.224596942266</v>
      </c>
      <c r="FO70" s="250">
        <v>-2681.7835975809776</v>
      </c>
      <c r="FP70" s="250">
        <v>-2579.629131793552</v>
      </c>
      <c r="FQ70" s="241">
        <v>20787.546735814089</v>
      </c>
      <c r="FR70" s="234">
        <v>38000.061306982279</v>
      </c>
      <c r="FS70" s="234">
        <v>10503.763804316246</v>
      </c>
      <c r="FT70" s="388">
        <v>-24214.549432759006</v>
      </c>
      <c r="FV70" s="234">
        <v>40946.645782087056</v>
      </c>
      <c r="FW70" s="234">
        <v>580.90592278903932</v>
      </c>
      <c r="FX70" s="234">
        <v>567.49807481104722</v>
      </c>
      <c r="FY70" s="234">
        <v>286.70236955421763</v>
      </c>
      <c r="FZ70" s="234">
        <v>34369.484841603451</v>
      </c>
      <c r="GA70" s="234">
        <v>5722.9604961183431</v>
      </c>
      <c r="GB70" s="241">
        <v>2389.2757283317369</v>
      </c>
      <c r="GC70" s="250">
        <v>-2701.3548302066997</v>
      </c>
      <c r="GD70" s="250">
        <v>2711.4809614055189</v>
      </c>
      <c r="GE70" s="250">
        <v>742.66854848582989</v>
      </c>
      <c r="GF70" s="250">
        <v>1636.4922130695784</v>
      </c>
      <c r="GG70" s="257">
        <v>2389.2757283317369</v>
      </c>
      <c r="GH70" s="250">
        <v>-2701.3548302066997</v>
      </c>
      <c r="GI70" s="250">
        <v>1636.4922130695784</v>
      </c>
      <c r="GJ70" s="250">
        <v>2711.4809614055189</v>
      </c>
      <c r="GK70" s="250">
        <v>742.66854848582989</v>
      </c>
      <c r="GL70" s="388">
        <v>13173.493810849213</v>
      </c>
      <c r="GN70" s="236">
        <v>2877.9871584277776</v>
      </c>
      <c r="GO70" s="236">
        <v>-920.57362087081663</v>
      </c>
      <c r="GP70" s="254">
        <v>2877.9871584277776</v>
      </c>
      <c r="GQ70" s="236">
        <v>-7734.3769686945225</v>
      </c>
      <c r="GR70" s="236">
        <v>10612.3641271223</v>
      </c>
      <c r="GT70" s="236">
        <v>469542.18169256573</v>
      </c>
      <c r="GU70" s="236">
        <v>64317.915517591413</v>
      </c>
      <c r="GV70" s="236">
        <v>58805.904842514748</v>
      </c>
      <c r="GW70" s="236">
        <v>222125.63939236832</v>
      </c>
      <c r="GX70" s="236">
        <v>124292.72194009129</v>
      </c>
      <c r="GY70" s="271"/>
      <c r="GZ70" s="295"/>
      <c r="HB70" s="234">
        <v>303302.49</v>
      </c>
      <c r="HC70" s="234">
        <v>45027.01</v>
      </c>
      <c r="HD70" s="234">
        <v>50270.056312077315</v>
      </c>
      <c r="HE70" s="234">
        <v>28359.908968817548</v>
      </c>
      <c r="HG70" s="234">
        <v>192300.2</v>
      </c>
      <c r="HI70" s="234">
        <v>232665.12449003983</v>
      </c>
      <c r="HJ70" s="234">
        <v>159991.53432132051</v>
      </c>
      <c r="HK70" s="250">
        <v>151829.65802188599</v>
      </c>
      <c r="HL70" s="250">
        <v>8511.825122397031</v>
      </c>
      <c r="HM70" s="250">
        <v>-349.9488229624979</v>
      </c>
      <c r="HN70" s="250"/>
      <c r="HO70" s="271">
        <v>102363.14</v>
      </c>
      <c r="HP70" s="271">
        <v>90616.705302132934</v>
      </c>
      <c r="HQ70" s="321">
        <v>10635.418952781287</v>
      </c>
      <c r="HR70" s="321">
        <v>79981.286349351649</v>
      </c>
      <c r="HS70" s="321">
        <v>0</v>
      </c>
      <c r="HU70" s="234">
        <v>20759.849999999999</v>
      </c>
      <c r="HV70" s="234">
        <v>22609.675548982272</v>
      </c>
      <c r="HW70" s="250">
        <v>11825.580275112196</v>
      </c>
      <c r="HX70" s="250">
        <v>6784.1394772666363</v>
      </c>
      <c r="HY70" s="250">
        <v>3999.955796603444</v>
      </c>
      <c r="IA70" s="234">
        <v>72069.17</v>
      </c>
      <c r="IB70" s="234">
        <v>13206.55</v>
      </c>
      <c r="IC70" s="234">
        <v>95205.416625552913</v>
      </c>
      <c r="ID70" s="234">
        <v>55120.828121333208</v>
      </c>
      <c r="IE70" s="310">
        <v>16536.355972532765</v>
      </c>
      <c r="IF70" s="310">
        <v>30228.797497672535</v>
      </c>
      <c r="IG70" s="326">
        <v>8355.6746511279071</v>
      </c>
      <c r="IH70" s="250">
        <v>129368.65879399249</v>
      </c>
      <c r="II70" s="250">
        <v>-69897.914888670872</v>
      </c>
      <c r="IJ70" s="250">
        <v>-4349.9046195659421</v>
      </c>
      <c r="IL70" s="234">
        <v>-9617.3820595117668</v>
      </c>
      <c r="IM70" s="248">
        <v>8355.6746511279071</v>
      </c>
      <c r="IN70" s="248">
        <v>-17973.056710639674</v>
      </c>
      <c r="IO70" s="257">
        <v>-16855.598499150143</v>
      </c>
      <c r="IP70" s="250">
        <v>-920.57362087081663</v>
      </c>
      <c r="IQ70" s="250">
        <v>2877.9871584277776</v>
      </c>
      <c r="IR70" s="258">
        <v>-3074.8717490464937</v>
      </c>
      <c r="IS70" s="257">
        <v>-349.94882296249818</v>
      </c>
      <c r="IT70" s="250">
        <v>18323.016698024665</v>
      </c>
      <c r="IU70" s="271"/>
      <c r="IV70" s="295"/>
      <c r="IX70" s="350">
        <v>0.19949530369287255</v>
      </c>
      <c r="IY70" s="351">
        <v>3.0634296261449062E-2</v>
      </c>
      <c r="IZ70" s="351">
        <v>0.16886100743142349</v>
      </c>
      <c r="JA70" s="356">
        <v>4.3890952828397049E-2</v>
      </c>
      <c r="JB70" s="356">
        <v>4.3890952828397049E-2</v>
      </c>
      <c r="JE70" s="351">
        <v>0.12497005460302645</v>
      </c>
      <c r="JF70" s="356">
        <v>9.513016472761171E-2</v>
      </c>
      <c r="JG70" s="356">
        <v>2.9839889875414735E-2</v>
      </c>
      <c r="JH70" s="346"/>
      <c r="JI70" s="361">
        <v>17680.809999999998</v>
      </c>
      <c r="JJ70" s="370">
        <v>12843.539999999999</v>
      </c>
      <c r="JK70" s="370">
        <v>4837.2700000000004</v>
      </c>
      <c r="JL70" s="370">
        <v>52672.59</v>
      </c>
      <c r="JM70" s="370">
        <v>70353.399999999994</v>
      </c>
      <c r="JO70" s="361">
        <v>83101.509999999995</v>
      </c>
      <c r="JP70" s="361">
        <v>9890.7200000000012</v>
      </c>
      <c r="JQ70" s="377">
        <v>73210.789999999994</v>
      </c>
      <c r="JR70" s="363">
        <v>55529.979999999996</v>
      </c>
      <c r="JS70" s="366">
        <v>21093.48</v>
      </c>
      <c r="JT70" s="366">
        <v>11157.91</v>
      </c>
      <c r="JU70" s="366">
        <v>6071.55</v>
      </c>
      <c r="JV70" s="366">
        <v>2027.83</v>
      </c>
      <c r="JW70" s="363">
        <v>17680.810000000001</v>
      </c>
      <c r="JX70" s="366">
        <v>4837.2700000000004</v>
      </c>
      <c r="JY70" s="366">
        <v>12843.54</v>
      </c>
      <c r="KA70" s="361">
        <v>73210.789999999994</v>
      </c>
      <c r="KC70" s="361">
        <v>80244.12000000001</v>
      </c>
      <c r="KD70" s="361">
        <v>73210.789999999994</v>
      </c>
      <c r="KE70" s="377">
        <v>70353.400000000009</v>
      </c>
      <c r="KF70" s="361">
        <v>9890.7200000000012</v>
      </c>
      <c r="KG70" s="366">
        <v>2040.74</v>
      </c>
      <c r="KH70" s="366">
        <v>2996.39</v>
      </c>
      <c r="KI70" s="366">
        <v>1074.6400000000001</v>
      </c>
      <c r="KL70" s="409">
        <v>3778.95</v>
      </c>
      <c r="KM70" s="388">
        <v>36785.019999999997</v>
      </c>
      <c r="KN70" s="366">
        <v>616.91999999999996</v>
      </c>
      <c r="KO70" s="366">
        <v>242.82</v>
      </c>
      <c r="KP70" s="366">
        <v>981.66</v>
      </c>
      <c r="KQ70" s="366">
        <v>28197.7</v>
      </c>
      <c r="KR70" s="366">
        <v>1025.23</v>
      </c>
      <c r="KS70" s="366">
        <v>744.03</v>
      </c>
      <c r="KT70" s="366">
        <v>491.24</v>
      </c>
      <c r="KU70" s="366">
        <v>611.01</v>
      </c>
      <c r="KV70" s="366">
        <v>915.36</v>
      </c>
      <c r="KW70" s="409">
        <v>2959.0499999999956</v>
      </c>
      <c r="KX70" s="399">
        <v>860.95773375365729</v>
      </c>
      <c r="KY70" s="399">
        <v>515.34184381048556</v>
      </c>
      <c r="LF70" s="399">
        <v>103.07416677958869</v>
      </c>
      <c r="LG70" s="399">
        <v>127.07469428827356</v>
      </c>
      <c r="LH70" s="399">
        <v>126.46702887530952</v>
      </c>
      <c r="LI70" s="416">
        <v>17070.662799999998</v>
      </c>
      <c r="LJ70" s="388">
        <v>5794.42</v>
      </c>
      <c r="LL70" s="374">
        <v>40907.407034732183</v>
      </c>
      <c r="LM70" s="374">
        <v>40509.300000000003</v>
      </c>
      <c r="LN70" s="443">
        <v>38928.237034732185</v>
      </c>
      <c r="LO70" s="374">
        <v>1979.1699999999998</v>
      </c>
      <c r="LP70" s="408">
        <v>298.02999999999997</v>
      </c>
      <c r="LQ70" s="408">
        <v>396.02</v>
      </c>
      <c r="LR70" s="408">
        <v>31.79</v>
      </c>
      <c r="LU70" s="408">
        <v>1253.33</v>
      </c>
      <c r="LV70" s="421">
        <v>3175.75</v>
      </c>
      <c r="LW70" s="408">
        <v>616.91999999999996</v>
      </c>
      <c r="LX70" s="408">
        <v>0</v>
      </c>
      <c r="LY70" s="408">
        <v>288.20999999999998</v>
      </c>
      <c r="LZ70" s="408">
        <v>0</v>
      </c>
      <c r="MA70" s="408">
        <v>0</v>
      </c>
      <c r="MB70" s="408">
        <v>744.03</v>
      </c>
      <c r="MC70" s="408">
        <v>247.73</v>
      </c>
      <c r="MD70" s="408">
        <v>0</v>
      </c>
      <c r="ME70" s="408">
        <v>0</v>
      </c>
      <c r="MF70" s="422">
        <v>1278.8600000000001</v>
      </c>
      <c r="MG70" s="425">
        <v>558.66999999999996</v>
      </c>
      <c r="MH70" s="398">
        <v>424.52</v>
      </c>
      <c r="MI70" s="426">
        <v>117.22</v>
      </c>
      <c r="MJ70" s="426">
        <v>123.36</v>
      </c>
      <c r="MK70" s="426">
        <v>82.72</v>
      </c>
      <c r="ML70" s="426">
        <v>5.03</v>
      </c>
      <c r="MM70" s="426">
        <v>26.07</v>
      </c>
      <c r="MN70" s="426">
        <v>70.120000000000061</v>
      </c>
      <c r="MO70" s="398">
        <v>0.99</v>
      </c>
      <c r="MP70" s="398">
        <v>127.1</v>
      </c>
      <c r="MQ70" s="398">
        <v>6.0599999999999739</v>
      </c>
      <c r="MS70" s="361">
        <v>39336.712965267827</v>
      </c>
      <c r="MT70" s="361">
        <v>32701.49</v>
      </c>
      <c r="MU70" s="377">
        <v>31425.162965267824</v>
      </c>
      <c r="MV70" s="361">
        <v>7911.55</v>
      </c>
      <c r="MW70" s="366">
        <v>1742.71</v>
      </c>
      <c r="MX70" s="366">
        <v>2600.37</v>
      </c>
      <c r="MY70" s="366">
        <v>1042.8499999999999</v>
      </c>
      <c r="NB70" s="366">
        <v>2525.62</v>
      </c>
      <c r="NC70" s="421">
        <v>33609.269999999997</v>
      </c>
      <c r="ND70" s="408">
        <v>0</v>
      </c>
      <c r="NE70" s="408">
        <v>242.82</v>
      </c>
      <c r="NF70" s="408">
        <v>693.45</v>
      </c>
      <c r="NG70" s="408">
        <v>28197.7</v>
      </c>
      <c r="NH70" s="408">
        <v>1025.23</v>
      </c>
      <c r="NI70" s="408">
        <v>0</v>
      </c>
      <c r="NJ70" s="408">
        <v>243.51</v>
      </c>
      <c r="NK70" s="408">
        <v>611.01</v>
      </c>
      <c r="NL70" s="408">
        <v>915.36</v>
      </c>
      <c r="NM70" s="422">
        <v>1680.1899999999987</v>
      </c>
      <c r="NN70" s="400">
        <v>302.28773375365734</v>
      </c>
      <c r="NO70" s="400">
        <v>90.821843810485575</v>
      </c>
      <c r="NP70" s="429"/>
      <c r="NQ70" s="429"/>
      <c r="NR70" s="429"/>
      <c r="NS70" s="429"/>
      <c r="NT70" s="429"/>
      <c r="NU70" s="429"/>
      <c r="NV70" s="400">
        <v>102.0841667795887</v>
      </c>
      <c r="NW70" s="400">
        <v>-2.5305711726431923E-2</v>
      </c>
      <c r="NX70" s="400">
        <v>120.40702887530955</v>
      </c>
      <c r="NZ70" s="361">
        <v>8134.7510000000002</v>
      </c>
      <c r="OA70" s="361">
        <v>1927.6128809371519</v>
      </c>
      <c r="OB70" s="361">
        <v>2910.9940000000001</v>
      </c>
      <c r="OC70" s="361">
        <v>2568.0104999999999</v>
      </c>
    </row>
    <row r="71" spans="1:393">
      <c r="A71" s="240">
        <v>2011</v>
      </c>
      <c r="B71" s="269">
        <v>134735</v>
      </c>
      <c r="C71" s="250">
        <v>69079</v>
      </c>
      <c r="D71" s="250">
        <v>65656</v>
      </c>
      <c r="E71" s="234">
        <v>76420</v>
      </c>
      <c r="F71" s="274">
        <v>3.9</v>
      </c>
      <c r="G71" s="275">
        <v>0.23487241193528866</v>
      </c>
      <c r="H71" s="275">
        <v>0.76512758806471137</v>
      </c>
      <c r="I71" s="234">
        <v>103089.46557789888</v>
      </c>
      <c r="K71" s="234">
        <v>10505</v>
      </c>
      <c r="L71" s="234">
        <v>2019</v>
      </c>
      <c r="M71" s="234">
        <v>5758</v>
      </c>
      <c r="N71" s="234">
        <v>5463</v>
      </c>
      <c r="O71" s="234">
        <v>3593</v>
      </c>
      <c r="P71" s="234">
        <v>3834</v>
      </c>
      <c r="R71" s="295"/>
      <c r="S71" s="334"/>
      <c r="T71" s="239">
        <v>1.0330526122566281</v>
      </c>
      <c r="U71" s="240"/>
      <c r="V71" s="295"/>
      <c r="X71" s="294">
        <v>6.4588000000000001</v>
      </c>
      <c r="Y71" s="294">
        <v>3.5055360069999999</v>
      </c>
      <c r="AA71" s="295"/>
      <c r="AC71" s="234">
        <v>214758.1</v>
      </c>
      <c r="AD71" s="234">
        <v>164921.29999999999</v>
      </c>
      <c r="AE71" s="234">
        <v>26510.37</v>
      </c>
      <c r="AF71" s="234">
        <v>5814.19</v>
      </c>
      <c r="AG71" s="239">
        <v>2.7073204689369107E-2</v>
      </c>
      <c r="AH71" s="239">
        <v>-0.27158645660141295</v>
      </c>
      <c r="AJ71" s="234">
        <v>17100.099999999999</v>
      </c>
      <c r="AK71" s="234">
        <v>10958.5</v>
      </c>
      <c r="AL71" s="242">
        <v>73826.5</v>
      </c>
      <c r="AM71" s="314">
        <v>23491.200000000001</v>
      </c>
      <c r="AN71" s="314">
        <v>7682.97</v>
      </c>
      <c r="AO71" s="314">
        <v>74598.22</v>
      </c>
      <c r="AP71" s="241">
        <v>3485.48</v>
      </c>
      <c r="AQ71" s="234">
        <v>185.95</v>
      </c>
      <c r="AR71" s="234">
        <v>17884.93</v>
      </c>
      <c r="AT71" s="234">
        <v>50748.46</v>
      </c>
      <c r="AV71" s="295"/>
      <c r="AX71" s="234">
        <v>468562.37763480033</v>
      </c>
      <c r="AY71" s="234">
        <v>473104.04864726227</v>
      </c>
      <c r="AZ71" s="234">
        <v>490865.94455696788</v>
      </c>
      <c r="BA71" s="234">
        <v>495407.61556942982</v>
      </c>
      <c r="BB71" s="234">
        <v>-4541.6710124619422</v>
      </c>
      <c r="BC71" s="234" t="s">
        <v>534</v>
      </c>
      <c r="BF71" s="234">
        <v>423858.16259316832</v>
      </c>
      <c r="BG71" s="234">
        <v>437867.78209316719</v>
      </c>
      <c r="BH71" s="234">
        <v>42474.541859206285</v>
      </c>
      <c r="BJ71" s="236">
        <v>473104</v>
      </c>
      <c r="BK71" s="236">
        <v>495407.56692216755</v>
      </c>
      <c r="BL71" s="234">
        <v>47486.2</v>
      </c>
      <c r="BM71" s="234">
        <v>220412.79999999999</v>
      </c>
      <c r="BN71" s="250">
        <v>188470.2</v>
      </c>
      <c r="BO71" s="250">
        <v>31942.7</v>
      </c>
      <c r="BP71" s="234">
        <v>205205</v>
      </c>
      <c r="BQ71" s="234">
        <v>227508.56692216752</v>
      </c>
      <c r="BR71" s="250">
        <v>22432.799999999999</v>
      </c>
      <c r="BS71" s="250">
        <v>43445.2</v>
      </c>
      <c r="BT71" s="250">
        <v>9172.7999999999993</v>
      </c>
      <c r="BU71" s="250">
        <v>24958.3</v>
      </c>
      <c r="BV71" s="250">
        <v>26783.9</v>
      </c>
      <c r="BW71" s="250">
        <v>49087.466922167529</v>
      </c>
      <c r="BX71" s="250">
        <v>78412</v>
      </c>
      <c r="BZ71" s="234">
        <v>521441.10999999987</v>
      </c>
      <c r="CA71" s="234">
        <v>234310.25710411344</v>
      </c>
      <c r="CB71" s="234">
        <v>67344.506651557211</v>
      </c>
      <c r="CC71" s="234">
        <v>81399.256380869207</v>
      </c>
      <c r="CD71" s="234">
        <v>138387.09054964906</v>
      </c>
      <c r="CF71" s="234">
        <v>472619.17074724677</v>
      </c>
      <c r="CG71" s="234">
        <v>494922.73766941432</v>
      </c>
      <c r="CH71" s="234">
        <v>-484.87790001550457</v>
      </c>
      <c r="CI71" s="234">
        <v>168956.6302617336</v>
      </c>
      <c r="CJ71" s="234">
        <v>190748.20130545675</v>
      </c>
      <c r="CK71" s="234">
        <v>63154.917835060871</v>
      </c>
      <c r="CL71" s="234">
        <v>63666.913713505266</v>
      </c>
      <c r="CM71" s="234">
        <v>228344.27867671999</v>
      </c>
      <c r="CN71" s="250">
        <v>215682</v>
      </c>
      <c r="CO71" s="250">
        <v>12662.278676720001</v>
      </c>
      <c r="CP71" s="234">
        <v>12163.343973732321</v>
      </c>
      <c r="CQ71" s="271"/>
      <c r="CR71" s="295"/>
      <c r="CT71" s="234" t="s">
        <v>534</v>
      </c>
      <c r="CV71" s="308">
        <v>0.1352578762576746</v>
      </c>
      <c r="CX71" s="234">
        <v>67007.781963799571</v>
      </c>
      <c r="CY71" s="234">
        <v>69222.564199225715</v>
      </c>
      <c r="CZ71" s="234">
        <v>67344.506651557211</v>
      </c>
      <c r="DD71" s="234">
        <v>24244.04641603685</v>
      </c>
      <c r="DE71" s="262">
        <v>23211.288186700986</v>
      </c>
      <c r="DF71" s="252">
        <v>4969.3346255809647</v>
      </c>
      <c r="DG71" s="252">
        <v>18241.953561120023</v>
      </c>
      <c r="DH71" s="234">
        <v>3501.1696673620318</v>
      </c>
      <c r="DI71" s="250">
        <v>2753.846604153407</v>
      </c>
      <c r="DJ71" s="258">
        <v>747.32306320862472</v>
      </c>
      <c r="DK71" s="241">
        <v>501.47886111398441</v>
      </c>
      <c r="DL71" s="252">
        <v>501.47886111398441</v>
      </c>
      <c r="DM71" s="258">
        <v>0</v>
      </c>
      <c r="DN71" s="234">
        <v>42008.627484048717</v>
      </c>
      <c r="DO71" s="252">
        <v>531.27936822187655</v>
      </c>
      <c r="DP71" s="250">
        <v>41477.348115826841</v>
      </c>
      <c r="DQ71" s="257">
        <v>69222.564199225715</v>
      </c>
      <c r="DS71" s="295"/>
      <c r="DT71" s="295"/>
      <c r="DU71">
        <f t="shared" si="0"/>
        <v>0.7</v>
      </c>
      <c r="DV71">
        <f t="shared" si="1"/>
        <v>0.95</v>
      </c>
      <c r="DW71" s="318">
        <v>23040.758071585686</v>
      </c>
      <c r="DX71" s="234">
        <v>50245.25105778352</v>
      </c>
      <c r="DY71" s="234">
        <v>27388.5</v>
      </c>
      <c r="DZ71" s="234">
        <v>5082.4732840896759</v>
      </c>
      <c r="EA71" s="234">
        <v>45162.777773693844</v>
      </c>
      <c r="EB71" s="234">
        <v>23211.288186700986</v>
      </c>
      <c r="EC71" s="234">
        <v>0</v>
      </c>
      <c r="ED71" s="234">
        <v>0</v>
      </c>
      <c r="EE71" s="234">
        <v>21951.489586992859</v>
      </c>
      <c r="EF71" s="241">
        <v>44150.168660526622</v>
      </c>
      <c r="EG71" s="234">
        <v>2753.846604153407</v>
      </c>
      <c r="EH71" s="234">
        <v>0</v>
      </c>
      <c r="EI71" s="234">
        <v>41396.322056373217</v>
      </c>
      <c r="EJ71" s="234">
        <v>0</v>
      </c>
      <c r="EK71" s="234">
        <v>28977.425439461251</v>
      </c>
      <c r="EL71" s="242">
        <v>12418.896616911965</v>
      </c>
      <c r="EM71" s="234">
        <v>69973.962377721182</v>
      </c>
      <c r="EN71" s="234">
        <v>747.32306320862472</v>
      </c>
      <c r="EO71" s="234">
        <v>41646.097714603602</v>
      </c>
      <c r="EP71" s="236">
        <v>64567.557741189754</v>
      </c>
      <c r="EQ71" s="234">
        <v>1260.7890606286019</v>
      </c>
      <c r="ER71" s="234">
        <v>3398.2925126941977</v>
      </c>
      <c r="ES71" s="241">
        <v>10871.494453500587</v>
      </c>
      <c r="ET71" s="250">
        <v>7878.3794673788452</v>
      </c>
      <c r="EU71" s="250">
        <v>1147.4735195901724</v>
      </c>
      <c r="EV71" s="250">
        <v>-43.7187865507005</v>
      </c>
      <c r="EW71" s="250">
        <v>1889.3602530822698</v>
      </c>
      <c r="EX71" s="241">
        <v>15075.336770660975</v>
      </c>
      <c r="EY71" s="266"/>
      <c r="EZ71" s="234">
        <v>310268.9444499755</v>
      </c>
      <c r="FA71" s="234">
        <v>560.34980490121904</v>
      </c>
      <c r="FB71" s="234">
        <v>42008.627484048717</v>
      </c>
      <c r="FC71" s="234">
        <v>62757.439998810158</v>
      </c>
      <c r="FF71" s="234">
        <v>110758.90251847332</v>
      </c>
      <c r="FG71" s="234">
        <v>94743.974448643319</v>
      </c>
      <c r="FH71" s="250">
        <v>20831.154688266739</v>
      </c>
      <c r="FI71" s="250">
        <v>17323.920408603241</v>
      </c>
      <c r="FJ71" s="250">
        <v>1315.3135775035066</v>
      </c>
      <c r="FK71" s="250">
        <v>55273.575443743655</v>
      </c>
      <c r="FL71" s="257">
        <v>-20831.154688266739</v>
      </c>
      <c r="FM71" s="250">
        <v>845.82215681123898</v>
      </c>
      <c r="FN71" s="250">
        <v>-15943.586499684303</v>
      </c>
      <c r="FO71" s="250">
        <v>-3133.465514022927</v>
      </c>
      <c r="FP71" s="250">
        <v>-2599.9145008446239</v>
      </c>
      <c r="FQ71" s="241">
        <v>22289.585856455469</v>
      </c>
      <c r="FR71" s="234">
        <v>40650.809466900348</v>
      </c>
      <c r="FS71" s="234">
        <v>10972.42443702078</v>
      </c>
      <c r="FT71" s="388">
        <v>-24407.097297171425</v>
      </c>
      <c r="FV71" s="234">
        <v>42226.27953135896</v>
      </c>
      <c r="FW71" s="234">
        <v>528.9186796916083</v>
      </c>
      <c r="FX71" s="234">
        <v>501.47886111398441</v>
      </c>
      <c r="FY71" s="234">
        <v>310.78354787128399</v>
      </c>
      <c r="FZ71" s="234">
        <v>35537.030522680252</v>
      </c>
      <c r="GA71" s="234">
        <v>5876.9865996934459</v>
      </c>
      <c r="GB71" s="241">
        <v>4270.3709053897128</v>
      </c>
      <c r="GC71" s="250">
        <v>-2087.406769377988</v>
      </c>
      <c r="GD71" s="250">
        <v>3177.173970047505</v>
      </c>
      <c r="GE71" s="250">
        <v>710.56457828847658</v>
      </c>
      <c r="GF71" s="250">
        <v>2470.0391264317209</v>
      </c>
      <c r="GG71" s="257">
        <v>4270.3709053897128</v>
      </c>
      <c r="GH71" s="250">
        <v>-2087.406769377988</v>
      </c>
      <c r="GI71" s="250">
        <v>2470.0391264317209</v>
      </c>
      <c r="GJ71" s="250">
        <v>3177.173970047505</v>
      </c>
      <c r="GK71" s="250">
        <v>710.56457828847658</v>
      </c>
      <c r="GL71" s="388">
        <v>9331.7605265104521</v>
      </c>
      <c r="GN71" s="236">
        <v>5689.299659902561</v>
      </c>
      <c r="GO71" s="236">
        <v>-997.5259329211226</v>
      </c>
      <c r="GP71" s="254">
        <v>5689.299659902561</v>
      </c>
      <c r="GQ71" s="236">
        <v>-6636.7845242859721</v>
      </c>
      <c r="GR71" s="236">
        <v>12326.084184188534</v>
      </c>
      <c r="GT71" s="236">
        <v>511782.13279327611</v>
      </c>
      <c r="GU71" s="236">
        <v>69222.564199225715</v>
      </c>
      <c r="GV71" s="236">
        <v>64329.01260731004</v>
      </c>
      <c r="GW71" s="236">
        <v>239840.91622180457</v>
      </c>
      <c r="GX71" s="236">
        <v>138389.6397649358</v>
      </c>
      <c r="GY71" s="271"/>
      <c r="GZ71" s="295"/>
      <c r="HB71" s="234">
        <v>353536.43</v>
      </c>
      <c r="HC71" s="234">
        <v>57824.43</v>
      </c>
      <c r="HD71" s="234">
        <v>59735.678463750533</v>
      </c>
      <c r="HE71" s="234">
        <v>35491.632047713683</v>
      </c>
      <c r="HG71" s="234">
        <v>228829.25</v>
      </c>
      <c r="HI71" s="234">
        <v>245901.58352273749</v>
      </c>
      <c r="HJ71" s="234">
        <v>168473.60743574111</v>
      </c>
      <c r="HK71" s="250">
        <v>166669.11140968546</v>
      </c>
      <c r="HL71" s="250">
        <v>2167.8929434691636</v>
      </c>
      <c r="HM71" s="250">
        <v>-363.38658688739173</v>
      </c>
      <c r="HN71" s="250"/>
      <c r="HO71" s="271">
        <v>116815.98</v>
      </c>
      <c r="HP71" s="271">
        <v>93964.595438255012</v>
      </c>
      <c r="HQ71" s="321">
        <v>17091.369587678448</v>
      </c>
      <c r="HR71" s="321">
        <v>76814.042266420365</v>
      </c>
      <c r="HS71" s="321">
        <v>59.183584156182228</v>
      </c>
      <c r="HU71" s="234">
        <v>27048.31</v>
      </c>
      <c r="HV71" s="234">
        <v>27440.848441513095</v>
      </c>
      <c r="HW71" s="250">
        <v>14824.032260657177</v>
      </c>
      <c r="HX71" s="250">
        <v>8685.9786775365865</v>
      </c>
      <c r="HY71" s="250">
        <v>3930.8375033193279</v>
      </c>
      <c r="IA71" s="234">
        <v>78990.47</v>
      </c>
      <c r="IB71" s="234">
        <v>15179.18</v>
      </c>
      <c r="IC71" s="234">
        <v>97282.202927792372</v>
      </c>
      <c r="ID71" s="234">
        <v>55273.575443743655</v>
      </c>
      <c r="IE71" s="310">
        <v>16668.625408160395</v>
      </c>
      <c r="IF71" s="310">
        <v>30399.5381478126</v>
      </c>
      <c r="IG71" s="326">
        <v>8205.4118877706642</v>
      </c>
      <c r="IH71" s="250">
        <v>134753.57526451023</v>
      </c>
      <c r="II71" s="250">
        <v>-75126.581815877551</v>
      </c>
      <c r="IJ71" s="250">
        <v>-4353.4076743629021</v>
      </c>
      <c r="IL71" s="234">
        <v>-1303.5378227940419</v>
      </c>
      <c r="IM71" s="248">
        <v>8205.4118877706642</v>
      </c>
      <c r="IN71" s="248">
        <v>-9508.949710564706</v>
      </c>
      <c r="IO71" s="257">
        <v>-12565.328838661044</v>
      </c>
      <c r="IP71" s="250">
        <v>-997.5259329211226</v>
      </c>
      <c r="IQ71" s="250">
        <v>5689.299659902561</v>
      </c>
      <c r="IR71" s="258">
        <v>-1635.3945988851003</v>
      </c>
      <c r="IS71" s="257">
        <v>-363.39691741351407</v>
      </c>
      <c r="IT71" s="250">
        <v>9872.3259669259751</v>
      </c>
      <c r="IU71" s="271"/>
      <c r="IV71" s="295"/>
      <c r="IX71" s="350">
        <v>0.21139640539360227</v>
      </c>
      <c r="IY71" s="351">
        <v>3.6202507219342761E-2</v>
      </c>
      <c r="IZ71" s="351">
        <v>0.17519389817425951</v>
      </c>
      <c r="JA71" s="356">
        <v>4.8262956731338888E-2</v>
      </c>
      <c r="JB71" s="356">
        <v>4.8262956731338888E-2</v>
      </c>
      <c r="JE71" s="351">
        <v>0.12693094144292064</v>
      </c>
      <c r="JF71" s="356">
        <v>9.4960170894453716E-2</v>
      </c>
      <c r="JG71" s="356">
        <v>3.1970770548466927E-2</v>
      </c>
      <c r="JH71" s="346"/>
      <c r="JI71" s="361">
        <v>22823.75</v>
      </c>
      <c r="JJ71" s="370">
        <v>16769.64</v>
      </c>
      <c r="JK71" s="370">
        <v>6054.11</v>
      </c>
      <c r="JL71" s="370">
        <v>62270.81</v>
      </c>
      <c r="JM71" s="370">
        <v>85094.56</v>
      </c>
      <c r="JO71" s="361">
        <v>103874.43</v>
      </c>
      <c r="JP71" s="361">
        <v>14136.039999999994</v>
      </c>
      <c r="JQ71" s="377">
        <v>89738.39</v>
      </c>
      <c r="JR71" s="363">
        <v>66914.64</v>
      </c>
      <c r="JS71" s="366">
        <v>24266.63</v>
      </c>
      <c r="JT71" s="366">
        <v>13679</v>
      </c>
      <c r="JU71" s="366">
        <v>6936.21</v>
      </c>
      <c r="JV71" s="366">
        <v>2559.12</v>
      </c>
      <c r="JW71" s="363">
        <v>22823.75</v>
      </c>
      <c r="JX71" s="366">
        <v>6054.11</v>
      </c>
      <c r="JY71" s="366">
        <v>16769.64</v>
      </c>
      <c r="KA71" s="361">
        <v>89738.89</v>
      </c>
      <c r="KC71" s="361">
        <v>99230.59</v>
      </c>
      <c r="KD71" s="361">
        <v>89738.39</v>
      </c>
      <c r="KE71" s="377">
        <v>85094.55</v>
      </c>
      <c r="KF71" s="361">
        <v>14136.04</v>
      </c>
      <c r="KG71" s="366">
        <v>3056.41</v>
      </c>
      <c r="KH71" s="366">
        <v>4039.38</v>
      </c>
      <c r="KI71" s="366">
        <v>1301.3900000000001</v>
      </c>
      <c r="KL71" s="409">
        <v>5738.86</v>
      </c>
      <c r="KM71" s="388">
        <v>41363.129999999997</v>
      </c>
      <c r="KN71" s="366">
        <v>648</v>
      </c>
      <c r="KO71" s="366">
        <v>688.52</v>
      </c>
      <c r="KP71" s="366">
        <v>1011.19</v>
      </c>
      <c r="KQ71" s="366">
        <v>31140.42</v>
      </c>
      <c r="KR71" s="366">
        <v>1093.53</v>
      </c>
      <c r="KS71" s="366">
        <v>706.84</v>
      </c>
      <c r="KT71" s="366">
        <v>629.07000000000005</v>
      </c>
      <c r="KU71" s="366">
        <v>857.42</v>
      </c>
      <c r="KV71" s="366">
        <v>1203.03</v>
      </c>
      <c r="KW71" s="409">
        <v>3385.1100000000079</v>
      </c>
      <c r="KX71" s="399">
        <v>1178.9451302179916</v>
      </c>
      <c r="KY71" s="399">
        <v>919.37752145922752</v>
      </c>
      <c r="LF71" s="399">
        <v>77.411704074656541</v>
      </c>
      <c r="LG71" s="399">
        <v>87.175479225696975</v>
      </c>
      <c r="LH71" s="399">
        <v>94.980425458410593</v>
      </c>
      <c r="LI71" s="416">
        <v>25757.665099999998</v>
      </c>
      <c r="LJ71" s="388">
        <v>0</v>
      </c>
      <c r="LL71" s="374">
        <v>48810.698055523389</v>
      </c>
      <c r="LM71" s="374">
        <v>48631.65</v>
      </c>
      <c r="LN71" s="443">
        <v>46115.028055523391</v>
      </c>
      <c r="LO71" s="374">
        <v>2695.67</v>
      </c>
      <c r="LP71" s="408">
        <v>361.4</v>
      </c>
      <c r="LQ71" s="408">
        <v>404.02</v>
      </c>
      <c r="LR71" s="408">
        <v>38.76</v>
      </c>
      <c r="LU71" s="408">
        <v>1891.49</v>
      </c>
      <c r="LV71" s="421">
        <v>3130.82</v>
      </c>
      <c r="LW71" s="408">
        <v>648</v>
      </c>
      <c r="LX71" s="408">
        <v>0</v>
      </c>
      <c r="LY71" s="408">
        <v>304.10000000000002</v>
      </c>
      <c r="LZ71" s="408">
        <v>0</v>
      </c>
      <c r="MA71" s="408">
        <v>0</v>
      </c>
      <c r="MB71" s="408">
        <v>706.84</v>
      </c>
      <c r="MC71" s="408">
        <v>317.45</v>
      </c>
      <c r="MD71" s="408">
        <v>0</v>
      </c>
      <c r="ME71" s="408">
        <v>0</v>
      </c>
      <c r="MF71" s="422">
        <v>1154.43</v>
      </c>
      <c r="MG71" s="425">
        <v>765.01</v>
      </c>
      <c r="MH71" s="398">
        <v>757.35</v>
      </c>
      <c r="MI71" s="426">
        <v>139.75</v>
      </c>
      <c r="MJ71" s="426">
        <v>266.85000000000002</v>
      </c>
      <c r="MK71" s="426">
        <v>92.52</v>
      </c>
      <c r="ML71" s="426">
        <v>54.54</v>
      </c>
      <c r="MM71" s="426">
        <v>45.24</v>
      </c>
      <c r="MN71" s="426">
        <v>158.45000000000005</v>
      </c>
      <c r="MO71" s="398">
        <v>7.01</v>
      </c>
      <c r="MP71" s="398">
        <v>0.65</v>
      </c>
      <c r="MQ71" s="398">
        <v>-3.1641356201816961E-14</v>
      </c>
      <c r="MS71" s="361">
        <v>50419.891944476614</v>
      </c>
      <c r="MT71" s="361">
        <v>41106.74</v>
      </c>
      <c r="MU71" s="377">
        <v>38979.521944476612</v>
      </c>
      <c r="MV71" s="361">
        <v>11440.37</v>
      </c>
      <c r="MW71" s="366">
        <v>2695.01</v>
      </c>
      <c r="MX71" s="366">
        <v>3635.36</v>
      </c>
      <c r="MY71" s="366">
        <v>1262.6300000000001</v>
      </c>
      <c r="NB71" s="366">
        <v>3847.37</v>
      </c>
      <c r="NC71" s="421">
        <v>38232.31</v>
      </c>
      <c r="ND71" s="408">
        <v>0</v>
      </c>
      <c r="NE71" s="408">
        <v>688.52</v>
      </c>
      <c r="NF71" s="408">
        <v>707.09</v>
      </c>
      <c r="NG71" s="408">
        <v>31140.42</v>
      </c>
      <c r="NH71" s="408">
        <v>1093.53</v>
      </c>
      <c r="NI71" s="408">
        <v>0</v>
      </c>
      <c r="NJ71" s="408">
        <v>311.62</v>
      </c>
      <c r="NK71" s="408">
        <v>857.42</v>
      </c>
      <c r="NL71" s="408">
        <v>1203.03</v>
      </c>
      <c r="NM71" s="422">
        <v>2230.6800000000003</v>
      </c>
      <c r="NN71" s="400">
        <v>413.93513021799163</v>
      </c>
      <c r="NO71" s="400">
        <v>162.0275214592275</v>
      </c>
      <c r="NP71" s="429"/>
      <c r="NQ71" s="429"/>
      <c r="NR71" s="429"/>
      <c r="NS71" s="429"/>
      <c r="NT71" s="429"/>
      <c r="NU71" s="429"/>
      <c r="NV71" s="400">
        <v>70.401704074656536</v>
      </c>
      <c r="NW71" s="400">
        <v>86.525479225696969</v>
      </c>
      <c r="NX71" s="400">
        <v>94.980425458410622</v>
      </c>
      <c r="NZ71" s="361">
        <v>10170.242999999999</v>
      </c>
      <c r="OA71" s="361">
        <v>2515.329831429538</v>
      </c>
      <c r="OB71" s="361">
        <v>3150</v>
      </c>
      <c r="OC71" s="361">
        <v>2869.2079999999996</v>
      </c>
    </row>
    <row r="72" spans="1:393">
      <c r="A72" s="240">
        <v>2012</v>
      </c>
      <c r="B72" s="269">
        <v>135404</v>
      </c>
      <c r="C72" s="250">
        <v>71182</v>
      </c>
      <c r="D72" s="250">
        <v>64222</v>
      </c>
      <c r="E72" s="234">
        <v>76704</v>
      </c>
      <c r="F72" s="274">
        <v>3.9</v>
      </c>
      <c r="G72" s="275">
        <v>0.23033518544699247</v>
      </c>
      <c r="H72" s="275">
        <v>0.7696648145530075</v>
      </c>
      <c r="I72" s="234">
        <v>104215.69454973543</v>
      </c>
      <c r="K72" s="234">
        <v>10594</v>
      </c>
      <c r="L72" s="234">
        <v>2069</v>
      </c>
      <c r="M72" s="234">
        <v>5779</v>
      </c>
      <c r="N72" s="234">
        <v>5477</v>
      </c>
      <c r="O72" s="234">
        <v>3611</v>
      </c>
      <c r="P72" s="234">
        <v>3834</v>
      </c>
      <c r="R72" s="295"/>
      <c r="S72" s="334"/>
      <c r="T72" s="239">
        <v>1.0178180602965832</v>
      </c>
      <c r="U72" s="240"/>
      <c r="V72" s="295"/>
      <c r="X72" s="294">
        <v>6.3125</v>
      </c>
      <c r="Y72" s="294">
        <v>3.5260924400000002</v>
      </c>
      <c r="AA72" s="295"/>
      <c r="AC72" s="234">
        <v>230357.62</v>
      </c>
      <c r="AD72" s="234">
        <v>181658.26</v>
      </c>
      <c r="AE72" s="234">
        <v>31708.41</v>
      </c>
      <c r="AF72" s="234">
        <v>4134.38</v>
      </c>
      <c r="AG72" s="239">
        <v>1.7947658948725031E-2</v>
      </c>
      <c r="AH72" s="239">
        <v>3.7851883060505159E-2</v>
      </c>
      <c r="AJ72" s="234">
        <v>16154.2</v>
      </c>
      <c r="AK72" s="234">
        <v>17987.099999999999</v>
      </c>
      <c r="AL72" s="242">
        <v>71993.600000000006</v>
      </c>
      <c r="AM72" s="314">
        <v>25962.5</v>
      </c>
      <c r="AN72" s="314">
        <v>8060.9</v>
      </c>
      <c r="AO72" s="314">
        <v>92281.600000000006</v>
      </c>
      <c r="AP72" s="241">
        <v>7999.31</v>
      </c>
      <c r="AQ72" s="234">
        <v>321.2</v>
      </c>
      <c r="AR72" s="234">
        <v>25512.2</v>
      </c>
      <c r="AT72" s="234">
        <v>54659.81</v>
      </c>
      <c r="AV72" s="295"/>
      <c r="AX72" s="234">
        <v>518214.74565380026</v>
      </c>
      <c r="AY72" s="234">
        <v>519470.09916989895</v>
      </c>
      <c r="AZ72" s="234">
        <v>543134.41392449162</v>
      </c>
      <c r="BA72" s="234">
        <v>544389.76744059031</v>
      </c>
      <c r="BB72" s="234">
        <v>-1255.3535160986939</v>
      </c>
      <c r="BC72" s="234">
        <v>536800.17094900005</v>
      </c>
      <c r="BF72" s="234">
        <v>470438.94936555624</v>
      </c>
      <c r="BG72" s="234">
        <v>478821.25893121294</v>
      </c>
      <c r="BH72" s="234">
        <v>45945.215929324579</v>
      </c>
      <c r="BJ72" s="236">
        <v>519470.1</v>
      </c>
      <c r="BK72" s="236">
        <v>544389.76827069139</v>
      </c>
      <c r="BL72" s="234">
        <v>52373.599999999999</v>
      </c>
      <c r="BM72" s="234">
        <v>235162</v>
      </c>
      <c r="BN72" s="250">
        <v>199670.7</v>
      </c>
      <c r="BO72" s="250">
        <v>35491.300000000003</v>
      </c>
      <c r="BP72" s="234">
        <v>231934.5</v>
      </c>
      <c r="BQ72" s="234">
        <v>256854.16827069139</v>
      </c>
      <c r="BR72" s="250">
        <v>24660</v>
      </c>
      <c r="BS72" s="250">
        <v>49394.400000000001</v>
      </c>
      <c r="BT72" s="250">
        <v>10464.200000000001</v>
      </c>
      <c r="BU72" s="250">
        <v>28722.7</v>
      </c>
      <c r="BV72" s="250">
        <v>29359.7</v>
      </c>
      <c r="BW72" s="250">
        <v>54279.368270691382</v>
      </c>
      <c r="BX72" s="250">
        <v>89333.5</v>
      </c>
      <c r="BZ72" s="234">
        <v>576551.84500977327</v>
      </c>
      <c r="CA72" s="234">
        <v>262864.06010556442</v>
      </c>
      <c r="CB72" s="234">
        <v>74132.87060415365</v>
      </c>
      <c r="CC72" s="234">
        <v>91635.051651322399</v>
      </c>
      <c r="CD72" s="234">
        <v>147919.85051523824</v>
      </c>
      <c r="CF72" s="234">
        <v>529399.24155350495</v>
      </c>
      <c r="CG72" s="234">
        <v>554318.90982419625</v>
      </c>
      <c r="CH72" s="234">
        <v>9929.1423836059403</v>
      </c>
      <c r="CI72" s="234">
        <v>190584.58064426499</v>
      </c>
      <c r="CJ72" s="234">
        <v>214998.46146390974</v>
      </c>
      <c r="CK72" s="234">
        <v>71409.048599999995</v>
      </c>
      <c r="CL72" s="234">
        <v>71914.836051046615</v>
      </c>
      <c r="CM72" s="234">
        <v>252773.23730923998</v>
      </c>
      <c r="CN72" s="250">
        <v>241756.84</v>
      </c>
      <c r="CO72" s="250">
        <v>11016.397309239983</v>
      </c>
      <c r="CP72" s="234">
        <v>14632.375</v>
      </c>
      <c r="CQ72" s="271"/>
      <c r="CR72" s="295"/>
      <c r="CT72" s="234">
        <v>71681.982535999996</v>
      </c>
      <c r="CU72" s="239">
        <v>0.13353569245195027</v>
      </c>
      <c r="CV72" s="239">
        <v>0.13353569245195029</v>
      </c>
      <c r="CX72" s="234">
        <v>72695.464558935404</v>
      </c>
      <c r="CY72" s="234">
        <v>73990.75672973464</v>
      </c>
      <c r="CZ72" s="234">
        <v>74132.87060415365</v>
      </c>
      <c r="DD72" s="234">
        <v>24941.695148821447</v>
      </c>
      <c r="DE72" s="262">
        <v>23941.913344277891</v>
      </c>
      <c r="DF72" s="252">
        <v>5114.4401351114593</v>
      </c>
      <c r="DG72" s="252">
        <v>18827.473209166434</v>
      </c>
      <c r="DH72" s="234">
        <v>4724.8632016767669</v>
      </c>
      <c r="DI72" s="250">
        <v>3889.2491955756486</v>
      </c>
      <c r="DJ72" s="258">
        <v>835.61400610111855</v>
      </c>
      <c r="DK72" s="241">
        <v>465.08205617152299</v>
      </c>
      <c r="DL72" s="252">
        <v>465.08205617152299</v>
      </c>
      <c r="DM72" s="258">
        <v>0</v>
      </c>
      <c r="DN72" s="234">
        <v>44858.89812760846</v>
      </c>
      <c r="DO72" s="252">
        <v>534.69974837203404</v>
      </c>
      <c r="DP72" s="250">
        <v>44324.198379236426</v>
      </c>
      <c r="DQ72" s="257">
        <v>73990.75672973464</v>
      </c>
      <c r="DS72" s="295"/>
      <c r="DT72" s="295"/>
      <c r="DU72">
        <f t="shared" si="0"/>
        <v>0.7</v>
      </c>
      <c r="DV72">
        <f t="shared" si="1"/>
        <v>0.95000000000000007</v>
      </c>
      <c r="DW72" s="318">
        <v>25363.688422509411</v>
      </c>
      <c r="DX72" s="234">
        <v>52987.32536638264</v>
      </c>
      <c r="DZ72" s="309">
        <v>4788.3826688555782</v>
      </c>
      <c r="EA72" s="234">
        <v>48198.942697527062</v>
      </c>
      <c r="EB72" s="234">
        <v>23941.913344277891</v>
      </c>
      <c r="EC72" s="234">
        <v>0</v>
      </c>
      <c r="ED72" s="234">
        <v>0</v>
      </c>
      <c r="EE72" s="234">
        <v>24257.029353249174</v>
      </c>
      <c r="EF72" s="241">
        <v>47976.11636647422</v>
      </c>
      <c r="EG72" s="234">
        <v>3889.2491955756486</v>
      </c>
      <c r="EH72" s="234">
        <v>0</v>
      </c>
      <c r="EI72" s="234">
        <v>44086.867170898571</v>
      </c>
      <c r="EJ72" s="234">
        <v>0</v>
      </c>
      <c r="EK72" s="234">
        <v>30860.807019628999</v>
      </c>
      <c r="EL72" s="242">
        <v>13226.06015126957</v>
      </c>
      <c r="EM72" s="234">
        <v>76149.144214518747</v>
      </c>
      <c r="EN72" s="234">
        <v>835.61400610111855</v>
      </c>
      <c r="EO72" s="234">
        <v>51249.931693710932</v>
      </c>
      <c r="EP72" s="236">
        <v>69621.71546214835</v>
      </c>
      <c r="EQ72" s="234">
        <v>2027.5139324719996</v>
      </c>
      <c r="ER72" s="234">
        <v>3664.3008137972815</v>
      </c>
      <c r="ES72" s="241">
        <v>13316.307068291655</v>
      </c>
      <c r="ET72" s="250">
        <v>9437.7179641000657</v>
      </c>
      <c r="EU72" s="250">
        <v>1741.4154539032331</v>
      </c>
      <c r="EV72" s="250">
        <v>-51.990146519949469</v>
      </c>
      <c r="EW72" s="250">
        <v>2189.184153169509</v>
      </c>
      <c r="EX72" s="241">
        <v>14709.333578335969</v>
      </c>
      <c r="EY72" s="266"/>
      <c r="EZ72" s="234">
        <v>341502.91439319332</v>
      </c>
      <c r="FA72" s="234">
        <v>591.8594669136121</v>
      </c>
      <c r="FB72" s="234">
        <v>44858.89812760846</v>
      </c>
      <c r="FC72" s="234">
        <v>67799.018770643233</v>
      </c>
      <c r="FF72" s="234">
        <v>131205.13305789756</v>
      </c>
      <c r="FG72" s="234">
        <v>97639.864437044074</v>
      </c>
      <c r="FH72" s="250">
        <v>22623.72396431255</v>
      </c>
      <c r="FI72" s="250">
        <v>20004.735600641001</v>
      </c>
      <c r="FJ72" s="250">
        <v>2433.2772803898347</v>
      </c>
      <c r="FK72" s="250">
        <v>52578.127591700621</v>
      </c>
      <c r="FL72" s="257">
        <v>-22623.72396431255</v>
      </c>
      <c r="FM72" s="250">
        <v>-1573.3533357870588</v>
      </c>
      <c r="FN72" s="250">
        <v>-13373.477908738512</v>
      </c>
      <c r="FO72" s="250">
        <v>-4437.819059240941</v>
      </c>
      <c r="FP72" s="250">
        <v>-3239.0533041848316</v>
      </c>
      <c r="FQ72" s="241">
        <v>23590.411055521203</v>
      </c>
      <c r="FR72" s="234">
        <v>42492.870011962703</v>
      </c>
      <c r="FS72" s="234">
        <v>8932.8594052476183</v>
      </c>
      <c r="FT72" s="388">
        <v>-21139.887726928577</v>
      </c>
      <c r="FV72" s="234">
        <v>40262.620314868189</v>
      </c>
      <c r="FW72" s="234">
        <v>514.7996023466261</v>
      </c>
      <c r="FX72" s="234">
        <v>465.08205617152299</v>
      </c>
      <c r="FY72" s="234">
        <v>266.55637181107215</v>
      </c>
      <c r="FZ72" s="234">
        <v>34203.755559905476</v>
      </c>
      <c r="GA72" s="234">
        <v>5327.2263269801188</v>
      </c>
      <c r="GB72" s="241">
        <v>7048.1050784969557</v>
      </c>
      <c r="GC72" s="250">
        <v>-633.28639711653386</v>
      </c>
      <c r="GD72" s="250">
        <v>4489.809205760891</v>
      </c>
      <c r="GE72" s="250">
        <v>1049.8691510153226</v>
      </c>
      <c r="GF72" s="250">
        <v>2141.7131188372759</v>
      </c>
      <c r="GG72" s="257">
        <v>7048.1050784969557</v>
      </c>
      <c r="GH72" s="250">
        <v>-633.28639711653386</v>
      </c>
      <c r="GI72" s="250">
        <v>2141.7131188372759</v>
      </c>
      <c r="GJ72" s="250">
        <v>4489.809205760891</v>
      </c>
      <c r="GK72" s="250">
        <v>1049.8691510153226</v>
      </c>
      <c r="GL72" s="388">
        <v>6430.5643267732094</v>
      </c>
      <c r="GN72" s="236">
        <v>2259.3016393433404</v>
      </c>
      <c r="GO72" s="236">
        <v>-981.58373735002476</v>
      </c>
      <c r="GP72" s="254">
        <v>2259.3016393433404</v>
      </c>
      <c r="GQ72" s="236">
        <v>-7231.0578748352664</v>
      </c>
      <c r="GR72" s="236">
        <v>9490.3493359980021</v>
      </c>
      <c r="GT72" s="236">
        <v>554089.73798658152</v>
      </c>
      <c r="GU72" s="236">
        <v>73990.75672973464</v>
      </c>
      <c r="GV72" s="236">
        <v>70093.089074926305</v>
      </c>
      <c r="GW72" s="236">
        <v>265891.41109958041</v>
      </c>
      <c r="GX72" s="236">
        <v>144114.48108234024</v>
      </c>
      <c r="GY72" s="271"/>
      <c r="GZ72" s="295"/>
      <c r="HB72" s="234">
        <v>411002.77</v>
      </c>
      <c r="HC72" s="234">
        <v>64412.79</v>
      </c>
      <c r="HD72" s="234">
        <v>65560.500976091149</v>
      </c>
      <c r="HE72" s="234">
        <v>40618.805827269702</v>
      </c>
      <c r="HG72" s="234">
        <v>242844.1</v>
      </c>
      <c r="HI72" s="234">
        <v>261007.17685543219</v>
      </c>
      <c r="HJ72" s="234">
        <v>180755.46056941969</v>
      </c>
      <c r="HK72" s="250">
        <v>183286.41210194805</v>
      </c>
      <c r="HL72" s="250">
        <v>-2256.5477834724284</v>
      </c>
      <c r="HM72" s="250">
        <v>-274.40374905595917</v>
      </c>
      <c r="HN72" s="250"/>
      <c r="HO72" s="271">
        <v>130814.56</v>
      </c>
      <c r="HP72" s="271">
        <v>104478.64517179634</v>
      </c>
      <c r="HQ72" s="321">
        <v>20514.365156646491</v>
      </c>
      <c r="HR72" s="321">
        <v>83905.959040294852</v>
      </c>
      <c r="HS72" s="321">
        <v>58.310796674391248</v>
      </c>
      <c r="HU72" s="234">
        <v>29892.11</v>
      </c>
      <c r="HV72" s="234">
        <v>29959.647362200576</v>
      </c>
      <c r="HW72" s="250">
        <v>19692.234649888542</v>
      </c>
      <c r="HX72" s="250">
        <v>6568.7840193614857</v>
      </c>
      <c r="HY72" s="250">
        <v>3698.6286929505472</v>
      </c>
      <c r="IA72" s="234">
        <v>78875.929999999993</v>
      </c>
      <c r="IB72" s="234">
        <v>16855.349999999999</v>
      </c>
      <c r="IC72" s="234">
        <v>97437.02571930908</v>
      </c>
      <c r="ID72" s="234">
        <v>52578.127591700621</v>
      </c>
      <c r="IE72" s="310">
        <v>16534.303612550208</v>
      </c>
      <c r="IF72" s="310">
        <v>29782.864422872535</v>
      </c>
      <c r="IG72" s="326">
        <v>6260.9595562778786</v>
      </c>
      <c r="IH72" s="250">
        <v>143079.69015724579</v>
      </c>
      <c r="II72" s="250">
        <v>-86470.219326864259</v>
      </c>
      <c r="IJ72" s="250">
        <v>-4031.3432386808977</v>
      </c>
      <c r="IL72" s="234">
        <v>-7575.1166608654321</v>
      </c>
      <c r="IM72" s="248">
        <v>6260.9595562778786</v>
      </c>
      <c r="IN72" s="248">
        <v>-13836.076217143311</v>
      </c>
      <c r="IO72" s="257">
        <v>-14893.120985483723</v>
      </c>
      <c r="IP72" s="250">
        <v>-981.58373735002476</v>
      </c>
      <c r="IQ72" s="250">
        <v>2259.3016393433404</v>
      </c>
      <c r="IR72" s="258">
        <v>-220.67313365290215</v>
      </c>
      <c r="IS72" s="257">
        <v>-274.40374905595883</v>
      </c>
      <c r="IT72" s="250">
        <v>14110.469788018667</v>
      </c>
      <c r="IU72" s="271"/>
      <c r="IV72" s="295"/>
      <c r="IX72" s="350">
        <v>0.2130528342317102</v>
      </c>
      <c r="IY72" s="351">
        <v>1.9833804055616244E-2</v>
      </c>
      <c r="IZ72" s="351">
        <v>0.19321903017609396</v>
      </c>
      <c r="JA72" s="356">
        <v>5.0944542417140033E-2</v>
      </c>
      <c r="JB72" s="356">
        <v>5.0944542417140033E-2</v>
      </c>
      <c r="JE72" s="351">
        <v>0.14227448775895393</v>
      </c>
      <c r="JF72" s="356">
        <v>9.733675457008624E-2</v>
      </c>
      <c r="JG72" s="356">
        <v>4.4937733188867686E-2</v>
      </c>
      <c r="JH72" s="346"/>
      <c r="JI72" s="361">
        <v>25818.16</v>
      </c>
      <c r="JJ72" s="370">
        <v>19654.53</v>
      </c>
      <c r="JK72" s="370">
        <v>6163.63</v>
      </c>
      <c r="JL72" s="370">
        <v>68866.03</v>
      </c>
      <c r="JM72" s="370">
        <v>94684.19</v>
      </c>
      <c r="JO72" s="361">
        <v>117253.52</v>
      </c>
      <c r="JP72" s="361">
        <v>16639.240000000005</v>
      </c>
      <c r="JQ72" s="377">
        <v>100614.28</v>
      </c>
      <c r="JR72" s="363">
        <v>75139.47</v>
      </c>
      <c r="JS72" s="366">
        <v>26415.51</v>
      </c>
      <c r="JT72" s="366">
        <v>15747.64</v>
      </c>
      <c r="JU72" s="366">
        <v>7875.58</v>
      </c>
      <c r="JV72" s="366">
        <v>2783.93</v>
      </c>
      <c r="JW72" s="363">
        <v>25474.809999999998</v>
      </c>
      <c r="JX72" s="366">
        <v>5820.28</v>
      </c>
      <c r="JY72" s="366">
        <v>19654.53</v>
      </c>
      <c r="KA72" s="361">
        <v>100614.28</v>
      </c>
      <c r="KC72" s="361">
        <v>111323.43</v>
      </c>
      <c r="KD72" s="361">
        <v>100614.28</v>
      </c>
      <c r="KE72" s="377">
        <v>94684.19</v>
      </c>
      <c r="KF72" s="361">
        <v>16639.239999999998</v>
      </c>
      <c r="KG72" s="366">
        <v>3232.63</v>
      </c>
      <c r="KH72" s="366">
        <v>4579.54</v>
      </c>
      <c r="KI72" s="366">
        <v>1559.81</v>
      </c>
      <c r="KL72" s="409">
        <v>7267.26</v>
      </c>
      <c r="KM72" s="388">
        <v>36330.870000000003</v>
      </c>
      <c r="KN72" s="366">
        <v>622.5</v>
      </c>
      <c r="KO72" s="366">
        <v>936.74</v>
      </c>
      <c r="KP72" s="366">
        <v>1108.5999999999999</v>
      </c>
      <c r="KQ72" s="366">
        <v>26691.52</v>
      </c>
      <c r="KR72" s="366">
        <v>897.32</v>
      </c>
      <c r="KS72" s="366">
        <v>601.02</v>
      </c>
      <c r="KT72" s="366">
        <v>738.34</v>
      </c>
      <c r="KU72" s="366">
        <v>884.06</v>
      </c>
      <c r="KV72" s="366">
        <v>1196.47</v>
      </c>
      <c r="KW72" s="409">
        <v>2654.3000000000029</v>
      </c>
      <c r="KX72" s="361">
        <v>1495.9</v>
      </c>
      <c r="KY72" s="361">
        <v>1154.02</v>
      </c>
      <c r="KZ72" s="366">
        <v>252.64</v>
      </c>
      <c r="LA72" s="366">
        <v>308.45</v>
      </c>
      <c r="LB72" s="366">
        <v>106.9</v>
      </c>
      <c r="LC72" s="366">
        <v>76.739999999999995</v>
      </c>
      <c r="LD72" s="366">
        <v>106.54</v>
      </c>
      <c r="LE72" s="366">
        <v>409.29000000000008</v>
      </c>
      <c r="LF72" s="361">
        <v>101.96</v>
      </c>
      <c r="LG72" s="361">
        <v>114.82</v>
      </c>
      <c r="LH72" s="361">
        <v>125.10000000000014</v>
      </c>
      <c r="LI72" s="416">
        <v>31411.028200000001</v>
      </c>
      <c r="LJ72" s="388">
        <v>0</v>
      </c>
      <c r="LL72" s="374">
        <v>53034.072178585382</v>
      </c>
      <c r="LM72" s="374">
        <v>53295.199999999997</v>
      </c>
      <c r="LN72" s="443">
        <v>50154.042178585383</v>
      </c>
      <c r="LO72" s="374">
        <v>2880.0299999999997</v>
      </c>
      <c r="LP72" s="408">
        <v>412.67</v>
      </c>
      <c r="LQ72" s="408">
        <v>377.2</v>
      </c>
      <c r="LR72" s="408">
        <v>40.35</v>
      </c>
      <c r="LU72" s="408">
        <v>2049.81</v>
      </c>
      <c r="LV72" s="421">
        <v>3318.16</v>
      </c>
      <c r="LW72" s="408">
        <v>622.5</v>
      </c>
      <c r="LX72" s="408">
        <v>0</v>
      </c>
      <c r="LY72" s="408">
        <v>335.36</v>
      </c>
      <c r="LZ72" s="408">
        <v>0</v>
      </c>
      <c r="MA72" s="408">
        <v>0</v>
      </c>
      <c r="MB72" s="408">
        <v>601.02</v>
      </c>
      <c r="MC72" s="408">
        <v>366.75</v>
      </c>
      <c r="MD72" s="408">
        <v>0</v>
      </c>
      <c r="ME72" s="408">
        <v>0</v>
      </c>
      <c r="MF72" s="422">
        <v>1392.5299999999997</v>
      </c>
      <c r="MG72" s="425">
        <v>970.68</v>
      </c>
      <c r="MH72" s="398">
        <v>950.64</v>
      </c>
      <c r="MI72" s="426">
        <v>252.64</v>
      </c>
      <c r="MJ72" s="426">
        <v>302.02999999999997</v>
      </c>
      <c r="MK72" s="426">
        <v>106.9</v>
      </c>
      <c r="ML72" s="426">
        <v>62.84</v>
      </c>
      <c r="MM72" s="426">
        <v>59.1</v>
      </c>
      <c r="MN72" s="426">
        <v>167.13</v>
      </c>
      <c r="MO72" s="398">
        <v>1.63</v>
      </c>
      <c r="MP72" s="398">
        <v>18.399999999999999</v>
      </c>
      <c r="MQ72" s="398">
        <v>9.9999999999660361E-3</v>
      </c>
      <c r="MS72" s="361">
        <v>58289.357821414618</v>
      </c>
      <c r="MT72" s="361">
        <v>47319.08</v>
      </c>
      <c r="MU72" s="377">
        <v>44530.147821414619</v>
      </c>
      <c r="MV72" s="361">
        <v>13759.21</v>
      </c>
      <c r="MW72" s="366">
        <v>2819.96</v>
      </c>
      <c r="MX72" s="366">
        <v>4202.34</v>
      </c>
      <c r="MY72" s="366">
        <v>1519.46</v>
      </c>
      <c r="NB72" s="366">
        <v>5217.45</v>
      </c>
      <c r="NC72" s="421">
        <v>34216.74</v>
      </c>
      <c r="ND72" s="408">
        <v>0</v>
      </c>
      <c r="NE72" s="408">
        <v>936.74</v>
      </c>
      <c r="NF72" s="408">
        <v>773.24</v>
      </c>
      <c r="NG72" s="408">
        <v>26652.400000000001</v>
      </c>
      <c r="NH72" s="408">
        <v>897.32</v>
      </c>
      <c r="NI72" s="408">
        <v>0</v>
      </c>
      <c r="NJ72" s="408">
        <v>371.59</v>
      </c>
      <c r="NK72" s="408">
        <v>884.06</v>
      </c>
      <c r="NL72" s="408">
        <v>1196.47</v>
      </c>
      <c r="NM72" s="422">
        <v>2504.9199999999946</v>
      </c>
      <c r="NN72" s="374">
        <v>525.22000000000014</v>
      </c>
      <c r="NO72" s="374">
        <v>203.38</v>
      </c>
      <c r="NP72" s="407">
        <v>0</v>
      </c>
      <c r="NQ72" s="407">
        <v>6.42</v>
      </c>
      <c r="NR72" s="407">
        <v>0</v>
      </c>
      <c r="NS72" s="407">
        <v>13.9</v>
      </c>
      <c r="NT72" s="407">
        <v>47.44</v>
      </c>
      <c r="NU72" s="407">
        <v>135.62</v>
      </c>
      <c r="NV72" s="374">
        <v>100.33</v>
      </c>
      <c r="NW72" s="374">
        <v>96.419999999999987</v>
      </c>
      <c r="NX72" s="374">
        <v>125.09000000000017</v>
      </c>
      <c r="NZ72" s="361">
        <v>11470.552000000001</v>
      </c>
      <c r="OA72" s="361">
        <v>3073.8763440570556</v>
      </c>
      <c r="OB72" s="361">
        <v>2946.3942857142861</v>
      </c>
      <c r="OC72" s="361">
        <v>2969.8599999999997</v>
      </c>
    </row>
    <row r="73" spans="1:393">
      <c r="A73" s="240">
        <v>2013</v>
      </c>
      <c r="B73" s="269">
        <v>136072</v>
      </c>
      <c r="C73" s="250">
        <v>73111</v>
      </c>
      <c r="D73" s="250">
        <v>62961</v>
      </c>
      <c r="E73" s="234">
        <v>76977</v>
      </c>
      <c r="F73" s="301">
        <v>3.9</v>
      </c>
      <c r="G73" s="275">
        <v>0.22550568518632766</v>
      </c>
      <c r="H73" s="275">
        <v>0.77449431481367237</v>
      </c>
      <c r="I73" s="234">
        <v>105386.99040532603</v>
      </c>
      <c r="K73" s="234">
        <v>10644</v>
      </c>
      <c r="L73" s="234">
        <v>2115</v>
      </c>
      <c r="M73" s="234">
        <v>5799</v>
      </c>
      <c r="N73" s="234">
        <v>5498</v>
      </c>
      <c r="O73" s="234">
        <v>3630</v>
      </c>
      <c r="P73" s="234">
        <v>3835</v>
      </c>
      <c r="R73" s="295"/>
      <c r="S73" s="334"/>
      <c r="T73" s="239">
        <v>0.99851237809322735</v>
      </c>
      <c r="U73" s="240"/>
      <c r="V73" s="295"/>
      <c r="X73" s="294">
        <v>6.1932000000000009</v>
      </c>
      <c r="Y73" s="294">
        <v>3.5519730759999999</v>
      </c>
      <c r="AA73" s="295"/>
      <c r="AC73" s="234">
        <v>239077.19</v>
      </c>
      <c r="AD73" s="234">
        <v>199579.54</v>
      </c>
      <c r="AE73" s="234">
        <v>31167.18</v>
      </c>
      <c r="AF73" s="234">
        <v>3868.88</v>
      </c>
      <c r="AG73" s="239">
        <v>1.6182555935177253E-2</v>
      </c>
      <c r="AH73" s="239">
        <v>1.6900937284531421E-3</v>
      </c>
      <c r="AJ73" s="234">
        <v>20230</v>
      </c>
      <c r="AK73" s="234">
        <v>8996</v>
      </c>
      <c r="AL73" s="242">
        <v>95471</v>
      </c>
      <c r="AM73" s="314">
        <v>26890.03</v>
      </c>
      <c r="AN73" s="314">
        <v>13386</v>
      </c>
      <c r="AO73" s="314">
        <v>106182.21</v>
      </c>
      <c r="AP73" s="241">
        <v>6252</v>
      </c>
      <c r="AQ73" s="234">
        <v>870</v>
      </c>
      <c r="AR73" s="234">
        <v>32069</v>
      </c>
      <c r="AT73" s="234">
        <v>58574.44</v>
      </c>
      <c r="AV73" s="295"/>
      <c r="AX73" s="234">
        <v>583196.72</v>
      </c>
      <c r="AY73" s="234">
        <v>588018.76</v>
      </c>
      <c r="AZ73" s="234">
        <v>610997.91672607453</v>
      </c>
      <c r="BA73" s="234">
        <v>615819.95672607457</v>
      </c>
      <c r="BB73" s="234">
        <v>-4822.0400000000373</v>
      </c>
      <c r="BF73" s="234">
        <v>528763.9723789281</v>
      </c>
      <c r="BG73" s="234">
        <v>527977.37151010509</v>
      </c>
      <c r="BH73" s="234">
        <v>50098.913488227125</v>
      </c>
      <c r="BJ73" s="236">
        <v>588018.69999999995</v>
      </c>
      <c r="BK73" s="236">
        <v>615819.89672607463</v>
      </c>
      <c r="BL73" s="234">
        <v>55321.7</v>
      </c>
      <c r="BM73" s="234">
        <v>256810</v>
      </c>
      <c r="BN73" s="250">
        <v>217263.9</v>
      </c>
      <c r="BO73" s="250">
        <v>40807.300000000003</v>
      </c>
      <c r="BP73" s="234">
        <v>275887</v>
      </c>
      <c r="BQ73" s="234">
        <v>303688.19672607462</v>
      </c>
      <c r="BR73" s="250">
        <v>26036.3</v>
      </c>
      <c r="BS73" s="250">
        <v>56284.1</v>
      </c>
      <c r="BT73" s="250">
        <v>10228.299999999999</v>
      </c>
      <c r="BU73" s="250">
        <v>41190.5</v>
      </c>
      <c r="BV73" s="250">
        <v>35987.599999999999</v>
      </c>
      <c r="BW73" s="250">
        <v>63788.796726074594</v>
      </c>
      <c r="BX73" s="250">
        <v>103254.8</v>
      </c>
      <c r="CF73" s="234">
        <v>589737.20000000007</v>
      </c>
      <c r="CG73" s="234">
        <v>617538.39672607451</v>
      </c>
      <c r="CH73" s="234">
        <v>1718.4399999999441</v>
      </c>
      <c r="CI73" s="234">
        <v>219762.5</v>
      </c>
      <c r="CJ73" s="234">
        <v>247049.94261932827</v>
      </c>
      <c r="CK73" s="234">
        <v>81245.899999999994</v>
      </c>
      <c r="CL73" s="234">
        <v>81759.654106746326</v>
      </c>
      <c r="CM73" s="234">
        <v>274176.7</v>
      </c>
      <c r="CN73" s="336">
        <v>262336.50134538003</v>
      </c>
      <c r="CO73" s="336">
        <v>11840.198654619991</v>
      </c>
      <c r="CP73" s="234">
        <v>14552.1</v>
      </c>
      <c r="CQ73" s="271"/>
      <c r="CR73" s="295"/>
      <c r="CV73" s="308">
        <v>0.13353569245195029</v>
      </c>
      <c r="CX73" s="234">
        <v>82233.944347146433</v>
      </c>
      <c r="CY73" s="234">
        <v>82111.611330055297</v>
      </c>
      <c r="DD73" s="234">
        <v>27349.131851249214</v>
      </c>
      <c r="DE73" s="262">
        <v>26311.467739466687</v>
      </c>
      <c r="DF73" s="252">
        <v>5292.7813827785512</v>
      </c>
      <c r="DG73" s="252">
        <v>21018.686356688137</v>
      </c>
      <c r="DH73" s="234">
        <v>5443.7091497085348</v>
      </c>
      <c r="DI73" s="250">
        <v>4549.6456602539865</v>
      </c>
      <c r="DJ73" s="258">
        <v>894.06348945454852</v>
      </c>
      <c r="DK73" s="241">
        <v>466.7184937596096</v>
      </c>
      <c r="DL73" s="252">
        <v>466.7184937596096</v>
      </c>
      <c r="DM73" s="258">
        <v>0</v>
      </c>
      <c r="DN73" s="234">
        <v>49889.715947120465</v>
      </c>
      <c r="DO73" s="252">
        <v>570.94561802291503</v>
      </c>
      <c r="DP73" s="250">
        <v>49318.770329097548</v>
      </c>
      <c r="DQ73" s="257">
        <v>82111.611330055297</v>
      </c>
      <c r="DS73" s="295"/>
      <c r="DT73" s="295"/>
      <c r="DU73">
        <f t="shared" si="0"/>
        <v>0.7</v>
      </c>
      <c r="DV73">
        <f t="shared" si="1"/>
        <v>0.95</v>
      </c>
      <c r="DW73" s="318">
        <v>27759.839056790392</v>
      </c>
      <c r="DX73" s="234">
        <v>58193.060278813013</v>
      </c>
      <c r="DZ73" s="309">
        <v>5262.2935478933377</v>
      </c>
      <c r="EA73" s="234">
        <v>52930.766730919677</v>
      </c>
      <c r="EB73" s="234">
        <v>26311.467739466687</v>
      </c>
      <c r="EC73" s="234">
        <v>0</v>
      </c>
      <c r="ED73" s="234">
        <v>0</v>
      </c>
      <c r="EE73" s="234">
        <v>26619.29899145299</v>
      </c>
      <c r="EF73" s="241">
        <v>49715.462004444082</v>
      </c>
      <c r="EG73" s="234">
        <v>4549.6456602539865</v>
      </c>
      <c r="EH73" s="234">
        <v>0</v>
      </c>
      <c r="EI73" s="234">
        <v>45165.816344190098</v>
      </c>
      <c r="EJ73" s="234">
        <v>0</v>
      </c>
      <c r="EK73" s="234">
        <v>31616.071440933065</v>
      </c>
      <c r="EL73" s="242">
        <v>13549.744903257029</v>
      </c>
      <c r="EM73" s="234">
        <v>68748.897694640953</v>
      </c>
      <c r="EN73" s="234">
        <v>894.06348945454852</v>
      </c>
      <c r="EO73" s="234">
        <v>56098.586078476641</v>
      </c>
      <c r="EP73" s="236">
        <v>61663.230346735669</v>
      </c>
      <c r="EQ73" s="234">
        <v>2946.170682306753</v>
      </c>
      <c r="ER73" s="234">
        <v>3245.4331761439826</v>
      </c>
      <c r="ES73" s="241">
        <v>14147.033209186435</v>
      </c>
      <c r="ET73" s="250">
        <v>10814.677879528346</v>
      </c>
      <c r="EU73" s="250">
        <v>1716.8321977697142</v>
      </c>
      <c r="EV73" s="250">
        <v>-57.714015453788541</v>
      </c>
      <c r="EW73" s="250">
        <v>1673.227162218383</v>
      </c>
      <c r="EX73" s="241">
        <v>23336.871836338796</v>
      </c>
      <c r="EY73" s="266"/>
      <c r="EZ73" s="234">
        <v>400499.37590037088</v>
      </c>
      <c r="FA73" s="234">
        <v>627.55023045495091</v>
      </c>
      <c r="FB73" s="234">
        <v>49889.715947120465</v>
      </c>
      <c r="FC73" s="234">
        <v>70195.14059648801</v>
      </c>
      <c r="FF73" s="234">
        <v>159863.48444922047</v>
      </c>
      <c r="FG73" s="234">
        <v>120551.03490754194</v>
      </c>
      <c r="FH73" s="250">
        <v>29958.247058445722</v>
      </c>
      <c r="FI73" s="250">
        <v>22393.826820848652</v>
      </c>
      <c r="FJ73" s="250">
        <v>3092.4627308211921</v>
      </c>
      <c r="FK73" s="250">
        <v>65106.508282550203</v>
      </c>
      <c r="FL73" s="257">
        <v>-29958.247058445722</v>
      </c>
      <c r="FM73" s="250">
        <v>-3654.7150658017031</v>
      </c>
      <c r="FN73" s="250">
        <v>-18018.08596682582</v>
      </c>
      <c r="FO73" s="250">
        <v>-5062.5775784180341</v>
      </c>
      <c r="FP73" s="250">
        <v>-3222.8884176477291</v>
      </c>
      <c r="FQ73" s="241">
        <v>29150.503432516391</v>
      </c>
      <c r="FR73" s="234">
        <v>51382.657836471779</v>
      </c>
      <c r="FS73" s="234">
        <v>10059.626580108046</v>
      </c>
      <c r="FT73" s="388">
        <v>-30787.461662833251</v>
      </c>
      <c r="FV73" s="234">
        <v>43009.347137445424</v>
      </c>
      <c r="FW73" s="234">
        <v>512.98983488244482</v>
      </c>
      <c r="FX73" s="234">
        <v>466.7184937596096</v>
      </c>
      <c r="FY73" s="234">
        <v>285.70434674381511</v>
      </c>
      <c r="FZ73" s="234">
        <v>37026.706197843909</v>
      </c>
      <c r="GA73" s="234">
        <v>5230.2180990980924</v>
      </c>
      <c r="GB73" s="241">
        <v>10002.058550864735</v>
      </c>
      <c r="GC73" s="250">
        <v>-126.24191996232612</v>
      </c>
      <c r="GD73" s="250">
        <v>5120.2915938718224</v>
      </c>
      <c r="GE73" s="250">
        <v>1549.6612554293461</v>
      </c>
      <c r="GF73" s="250">
        <v>3458.3576066496739</v>
      </c>
      <c r="GG73" s="257">
        <v>10002.058550864735</v>
      </c>
      <c r="GH73" s="250">
        <v>-126.24191996232612</v>
      </c>
      <c r="GI73" s="250">
        <v>3458.3576066496739</v>
      </c>
      <c r="GJ73" s="250">
        <v>5120.2915938718224</v>
      </c>
      <c r="GK73" s="250">
        <v>1549.6612554293461</v>
      </c>
      <c r="GL73" s="388">
        <v>7450.5898264944535</v>
      </c>
      <c r="GN73" s="236">
        <v>5809.1552983945585</v>
      </c>
      <c r="GO73" s="236">
        <v>-994.28867073389301</v>
      </c>
      <c r="GP73" s="254">
        <v>5809.1552983945585</v>
      </c>
      <c r="GQ73" s="236">
        <v>-7033.7308788880928</v>
      </c>
      <c r="GR73" s="236">
        <v>12842.886177282653</v>
      </c>
      <c r="GT73" s="236">
        <v>614903.84946782107</v>
      </c>
      <c r="GU73" s="236">
        <v>82111.611330055282</v>
      </c>
      <c r="GV73" s="236">
        <v>73427.015625538581</v>
      </c>
      <c r="GW73" s="236">
        <v>290169.49243473308</v>
      </c>
      <c r="GX73" s="236">
        <v>169195.73007749402</v>
      </c>
      <c r="GY73" s="271"/>
      <c r="GZ73" s="295"/>
      <c r="HB73" s="234">
        <v>466502.39</v>
      </c>
      <c r="HC73" s="234">
        <v>74870.67</v>
      </c>
      <c r="HD73" s="234">
        <v>74759.290751133245</v>
      </c>
      <c r="HE73" s="234">
        <v>47410.158899884031</v>
      </c>
      <c r="HG73" s="234">
        <v>272458.26</v>
      </c>
      <c r="HI73" s="234">
        <v>281229.52350651415</v>
      </c>
      <c r="HJ73" s="234">
        <v>191888.33930639623</v>
      </c>
      <c r="HK73" s="250">
        <v>191657.21740469808</v>
      </c>
      <c r="HL73" s="250">
        <v>421.07889650656944</v>
      </c>
      <c r="HM73" s="250">
        <v>-189.96697993223651</v>
      </c>
      <c r="HN73" s="250"/>
      <c r="HO73" s="271">
        <v>137350.85999999999</v>
      </c>
      <c r="HP73" s="271">
        <v>105391.3569625747</v>
      </c>
      <c r="HQ73" s="321">
        <v>17434.288764736913</v>
      </c>
      <c r="HR73" s="321">
        <v>87573.020366975587</v>
      </c>
      <c r="HS73" s="321">
        <v>384.0378457384362</v>
      </c>
      <c r="HU73" s="234">
        <v>29130.09</v>
      </c>
      <c r="HV73" s="234">
        <v>28620.03694621013</v>
      </c>
      <c r="HW73" s="250">
        <v>20303.257601967365</v>
      </c>
      <c r="HX73" s="250">
        <v>4386.9541480288135</v>
      </c>
      <c r="HY73" s="250">
        <v>3929.8251962139529</v>
      </c>
      <c r="IA73" s="234">
        <v>100204.35</v>
      </c>
      <c r="IB73" s="234">
        <v>14963.2</v>
      </c>
      <c r="IC73" s="234">
        <v>114996.22422967067</v>
      </c>
      <c r="ID73" s="234">
        <v>65106.508282550203</v>
      </c>
      <c r="IE73" s="310">
        <v>20949.653258612798</v>
      </c>
      <c r="IF73" s="310">
        <v>36927.282153874759</v>
      </c>
      <c r="IG73" s="326">
        <v>7229.5728700626432</v>
      </c>
      <c r="IH73" s="250">
        <v>153919.5612016322</v>
      </c>
      <c r="II73" s="250">
        <v>-84309.212912073606</v>
      </c>
      <c r="IJ73" s="250">
        <v>-4503.8300218846252</v>
      </c>
      <c r="IL73" s="234">
        <v>-1946.9955275848579</v>
      </c>
      <c r="IM73" s="248">
        <v>7229.5728700626432</v>
      </c>
      <c r="IN73" s="248">
        <v>-9176.5683976475011</v>
      </c>
      <c r="IO73" s="257">
        <v>-14530.451977250454</v>
      </c>
      <c r="IP73" s="250">
        <v>-994.28867073389301</v>
      </c>
      <c r="IQ73" s="250">
        <v>5809.1552983945585</v>
      </c>
      <c r="IR73" s="258">
        <v>539.01695194228614</v>
      </c>
      <c r="IS73" s="257">
        <v>-189.96697993223651</v>
      </c>
      <c r="IT73" s="250">
        <v>9366.5453627035185</v>
      </c>
      <c r="IU73" s="271"/>
      <c r="IV73" s="295"/>
      <c r="JI73" s="361">
        <v>29030.370000000003</v>
      </c>
      <c r="JJ73" s="370">
        <v>22427.190000000002</v>
      </c>
      <c r="JK73" s="370">
        <v>6603.18</v>
      </c>
      <c r="JL73" s="370">
        <v>73536.41</v>
      </c>
      <c r="JM73" s="370">
        <v>102566.78</v>
      </c>
      <c r="JO73" s="361">
        <v>129209.64</v>
      </c>
      <c r="JP73" s="361">
        <v>18678.940000000002</v>
      </c>
      <c r="JQ73" s="377">
        <v>110530.7</v>
      </c>
      <c r="JR73" s="363">
        <v>81571.97</v>
      </c>
      <c r="JS73" s="366">
        <v>28810.13</v>
      </c>
      <c r="JT73" s="366">
        <v>17233.02</v>
      </c>
      <c r="JU73" s="366">
        <v>8231.32</v>
      </c>
      <c r="JV73" s="366">
        <v>2630.61</v>
      </c>
      <c r="JW73" s="363">
        <v>28958.73</v>
      </c>
      <c r="JX73" s="366">
        <v>6531.53</v>
      </c>
      <c r="JY73" s="366">
        <v>22427.200000000001</v>
      </c>
      <c r="KA73" s="361">
        <v>110530.7</v>
      </c>
      <c r="KC73" s="361">
        <v>121245.72</v>
      </c>
      <c r="KD73" s="361">
        <v>110530.7</v>
      </c>
      <c r="KE73" s="377">
        <v>102566.78</v>
      </c>
      <c r="KF73" s="361">
        <v>18678.940000000002</v>
      </c>
      <c r="KG73" s="366">
        <v>3528.61</v>
      </c>
      <c r="KH73" s="366">
        <v>4775.83</v>
      </c>
      <c r="KI73" s="366">
        <v>1658.77</v>
      </c>
      <c r="KL73" s="409">
        <v>8715.73</v>
      </c>
      <c r="KM73" s="388">
        <v>52268.75</v>
      </c>
      <c r="KN73" s="366">
        <v>625.79999999999995</v>
      </c>
      <c r="KO73" s="366">
        <v>1058.78</v>
      </c>
      <c r="KP73" s="366">
        <v>1002.36</v>
      </c>
      <c r="KQ73" s="366">
        <v>39142.03</v>
      </c>
      <c r="KR73" s="366">
        <v>1259.67</v>
      </c>
      <c r="KS73" s="366">
        <v>839.95</v>
      </c>
      <c r="KT73" s="366">
        <v>861.28</v>
      </c>
      <c r="KU73" s="366">
        <v>1251.3800000000001</v>
      </c>
      <c r="KV73" s="366">
        <v>1408.77</v>
      </c>
      <c r="KW73" s="409">
        <v>4818.7300000000105</v>
      </c>
      <c r="KX73" s="361">
        <v>1713.36</v>
      </c>
      <c r="KY73" s="361">
        <v>1288.08</v>
      </c>
      <c r="KZ73" s="366">
        <v>295.68</v>
      </c>
      <c r="LA73" s="366">
        <v>298.64999999999998</v>
      </c>
      <c r="LB73" s="366">
        <v>110.02</v>
      </c>
      <c r="LC73" s="366">
        <v>139.24</v>
      </c>
      <c r="LD73" s="366">
        <v>82.75</v>
      </c>
      <c r="LE73" s="366">
        <v>444.49</v>
      </c>
      <c r="LF73" s="361">
        <v>123.67</v>
      </c>
      <c r="LG73" s="361">
        <v>141.83000000000001</v>
      </c>
      <c r="LH73" s="361">
        <v>159.77999999999994</v>
      </c>
      <c r="LI73" s="430">
        <v>35993.584199999998</v>
      </c>
      <c r="LJ73" s="388">
        <v>0</v>
      </c>
      <c r="LL73" s="374">
        <v>56117.487160052362</v>
      </c>
      <c r="LM73" s="374">
        <v>56639.82</v>
      </c>
      <c r="LN73" s="443">
        <v>52558.827160052366</v>
      </c>
      <c r="LO73" s="374">
        <v>3558.66</v>
      </c>
      <c r="LP73" s="408">
        <v>406.39</v>
      </c>
      <c r="LQ73" s="408">
        <v>278.48</v>
      </c>
      <c r="LR73" s="408">
        <v>45.43</v>
      </c>
      <c r="LU73" s="408">
        <v>2828.36</v>
      </c>
      <c r="LV73" s="421">
        <v>4238.4399999999996</v>
      </c>
      <c r="LW73" s="408">
        <v>625.79999999999995</v>
      </c>
      <c r="LX73" s="408">
        <v>0</v>
      </c>
      <c r="LY73" s="408">
        <v>303.14</v>
      </c>
      <c r="LZ73" s="408">
        <v>0</v>
      </c>
      <c r="MA73" s="408">
        <v>0</v>
      </c>
      <c r="MB73" s="408">
        <v>839.95</v>
      </c>
      <c r="MC73" s="408">
        <v>425.79</v>
      </c>
      <c r="MD73" s="408">
        <v>0</v>
      </c>
      <c r="ME73" s="408">
        <v>0</v>
      </c>
      <c r="MF73" s="422">
        <v>2043.7599999999998</v>
      </c>
      <c r="MG73" s="425">
        <v>1058.43</v>
      </c>
      <c r="MH73" s="398">
        <v>1039</v>
      </c>
      <c r="MI73" s="426">
        <v>295.68</v>
      </c>
      <c r="MJ73" s="426">
        <v>290.89</v>
      </c>
      <c r="MK73" s="426">
        <v>110.02</v>
      </c>
      <c r="ML73" s="426">
        <v>122.19</v>
      </c>
      <c r="MM73" s="426">
        <v>59.62</v>
      </c>
      <c r="MN73" s="426">
        <v>160.60000000000002</v>
      </c>
      <c r="MO73" s="398">
        <v>0.42</v>
      </c>
      <c r="MP73" s="398">
        <v>18.37</v>
      </c>
      <c r="MQ73" s="398">
        <v>0.64000000000006096</v>
      </c>
      <c r="MS73" s="361">
        <v>65128.232839947632</v>
      </c>
      <c r="MT73" s="361">
        <v>53890.879999999997</v>
      </c>
      <c r="MU73" s="377">
        <v>50007.952839947633</v>
      </c>
      <c r="MV73" s="361">
        <v>15120.279999999999</v>
      </c>
      <c r="MW73" s="366">
        <v>3122.22</v>
      </c>
      <c r="MX73" s="366">
        <v>4497.3500000000004</v>
      </c>
      <c r="MY73" s="366">
        <v>1613.34</v>
      </c>
      <c r="NB73" s="366">
        <v>5887.37</v>
      </c>
      <c r="NC73" s="421">
        <v>48030.31</v>
      </c>
      <c r="ND73" s="408">
        <v>0</v>
      </c>
      <c r="NE73" s="408">
        <v>1058.78</v>
      </c>
      <c r="NF73" s="408">
        <v>699.22</v>
      </c>
      <c r="NG73" s="408">
        <v>39072.99</v>
      </c>
      <c r="NH73" s="408">
        <v>1259.67</v>
      </c>
      <c r="NI73" s="408">
        <v>0</v>
      </c>
      <c r="NJ73" s="408">
        <v>435.49</v>
      </c>
      <c r="NK73" s="408">
        <v>1251.3800000000001</v>
      </c>
      <c r="NL73" s="408">
        <v>1408.77</v>
      </c>
      <c r="NM73" s="422">
        <v>2844.0100000000093</v>
      </c>
      <c r="NN73" s="374">
        <v>654.92999999999995</v>
      </c>
      <c r="NO73" s="374">
        <v>248</v>
      </c>
      <c r="NP73" s="407">
        <v>0</v>
      </c>
      <c r="NQ73" s="407">
        <v>7.76</v>
      </c>
      <c r="NR73" s="407">
        <v>0</v>
      </c>
      <c r="NS73" s="407">
        <v>17.05</v>
      </c>
      <c r="NT73" s="407">
        <v>23.13</v>
      </c>
      <c r="NU73" s="407">
        <v>200.06</v>
      </c>
      <c r="NV73" s="374">
        <v>123.25</v>
      </c>
      <c r="NW73" s="374">
        <v>123.46</v>
      </c>
      <c r="NX73" s="374">
        <v>160.21999999999997</v>
      </c>
      <c r="NZ73" s="361">
        <v>12629.1</v>
      </c>
      <c r="OA73" s="361">
        <v>3525.2946919488904</v>
      </c>
      <c r="OB73" s="361">
        <v>4124.9520000000002</v>
      </c>
      <c r="OC73" s="361">
        <v>2955.4070000000002</v>
      </c>
    </row>
    <row r="74" spans="1:393">
      <c r="A74" s="240">
        <v>2014</v>
      </c>
      <c r="B74" s="269">
        <v>136782</v>
      </c>
      <c r="C74" s="250">
        <v>74916</v>
      </c>
      <c r="D74" s="250">
        <v>61866</v>
      </c>
      <c r="E74" s="234">
        <v>77253</v>
      </c>
      <c r="F74" s="301">
        <v>3.9</v>
      </c>
      <c r="G74" s="275">
        <v>0.22245424679073855</v>
      </c>
      <c r="H74" s="275">
        <v>0.77754575320926145</v>
      </c>
      <c r="I74" s="234">
        <v>106354.2632154692</v>
      </c>
      <c r="R74" s="295"/>
      <c r="S74" s="334"/>
      <c r="T74" s="239">
        <v>0.99391879101051517</v>
      </c>
      <c r="U74" s="240"/>
      <c r="V74" s="295"/>
      <c r="X74" s="294">
        <v>6.1427999999999994</v>
      </c>
      <c r="Y74" s="294">
        <v>3.5307551639999999</v>
      </c>
      <c r="AA74" s="295"/>
      <c r="AC74" s="234">
        <v>372546.96</v>
      </c>
      <c r="AD74" s="234">
        <v>315624.31</v>
      </c>
      <c r="AE74" s="234">
        <v>42033</v>
      </c>
      <c r="AF74" s="234">
        <v>7087.44</v>
      </c>
      <c r="AG74" s="239">
        <v>1.9024286226896066E-2</v>
      </c>
      <c r="AH74" s="239">
        <v>0.5215932928346968</v>
      </c>
      <c r="AJ74" s="234">
        <v>21120.6</v>
      </c>
      <c r="AK74" s="234">
        <v>10365</v>
      </c>
      <c r="AL74" s="242">
        <v>107275</v>
      </c>
      <c r="AM74" s="234">
        <v>46991.58</v>
      </c>
      <c r="AN74" s="234">
        <v>19345</v>
      </c>
      <c r="AO74" s="234">
        <v>125489</v>
      </c>
      <c r="AP74" s="241">
        <v>8260</v>
      </c>
      <c r="AQ74" s="234">
        <v>1412</v>
      </c>
      <c r="AR74" s="234">
        <v>39302</v>
      </c>
      <c r="AT74" s="234">
        <v>60259.53</v>
      </c>
      <c r="AV74" s="295"/>
      <c r="AX74" s="234">
        <v>644791.1</v>
      </c>
      <c r="AY74" s="234">
        <v>643974.05000000005</v>
      </c>
      <c r="AZ74" s="234">
        <v>673953.20814148115</v>
      </c>
      <c r="BA74" s="234">
        <v>673136.15814148122</v>
      </c>
      <c r="BB74" s="234">
        <v>817.04999999993015</v>
      </c>
      <c r="BF74" s="234">
        <v>584065.5051496129</v>
      </c>
      <c r="BG74" s="234">
        <v>580513.68074924906</v>
      </c>
      <c r="BH74" s="234">
        <v>54583.019354208038</v>
      </c>
      <c r="BJ74" s="236">
        <v>643973.89999999991</v>
      </c>
      <c r="BK74" s="236">
        <v>673136.0081414812</v>
      </c>
      <c r="BL74" s="234">
        <v>58343.5</v>
      </c>
      <c r="BM74" s="234">
        <v>277571.8</v>
      </c>
      <c r="BN74" s="250">
        <v>233856.4</v>
      </c>
      <c r="BO74" s="250">
        <v>44880.5</v>
      </c>
      <c r="BP74" s="234">
        <v>308058.59999999998</v>
      </c>
      <c r="BQ74" s="234">
        <v>337220.70814148121</v>
      </c>
      <c r="BR74" s="250">
        <v>28500.9</v>
      </c>
      <c r="BS74" s="250">
        <v>62423.5</v>
      </c>
      <c r="BT74" s="250">
        <v>11158.5</v>
      </c>
      <c r="BU74" s="250">
        <v>46665.2</v>
      </c>
      <c r="BV74" s="250">
        <v>38000.800000000003</v>
      </c>
      <c r="BW74" s="250">
        <v>67162.908141481224</v>
      </c>
      <c r="BX74" s="250">
        <v>118322.7</v>
      </c>
      <c r="CF74" s="234">
        <v>647182</v>
      </c>
      <c r="CG74" s="234">
        <v>676344.10814148118</v>
      </c>
      <c r="CH74" s="234">
        <v>3207.9499999999534</v>
      </c>
      <c r="CI74" s="234">
        <v>242540</v>
      </c>
      <c r="CJ74" s="234">
        <v>271230.45940612088</v>
      </c>
      <c r="CK74" s="234">
        <v>85773</v>
      </c>
      <c r="CL74" s="234">
        <v>86244.648735360373</v>
      </c>
      <c r="CM74" s="234">
        <v>302717</v>
      </c>
      <c r="CN74" s="250">
        <v>290053</v>
      </c>
      <c r="CO74" s="250">
        <v>12664</v>
      </c>
      <c r="CP74" s="234">
        <v>16152</v>
      </c>
      <c r="CR74" s="295"/>
      <c r="CV74" s="308">
        <v>0.13353569245195029</v>
      </c>
      <c r="CX74" s="234">
        <v>89887.702991868209</v>
      </c>
      <c r="CY74" s="234">
        <v>89341.077084389923</v>
      </c>
      <c r="DD74" s="234">
        <v>29915.353157547619</v>
      </c>
      <c r="DE74" s="262">
        <v>28888.506870925576</v>
      </c>
      <c r="DF74" s="252">
        <v>5578.1793949540215</v>
      </c>
      <c r="DG74" s="252">
        <v>23310.327475971553</v>
      </c>
      <c r="DH74" s="234">
        <v>6948.676210744713</v>
      </c>
      <c r="DI74" s="250">
        <v>5733.6020646510387</v>
      </c>
      <c r="DJ74" s="258">
        <v>1215.074146093674</v>
      </c>
      <c r="DK74" s="241">
        <v>449.27215742204328</v>
      </c>
      <c r="DL74" s="252">
        <v>449.27215742204328</v>
      </c>
      <c r="DM74" s="258">
        <v>0</v>
      </c>
      <c r="DN74" s="234">
        <v>53054.621845297595</v>
      </c>
      <c r="DO74" s="252">
        <v>577.5741292000007</v>
      </c>
      <c r="DP74" s="250">
        <v>52477.047716097593</v>
      </c>
      <c r="DQ74" s="257">
        <v>89341.077084389923</v>
      </c>
      <c r="DS74" s="295"/>
      <c r="DT74" s="295"/>
      <c r="DU74">
        <f t="shared" si="0"/>
        <v>0.7</v>
      </c>
      <c r="DV74">
        <f t="shared" si="1"/>
        <v>0.95</v>
      </c>
      <c r="DW74" s="318">
        <v>28984.767267298921</v>
      </c>
      <c r="DX74" s="234">
        <v>62579.54130568041</v>
      </c>
      <c r="DZ74" s="309">
        <v>5777.7013741851151</v>
      </c>
      <c r="EA74" s="234">
        <v>56801.839931495291</v>
      </c>
      <c r="EB74" s="234">
        <v>28888.506870925576</v>
      </c>
      <c r="EC74" s="234">
        <v>0</v>
      </c>
      <c r="ED74" s="234">
        <v>0</v>
      </c>
      <c r="EE74" s="234">
        <v>27913.333060569716</v>
      </c>
      <c r="EF74" s="241">
        <v>52189.830884989795</v>
      </c>
      <c r="EG74" s="234">
        <v>5733.6020646510387</v>
      </c>
      <c r="EH74" s="234">
        <v>0</v>
      </c>
      <c r="EI74" s="234">
        <v>46456.228820338758</v>
      </c>
      <c r="EJ74" s="234">
        <v>0</v>
      </c>
      <c r="EK74" s="234">
        <v>32519.360174237128</v>
      </c>
      <c r="EL74" s="242">
        <v>13936.868646101628</v>
      </c>
      <c r="EM74" s="234">
        <v>74768.536181237723</v>
      </c>
      <c r="EN74" s="234">
        <v>1215.074146093674</v>
      </c>
      <c r="EO74" s="234">
        <v>62551.894097242781</v>
      </c>
      <c r="EP74" s="236">
        <v>66903.120456820907</v>
      </c>
      <c r="EQ74" s="234">
        <v>3129.1247121746746</v>
      </c>
      <c r="ER74" s="234">
        <v>3521.2168661484693</v>
      </c>
      <c r="ES74" s="241">
        <v>15056.557711005169</v>
      </c>
      <c r="ET74" s="250">
        <v>10887.336740789631</v>
      </c>
      <c r="EU74" s="250">
        <v>1968.8736114885498</v>
      </c>
      <c r="EV74" s="250">
        <v>-58.233701965306089</v>
      </c>
      <c r="EW74" s="250">
        <v>2258.5711215043843</v>
      </c>
      <c r="EX74" s="241">
        <v>17373.84955468246</v>
      </c>
      <c r="EY74" s="266"/>
      <c r="EZ74" s="234">
        <v>437346.76137302408</v>
      </c>
      <c r="FA74" s="234">
        <v>602.65366589818632</v>
      </c>
      <c r="FB74" s="234">
        <v>53054.621845297595</v>
      </c>
      <c r="FC74" s="234">
        <v>74732.604808261996</v>
      </c>
      <c r="FF74" s="234">
        <v>175607.63035379208</v>
      </c>
      <c r="FG74" s="234">
        <v>133951.90436567241</v>
      </c>
      <c r="FH74" s="250">
        <v>28922.172109057821</v>
      </c>
      <c r="FI74" s="250">
        <v>24492.335692651406</v>
      </c>
      <c r="FJ74" s="250">
        <v>2200.834378934584</v>
      </c>
      <c r="FK74" s="250">
        <v>78336.57212421656</v>
      </c>
      <c r="FL74" s="257">
        <v>-28922.172109057821</v>
      </c>
      <c r="FM74" s="250">
        <v>-4838.6948502764935</v>
      </c>
      <c r="FN74" s="250">
        <v>-14710.306221780836</v>
      </c>
      <c r="FO74" s="250">
        <v>-5775.5030675555417</v>
      </c>
      <c r="FP74" s="250">
        <v>-3597.6480910691212</v>
      </c>
      <c r="FQ74" s="241">
        <v>33735.734937031899</v>
      </c>
      <c r="FR74" s="234">
        <v>58325.563354712307</v>
      </c>
      <c r="FS74" s="234">
        <v>12968.433964870388</v>
      </c>
      <c r="FT74" s="388">
        <v>-23778.75169664541</v>
      </c>
      <c r="FV74" s="234">
        <v>47935.698175509126</v>
      </c>
      <c r="FW74" s="234">
        <v>468.78054083101949</v>
      </c>
      <c r="FX74" s="234">
        <v>449.27215742204328</v>
      </c>
      <c r="FY74" s="234">
        <v>303.13529207029706</v>
      </c>
      <c r="FZ74" s="234">
        <v>40764.664808008551</v>
      </c>
      <c r="GA74" s="234">
        <v>6418.6259180082343</v>
      </c>
      <c r="GB74" s="241">
        <v>13104.829198661555</v>
      </c>
      <c r="GC74" s="250">
        <v>1733.7223647233718</v>
      </c>
      <c r="GD74" s="250">
        <v>5833.7367695208486</v>
      </c>
      <c r="GE74" s="250">
        <v>1339.0670303768266</v>
      </c>
      <c r="GF74" s="250">
        <v>4198.312973228416</v>
      </c>
      <c r="GG74" s="257">
        <v>13104.829198661555</v>
      </c>
      <c r="GH74" s="250">
        <v>1733.7223647233718</v>
      </c>
      <c r="GI74" s="250">
        <v>4198.312973228416</v>
      </c>
      <c r="GJ74" s="250">
        <v>5833.7367695208486</v>
      </c>
      <c r="GK74" s="250">
        <v>1339.0670303768266</v>
      </c>
      <c r="GL74" s="388">
        <v>6404.8922027750405</v>
      </c>
      <c r="GN74" s="236">
        <v>760.76532101526857</v>
      </c>
      <c r="GO74" s="236">
        <v>-1572.8466692104098</v>
      </c>
      <c r="GP74" s="254">
        <v>760.76532101526857</v>
      </c>
      <c r="GQ74" s="236">
        <v>-7782.3642552365136</v>
      </c>
      <c r="GR74" s="236">
        <v>8543.1295762517821</v>
      </c>
      <c r="GT74" s="236">
        <v>669042.66654625593</v>
      </c>
      <c r="GU74" s="236">
        <v>89341.077084389937</v>
      </c>
      <c r="GV74" s="236">
        <v>78164.864812506959</v>
      </c>
      <c r="GW74" s="236">
        <v>315794.77579285862</v>
      </c>
      <c r="GX74" s="236">
        <v>185741.94885650047</v>
      </c>
      <c r="GZ74" s="295"/>
      <c r="HB74" s="234">
        <v>507831.09</v>
      </c>
      <c r="HC74" s="234">
        <v>80615.14</v>
      </c>
      <c r="HD74" s="234">
        <v>80124.902485943414</v>
      </c>
      <c r="HE74" s="234">
        <v>50209.549328395791</v>
      </c>
      <c r="HG74" s="234">
        <v>299509.48</v>
      </c>
      <c r="HI74" s="234">
        <v>314641.17429229623</v>
      </c>
      <c r="HJ74" s="234">
        <v>215627.57266842545</v>
      </c>
      <c r="HK74" s="250">
        <v>211535.43514145663</v>
      </c>
      <c r="HL74" s="250">
        <v>4090.000601568172</v>
      </c>
      <c r="HM74" s="250">
        <v>2.1269862127619241</v>
      </c>
      <c r="HN74" s="250"/>
      <c r="HO74" s="271">
        <v>148569.95000000001</v>
      </c>
      <c r="HP74" s="271">
        <v>111829.28200282241</v>
      </c>
      <c r="HQ74" s="321">
        <v>22931.038470253337</v>
      </c>
      <c r="HR74" s="321">
        <v>88800.163626272144</v>
      </c>
      <c r="HS74" s="321">
        <v>98.089845484827734</v>
      </c>
      <c r="HU74" s="234">
        <v>35801.230000000003</v>
      </c>
      <c r="HV74" s="234">
        <v>35134.243080867345</v>
      </c>
      <c r="HW74" s="250">
        <v>26518.945061200287</v>
      </c>
      <c r="HX74" s="250">
        <v>4391.8090834623436</v>
      </c>
      <c r="HY74" s="250">
        <v>4223.4988753926218</v>
      </c>
      <c r="IA74" s="234">
        <v>116262.29</v>
      </c>
      <c r="IB74" s="234">
        <v>15932.81</v>
      </c>
      <c r="IC74" s="234">
        <v>131391.19396951416</v>
      </c>
      <c r="ID74" s="234">
        <v>78336.57212421656</v>
      </c>
      <c r="IE74" s="310">
        <v>25161.844901226214</v>
      </c>
      <c r="IF74" s="310">
        <v>43502.202683509495</v>
      </c>
      <c r="IG74" s="326">
        <v>9672.5245394808589</v>
      </c>
      <c r="IH74" s="250">
        <v>162085.34227893592</v>
      </c>
      <c r="II74" s="250">
        <v>-79429.318359242607</v>
      </c>
      <c r="IJ74" s="250">
        <v>-4319.451795476778</v>
      </c>
      <c r="IL74" s="234">
        <v>-7280.5494950272951</v>
      </c>
      <c r="IM74" s="248">
        <v>9672.5245394808589</v>
      </c>
      <c r="IN74" s="248">
        <v>-16953.074034508154</v>
      </c>
      <c r="IO74" s="257">
        <v>-16053.348927321706</v>
      </c>
      <c r="IP74" s="250">
        <v>-1572.8466692104098</v>
      </c>
      <c r="IQ74" s="250">
        <v>760.76532101526857</v>
      </c>
      <c r="IR74" s="258">
        <v>-87.643758991307067</v>
      </c>
      <c r="IS74" s="257">
        <v>2.1269862127625032</v>
      </c>
      <c r="IT74" s="250">
        <v>16950.937109107483</v>
      </c>
      <c r="IV74" s="295"/>
      <c r="JI74" s="361">
        <v>32362.829999999998</v>
      </c>
      <c r="JJ74" s="370">
        <v>24642.19</v>
      </c>
      <c r="JK74" s="370">
        <v>7720.64</v>
      </c>
      <c r="JL74" s="370">
        <v>78643.11</v>
      </c>
      <c r="JM74" s="370">
        <v>111005.94</v>
      </c>
      <c r="JO74" s="361">
        <v>140370.03</v>
      </c>
      <c r="JP74" s="361">
        <v>21194.720000000001</v>
      </c>
      <c r="JQ74" s="377">
        <v>119175.31</v>
      </c>
      <c r="JR74" s="363">
        <v>87156.51</v>
      </c>
      <c r="JS74" s="366">
        <v>30855.360000000001</v>
      </c>
      <c r="JT74" s="366">
        <v>17781.73</v>
      </c>
      <c r="JU74" s="366">
        <v>8907.1200000000008</v>
      </c>
      <c r="JV74" s="366">
        <v>2843.41</v>
      </c>
      <c r="JW74" s="363">
        <v>32018.799999999999</v>
      </c>
      <c r="JX74" s="366">
        <v>7376.61</v>
      </c>
      <c r="JY74" s="366">
        <v>24642.19</v>
      </c>
      <c r="KA74" s="361">
        <v>119175.31</v>
      </c>
      <c r="KC74" s="361">
        <v>132200.66</v>
      </c>
      <c r="KD74" s="361">
        <v>119175.31</v>
      </c>
      <c r="KE74" s="377">
        <v>111005.94</v>
      </c>
      <c r="KF74" s="361">
        <v>21194.720000000001</v>
      </c>
      <c r="KG74" s="366">
        <v>3711.35</v>
      </c>
      <c r="KH74" s="366">
        <v>5206</v>
      </c>
      <c r="KI74" s="366">
        <v>1721.82</v>
      </c>
      <c r="KJ74" s="366">
        <v>3176.33</v>
      </c>
      <c r="KK74" s="366">
        <v>4366.7700000000004</v>
      </c>
      <c r="KL74" s="409">
        <v>3012.45</v>
      </c>
      <c r="KM74" s="388">
        <v>54113.65</v>
      </c>
      <c r="KN74" s="366">
        <v>547</v>
      </c>
      <c r="KO74" s="366">
        <v>1137.97</v>
      </c>
      <c r="KP74" s="366">
        <v>805.73</v>
      </c>
      <c r="KQ74" s="366">
        <v>40479.69</v>
      </c>
      <c r="KR74" s="366">
        <v>1413.89</v>
      </c>
      <c r="KS74" s="366">
        <v>548.77</v>
      </c>
      <c r="KT74" s="366">
        <v>1042.4100000000001</v>
      </c>
      <c r="KU74" s="366">
        <v>1367.1</v>
      </c>
      <c r="KV74" s="366">
        <v>1476.14</v>
      </c>
      <c r="KW74" s="409">
        <v>5294.9500000000044</v>
      </c>
      <c r="KX74" s="361">
        <v>2007.59</v>
      </c>
      <c r="KY74" s="361">
        <v>1700.15</v>
      </c>
      <c r="KZ74" s="366">
        <v>412.35</v>
      </c>
      <c r="LA74" s="366">
        <v>396.49</v>
      </c>
      <c r="LB74" s="366">
        <v>119.02</v>
      </c>
      <c r="LC74" s="366">
        <v>150.91999999999999</v>
      </c>
      <c r="LD74" s="366">
        <v>74.41</v>
      </c>
      <c r="LE74" s="366">
        <v>621.37000000000012</v>
      </c>
      <c r="LF74" s="361">
        <v>117.02</v>
      </c>
      <c r="LG74" s="361">
        <v>94.86</v>
      </c>
      <c r="LH74" s="361">
        <v>95.559999999999846</v>
      </c>
      <c r="LI74" s="416">
        <v>37667</v>
      </c>
      <c r="LJ74" s="388">
        <v>0</v>
      </c>
      <c r="LL74" s="374">
        <v>60378.072446562139</v>
      </c>
      <c r="LM74" s="374">
        <v>60035.4</v>
      </c>
      <c r="LN74" s="443">
        <v>55920.022446562136</v>
      </c>
      <c r="LO74" s="374">
        <v>4458.05</v>
      </c>
      <c r="LP74" s="408">
        <v>406.59</v>
      </c>
      <c r="LQ74" s="408">
        <v>365.63</v>
      </c>
      <c r="LR74" s="408">
        <v>88.93</v>
      </c>
      <c r="LS74" s="408">
        <v>2029.99</v>
      </c>
      <c r="LT74" s="408">
        <v>179.12</v>
      </c>
      <c r="LU74" s="408">
        <v>1387.79</v>
      </c>
      <c r="LV74" s="421">
        <v>4108.08</v>
      </c>
      <c r="LW74" s="408">
        <v>547</v>
      </c>
      <c r="LX74" s="408">
        <v>0</v>
      </c>
      <c r="LY74" s="408">
        <v>249.7</v>
      </c>
      <c r="LZ74" s="408">
        <v>0</v>
      </c>
      <c r="MA74" s="408">
        <v>0</v>
      </c>
      <c r="MB74" s="408">
        <v>548.77</v>
      </c>
      <c r="MC74" s="408">
        <v>511.84</v>
      </c>
      <c r="MD74" s="408">
        <v>0</v>
      </c>
      <c r="ME74" s="408">
        <v>0</v>
      </c>
      <c r="MF74" s="422">
        <v>2250.77</v>
      </c>
      <c r="MG74" s="425">
        <v>1410.91</v>
      </c>
      <c r="MH74" s="398">
        <v>1378.57</v>
      </c>
      <c r="MI74" s="426">
        <v>412.35</v>
      </c>
      <c r="MJ74" s="426">
        <v>388.88</v>
      </c>
      <c r="MK74" s="426">
        <v>119.02</v>
      </c>
      <c r="ML74" s="426">
        <v>128.24</v>
      </c>
      <c r="MM74" s="426">
        <v>68.22</v>
      </c>
      <c r="MN74" s="426">
        <v>261.8599999999999</v>
      </c>
      <c r="MO74" s="398">
        <v>9.81</v>
      </c>
      <c r="MP74" s="398">
        <v>22.53</v>
      </c>
      <c r="MQ74" s="398">
        <v>1.4210854715202004E-13</v>
      </c>
      <c r="MS74" s="361">
        <v>71822.587553437872</v>
      </c>
      <c r="MT74" s="361">
        <v>59139.91</v>
      </c>
      <c r="MU74" s="377">
        <v>55085.917553437866</v>
      </c>
      <c r="MV74" s="361">
        <v>16736.670000000002</v>
      </c>
      <c r="MW74" s="366">
        <v>3304.76</v>
      </c>
      <c r="MX74" s="366">
        <v>4840.37</v>
      </c>
      <c r="MY74" s="366">
        <v>1632.89</v>
      </c>
      <c r="MZ74" s="366">
        <v>1146.3399999999999</v>
      </c>
      <c r="NA74" s="366">
        <v>4187.6499999999996</v>
      </c>
      <c r="NB74" s="366">
        <v>1624.66</v>
      </c>
      <c r="NC74" s="421">
        <v>50005.57</v>
      </c>
      <c r="ND74" s="408">
        <v>0</v>
      </c>
      <c r="NE74" s="408">
        <v>1137.97</v>
      </c>
      <c r="NF74" s="408">
        <v>556.03</v>
      </c>
      <c r="NG74" s="408">
        <v>40385.86</v>
      </c>
      <c r="NH74" s="408">
        <v>1413.89</v>
      </c>
      <c r="NI74" s="408">
        <v>0</v>
      </c>
      <c r="NJ74" s="408">
        <v>530.57000000000005</v>
      </c>
      <c r="NK74" s="408">
        <v>1367.1</v>
      </c>
      <c r="NL74" s="408">
        <v>1476.14</v>
      </c>
      <c r="NM74" s="422">
        <v>3138.010000000002</v>
      </c>
      <c r="NN74" s="374">
        <v>596.67999999999995</v>
      </c>
      <c r="NO74" s="374">
        <v>321.58</v>
      </c>
      <c r="NP74" s="407">
        <v>0</v>
      </c>
      <c r="NQ74" s="407">
        <v>7.61</v>
      </c>
      <c r="NR74" s="407">
        <v>0</v>
      </c>
      <c r="NS74" s="407">
        <v>22.68</v>
      </c>
      <c r="NT74" s="407">
        <v>6.19</v>
      </c>
      <c r="NU74" s="407">
        <v>285.09999999999997</v>
      </c>
      <c r="NV74" s="374">
        <v>102.4</v>
      </c>
      <c r="NW74" s="374">
        <v>72.33</v>
      </c>
      <c r="NX74" s="374">
        <v>100.36999999999996</v>
      </c>
      <c r="NZ74" s="361">
        <v>13690.174000000001</v>
      </c>
      <c r="OA74" s="361">
        <v>3982.7743383400593</v>
      </c>
      <c r="OB74" s="361">
        <v>4294.03</v>
      </c>
      <c r="OC74" s="361">
        <v>3087.866</v>
      </c>
    </row>
    <row r="75" spans="1:393">
      <c r="A75" s="238">
        <v>2015</v>
      </c>
      <c r="B75" s="234">
        <v>137462</v>
      </c>
      <c r="C75" s="248">
        <v>77116</v>
      </c>
      <c r="D75" s="248">
        <v>60346</v>
      </c>
      <c r="E75" s="248">
        <v>77451</v>
      </c>
      <c r="F75" s="301">
        <v>3.9</v>
      </c>
      <c r="G75" s="275">
        <v>0.21993735900415165</v>
      </c>
      <c r="H75" s="275">
        <v>0.78006264099584832</v>
      </c>
      <c r="I75" s="234">
        <v>107228.9707565713</v>
      </c>
      <c r="R75" s="295"/>
      <c r="S75" s="334"/>
      <c r="T75" s="239">
        <v>1</v>
      </c>
      <c r="V75" s="295"/>
      <c r="X75" s="294">
        <v>6.2283999999999997</v>
      </c>
      <c r="AA75" s="295"/>
      <c r="AC75" s="234">
        <v>531462.69999999995</v>
      </c>
      <c r="AD75" s="234">
        <v>417880.76</v>
      </c>
      <c r="AE75" s="234">
        <v>76674.13</v>
      </c>
      <c r="AF75" s="234">
        <v>10974.85</v>
      </c>
      <c r="AG75" s="239">
        <v>2.0650273292932883E-2</v>
      </c>
      <c r="AH75" s="239">
        <v>0.40565477000698769</v>
      </c>
      <c r="AL75" s="343">
        <v>121335.41217362773</v>
      </c>
      <c r="AO75" s="343">
        <v>150254.87736311805</v>
      </c>
      <c r="AP75" s="241"/>
      <c r="AR75" s="344">
        <v>50728.37507327972</v>
      </c>
      <c r="AT75" s="234">
        <v>63216.58</v>
      </c>
      <c r="AV75" s="295"/>
      <c r="AX75" s="234">
        <v>682635.1</v>
      </c>
      <c r="AY75" s="234">
        <v>685505.8</v>
      </c>
      <c r="AZ75" s="234">
        <v>715825.66468195582</v>
      </c>
      <c r="BA75" s="234">
        <v>718696.36468195589</v>
      </c>
      <c r="BB75" s="234">
        <v>-2870.7000000000698</v>
      </c>
      <c r="BF75" s="234">
        <v>619854.04796145146</v>
      </c>
      <c r="BG75" s="234">
        <v>619854.04796145146</v>
      </c>
      <c r="BH75" s="234">
        <v>57806.583760710491</v>
      </c>
      <c r="BJ75" s="236">
        <v>685505.8</v>
      </c>
      <c r="BK75" s="236">
        <v>718696.36468195589</v>
      </c>
      <c r="BL75" s="234">
        <v>60870.5</v>
      </c>
      <c r="BM75" s="234">
        <v>280560.3</v>
      </c>
      <c r="BN75" s="248">
        <v>235183.5</v>
      </c>
      <c r="BO75" s="248">
        <v>46546.6</v>
      </c>
      <c r="BP75" s="234">
        <v>344075</v>
      </c>
      <c r="BQ75" s="234">
        <v>377265.5646819559</v>
      </c>
      <c r="BR75" s="248">
        <v>30370.9</v>
      </c>
      <c r="BS75" s="248">
        <v>66203.8</v>
      </c>
      <c r="BT75" s="248">
        <v>12159.1</v>
      </c>
      <c r="BU75" s="248">
        <v>57500.1</v>
      </c>
      <c r="BV75" s="248">
        <v>41307.599999999999</v>
      </c>
      <c r="BW75" s="248">
        <v>74498.164681955881</v>
      </c>
      <c r="BX75" s="248">
        <v>133315.4</v>
      </c>
      <c r="CF75" s="234">
        <v>696594</v>
      </c>
      <c r="CG75" s="234">
        <v>729784.56468195585</v>
      </c>
      <c r="CH75" s="234">
        <v>11088.199999999953</v>
      </c>
      <c r="CI75" s="234">
        <v>264758</v>
      </c>
      <c r="CJ75" s="234">
        <v>297406.61026486609</v>
      </c>
      <c r="CK75" s="234">
        <v>94759</v>
      </c>
      <c r="CL75" s="234">
        <v>95300.954417089815</v>
      </c>
      <c r="CM75" s="234">
        <v>313070</v>
      </c>
      <c r="CN75" s="248">
        <v>301961</v>
      </c>
      <c r="CO75" s="248">
        <v>11110</v>
      </c>
      <c r="CP75" s="234">
        <v>24007</v>
      </c>
      <c r="CR75" s="295"/>
      <c r="CV75" s="308">
        <v>0.13353569245195029</v>
      </c>
      <c r="CX75" s="234">
        <v>95971.616720504375</v>
      </c>
      <c r="CY75" s="234">
        <v>95971.616720504375</v>
      </c>
      <c r="DD75" s="234">
        <v>31273.042325691044</v>
      </c>
      <c r="DE75" s="262">
        <v>30210.89429512692</v>
      </c>
      <c r="DF75" s="255">
        <v>5895.4977337957243</v>
      </c>
      <c r="DG75" s="255">
        <v>24315.396561331196</v>
      </c>
      <c r="DH75" s="234">
        <v>8002.3665260903554</v>
      </c>
      <c r="DI75" s="248">
        <v>6631.0813169594867</v>
      </c>
      <c r="DJ75" s="256">
        <v>1371.2852091308689</v>
      </c>
      <c r="DK75" s="241">
        <v>470.52921704849956</v>
      </c>
      <c r="DL75" s="255">
        <v>470.52921704849956</v>
      </c>
      <c r="DM75" s="256">
        <v>0</v>
      </c>
      <c r="DN75" s="234">
        <v>57287.826682238607</v>
      </c>
      <c r="DO75" s="255">
        <v>591.61881351562113</v>
      </c>
      <c r="DP75" s="248">
        <v>56696.207868722988</v>
      </c>
      <c r="DQ75" s="257">
        <v>95971.616720504389</v>
      </c>
      <c r="DS75" s="295"/>
      <c r="DT75" s="295"/>
      <c r="DU75">
        <f t="shared" si="0"/>
        <v>0.7</v>
      </c>
      <c r="DW75" s="318">
        <v>33190.564681955882</v>
      </c>
      <c r="DX75" s="234">
        <v>68220.258296834771</v>
      </c>
      <c r="DZ75" s="309">
        <v>6042.1788590253846</v>
      </c>
      <c r="EA75" s="234">
        <v>62178.079437809385</v>
      </c>
      <c r="EB75" s="234">
        <v>30210.89429512692</v>
      </c>
      <c r="EC75" s="234">
        <v>0</v>
      </c>
      <c r="ED75" s="234">
        <v>0</v>
      </c>
      <c r="EE75" s="234">
        <v>31967.185142682469</v>
      </c>
      <c r="EF75" s="241">
        <v>54783.450000000004</v>
      </c>
      <c r="EG75" s="234">
        <v>6631.0813169594867</v>
      </c>
      <c r="EH75" s="234">
        <v>0</v>
      </c>
      <c r="EI75" s="234">
        <v>48152.36868304052</v>
      </c>
      <c r="EJ75" s="234">
        <v>0</v>
      </c>
      <c r="EK75" s="234">
        <v>33706.658078128363</v>
      </c>
      <c r="EL75" s="242">
        <v>14445.710604912156</v>
      </c>
      <c r="EN75" s="234">
        <v>1371.2852091308689</v>
      </c>
      <c r="ES75" s="241"/>
      <c r="EX75" s="241"/>
      <c r="FA75" s="234">
        <v>681.42512218359639</v>
      </c>
      <c r="FB75" s="234">
        <v>57287.826682238607</v>
      </c>
      <c r="FH75" s="248"/>
      <c r="FI75" s="248"/>
      <c r="FJ75" s="248"/>
      <c r="FK75" s="248"/>
      <c r="FL75" s="257"/>
      <c r="FQ75" s="257"/>
      <c r="FS75" s="234">
        <v>0</v>
      </c>
      <c r="FT75" s="241"/>
      <c r="FW75" s="234">
        <v>541.954417089814</v>
      </c>
      <c r="FX75" s="234">
        <v>470.52921704849956</v>
      </c>
      <c r="GA75" s="242"/>
      <c r="GG75" s="257"/>
      <c r="GL75" s="241"/>
      <c r="GP75" s="254"/>
      <c r="GZ75" s="295"/>
      <c r="HB75" s="309">
        <v>580244.54213058308</v>
      </c>
      <c r="HC75" s="234">
        <v>80247.69</v>
      </c>
      <c r="HD75" s="234">
        <v>80247.69</v>
      </c>
      <c r="HE75" s="234">
        <v>48974.647674308959</v>
      </c>
      <c r="HK75" s="248"/>
      <c r="HL75" s="248"/>
      <c r="HM75" s="248"/>
      <c r="HN75" s="248"/>
      <c r="HQ75" s="345"/>
      <c r="HR75" s="345"/>
      <c r="HS75" s="345"/>
      <c r="HW75" s="248"/>
      <c r="HX75" s="248"/>
      <c r="HY75" s="248"/>
      <c r="IE75" s="248"/>
      <c r="IF75" s="248"/>
      <c r="IG75" s="256"/>
      <c r="IH75" s="248"/>
      <c r="II75" s="248"/>
      <c r="IJ75" s="248"/>
      <c r="IO75" s="257"/>
      <c r="IR75" s="258"/>
      <c r="IS75" s="257"/>
      <c r="IV75" s="295"/>
      <c r="JJ75" s="370"/>
      <c r="JL75" s="370"/>
      <c r="JM75" s="370"/>
      <c r="JO75" s="361">
        <v>152269.23000000001</v>
      </c>
      <c r="JP75" s="361">
        <v>27347.030000000013</v>
      </c>
      <c r="JQ75" s="377">
        <v>124922.2</v>
      </c>
      <c r="JR75" s="363">
        <v>89171.06</v>
      </c>
      <c r="JS75" s="366">
        <v>31109.47</v>
      </c>
      <c r="JT75" s="366">
        <v>19312.84</v>
      </c>
      <c r="JU75" s="366">
        <v>10542.16</v>
      </c>
      <c r="JV75" s="366">
        <v>2560.84</v>
      </c>
      <c r="JW75" s="363">
        <v>35751.14</v>
      </c>
      <c r="JX75" s="366">
        <v>8617.27</v>
      </c>
      <c r="JY75" s="366">
        <v>27133.87</v>
      </c>
      <c r="KC75" s="361">
        <v>152217</v>
      </c>
      <c r="KD75" s="361">
        <v>124922.2</v>
      </c>
      <c r="KF75" s="361">
        <v>27347.75</v>
      </c>
      <c r="KG75" s="366">
        <v>6985.8</v>
      </c>
      <c r="KH75" s="366">
        <v>4873.0200000000004</v>
      </c>
      <c r="KI75" s="366">
        <v>1876.86</v>
      </c>
      <c r="KJ75" s="366">
        <v>6080.21</v>
      </c>
      <c r="KK75" s="366">
        <v>5463.89</v>
      </c>
      <c r="KL75" s="409">
        <v>2067.9699999999998</v>
      </c>
      <c r="KM75" s="388">
        <v>42338.14</v>
      </c>
      <c r="KN75" s="366">
        <v>440.77</v>
      </c>
      <c r="KO75" s="366">
        <v>0</v>
      </c>
      <c r="KP75" s="366">
        <v>810.62</v>
      </c>
      <c r="KQ75" s="366">
        <v>30783.8</v>
      </c>
      <c r="KR75" s="366">
        <v>1024.97</v>
      </c>
      <c r="KS75" s="366">
        <v>654.76</v>
      </c>
      <c r="KT75" s="366">
        <v>1003.39</v>
      </c>
      <c r="KU75" s="366">
        <v>1252.5899999999999</v>
      </c>
      <c r="KV75" s="366">
        <v>1526.34</v>
      </c>
      <c r="KW75" s="409">
        <v>4840.9000000000087</v>
      </c>
      <c r="KX75" s="361">
        <v>2550.98</v>
      </c>
      <c r="KY75" s="361">
        <v>2033.89</v>
      </c>
      <c r="KZ75" s="366">
        <v>477.25</v>
      </c>
      <c r="LA75" s="366">
        <v>336.31</v>
      </c>
      <c r="LB75" s="366">
        <v>138.51</v>
      </c>
      <c r="LC75" s="366">
        <v>196.75</v>
      </c>
      <c r="LD75" s="366">
        <v>51.56</v>
      </c>
      <c r="LE75" s="366">
        <v>885.07000000000016</v>
      </c>
      <c r="LF75" s="361">
        <v>269.17</v>
      </c>
      <c r="LG75" s="361">
        <v>136.9</v>
      </c>
      <c r="LH75" s="361">
        <v>111.0199999999999</v>
      </c>
      <c r="LI75" s="416">
        <v>43088.07</v>
      </c>
      <c r="LJ75" s="388">
        <v>0</v>
      </c>
      <c r="LL75" s="374">
        <v>69267.19</v>
      </c>
      <c r="LM75" s="374">
        <v>62260.27</v>
      </c>
      <c r="LO75" s="374">
        <v>7006.9199999999992</v>
      </c>
      <c r="LP75" s="408">
        <v>574.72</v>
      </c>
      <c r="LQ75" s="408">
        <v>460.94</v>
      </c>
      <c r="LR75" s="408">
        <v>113.96</v>
      </c>
      <c r="LS75" s="408">
        <v>5389.45</v>
      </c>
      <c r="LT75" s="408">
        <v>243.15</v>
      </c>
      <c r="LU75" s="408">
        <v>224.7</v>
      </c>
      <c r="LV75" s="421">
        <v>4363.87</v>
      </c>
      <c r="LW75" s="408">
        <v>440.77</v>
      </c>
      <c r="LX75" s="408">
        <v>0</v>
      </c>
      <c r="LY75" s="408">
        <v>250.94</v>
      </c>
      <c r="LZ75" s="408">
        <v>0</v>
      </c>
      <c r="MA75" s="408">
        <v>0</v>
      </c>
      <c r="MB75" s="408">
        <v>654.76</v>
      </c>
      <c r="MC75" s="408">
        <v>490.56</v>
      </c>
      <c r="MD75" s="408">
        <v>0</v>
      </c>
      <c r="ME75" s="408">
        <v>0</v>
      </c>
      <c r="MF75" s="422">
        <v>2526.84</v>
      </c>
      <c r="MG75" s="425">
        <v>1613.06</v>
      </c>
      <c r="MH75" s="398">
        <v>1475.35</v>
      </c>
      <c r="MI75" s="426">
        <v>477.25</v>
      </c>
      <c r="MJ75" s="426">
        <v>334.15</v>
      </c>
      <c r="MK75" s="426">
        <v>138.51</v>
      </c>
      <c r="ML75" s="426">
        <v>167.22</v>
      </c>
      <c r="MM75" s="426">
        <v>48.53</v>
      </c>
      <c r="MN75" s="426">
        <v>309.69000000000005</v>
      </c>
      <c r="MO75" s="398">
        <v>110.12</v>
      </c>
      <c r="MP75" s="398">
        <v>27.32</v>
      </c>
      <c r="MQ75" s="398">
        <v>0.27000000000003155</v>
      </c>
      <c r="MS75" s="361">
        <v>82983</v>
      </c>
      <c r="MT75" s="361">
        <v>63310</v>
      </c>
      <c r="MV75" s="361">
        <v>20340.109999999997</v>
      </c>
      <c r="MW75" s="366">
        <v>6410.36</v>
      </c>
      <c r="MX75" s="366">
        <v>4412.08</v>
      </c>
      <c r="MY75" s="366">
        <v>1762.9</v>
      </c>
      <c r="MZ75" s="366">
        <v>690.76</v>
      </c>
      <c r="NA75" s="366">
        <v>5220.74</v>
      </c>
      <c r="NB75" s="366">
        <v>1843.27</v>
      </c>
      <c r="NC75" s="421">
        <v>38219.949999999997</v>
      </c>
      <c r="ND75" s="408">
        <v>0</v>
      </c>
      <c r="NE75" s="408">
        <v>0</v>
      </c>
      <c r="NF75" s="408">
        <v>559.67999999999995</v>
      </c>
      <c r="NG75" s="408">
        <v>30783.8</v>
      </c>
      <c r="NH75" s="408">
        <v>1024.97</v>
      </c>
      <c r="NI75" s="408">
        <v>0</v>
      </c>
      <c r="NJ75" s="408">
        <v>512.83000000000004</v>
      </c>
      <c r="NK75" s="408">
        <v>1252.5899999999999</v>
      </c>
      <c r="NL75" s="408">
        <v>1526.34</v>
      </c>
      <c r="NM75" s="422">
        <v>2559.7400000000052</v>
      </c>
      <c r="NN75" s="374">
        <v>937.92</v>
      </c>
      <c r="NO75" s="374">
        <v>558.54</v>
      </c>
      <c r="NP75" s="407">
        <v>0</v>
      </c>
      <c r="NQ75" s="407">
        <v>2.16</v>
      </c>
      <c r="NR75" s="407">
        <v>0</v>
      </c>
      <c r="NS75" s="407">
        <v>29.53</v>
      </c>
      <c r="NT75" s="407">
        <v>3.03</v>
      </c>
      <c r="NU75" s="407">
        <v>523.81999999999994</v>
      </c>
      <c r="NV75" s="374">
        <v>159.05000000000001</v>
      </c>
      <c r="NW75" s="374">
        <v>109.58</v>
      </c>
      <c r="NX75" s="374">
        <v>110.74999999999999</v>
      </c>
      <c r="NZ75" s="361">
        <v>14755.323</v>
      </c>
      <c r="OA75" s="361">
        <v>4601.2</v>
      </c>
      <c r="OB75" s="361">
        <v>3365.7730000000001</v>
      </c>
      <c r="OC75" s="361">
        <v>2974.9497230868014</v>
      </c>
    </row>
    <row r="76" spans="1:393" ht="15" thickBot="1">
      <c r="C76" s="333"/>
      <c r="D76" s="333"/>
      <c r="E76" s="333"/>
      <c r="F76" s="333"/>
      <c r="G76" s="333"/>
      <c r="DF76" s="250"/>
      <c r="DG76" s="250"/>
      <c r="JJ76" s="370"/>
      <c r="JL76" s="370"/>
      <c r="JM76" s="370"/>
    </row>
    <row r="77" spans="1:393" ht="15" thickTop="1">
      <c r="A77" s="564" t="s">
        <v>535</v>
      </c>
      <c r="B77" s="565"/>
      <c r="C77" s="565"/>
      <c r="D77" s="565"/>
      <c r="E77" s="565"/>
      <c r="F77" s="565"/>
      <c r="G77" s="565"/>
      <c r="H77" s="565"/>
      <c r="I77" s="565"/>
      <c r="J77" s="565"/>
      <c r="K77" s="565"/>
      <c r="L77" s="565"/>
      <c r="M77" s="565"/>
      <c r="N77" s="565"/>
      <c r="O77" s="565"/>
      <c r="P77" s="565"/>
      <c r="Q77" s="565"/>
      <c r="R77" s="565"/>
      <c r="S77" s="565"/>
      <c r="T77" s="565"/>
      <c r="U77" s="566"/>
      <c r="BD77" s="335"/>
      <c r="IX77" s="561" t="s">
        <v>536</v>
      </c>
      <c r="IY77" s="561"/>
      <c r="IZ77" s="561"/>
      <c r="JA77" s="561"/>
      <c r="JB77" s="561"/>
      <c r="JC77" s="561"/>
      <c r="JD77" s="561"/>
      <c r="JE77" s="561"/>
      <c r="JF77" s="561"/>
      <c r="JG77" s="561"/>
      <c r="JH77" s="561"/>
      <c r="JJ77" s="370"/>
    </row>
    <row r="78" spans="1:393">
      <c r="A78" s="567"/>
      <c r="B78" s="561"/>
      <c r="C78" s="561"/>
      <c r="D78" s="561"/>
      <c r="E78" s="561"/>
      <c r="F78" s="561"/>
      <c r="G78" s="561"/>
      <c r="H78" s="561"/>
      <c r="I78" s="561"/>
      <c r="J78" s="561"/>
      <c r="K78" s="561"/>
      <c r="L78" s="561"/>
      <c r="M78" s="561"/>
      <c r="N78" s="561"/>
      <c r="O78" s="561"/>
      <c r="P78" s="561"/>
      <c r="Q78" s="561"/>
      <c r="R78" s="561"/>
      <c r="S78" s="561"/>
      <c r="T78" s="561"/>
      <c r="U78" s="568"/>
      <c r="BD78" s="335"/>
      <c r="IX78" s="561"/>
      <c r="IY78" s="561"/>
      <c r="IZ78" s="561"/>
      <c r="JA78" s="561"/>
      <c r="JB78" s="561"/>
      <c r="JC78" s="561"/>
      <c r="JD78" s="561"/>
      <c r="JE78" s="561"/>
      <c r="JF78" s="561"/>
      <c r="JG78" s="561"/>
      <c r="JH78" s="561"/>
      <c r="JJ78" s="370"/>
    </row>
    <row r="79" spans="1:393">
      <c r="A79" s="567"/>
      <c r="B79" s="561"/>
      <c r="C79" s="561"/>
      <c r="D79" s="561"/>
      <c r="E79" s="561"/>
      <c r="F79" s="561"/>
      <c r="G79" s="561"/>
      <c r="H79" s="561"/>
      <c r="I79" s="561"/>
      <c r="J79" s="561"/>
      <c r="K79" s="561"/>
      <c r="L79" s="561"/>
      <c r="M79" s="561"/>
      <c r="N79" s="561"/>
      <c r="O79" s="561"/>
      <c r="P79" s="561"/>
      <c r="Q79" s="561"/>
      <c r="R79" s="561"/>
      <c r="S79" s="561"/>
      <c r="T79" s="561"/>
      <c r="U79" s="568"/>
      <c r="IX79" s="561"/>
      <c r="IY79" s="561"/>
      <c r="IZ79" s="561"/>
      <c r="JA79" s="561"/>
      <c r="JB79" s="561"/>
      <c r="JC79" s="561"/>
      <c r="JD79" s="561"/>
      <c r="JE79" s="561"/>
      <c r="JF79" s="561"/>
      <c r="JG79" s="561"/>
      <c r="JH79" s="561"/>
      <c r="JJ79" s="370"/>
    </row>
    <row r="80" spans="1:393">
      <c r="A80" s="567"/>
      <c r="B80" s="561"/>
      <c r="C80" s="561"/>
      <c r="D80" s="561"/>
      <c r="E80" s="561"/>
      <c r="F80" s="561"/>
      <c r="G80" s="561"/>
      <c r="H80" s="561"/>
      <c r="I80" s="561"/>
      <c r="J80" s="561"/>
      <c r="K80" s="561"/>
      <c r="L80" s="561"/>
      <c r="M80" s="561"/>
      <c r="N80" s="561"/>
      <c r="O80" s="561"/>
      <c r="P80" s="561"/>
      <c r="Q80" s="561"/>
      <c r="R80" s="561"/>
      <c r="S80" s="561"/>
      <c r="T80" s="561"/>
      <c r="U80" s="568"/>
      <c r="IX80" s="561"/>
      <c r="IY80" s="561"/>
      <c r="IZ80" s="561"/>
      <c r="JA80" s="561"/>
      <c r="JB80" s="561"/>
      <c r="JC80" s="561"/>
      <c r="JD80" s="561"/>
      <c r="JE80" s="561"/>
      <c r="JF80" s="561"/>
      <c r="JG80" s="561"/>
      <c r="JH80" s="561"/>
      <c r="JJ80" s="370"/>
    </row>
    <row r="81" spans="1:268" ht="15" thickBot="1">
      <c r="A81" s="569"/>
      <c r="B81" s="570"/>
      <c r="C81" s="570"/>
      <c r="D81" s="570"/>
      <c r="E81" s="570"/>
      <c r="F81" s="570"/>
      <c r="G81" s="570"/>
      <c r="H81" s="570"/>
      <c r="I81" s="570"/>
      <c r="J81" s="570"/>
      <c r="K81" s="570"/>
      <c r="L81" s="570"/>
      <c r="M81" s="570"/>
      <c r="N81" s="570"/>
      <c r="O81" s="570"/>
      <c r="P81" s="570"/>
      <c r="Q81" s="570"/>
      <c r="R81" s="570"/>
      <c r="S81" s="570"/>
      <c r="T81" s="570"/>
      <c r="U81" s="571"/>
      <c r="IX81" s="561"/>
      <c r="IY81" s="561"/>
      <c r="IZ81" s="561"/>
      <c r="JA81" s="561"/>
      <c r="JB81" s="561"/>
      <c r="JC81" s="561"/>
      <c r="JD81" s="561"/>
      <c r="JE81" s="561"/>
      <c r="JF81" s="561"/>
      <c r="JG81" s="561"/>
      <c r="JH81" s="561"/>
    </row>
    <row r="82" spans="1:268" ht="15" thickTop="1">
      <c r="IX82" s="561"/>
      <c r="IY82" s="561"/>
      <c r="IZ82" s="561"/>
      <c r="JA82" s="561"/>
      <c r="JB82" s="561"/>
      <c r="JC82" s="561"/>
      <c r="JD82" s="561"/>
      <c r="JE82" s="561"/>
      <c r="JF82" s="561"/>
      <c r="JG82" s="561"/>
      <c r="JH82" s="561"/>
    </row>
    <row r="83" spans="1:268">
      <c r="IX83" s="561"/>
      <c r="IY83" s="561"/>
      <c r="IZ83" s="561"/>
      <c r="JA83" s="561"/>
      <c r="JB83" s="561"/>
      <c r="JC83" s="561"/>
      <c r="JD83" s="561"/>
      <c r="JE83" s="561"/>
      <c r="JF83" s="561"/>
      <c r="JG83" s="561"/>
      <c r="JH83" s="561"/>
    </row>
    <row r="84" spans="1:268">
      <c r="IX84" s="561"/>
      <c r="IY84" s="561"/>
      <c r="IZ84" s="561"/>
      <c r="JA84" s="561"/>
      <c r="JB84" s="561"/>
      <c r="JC84" s="561"/>
      <c r="JD84" s="561"/>
      <c r="JE84" s="561"/>
      <c r="JF84" s="561"/>
      <c r="JG84" s="561"/>
      <c r="JH84" s="561"/>
    </row>
    <row r="85" spans="1:268">
      <c r="IX85" s="561"/>
      <c r="IY85" s="561"/>
      <c r="IZ85" s="561"/>
      <c r="JA85" s="561"/>
      <c r="JB85" s="561"/>
      <c r="JC85" s="561"/>
      <c r="JD85" s="561"/>
      <c r="JE85" s="561"/>
      <c r="JF85" s="561"/>
      <c r="JG85" s="561"/>
      <c r="JH85" s="561"/>
    </row>
    <row r="86" spans="1:268">
      <c r="IX86" s="561"/>
      <c r="IY86" s="561"/>
      <c r="IZ86" s="561"/>
      <c r="JA86" s="561"/>
      <c r="JB86" s="561"/>
      <c r="JC86" s="561"/>
      <c r="JD86" s="561"/>
      <c r="JE86" s="561"/>
      <c r="JF86" s="561"/>
      <c r="JG86" s="561"/>
      <c r="JH86" s="561"/>
    </row>
    <row r="87" spans="1:268">
      <c r="IX87" s="561"/>
      <c r="IY87" s="561"/>
      <c r="IZ87" s="561"/>
      <c r="JA87" s="561"/>
      <c r="JB87" s="561"/>
      <c r="JC87" s="561"/>
      <c r="JD87" s="561"/>
      <c r="JE87" s="561"/>
      <c r="JF87" s="561"/>
      <c r="JG87" s="561"/>
      <c r="JH87" s="561"/>
    </row>
    <row r="88" spans="1:268">
      <c r="IX88" s="561"/>
      <c r="IY88" s="561"/>
      <c r="IZ88" s="561"/>
      <c r="JA88" s="561"/>
      <c r="JB88" s="561"/>
      <c r="JC88" s="561"/>
      <c r="JD88" s="561"/>
      <c r="JE88" s="561"/>
      <c r="JF88" s="561"/>
      <c r="JG88" s="561"/>
      <c r="JH88" s="561"/>
    </row>
  </sheetData>
  <mergeCells count="56">
    <mergeCell ref="KM5:KW5"/>
    <mergeCell ref="LV5:MF5"/>
    <mergeCell ref="NC5:NM5"/>
    <mergeCell ref="MS5:NB5"/>
    <mergeCell ref="LL5:LU5"/>
    <mergeCell ref="KX5:LH5"/>
    <mergeCell ref="MG5:MQ5"/>
    <mergeCell ref="NN5:NX5"/>
    <mergeCell ref="LL4:MQ4"/>
    <mergeCell ref="KC4:LJ4"/>
    <mergeCell ref="MS4:NX4"/>
    <mergeCell ref="S4:T4"/>
    <mergeCell ref="DE5:DJ5"/>
    <mergeCell ref="DY5:EE5"/>
    <mergeCell ref="DK5:DM5"/>
    <mergeCell ref="BZ5:CD5"/>
    <mergeCell ref="W4:Y4"/>
    <mergeCell ref="IW4:IX4"/>
    <mergeCell ref="IX5:JG5"/>
    <mergeCell ref="JI5:JM5"/>
    <mergeCell ref="JO5:JY5"/>
    <mergeCell ref="AB4:AG4"/>
    <mergeCell ref="DN5:DP5"/>
    <mergeCell ref="K5:P5"/>
    <mergeCell ref="B5:I5"/>
    <mergeCell ref="B4:C4"/>
    <mergeCell ref="IX77:JH88"/>
    <mergeCell ref="FL5:FP5"/>
    <mergeCell ref="EF5:EL5"/>
    <mergeCell ref="AW4:AY4"/>
    <mergeCell ref="CS4:CV4"/>
    <mergeCell ref="ES5:EW5"/>
    <mergeCell ref="A77:U81"/>
    <mergeCell ref="AX5:BH5"/>
    <mergeCell ref="AC5:AH5"/>
    <mergeCell ref="CF5:CP5"/>
    <mergeCell ref="BJ5:BX5"/>
    <mergeCell ref="AJ5:AR5"/>
    <mergeCell ref="CT5:DB5"/>
    <mergeCell ref="HU4:HY4"/>
    <mergeCell ref="EM5:ER5"/>
    <mergeCell ref="DU4:EA4"/>
    <mergeCell ref="EZ5:FK5"/>
    <mergeCell ref="FV5:GF5"/>
    <mergeCell ref="GN5:GO5"/>
    <mergeCell ref="HA4:HC4"/>
    <mergeCell ref="HI5:HM5"/>
    <mergeCell ref="GG5:GK5"/>
    <mergeCell ref="GP5:GR5"/>
    <mergeCell ref="IL5:IT5"/>
    <mergeCell ref="HB5:HE5"/>
    <mergeCell ref="HO5:HS5"/>
    <mergeCell ref="GT5:GX5"/>
    <mergeCell ref="KC5:KL5"/>
    <mergeCell ref="HU5:HY5"/>
    <mergeCell ref="IA5:IJ5"/>
  </mergeCells>
  <hyperlinks>
    <hyperlink ref="A1" location="Index!A1" display="Back to index" xr:uid="{00000000-0004-0000-27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9B791-8B90-4B8C-AFBE-7D6D5B792DF4}">
  <dimension ref="A1:AA314"/>
  <sheetViews>
    <sheetView zoomScale="85" zoomScaleNormal="85" workbookViewId="0">
      <selection activeCell="N44" sqref="N44"/>
    </sheetView>
  </sheetViews>
  <sheetFormatPr defaultRowHeight="14.4"/>
  <sheetData>
    <row r="1" spans="1:26" ht="16.2" thickBot="1">
      <c r="A1" s="1" t="s">
        <v>0</v>
      </c>
      <c r="B1" s="459"/>
      <c r="D1" s="2"/>
      <c r="J1" s="479"/>
      <c r="K1" s="492"/>
    </row>
    <row r="2" spans="1:26" ht="18" thickTop="1">
      <c r="A2" s="585" t="s">
        <v>538</v>
      </c>
      <c r="B2" s="586"/>
      <c r="C2" s="586"/>
      <c r="D2" s="586"/>
      <c r="E2" s="586"/>
      <c r="F2" s="586"/>
      <c r="G2" s="586"/>
      <c r="H2" s="586"/>
      <c r="I2" s="586"/>
      <c r="J2" s="586"/>
      <c r="K2" s="586"/>
      <c r="L2" s="586"/>
      <c r="M2" s="586"/>
      <c r="N2" s="587"/>
      <c r="O2" s="510"/>
      <c r="P2" s="510"/>
      <c r="Q2" s="524"/>
      <c r="R2" s="525"/>
      <c r="S2" s="525"/>
      <c r="T2" s="525"/>
      <c r="U2" s="525"/>
      <c r="V2" s="525"/>
      <c r="W2" s="525"/>
      <c r="X2" s="525"/>
      <c r="Y2" s="525"/>
      <c r="Z2" s="525"/>
    </row>
    <row r="3" spans="1:26">
      <c r="A3" s="3"/>
      <c r="J3" s="479"/>
      <c r="K3" s="492"/>
      <c r="N3" s="4"/>
    </row>
    <row r="4" spans="1:26">
      <c r="A4" s="3"/>
      <c r="B4" s="460" t="s">
        <v>2</v>
      </c>
      <c r="C4" s="460" t="s">
        <v>3</v>
      </c>
      <c r="D4" s="460" t="s">
        <v>4</v>
      </c>
      <c r="E4" s="460" t="s">
        <v>5</v>
      </c>
      <c r="F4" s="486" t="s">
        <v>6</v>
      </c>
      <c r="G4" s="460" t="s">
        <v>7</v>
      </c>
      <c r="H4" s="486" t="s">
        <v>8</v>
      </c>
      <c r="I4" s="486" t="s">
        <v>9</v>
      </c>
      <c r="J4" s="486" t="s">
        <v>10</v>
      </c>
      <c r="K4" s="493" t="s">
        <v>539</v>
      </c>
      <c r="L4" s="460" t="s">
        <v>540</v>
      </c>
      <c r="M4" s="460" t="s">
        <v>541</v>
      </c>
      <c r="N4" s="480" t="s">
        <v>542</v>
      </c>
      <c r="O4" s="11"/>
      <c r="P4" s="11"/>
    </row>
    <row r="5" spans="1:26" ht="52.8">
      <c r="A5" s="588" t="s">
        <v>543</v>
      </c>
      <c r="B5" s="453" t="s">
        <v>544</v>
      </c>
      <c r="C5" s="461" t="s">
        <v>545</v>
      </c>
      <c r="D5" s="461" t="s">
        <v>546</v>
      </c>
      <c r="E5" s="590" t="s">
        <v>547</v>
      </c>
      <c r="F5" s="596" t="s">
        <v>548</v>
      </c>
      <c r="G5" s="598" t="s">
        <v>549</v>
      </c>
      <c r="H5" s="598" t="s">
        <v>550</v>
      </c>
      <c r="I5" s="600" t="s">
        <v>551</v>
      </c>
      <c r="J5" s="602" t="s">
        <v>552</v>
      </c>
      <c r="K5" s="519" t="s">
        <v>553</v>
      </c>
      <c r="L5" s="520" t="s">
        <v>554</v>
      </c>
      <c r="M5" s="592" t="s">
        <v>555</v>
      </c>
      <c r="N5" s="594" t="s">
        <v>556</v>
      </c>
      <c r="O5" s="511"/>
      <c r="P5" s="511"/>
      <c r="Q5" s="522" t="s">
        <v>210</v>
      </c>
      <c r="R5" s="523" t="s">
        <v>210</v>
      </c>
      <c r="S5" s="523" t="s">
        <v>210</v>
      </c>
      <c r="U5" s="523" t="s">
        <v>557</v>
      </c>
      <c r="W5" s="523" t="s">
        <v>558</v>
      </c>
      <c r="X5" s="523" t="s">
        <v>558</v>
      </c>
      <c r="Y5" s="523" t="s">
        <v>558</v>
      </c>
    </row>
    <row r="6" spans="1:26" ht="72">
      <c r="A6" s="589"/>
      <c r="B6" s="452" t="s">
        <v>559</v>
      </c>
      <c r="C6" s="462" t="s">
        <v>560</v>
      </c>
      <c r="D6" s="462" t="s">
        <v>34</v>
      </c>
      <c r="E6" s="591"/>
      <c r="F6" s="597"/>
      <c r="G6" s="599"/>
      <c r="H6" s="599"/>
      <c r="I6" s="601"/>
      <c r="J6" s="603"/>
      <c r="K6" s="494" t="s">
        <v>561</v>
      </c>
      <c r="L6" s="462" t="s">
        <v>562</v>
      </c>
      <c r="M6" s="593"/>
      <c r="N6" s="595"/>
      <c r="O6" s="511"/>
      <c r="P6" s="511"/>
      <c r="Q6" s="522" t="s">
        <v>563</v>
      </c>
      <c r="R6" s="526" t="s">
        <v>564</v>
      </c>
      <c r="S6" s="526" t="s">
        <v>565</v>
      </c>
      <c r="U6" s="523" t="s">
        <v>563</v>
      </c>
      <c r="W6" s="523" t="s">
        <v>563</v>
      </c>
      <c r="X6" s="526" t="s">
        <v>564</v>
      </c>
      <c r="Y6" s="526" t="s">
        <v>565</v>
      </c>
    </row>
    <row r="7" spans="1:26">
      <c r="A7" s="38" t="s">
        <v>38</v>
      </c>
      <c r="B7" s="481"/>
      <c r="C7" s="97"/>
      <c r="D7" s="97"/>
      <c r="E7" s="481"/>
      <c r="F7" s="487"/>
      <c r="G7" s="513"/>
      <c r="H7" s="512"/>
      <c r="I7" s="487"/>
      <c r="J7" s="488"/>
      <c r="K7" s="495"/>
      <c r="L7" s="97"/>
      <c r="M7" s="483"/>
      <c r="N7" s="482"/>
      <c r="O7" s="511"/>
      <c r="P7" s="511"/>
    </row>
    <row r="8" spans="1:26">
      <c r="A8" s="5">
        <v>1978</v>
      </c>
      <c r="B8" s="463">
        <v>3295.1278216105006</v>
      </c>
      <c r="C8" s="6">
        <v>3295.1278216105011</v>
      </c>
      <c r="D8" s="6">
        <v>0</v>
      </c>
      <c r="E8" s="468">
        <v>0</v>
      </c>
      <c r="F8" s="477"/>
      <c r="G8" s="514"/>
      <c r="H8" s="514"/>
      <c r="I8" s="477"/>
      <c r="J8" s="489"/>
      <c r="K8" s="496">
        <v>3682.4334123098183</v>
      </c>
      <c r="L8" s="6">
        <v>387.30559069931724</v>
      </c>
      <c r="M8" s="464">
        <v>0.10517653609284915</v>
      </c>
      <c r="N8" s="465">
        <v>0.89482346390715073</v>
      </c>
      <c r="O8" s="475"/>
      <c r="P8" s="475"/>
      <c r="U8" s="527"/>
    </row>
    <row r="9" spans="1:26">
      <c r="A9" s="10">
        <v>1979</v>
      </c>
      <c r="B9" s="498">
        <v>3337.780781972061</v>
      </c>
      <c r="C9" s="466">
        <v>3337.780781972061</v>
      </c>
      <c r="D9" s="466">
        <v>0</v>
      </c>
      <c r="E9" s="469">
        <v>0</v>
      </c>
      <c r="F9" s="478"/>
      <c r="G9" s="515"/>
      <c r="H9" s="515"/>
      <c r="I9" s="478"/>
      <c r="J9" s="490"/>
      <c r="K9" s="497">
        <v>3730.0997533055274</v>
      </c>
      <c r="L9" s="466">
        <v>392.31897133346649</v>
      </c>
      <c r="M9" s="501">
        <v>0.10517653609284915</v>
      </c>
      <c r="N9" s="467">
        <v>0.89482346390715084</v>
      </c>
      <c r="O9" s="475"/>
      <c r="P9" s="475"/>
      <c r="U9" s="527"/>
      <c r="W9" s="528"/>
      <c r="X9" s="527"/>
      <c r="Y9" s="527"/>
    </row>
    <row r="10" spans="1:26">
      <c r="A10" s="5">
        <v>1980</v>
      </c>
      <c r="B10" s="463">
        <v>3512.7517875063359</v>
      </c>
      <c r="C10" s="6">
        <v>3512.7517875063359</v>
      </c>
      <c r="D10" s="6">
        <v>0</v>
      </c>
      <c r="E10" s="468">
        <v>0</v>
      </c>
      <c r="F10" s="477"/>
      <c r="G10" s="514"/>
      <c r="H10" s="514"/>
      <c r="I10" s="477"/>
      <c r="J10" s="489"/>
      <c r="K10" s="496">
        <v>3925.6366525842777</v>
      </c>
      <c r="L10" s="6">
        <v>412.88486507794187</v>
      </c>
      <c r="M10" s="464">
        <v>0.10517653609284916</v>
      </c>
      <c r="N10" s="465">
        <v>0.89482346390715084</v>
      </c>
      <c r="O10" s="475"/>
      <c r="P10" s="475"/>
      <c r="U10" s="527"/>
      <c r="W10" s="528"/>
      <c r="X10" s="527"/>
      <c r="Y10" s="527"/>
    </row>
    <row r="11" spans="1:26">
      <c r="A11" s="5">
        <v>1981</v>
      </c>
      <c r="B11" s="463">
        <v>3732.0348734471131</v>
      </c>
      <c r="C11" s="6">
        <v>3733.795591728167</v>
      </c>
      <c r="D11" s="6">
        <v>-1.7607182810538688</v>
      </c>
      <c r="E11" s="468">
        <v>-4.717850558099347E-4</v>
      </c>
      <c r="F11" s="477"/>
      <c r="G11" s="514"/>
      <c r="H11" s="514"/>
      <c r="I11" s="477"/>
      <c r="J11" s="489"/>
      <c r="K11" s="496">
        <v>4172.6616951068181</v>
      </c>
      <c r="L11" s="6">
        <v>438.86610337865136</v>
      </c>
      <c r="M11" s="464">
        <v>0.10517653609284915</v>
      </c>
      <c r="N11" s="465">
        <v>0.89440149864619567</v>
      </c>
      <c r="O11" s="475"/>
      <c r="P11" s="475"/>
      <c r="U11" s="527">
        <v>-4.7178505580995367E-4</v>
      </c>
      <c r="W11" s="528"/>
      <c r="X11" s="527"/>
      <c r="Y11" s="527"/>
      <c r="Z11" s="528"/>
    </row>
    <row r="12" spans="1:26">
      <c r="A12" s="5">
        <v>1982</v>
      </c>
      <c r="B12" s="463">
        <v>4021.4914612056032</v>
      </c>
      <c r="C12" s="6">
        <v>4015.620090260501</v>
      </c>
      <c r="D12" s="6">
        <v>5.8713709451021714</v>
      </c>
      <c r="E12" s="468">
        <v>1.4599983617376606E-3</v>
      </c>
      <c r="F12" s="8">
        <v>1.4633246903996396E-3</v>
      </c>
      <c r="G12" s="516"/>
      <c r="H12" s="516"/>
      <c r="I12" s="8">
        <v>0</v>
      </c>
      <c r="J12" s="489"/>
      <c r="K12" s="496">
        <v>4487.611525883246</v>
      </c>
      <c r="L12" s="6">
        <v>471.99143562274497</v>
      </c>
      <c r="M12" s="464">
        <v>0.10517653609284913</v>
      </c>
      <c r="N12" s="465">
        <v>0.89613181488878946</v>
      </c>
      <c r="O12" s="475"/>
      <c r="P12" s="475"/>
      <c r="R12" s="529"/>
      <c r="S12" s="529"/>
      <c r="U12" s="527">
        <v>1.4599983617378173E-3</v>
      </c>
      <c r="W12" s="528">
        <v>1.4633246903996396E-3</v>
      </c>
      <c r="X12" s="527">
        <v>1.4633246903996396E-3</v>
      </c>
      <c r="Y12" s="527">
        <v>0</v>
      </c>
      <c r="Z12" s="528">
        <v>-3.3263286618222601E-6</v>
      </c>
    </row>
    <row r="13" spans="1:26">
      <c r="A13" s="5">
        <v>1983</v>
      </c>
      <c r="B13" s="463">
        <v>4478.7198163117964</v>
      </c>
      <c r="C13" s="6">
        <v>4459.9869798841373</v>
      </c>
      <c r="D13" s="6">
        <v>18.732836427659095</v>
      </c>
      <c r="E13" s="468">
        <v>4.1826319117871259E-3</v>
      </c>
      <c r="F13" s="8">
        <v>4.1787243472843055E-3</v>
      </c>
      <c r="G13" s="516"/>
      <c r="H13" s="516"/>
      <c r="I13" s="8">
        <v>0</v>
      </c>
      <c r="J13" s="489"/>
      <c r="K13" s="496">
        <v>4984.2087962357191</v>
      </c>
      <c r="L13" s="6">
        <v>524.22181635158222</v>
      </c>
      <c r="M13" s="464">
        <v>0.10517653609284913</v>
      </c>
      <c r="N13" s="465">
        <v>0.89858190124264281</v>
      </c>
      <c r="O13" s="475"/>
      <c r="P13" s="475"/>
      <c r="R13" s="529"/>
      <c r="S13" s="529"/>
      <c r="U13" s="527">
        <v>4.1826319117873297E-3</v>
      </c>
      <c r="W13" s="528">
        <v>4.1787243472843055E-3</v>
      </c>
      <c r="X13" s="527">
        <v>4.1787243472843055E-3</v>
      </c>
      <c r="Y13" s="527">
        <v>0</v>
      </c>
      <c r="Z13" s="528">
        <v>3.9075645030242287E-6</v>
      </c>
    </row>
    <row r="14" spans="1:26">
      <c r="A14" s="5">
        <v>1984</v>
      </c>
      <c r="B14" s="463">
        <v>5498.3263826136736</v>
      </c>
      <c r="C14" s="6">
        <v>5468.7425723323613</v>
      </c>
      <c r="D14" s="6">
        <v>29.583810281312253</v>
      </c>
      <c r="E14" s="468">
        <v>5.3805118544544006E-3</v>
      </c>
      <c r="F14" s="8">
        <v>5.3799361246143857E-3</v>
      </c>
      <c r="G14" s="516"/>
      <c r="H14" s="516"/>
      <c r="I14" s="8">
        <v>0</v>
      </c>
      <c r="J14" s="489"/>
      <c r="K14" s="496">
        <v>6111.5323780778863</v>
      </c>
      <c r="L14" s="6">
        <v>642.78980574552497</v>
      </c>
      <c r="M14" s="464">
        <v>0.10517653609284915</v>
      </c>
      <c r="N14" s="465">
        <v>0.89966411735560992</v>
      </c>
      <c r="O14" s="475"/>
      <c r="P14" s="475"/>
      <c r="R14" s="529"/>
      <c r="S14" s="529"/>
      <c r="U14" s="527">
        <v>5.3805118544543841E-3</v>
      </c>
      <c r="W14" s="528">
        <v>5.3799361246143857E-3</v>
      </c>
      <c r="X14" s="527">
        <v>5.3799361246143857E-3</v>
      </c>
      <c r="Y14" s="527">
        <v>0</v>
      </c>
      <c r="Z14" s="528">
        <v>5.7572983999838734E-7</v>
      </c>
    </row>
    <row r="15" spans="1:26">
      <c r="A15" s="5">
        <v>1985</v>
      </c>
      <c r="B15" s="463">
        <v>6708.8337180776452</v>
      </c>
      <c r="C15" s="6">
        <v>6688.8346634282934</v>
      </c>
      <c r="D15" s="6">
        <v>19.99905464935182</v>
      </c>
      <c r="E15" s="468">
        <v>2.9810031802490946E-3</v>
      </c>
      <c r="F15" s="8">
        <v>2.9807192004722852E-3</v>
      </c>
      <c r="G15" s="516"/>
      <c r="H15" s="516"/>
      <c r="I15" s="8">
        <v>0</v>
      </c>
      <c r="J15" s="489"/>
      <c r="K15" s="496">
        <v>7475.0327111698807</v>
      </c>
      <c r="L15" s="6">
        <v>786.19804774158706</v>
      </c>
      <c r="M15" s="464">
        <v>0.10517653609284916</v>
      </c>
      <c r="N15" s="465">
        <v>0.89749891101515711</v>
      </c>
      <c r="O15" s="475"/>
      <c r="P15" s="475"/>
      <c r="R15" s="529"/>
      <c r="S15" s="529"/>
      <c r="U15" s="527">
        <v>2.9810031802490178E-3</v>
      </c>
      <c r="W15" s="528">
        <v>2.9807192004722852E-3</v>
      </c>
      <c r="X15" s="527">
        <v>2.9807192004722852E-3</v>
      </c>
      <c r="Y15" s="527">
        <v>0</v>
      </c>
      <c r="Z15" s="528">
        <v>2.8397977673262978E-7</v>
      </c>
    </row>
    <row r="16" spans="1:26">
      <c r="A16" s="5">
        <v>1986</v>
      </c>
      <c r="B16" s="463">
        <v>7256.2644544486047</v>
      </c>
      <c r="C16" s="6">
        <v>7256.8783013693674</v>
      </c>
      <c r="D16" s="6">
        <v>-0.61384692076262581</v>
      </c>
      <c r="E16" s="468">
        <v>-8.459544502768144E-5</v>
      </c>
      <c r="F16" s="8">
        <v>-8.3976206370114828E-5</v>
      </c>
      <c r="G16" s="516"/>
      <c r="H16" s="516"/>
      <c r="I16" s="8">
        <v>0</v>
      </c>
      <c r="J16" s="489"/>
      <c r="K16" s="496">
        <v>8109.8435547085292</v>
      </c>
      <c r="L16" s="6">
        <v>852.96525333916168</v>
      </c>
      <c r="M16" s="464">
        <v>0.10517653609284915</v>
      </c>
      <c r="N16" s="465">
        <v>0.89474777232116376</v>
      </c>
      <c r="O16" s="475"/>
      <c r="P16" s="475"/>
      <c r="R16" s="529"/>
      <c r="S16" s="529"/>
      <c r="U16" s="527">
        <v>-8.4595445027640646E-5</v>
      </c>
      <c r="W16" s="528">
        <v>-8.3976206370114828E-5</v>
      </c>
      <c r="X16" s="527">
        <v>-8.3976206370114828E-5</v>
      </c>
      <c r="Y16" s="527">
        <v>0</v>
      </c>
      <c r="Z16" s="528">
        <v>-6.1923865752581844E-7</v>
      </c>
    </row>
    <row r="17" spans="1:27">
      <c r="A17" s="5">
        <v>1987</v>
      </c>
      <c r="B17" s="463">
        <v>7926.8802007444774</v>
      </c>
      <c r="C17" s="6">
        <v>7932.61766302246</v>
      </c>
      <c r="D17" s="6">
        <v>-5.7374622779825586</v>
      </c>
      <c r="E17" s="468">
        <v>-7.2379828289113131E-4</v>
      </c>
      <c r="F17" s="8">
        <v>-7.2402582697653217E-4</v>
      </c>
      <c r="G17" s="516"/>
      <c r="H17" s="516"/>
      <c r="I17" s="8">
        <v>0</v>
      </c>
      <c r="J17" s="489"/>
      <c r="K17" s="496">
        <v>8865.0085553026674</v>
      </c>
      <c r="L17" s="6">
        <v>932.39089228020759</v>
      </c>
      <c r="M17" s="464">
        <v>0.10517653609284916</v>
      </c>
      <c r="N17" s="465">
        <v>0.89417626066507949</v>
      </c>
      <c r="O17" s="475"/>
      <c r="P17" s="475"/>
      <c r="R17" s="529"/>
      <c r="S17" s="529"/>
      <c r="U17" s="527">
        <v>-7.2379828289134815E-4</v>
      </c>
      <c r="W17" s="528">
        <v>-7.2402582697653217E-4</v>
      </c>
      <c r="X17" s="527">
        <v>-7.2402582697653217E-4</v>
      </c>
      <c r="Y17" s="527">
        <v>0</v>
      </c>
      <c r="Z17" s="528">
        <v>2.2754408518402096E-7</v>
      </c>
    </row>
    <row r="18" spans="1:27">
      <c r="A18" s="5">
        <v>1988</v>
      </c>
      <c r="B18" s="463">
        <v>8537.3967720134442</v>
      </c>
      <c r="C18" s="6">
        <v>8541.1188663117864</v>
      </c>
      <c r="D18" s="6">
        <v>-3.7220942983421992</v>
      </c>
      <c r="E18" s="468">
        <v>-4.3597532101865606E-4</v>
      </c>
      <c r="F18" s="8">
        <v>-4.3543623753418696E-4</v>
      </c>
      <c r="G18" s="516"/>
      <c r="H18" s="516"/>
      <c r="I18" s="8">
        <v>0</v>
      </c>
      <c r="J18" s="489"/>
      <c r="K18" s="496">
        <v>9568.9433872077843</v>
      </c>
      <c r="L18" s="6">
        <v>1027.8245208959981</v>
      </c>
      <c r="M18" s="464">
        <v>0.10741254068553091</v>
      </c>
      <c r="N18" s="465">
        <v>0.89219848279452041</v>
      </c>
      <c r="O18" s="475"/>
      <c r="P18" s="475"/>
      <c r="R18" s="529"/>
      <c r="S18" s="529"/>
      <c r="U18" s="527">
        <v>-4.3597532101862619E-4</v>
      </c>
      <c r="W18" s="528">
        <v>-4.3543623753418696E-4</v>
      </c>
      <c r="X18" s="527">
        <v>-4.3543623753418696E-4</v>
      </c>
      <c r="Y18" s="527">
        <v>0</v>
      </c>
      <c r="Z18" s="528">
        <v>-5.3908348443922668E-7</v>
      </c>
    </row>
    <row r="19" spans="1:27">
      <c r="A19" s="10">
        <v>1989</v>
      </c>
      <c r="B19" s="498">
        <v>8135.8795170798567</v>
      </c>
      <c r="C19" s="466">
        <v>8131.3782614412876</v>
      </c>
      <c r="D19" s="466">
        <v>4.5012556385690914</v>
      </c>
      <c r="E19" s="469">
        <v>5.5325986933797287E-4</v>
      </c>
      <c r="F19" s="508">
        <v>5.5468026755361825E-4</v>
      </c>
      <c r="G19" s="517"/>
      <c r="H19" s="517"/>
      <c r="I19" s="521">
        <v>0</v>
      </c>
      <c r="J19" s="490"/>
      <c r="K19" s="497">
        <v>9132.7736011642064</v>
      </c>
      <c r="L19" s="466">
        <v>1001.3953397229186</v>
      </c>
      <c r="M19" s="501">
        <v>0.10964854527821265</v>
      </c>
      <c r="N19" s="467">
        <v>0.8908443231356058</v>
      </c>
      <c r="O19" s="475"/>
      <c r="P19" s="475"/>
      <c r="R19" s="529"/>
      <c r="S19" s="529"/>
      <c r="U19" s="527">
        <v>5.5325986933781328E-4</v>
      </c>
      <c r="W19" s="528">
        <v>5.5468026755361825E-4</v>
      </c>
      <c r="X19" s="527">
        <v>5.5468026755361825E-4</v>
      </c>
      <c r="Y19" s="527">
        <v>0</v>
      </c>
      <c r="Z19" s="528">
        <v>-1.4203982158049726E-6</v>
      </c>
    </row>
    <row r="20" spans="1:27">
      <c r="A20" s="5">
        <v>1990</v>
      </c>
      <c r="B20" s="463">
        <v>7918.6457390586029</v>
      </c>
      <c r="C20" s="6">
        <v>7895.3177970156412</v>
      </c>
      <c r="D20" s="6">
        <v>23.327942042961695</v>
      </c>
      <c r="E20" s="468">
        <v>2.945950963293757E-3</v>
      </c>
      <c r="F20" s="8">
        <v>2.9437785432170948E-3</v>
      </c>
      <c r="G20" s="516"/>
      <c r="H20" s="516"/>
      <c r="I20" s="8">
        <v>0</v>
      </c>
      <c r="J20" s="489"/>
      <c r="K20" s="496">
        <v>8889.9678480628809</v>
      </c>
      <c r="L20" s="6">
        <v>994.65005104723934</v>
      </c>
      <c r="M20" s="464">
        <v>0.11188454987089443</v>
      </c>
      <c r="N20" s="465">
        <v>0.89073952509109144</v>
      </c>
      <c r="O20" s="475"/>
      <c r="P20" s="475"/>
      <c r="R20" s="529"/>
      <c r="S20" s="529"/>
      <c r="U20" s="527">
        <v>2.9459509632937886E-3</v>
      </c>
      <c r="W20" s="528">
        <v>2.9437785432170948E-3</v>
      </c>
      <c r="X20" s="527">
        <v>2.9437785432170948E-3</v>
      </c>
      <c r="Y20" s="527">
        <v>0</v>
      </c>
      <c r="Z20" s="528">
        <v>2.172420076693854E-6</v>
      </c>
    </row>
    <row r="21" spans="1:27">
      <c r="A21" s="5">
        <v>1991</v>
      </c>
      <c r="B21" s="463">
        <v>8887.4004990118428</v>
      </c>
      <c r="C21" s="6">
        <v>8867.4881895963044</v>
      </c>
      <c r="D21" s="6">
        <v>19.912309415538402</v>
      </c>
      <c r="E21" s="468">
        <v>2.2405099688882456E-3</v>
      </c>
      <c r="F21" s="8">
        <v>2.2412979066223329E-3</v>
      </c>
      <c r="G21" s="516"/>
      <c r="H21" s="516"/>
      <c r="I21" s="8">
        <v>0</v>
      </c>
      <c r="J21" s="489"/>
      <c r="K21" s="496">
        <v>10020.46115614373</v>
      </c>
      <c r="L21" s="6">
        <v>1152.9729665474254</v>
      </c>
      <c r="M21" s="464">
        <v>0.11506186677252037</v>
      </c>
      <c r="N21" s="465">
        <v>0.8869252981997553</v>
      </c>
      <c r="O21" s="475"/>
      <c r="P21" s="475"/>
      <c r="R21" s="529"/>
      <c r="S21" s="529"/>
      <c r="U21" s="527">
        <v>2.2405099688883445E-3</v>
      </c>
      <c r="W21" s="528">
        <v>2.2412979066223329E-3</v>
      </c>
      <c r="X21" s="527">
        <v>2.2412979066223329E-3</v>
      </c>
      <c r="Y21" s="527">
        <v>0</v>
      </c>
      <c r="Z21" s="528">
        <v>-7.8793773398847314E-7</v>
      </c>
    </row>
    <row r="22" spans="1:27">
      <c r="A22" s="5">
        <v>1992</v>
      </c>
      <c r="B22" s="463">
        <v>9994.679985933748</v>
      </c>
      <c r="C22" s="6">
        <v>9989.0682046393977</v>
      </c>
      <c r="D22" s="6">
        <v>5.611781294350294</v>
      </c>
      <c r="E22" s="468">
        <v>5.6147683590151651E-4</v>
      </c>
      <c r="F22" s="8">
        <v>5.6147683590146045E-4</v>
      </c>
      <c r="G22" s="516">
        <v>-1.2555924026028301E-2</v>
      </c>
      <c r="H22" s="516">
        <v>-1.199444719012684E-2</v>
      </c>
      <c r="I22" s="8">
        <v>0</v>
      </c>
      <c r="J22" s="491">
        <v>2.5917445251393478E-3</v>
      </c>
      <c r="K22" s="496">
        <v>11328.546267526533</v>
      </c>
      <c r="L22" s="6">
        <v>1339.4780628871356</v>
      </c>
      <c r="M22" s="464">
        <v>0.11823918367414642</v>
      </c>
      <c r="N22" s="465">
        <v>0.88225618273579065</v>
      </c>
      <c r="O22" s="475"/>
      <c r="P22" s="475"/>
      <c r="Q22" s="528">
        <v>5.6147683590146034E-4</v>
      </c>
      <c r="R22" s="527">
        <v>5.6147683590146034E-4</v>
      </c>
      <c r="S22" s="527">
        <v>0</v>
      </c>
      <c r="U22" s="527">
        <v>5.6147683590143031E-4</v>
      </c>
      <c r="V22" s="530"/>
      <c r="W22" s="528">
        <v>5.5644014456306145E-4</v>
      </c>
      <c r="X22" s="527">
        <v>5.5644014456306145E-4</v>
      </c>
      <c r="Y22" s="527">
        <v>0</v>
      </c>
      <c r="Z22" s="528">
        <v>5.0366913383688601E-6</v>
      </c>
      <c r="AA22" s="530">
        <v>5.6053252317500579E-17</v>
      </c>
    </row>
    <row r="23" spans="1:27">
      <c r="A23" s="5">
        <v>1993</v>
      </c>
      <c r="B23" s="463">
        <v>10284.476953834268</v>
      </c>
      <c r="C23" s="6">
        <v>10308.161041435178</v>
      </c>
      <c r="D23" s="6">
        <v>-23.684087600910061</v>
      </c>
      <c r="E23" s="468">
        <v>-2.302896657479517E-3</v>
      </c>
      <c r="F23" s="8">
        <v>-2.3028966574793973E-3</v>
      </c>
      <c r="G23" s="516">
        <v>-7.8840711007075459E-3</v>
      </c>
      <c r="H23" s="516">
        <v>-1.0186967758186945E-2</v>
      </c>
      <c r="I23" s="8">
        <v>0</v>
      </c>
      <c r="J23" s="491">
        <v>2.1034577047342271E-3</v>
      </c>
      <c r="K23" s="496">
        <v>11732.705028253486</v>
      </c>
      <c r="L23" s="6">
        <v>1424.5439868183071</v>
      </c>
      <c r="M23" s="464">
        <v>0.1214165005757724</v>
      </c>
      <c r="N23" s="465">
        <v>0.87656486113545473</v>
      </c>
      <c r="O23" s="475"/>
      <c r="P23" s="475"/>
      <c r="Q23" s="528">
        <v>-2.3028966574793978E-3</v>
      </c>
      <c r="R23" s="527">
        <v>-2.3028966574793978E-3</v>
      </c>
      <c r="S23" s="527">
        <v>0</v>
      </c>
      <c r="U23" s="527">
        <v>-2.3028966574794437E-3</v>
      </c>
      <c r="V23" s="530"/>
      <c r="W23" s="528">
        <v>-2.3055167867210885E-3</v>
      </c>
      <c r="X23" s="527">
        <v>-2.3055167867210885E-3</v>
      </c>
      <c r="Y23" s="527">
        <v>0</v>
      </c>
      <c r="Z23" s="528">
        <v>2.6201292416447829E-6</v>
      </c>
      <c r="AA23" s="530">
        <v>-1.1969591984239969E-16</v>
      </c>
    </row>
    <row r="24" spans="1:27">
      <c r="A24" s="5">
        <v>1994</v>
      </c>
      <c r="B24" s="463">
        <v>10965.318060272841</v>
      </c>
      <c r="C24" s="6">
        <v>10987.933404834535</v>
      </c>
      <c r="D24" s="6">
        <v>-22.615344561694656</v>
      </c>
      <c r="E24" s="468">
        <v>-2.0624430989949721E-3</v>
      </c>
      <c r="F24" s="8">
        <v>-2.0578291323307693E-3</v>
      </c>
      <c r="G24" s="516">
        <v>-1.1410339561107615E-2</v>
      </c>
      <c r="H24" s="516">
        <v>-1.3468168693438386E-2</v>
      </c>
      <c r="I24" s="8">
        <v>0</v>
      </c>
      <c r="J24" s="491">
        <v>2.6599517820374203E-3</v>
      </c>
      <c r="K24" s="496">
        <v>12551.811518135863</v>
      </c>
      <c r="L24" s="6">
        <v>1563.8781133013265</v>
      </c>
      <c r="M24" s="464">
        <v>0.12459381747739839</v>
      </c>
      <c r="N24" s="465">
        <v>0.87360442310890907</v>
      </c>
      <c r="O24" s="475"/>
      <c r="P24" s="475"/>
      <c r="Q24" s="528">
        <v>-2.0578291323307693E-3</v>
      </c>
      <c r="R24" s="527">
        <v>-2.0578291323307693E-3</v>
      </c>
      <c r="S24" s="527">
        <v>0</v>
      </c>
      <c r="U24" s="527">
        <v>-2.0624430989952237E-3</v>
      </c>
      <c r="V24" s="530"/>
      <c r="W24" s="528">
        <v>-2.0598992346144282E-3</v>
      </c>
      <c r="X24" s="527">
        <v>-2.0598992346144282E-3</v>
      </c>
      <c r="Y24" s="527">
        <v>0</v>
      </c>
      <c r="Z24" s="528">
        <v>-2.5438643807954887E-6</v>
      </c>
      <c r="AA24" s="530">
        <v>-4.6139666642027767E-6</v>
      </c>
    </row>
    <row r="25" spans="1:27">
      <c r="A25" s="470">
        <v>1995</v>
      </c>
      <c r="B25" s="463">
        <v>11307.905021157343</v>
      </c>
      <c r="C25" s="6">
        <v>11515.58846718635</v>
      </c>
      <c r="D25" s="6">
        <v>-207.68344602900652</v>
      </c>
      <c r="E25" s="468">
        <v>-1.8366217760091383E-2</v>
      </c>
      <c r="F25" s="8">
        <v>-1.8366217760091268E-2</v>
      </c>
      <c r="G25" s="516">
        <v>-8.0977984123266535E-3</v>
      </c>
      <c r="H25" s="516">
        <v>-2.6464016172417927E-2</v>
      </c>
      <c r="I25" s="8">
        <v>0</v>
      </c>
      <c r="J25" s="491">
        <v>2.237869088343098E-3</v>
      </c>
      <c r="K25" s="496">
        <v>13202.484945264827</v>
      </c>
      <c r="L25" s="6">
        <v>1686.8964780784779</v>
      </c>
      <c r="M25" s="464">
        <v>0.12777113437902432</v>
      </c>
      <c r="N25" s="465">
        <v>0.85649823257045343</v>
      </c>
      <c r="O25" s="475"/>
      <c r="P25" s="475"/>
      <c r="Q25" s="528">
        <v>-1.8366217760091272E-2</v>
      </c>
      <c r="R25" s="527">
        <v>-1.8366217760091272E-2</v>
      </c>
      <c r="S25" s="527">
        <v>0</v>
      </c>
      <c r="U25" s="527">
        <v>-1.8366217760091213E-2</v>
      </c>
      <c r="V25" s="530"/>
      <c r="W25" s="528">
        <v>-1.8367090865276488E-2</v>
      </c>
      <c r="X25" s="527">
        <v>-1.8367090865276488E-2</v>
      </c>
      <c r="Y25" s="527">
        <v>0</v>
      </c>
      <c r="Z25" s="528">
        <v>8.7310518527561332E-7</v>
      </c>
      <c r="AA25" s="530">
        <v>-1.1449174941446927E-16</v>
      </c>
    </row>
    <row r="26" spans="1:27">
      <c r="A26" s="470">
        <v>1996</v>
      </c>
      <c r="B26" s="463">
        <v>11983.810507568909</v>
      </c>
      <c r="C26" s="6">
        <v>12181.591742088545</v>
      </c>
      <c r="D26" s="6">
        <v>-197.7812345196362</v>
      </c>
      <c r="E26" s="468">
        <v>-1.6504035539840908E-2</v>
      </c>
      <c r="F26" s="8">
        <v>-1.6504035539840631E-2</v>
      </c>
      <c r="G26" s="516">
        <v>-9.7099460617339154E-3</v>
      </c>
      <c r="H26" s="516">
        <v>-2.6213981601574544E-2</v>
      </c>
      <c r="I26" s="8">
        <v>0</v>
      </c>
      <c r="J26" s="491">
        <v>2.837653533491601E-3</v>
      </c>
      <c r="K26" s="496">
        <v>14033.999991137836</v>
      </c>
      <c r="L26" s="6">
        <v>1852.4082490492913</v>
      </c>
      <c r="M26" s="464">
        <v>0.13199431738770462</v>
      </c>
      <c r="N26" s="465">
        <v>0.85391267743597143</v>
      </c>
      <c r="O26" s="475"/>
      <c r="P26" s="475"/>
      <c r="Q26" s="528">
        <v>-1.6504035539840631E-2</v>
      </c>
      <c r="R26" s="527">
        <v>-1.6504035539840631E-2</v>
      </c>
      <c r="S26" s="527">
        <v>0</v>
      </c>
      <c r="U26" s="527">
        <v>-1.6504035539840724E-2</v>
      </c>
      <c r="V26" s="530"/>
      <c r="W26" s="528">
        <v>-1.6503030933882706E-2</v>
      </c>
      <c r="X26" s="527">
        <v>-1.6503030933882706E-2</v>
      </c>
      <c r="Y26" s="527">
        <v>0</v>
      </c>
      <c r="Z26" s="528">
        <v>-1.0046059580187672E-6</v>
      </c>
      <c r="AA26" s="530">
        <v>-2.7755575615628914E-16</v>
      </c>
    </row>
    <row r="27" spans="1:27">
      <c r="A27" s="470">
        <v>1997</v>
      </c>
      <c r="B27" s="463">
        <v>12502.376807274684</v>
      </c>
      <c r="C27" s="6">
        <v>12666.213141446002</v>
      </c>
      <c r="D27" s="6">
        <v>-163.8363341713175</v>
      </c>
      <c r="E27" s="468">
        <v>-1.3104415000193164E-2</v>
      </c>
      <c r="F27" s="8">
        <v>-1.3302921078482651E-2</v>
      </c>
      <c r="G27" s="516">
        <v>-6.602616120594631E-3</v>
      </c>
      <c r="H27" s="516">
        <v>-1.9905537199077283E-2</v>
      </c>
      <c r="I27" s="8">
        <v>1.982508756836508E-4</v>
      </c>
      <c r="J27" s="491">
        <v>6.1256647385151217E-3</v>
      </c>
      <c r="K27" s="496">
        <v>14663.660293254905</v>
      </c>
      <c r="L27" s="6">
        <v>1997.4471518089028</v>
      </c>
      <c r="M27" s="464">
        <v>0.13621750039638486</v>
      </c>
      <c r="N27" s="465">
        <v>0.85260955022434726</v>
      </c>
      <c r="O27" s="475"/>
      <c r="P27" s="475"/>
      <c r="Q27" s="528">
        <v>-1.3104670202799E-2</v>
      </c>
      <c r="R27" s="527">
        <v>-1.3302921078482651E-2</v>
      </c>
      <c r="S27" s="527">
        <v>1.982508756836508E-4</v>
      </c>
      <c r="U27" s="527">
        <v>-1.3104415000193171E-2</v>
      </c>
      <c r="V27" s="530"/>
      <c r="W27" s="528">
        <v>-1.3104415000193138E-2</v>
      </c>
      <c r="X27" s="527">
        <v>-1.3302594852931556E-2</v>
      </c>
      <c r="Y27" s="527">
        <v>1.9817985273841725E-4</v>
      </c>
      <c r="Z27" s="528">
        <v>-3.2959746043559335E-17</v>
      </c>
      <c r="AA27" s="530">
        <v>2.5520260583627281E-7</v>
      </c>
    </row>
    <row r="28" spans="1:27">
      <c r="A28" s="470">
        <v>1998</v>
      </c>
      <c r="B28" s="463">
        <v>13103.941712497919</v>
      </c>
      <c r="C28" s="6">
        <v>13349.667848209605</v>
      </c>
      <c r="D28" s="6">
        <v>-245.72613571168586</v>
      </c>
      <c r="E28" s="468">
        <v>-1.8752077894037326E-2</v>
      </c>
      <c r="F28" s="8">
        <v>-1.8629604235803499E-2</v>
      </c>
      <c r="G28" s="516">
        <v>-6.1835589223879547E-3</v>
      </c>
      <c r="H28" s="516">
        <v>-2.4813163158191456E-2</v>
      </c>
      <c r="I28" s="8">
        <v>-1.2111283980909503E-4</v>
      </c>
      <c r="J28" s="491">
        <v>4.8241013159914829E-3</v>
      </c>
      <c r="K28" s="496">
        <v>15586.873727285889</v>
      </c>
      <c r="L28" s="6">
        <v>2237.205879076284</v>
      </c>
      <c r="M28" s="464">
        <v>0.1435314045792199</v>
      </c>
      <c r="N28" s="465">
        <v>0.84070365499648414</v>
      </c>
      <c r="O28" s="475"/>
      <c r="P28" s="475"/>
      <c r="Q28" s="528">
        <v>-1.8750717075612593E-2</v>
      </c>
      <c r="R28" s="527">
        <v>-1.8629604235803499E-2</v>
      </c>
      <c r="S28" s="527">
        <v>-1.2111283980909503E-4</v>
      </c>
      <c r="U28" s="527">
        <v>-1.8752077894037416E-2</v>
      </c>
      <c r="V28" s="530"/>
      <c r="W28" s="528">
        <v>-1.875138474002561E-2</v>
      </c>
      <c r="X28" s="527">
        <v>-1.8630388628009465E-2</v>
      </c>
      <c r="Y28" s="527">
        <v>-1.2099611201614539E-4</v>
      </c>
      <c r="Z28" s="528">
        <v>-6.9315401180630731E-7</v>
      </c>
      <c r="AA28" s="530">
        <v>-1.3608184247314694E-6</v>
      </c>
    </row>
    <row r="29" spans="1:27">
      <c r="A29" s="471">
        <v>1999</v>
      </c>
      <c r="B29" s="498">
        <v>13702.841776083416</v>
      </c>
      <c r="C29" s="466">
        <v>13914.0390583386</v>
      </c>
      <c r="D29" s="466">
        <v>-211.19728225518338</v>
      </c>
      <c r="E29" s="469">
        <v>-1.5412662986724522E-2</v>
      </c>
      <c r="F29" s="508">
        <v>-1.50112312435193E-2</v>
      </c>
      <c r="G29" s="517">
        <v>-8.7169873724902078E-3</v>
      </c>
      <c r="H29" s="517">
        <v>-2.3728218616009506E-2</v>
      </c>
      <c r="I29" s="499">
        <v>-4.0143174320545302E-4</v>
      </c>
      <c r="J29" s="500">
        <v>5.2649317089638265E-3</v>
      </c>
      <c r="K29" s="497">
        <v>16385.753034060188</v>
      </c>
      <c r="L29" s="466">
        <v>2471.7139757215873</v>
      </c>
      <c r="M29" s="501">
        <v>0.15084530876205493</v>
      </c>
      <c r="N29" s="467">
        <v>0.83626561120505427</v>
      </c>
      <c r="O29" s="475"/>
      <c r="P29" s="475"/>
      <c r="Q29" s="528">
        <v>-1.5412662986724753E-2</v>
      </c>
      <c r="R29" s="527">
        <v>-1.50112312435193E-2</v>
      </c>
      <c r="S29" s="527">
        <v>-4.0143174320545302E-4</v>
      </c>
      <c r="U29" s="527">
        <v>-1.541266298672468E-2</v>
      </c>
      <c r="V29" s="530"/>
      <c r="W29" s="528">
        <v>-1.5412577486987206E-2</v>
      </c>
      <c r="X29" s="527">
        <v>-1.5011048791067912E-2</v>
      </c>
      <c r="Y29" s="527">
        <v>-4.0152869591929437E-4</v>
      </c>
      <c r="Z29" s="528">
        <v>-8.5499737473987425E-8</v>
      </c>
      <c r="AA29" s="530">
        <v>2.3098927284803672E-16</v>
      </c>
    </row>
    <row r="30" spans="1:27">
      <c r="A30" s="96">
        <v>2000</v>
      </c>
      <c r="B30" s="463">
        <v>14115.214936982837</v>
      </c>
      <c r="C30" s="6">
        <v>14315.706565096429</v>
      </c>
      <c r="D30" s="6">
        <v>-200.49162811359201</v>
      </c>
      <c r="E30" s="468">
        <v>-1.4203937312232498E-2</v>
      </c>
      <c r="F30" s="8">
        <v>-1.374111896113122E-2</v>
      </c>
      <c r="G30" s="516">
        <v>-1.1960040453253565E-2</v>
      </c>
      <c r="H30" s="516">
        <v>-2.5701159414384781E-2</v>
      </c>
      <c r="I30" s="8">
        <v>-4.6246737661852043E-4</v>
      </c>
      <c r="J30" s="491">
        <v>6.1123376065801219E-3</v>
      </c>
      <c r="K30" s="496">
        <v>17005.242303803068</v>
      </c>
      <c r="L30" s="6">
        <v>2689.5357387066406</v>
      </c>
      <c r="M30" s="464">
        <v>0.15815921294488997</v>
      </c>
      <c r="N30" s="465">
        <v>0.83005079756059086</v>
      </c>
      <c r="O30" s="475"/>
      <c r="P30" s="475"/>
      <c r="Q30" s="528">
        <v>-1.420358633774974E-2</v>
      </c>
      <c r="R30" s="527">
        <v>-1.374111896113122E-2</v>
      </c>
      <c r="S30" s="527">
        <v>-4.6246737661852043E-4</v>
      </c>
      <c r="U30" s="527">
        <v>-1.4203937312232441E-2</v>
      </c>
      <c r="V30" s="530"/>
      <c r="W30" s="528">
        <v>-1.4203611636168208E-2</v>
      </c>
      <c r="X30" s="527">
        <v>-1.3741161432029175E-2</v>
      </c>
      <c r="Y30" s="527">
        <v>-4.6245020413903417E-4</v>
      </c>
      <c r="Z30" s="528">
        <v>-3.256760642330464E-7</v>
      </c>
      <c r="AA30" s="530">
        <v>-3.509744827580861E-7</v>
      </c>
    </row>
    <row r="31" spans="1:27">
      <c r="A31" s="96">
        <v>2001</v>
      </c>
      <c r="B31" s="463">
        <v>15325.790423377906</v>
      </c>
      <c r="C31" s="6">
        <v>15583.241656648992</v>
      </c>
      <c r="D31" s="6">
        <v>-257.45123327108558</v>
      </c>
      <c r="E31" s="468">
        <v>-1.6798561520087758E-2</v>
      </c>
      <c r="F31" s="8">
        <v>-1.6313325022352481E-2</v>
      </c>
      <c r="G31" s="516">
        <v>-7.9660716922032547E-3</v>
      </c>
      <c r="H31" s="516">
        <v>-2.4279396714555732E-2</v>
      </c>
      <c r="I31" s="8">
        <v>-4.8555406088813136E-4</v>
      </c>
      <c r="J31" s="491">
        <v>7.4405046740411507E-3</v>
      </c>
      <c r="K31" s="496">
        <v>18462.990761888486</v>
      </c>
      <c r="L31" s="6">
        <v>2879.7491052394944</v>
      </c>
      <c r="M31" s="464">
        <v>0.15597413996349416</v>
      </c>
      <c r="N31" s="465">
        <v>0.83008168183746134</v>
      </c>
      <c r="O31" s="475"/>
      <c r="P31" s="475"/>
      <c r="Q31" s="528">
        <v>-1.6798879083240608E-2</v>
      </c>
      <c r="R31" s="527">
        <v>-1.6313325022352478E-2</v>
      </c>
      <c r="S31" s="527">
        <v>-4.8555406088813136E-4</v>
      </c>
      <c r="U31" s="527">
        <v>-1.6798561520087612E-2</v>
      </c>
      <c r="V31" s="530"/>
      <c r="W31" s="528">
        <v>-1.6798779553684914E-2</v>
      </c>
      <c r="X31" s="527">
        <v>-1.6313261915520089E-2</v>
      </c>
      <c r="Y31" s="527">
        <v>-4.8551763816482473E-4</v>
      </c>
      <c r="Z31" s="528">
        <v>2.1803359730176997E-7</v>
      </c>
      <c r="AA31" s="530">
        <v>3.175631528547565E-7</v>
      </c>
    </row>
    <row r="32" spans="1:27">
      <c r="A32" s="96">
        <v>2002</v>
      </c>
      <c r="B32" s="463">
        <v>16979.996281743333</v>
      </c>
      <c r="C32" s="6">
        <v>17180.571525742831</v>
      </c>
      <c r="D32" s="6">
        <v>-200.57524399949762</v>
      </c>
      <c r="E32" s="468">
        <v>-1.1812443340470779E-2</v>
      </c>
      <c r="F32" s="8">
        <v>-1.1593956110373983E-2</v>
      </c>
      <c r="G32" s="516">
        <v>-6.0627341571799645E-3</v>
      </c>
      <c r="H32" s="516">
        <v>-1.7656690267553947E-2</v>
      </c>
      <c r="I32" s="8">
        <v>-2.1858272276748626E-4</v>
      </c>
      <c r="J32" s="491">
        <v>1.0262692790976202E-2</v>
      </c>
      <c r="K32" s="496">
        <v>20302.942038896319</v>
      </c>
      <c r="L32" s="6">
        <v>3122.3705131534862</v>
      </c>
      <c r="M32" s="464">
        <v>0.15378906698209835</v>
      </c>
      <c r="N32" s="465">
        <v>0.83633181088795427</v>
      </c>
      <c r="O32" s="475"/>
      <c r="P32" s="475"/>
      <c r="Q32" s="528">
        <v>-1.181253883314147E-2</v>
      </c>
      <c r="R32" s="527">
        <v>-1.1593956110373983E-2</v>
      </c>
      <c r="S32" s="527">
        <v>-2.1858272276748626E-4</v>
      </c>
      <c r="U32" s="527">
        <v>-1.1812443340470975E-2</v>
      </c>
      <c r="V32" s="530"/>
      <c r="W32" s="528">
        <v>-1.1812537973064478E-2</v>
      </c>
      <c r="X32" s="527">
        <v>-1.1593935113759562E-2</v>
      </c>
      <c r="Y32" s="527">
        <v>-2.1860285930491607E-4</v>
      </c>
      <c r="Z32" s="528">
        <v>9.4632593502716467E-8</v>
      </c>
      <c r="AA32" s="530">
        <v>9.5492670690625839E-8</v>
      </c>
    </row>
    <row r="33" spans="1:27">
      <c r="A33" s="96">
        <v>2003</v>
      </c>
      <c r="B33" s="463">
        <v>18636.803884719462</v>
      </c>
      <c r="C33" s="6">
        <v>18769.369050295369</v>
      </c>
      <c r="D33" s="6">
        <v>-132.56516557590658</v>
      </c>
      <c r="E33" s="468">
        <v>-7.1130847540118369E-3</v>
      </c>
      <c r="F33" s="8">
        <v>-7.2260796664879688E-3</v>
      </c>
      <c r="G33" s="516">
        <v>-1.0310716313766267E-2</v>
      </c>
      <c r="H33" s="516">
        <v>-1.7536795980254236E-2</v>
      </c>
      <c r="I33" s="8">
        <v>1.1303101733851435E-4</v>
      </c>
      <c r="J33" s="491">
        <v>1.2146124738167856E-2</v>
      </c>
      <c r="K33" s="496">
        <v>22150.791094145799</v>
      </c>
      <c r="L33" s="6">
        <v>3381.4220438504317</v>
      </c>
      <c r="M33" s="464">
        <v>0.15265468531027332</v>
      </c>
      <c r="N33" s="465">
        <v>0.84136064511235253</v>
      </c>
      <c r="O33" s="475"/>
      <c r="P33" s="475"/>
      <c r="Q33" s="528">
        <v>-7.1130486491494532E-3</v>
      </c>
      <c r="R33" s="527">
        <v>-7.2260796664879679E-3</v>
      </c>
      <c r="S33" s="527">
        <v>1.1303101733851435E-4</v>
      </c>
      <c r="U33" s="527">
        <v>-7.1130847540117371E-3</v>
      </c>
      <c r="V33" s="530"/>
      <c r="W33" s="528">
        <v>-7.1130847540117406E-3</v>
      </c>
      <c r="X33" s="527">
        <v>-7.2261045450974564E-3</v>
      </c>
      <c r="Y33" s="527">
        <v>1.130197910857158E-4</v>
      </c>
      <c r="Z33" s="528">
        <v>0</v>
      </c>
      <c r="AA33" s="530">
        <v>-3.6104862382433278E-8</v>
      </c>
    </row>
    <row r="34" spans="1:27">
      <c r="A34" s="96">
        <v>2004</v>
      </c>
      <c r="B34" s="463">
        <v>20752.185566745087</v>
      </c>
      <c r="C34" s="6">
        <v>20814.615594051778</v>
      </c>
      <c r="D34" s="6">
        <v>-62.430027306691045</v>
      </c>
      <c r="E34" s="468">
        <v>-3.0083591487700344E-3</v>
      </c>
      <c r="F34" s="8">
        <v>-3.3789163450671342E-3</v>
      </c>
      <c r="G34" s="516">
        <v>-1.0870754067879964E-2</v>
      </c>
      <c r="H34" s="516">
        <v>-1.4249670412947097E-2</v>
      </c>
      <c r="I34" s="8">
        <v>3.7057940084668793E-4</v>
      </c>
      <c r="J34" s="491">
        <v>1.3423728824018728E-2</v>
      </c>
      <c r="K34" s="496">
        <v>24531.660195652239</v>
      </c>
      <c r="L34" s="6">
        <v>3717.0446016004626</v>
      </c>
      <c r="M34" s="464">
        <v>0.15152030363844826</v>
      </c>
      <c r="N34" s="465">
        <v>0.84593482060472247</v>
      </c>
      <c r="O34" s="475"/>
      <c r="P34" s="475"/>
      <c r="Q34" s="528">
        <v>-3.0083369442204461E-3</v>
      </c>
      <c r="R34" s="527">
        <v>-3.3789163450671342E-3</v>
      </c>
      <c r="S34" s="527">
        <v>3.7057940084668793E-4</v>
      </c>
      <c r="U34" s="527">
        <v>-3.0083591487697734E-3</v>
      </c>
      <c r="V34" s="530"/>
      <c r="W34" s="528">
        <v>-3.0083591487697465E-3</v>
      </c>
      <c r="X34" s="527">
        <v>-3.3789753721398326E-3</v>
      </c>
      <c r="Y34" s="527">
        <v>3.7061622337008609E-4</v>
      </c>
      <c r="Z34" s="528">
        <v>-2.688821387764051E-17</v>
      </c>
      <c r="AA34" s="530">
        <v>-2.2204549588171908E-8</v>
      </c>
    </row>
    <row r="35" spans="1:27">
      <c r="A35" s="96">
        <v>2005</v>
      </c>
      <c r="B35" s="463">
        <v>23001.072151662778</v>
      </c>
      <c r="C35" s="6">
        <v>23187.190772636543</v>
      </c>
      <c r="D35" s="6">
        <v>-186.11862097376434</v>
      </c>
      <c r="E35" s="468">
        <v>-8.0917367567280799E-3</v>
      </c>
      <c r="F35" s="8">
        <v>-8.8548495605820371E-3</v>
      </c>
      <c r="G35" s="516">
        <v>-1.8045568920278147E-2</v>
      </c>
      <c r="H35" s="516">
        <v>-2.690041848086018E-2</v>
      </c>
      <c r="I35" s="8">
        <v>7.6307852881400391E-4</v>
      </c>
      <c r="J35" s="491">
        <v>1.1984096801935545E-2</v>
      </c>
      <c r="K35" s="496">
        <v>27291.438986402532</v>
      </c>
      <c r="L35" s="6">
        <v>4104.2482137659908</v>
      </c>
      <c r="M35" s="464">
        <v>0.15038592196662326</v>
      </c>
      <c r="N35" s="465">
        <v>0.84279440754746016</v>
      </c>
      <c r="O35" s="475"/>
      <c r="P35" s="475"/>
      <c r="Q35" s="528">
        <v>-8.0917710317680337E-3</v>
      </c>
      <c r="R35" s="527">
        <v>-8.8548495605820371E-3</v>
      </c>
      <c r="S35" s="527">
        <v>7.6307852881400391E-4</v>
      </c>
      <c r="U35" s="527">
        <v>-8.0917367567280279E-3</v>
      </c>
      <c r="V35" s="530"/>
      <c r="W35" s="528">
        <v>-8.0917367567280261E-3</v>
      </c>
      <c r="X35" s="527">
        <v>-8.8548460382309718E-3</v>
      </c>
      <c r="Y35" s="527">
        <v>7.6310928150294497E-4</v>
      </c>
      <c r="Z35" s="528">
        <v>0</v>
      </c>
      <c r="AA35" s="530">
        <v>3.427503995326233E-8</v>
      </c>
    </row>
    <row r="36" spans="1:27">
      <c r="A36" s="96">
        <v>2006</v>
      </c>
      <c r="B36" s="463">
        <v>26298.569007612292</v>
      </c>
      <c r="C36" s="6">
        <v>26354.484444880982</v>
      </c>
      <c r="D36" s="6">
        <v>-55.915437268689857</v>
      </c>
      <c r="E36" s="468">
        <v>-2.1261779396629819E-3</v>
      </c>
      <c r="F36" s="8">
        <v>-2.9486030867136039E-3</v>
      </c>
      <c r="G36" s="516">
        <v>-2.0769808310130845E-2</v>
      </c>
      <c r="H36" s="516">
        <v>-2.3718411396844444E-2</v>
      </c>
      <c r="I36" s="8">
        <v>8.2242701549853597E-4</v>
      </c>
      <c r="J36" s="491">
        <v>1.160239171391677E-2</v>
      </c>
      <c r="K36" s="496">
        <v>30831.553604818637</v>
      </c>
      <c r="L36" s="6">
        <v>4477.0691599376569</v>
      </c>
      <c r="M36" s="464">
        <v>0.14521062471655466</v>
      </c>
      <c r="N36" s="465">
        <v>0.85297579696088077</v>
      </c>
      <c r="O36" s="475"/>
      <c r="P36" s="475"/>
      <c r="Q36" s="528">
        <v>-2.1261760712150673E-3</v>
      </c>
      <c r="R36" s="527">
        <v>-2.9486030867136035E-3</v>
      </c>
      <c r="S36" s="527">
        <v>8.2242701549853597E-4</v>
      </c>
      <c r="U36" s="527">
        <v>-2.1261779396628496E-3</v>
      </c>
      <c r="V36" s="530"/>
      <c r="W36" s="528">
        <v>-2.1261779396628748E-3</v>
      </c>
      <c r="X36" s="527">
        <v>-2.9485994831437404E-3</v>
      </c>
      <c r="Y36" s="527">
        <v>8.2242154348086572E-4</v>
      </c>
      <c r="Z36" s="528">
        <v>2.5153490401663703E-17</v>
      </c>
      <c r="AA36" s="530">
        <v>-1.8684479139666893E-9</v>
      </c>
    </row>
    <row r="37" spans="1:27">
      <c r="A37" s="96">
        <v>2007</v>
      </c>
      <c r="B37" s="463">
        <v>30495.042468996828</v>
      </c>
      <c r="C37" s="6">
        <v>30417.45776045616</v>
      </c>
      <c r="D37" s="6">
        <v>77.584708540667634</v>
      </c>
      <c r="E37" s="468">
        <v>2.5441744709667189E-3</v>
      </c>
      <c r="F37" s="8">
        <v>1.1715725296420714E-3</v>
      </c>
      <c r="G37" s="516">
        <v>-2.4239755781036026E-2</v>
      </c>
      <c r="H37" s="516">
        <v>-2.3068183251393953E-2</v>
      </c>
      <c r="I37" s="8">
        <v>1.372629814798627E-3</v>
      </c>
      <c r="J37" s="491">
        <v>1.1734067510478256E-2</v>
      </c>
      <c r="K37" s="496">
        <v>35370.589899750506</v>
      </c>
      <c r="L37" s="6">
        <v>4953.1321392943473</v>
      </c>
      <c r="M37" s="464">
        <v>0.14003532746648609</v>
      </c>
      <c r="N37" s="465">
        <v>0.86215815329706813</v>
      </c>
      <c r="O37" s="475"/>
      <c r="P37" s="475"/>
      <c r="Q37" s="528">
        <v>2.5442023444406979E-3</v>
      </c>
      <c r="R37" s="527">
        <v>1.1715725296420712E-3</v>
      </c>
      <c r="S37" s="527">
        <v>1.372629814798627E-3</v>
      </c>
      <c r="U37" s="527">
        <v>2.5441744709667883E-3</v>
      </c>
      <c r="V37" s="530"/>
      <c r="W37" s="528">
        <v>2.5441744709667853E-3</v>
      </c>
      <c r="X37" s="527">
        <v>1.1715486440942355E-3</v>
      </c>
      <c r="Y37" s="527">
        <v>1.3726258268725495E-3</v>
      </c>
      <c r="Z37" s="528">
        <v>0</v>
      </c>
      <c r="AA37" s="530">
        <v>-2.7873473979443675E-8</v>
      </c>
    </row>
    <row r="38" spans="1:27">
      <c r="A38" s="96">
        <v>2008</v>
      </c>
      <c r="B38" s="463">
        <v>33375.770528352245</v>
      </c>
      <c r="C38" s="6">
        <v>33142.238138565815</v>
      </c>
      <c r="D38" s="6">
        <v>233.53238978642912</v>
      </c>
      <c r="E38" s="468">
        <v>6.997063620989564E-3</v>
      </c>
      <c r="F38" s="8">
        <v>5.4301391763388104E-3</v>
      </c>
      <c r="G38" s="516">
        <v>-2.5131292262815019E-2</v>
      </c>
      <c r="H38" s="516">
        <v>-1.9701153086476211E-2</v>
      </c>
      <c r="I38" s="8">
        <v>1.5668832080360669E-3</v>
      </c>
      <c r="J38" s="491">
        <v>1.0565331069237323E-2</v>
      </c>
      <c r="K38" s="496">
        <v>38493.483009116746</v>
      </c>
      <c r="L38" s="6">
        <v>5351.2448705509323</v>
      </c>
      <c r="M38" s="464">
        <v>0.13901690499879032</v>
      </c>
      <c r="N38" s="465">
        <v>0.8670498983022028</v>
      </c>
      <c r="O38" s="475"/>
      <c r="P38" s="475"/>
      <c r="Q38" s="528">
        <v>6.9970223843748777E-3</v>
      </c>
      <c r="R38" s="527">
        <v>5.4301391763388112E-3</v>
      </c>
      <c r="S38" s="527">
        <v>1.5668832080360669E-3</v>
      </c>
      <c r="U38" s="527">
        <v>6.9970636209897227E-3</v>
      </c>
      <c r="V38" s="530"/>
      <c r="W38" s="528">
        <v>6.99706362098978E-3</v>
      </c>
      <c r="X38" s="527">
        <v>5.4301548843870458E-3</v>
      </c>
      <c r="Y38" s="527">
        <v>1.5669087366027342E-3</v>
      </c>
      <c r="Z38" s="528">
        <v>-5.7245874707234634E-17</v>
      </c>
      <c r="AA38" s="530">
        <v>4.1236614686714773E-8</v>
      </c>
    </row>
    <row r="39" spans="1:27">
      <c r="A39" s="471">
        <v>2009</v>
      </c>
      <c r="B39" s="498">
        <v>36798.700930492065</v>
      </c>
      <c r="C39" s="466">
        <v>36868.271448695305</v>
      </c>
      <c r="D39" s="466">
        <v>-69.570518203239772</v>
      </c>
      <c r="E39" s="469">
        <v>-1.890569950679764E-3</v>
      </c>
      <c r="F39" s="508">
        <v>-3.4765291421423412E-3</v>
      </c>
      <c r="G39" s="517">
        <v>-2.1944679972893389E-2</v>
      </c>
      <c r="H39" s="517">
        <v>-2.5421209115035735E-2</v>
      </c>
      <c r="I39" s="499">
        <v>1.5859610603096621E-3</v>
      </c>
      <c r="J39" s="500">
        <v>7.0144273061909313E-3</v>
      </c>
      <c r="K39" s="497">
        <v>42770.541236344448</v>
      </c>
      <c r="L39" s="466">
        <v>5902.269787649142</v>
      </c>
      <c r="M39" s="501">
        <v>0.13799848253109465</v>
      </c>
      <c r="N39" s="467">
        <v>0.86037491850166747</v>
      </c>
      <c r="O39" s="475"/>
      <c r="P39" s="475"/>
      <c r="Q39" s="528">
        <v>-1.8905680818326791E-3</v>
      </c>
      <c r="R39" s="527">
        <v>-3.4765291421423412E-3</v>
      </c>
      <c r="S39" s="527">
        <v>1.5859610603096621E-3</v>
      </c>
      <c r="U39" s="527">
        <v>-1.8905699506798059E-3</v>
      </c>
      <c r="V39" s="530"/>
      <c r="W39" s="528">
        <v>-1.8905699506798501E-3</v>
      </c>
      <c r="X39" s="527">
        <v>-3.4765361964317386E-3</v>
      </c>
      <c r="Y39" s="527">
        <v>1.5859662457518885E-3</v>
      </c>
      <c r="Z39" s="528">
        <v>4.4235448637408581E-17</v>
      </c>
      <c r="AA39" s="530">
        <v>-1.8688470848973737E-9</v>
      </c>
    </row>
    <row r="40" spans="1:27">
      <c r="A40" s="470">
        <v>2010</v>
      </c>
      <c r="B40" s="463">
        <v>40326.685202097913</v>
      </c>
      <c r="C40" s="6">
        <v>40522.426082415455</v>
      </c>
      <c r="D40" s="6">
        <v>-195.74088031754218</v>
      </c>
      <c r="E40" s="468">
        <v>-4.8538797408362033E-3</v>
      </c>
      <c r="F40" s="8">
        <v>-7.1366816885759217E-3</v>
      </c>
      <c r="G40" s="516">
        <v>-2.4136652701104853E-2</v>
      </c>
      <c r="H40" s="516">
        <v>-3.1273334389680774E-2</v>
      </c>
      <c r="I40" s="8">
        <v>2.282790207668558E-3</v>
      </c>
      <c r="J40" s="491">
        <v>7.624905775509983E-3</v>
      </c>
      <c r="K40" s="496">
        <v>46954.217634174594</v>
      </c>
      <c r="L40" s="6">
        <v>6431.79155175914</v>
      </c>
      <c r="M40" s="464">
        <v>0.13698006006339891</v>
      </c>
      <c r="N40" s="465">
        <v>0.85885117959556889</v>
      </c>
      <c r="O40" s="475"/>
      <c r="P40" s="475"/>
      <c r="Q40" s="528">
        <v>-4.8538914809073633E-3</v>
      </c>
      <c r="R40" s="527">
        <v>-7.1366816885759209E-3</v>
      </c>
      <c r="S40" s="527">
        <v>2.282790207668558E-3</v>
      </c>
      <c r="U40" s="527">
        <v>-4.8538797408360663E-3</v>
      </c>
      <c r="V40" s="530"/>
      <c r="W40" s="528">
        <v>-4.8538797408359908E-3</v>
      </c>
      <c r="X40" s="527">
        <v>-7.1366830710545819E-3</v>
      </c>
      <c r="Y40" s="527">
        <v>2.2828033302185911E-3</v>
      </c>
      <c r="Z40" s="528">
        <v>-7.5460471204991109E-17</v>
      </c>
      <c r="AA40" s="530">
        <v>1.1740071160452198E-8</v>
      </c>
    </row>
    <row r="41" spans="1:27">
      <c r="A41" s="470">
        <v>2011</v>
      </c>
      <c r="B41" s="463">
        <v>43786.778209316719</v>
      </c>
      <c r="C41" s="6">
        <v>44255.956719660113</v>
      </c>
      <c r="D41" s="6">
        <v>-469.17851034339401</v>
      </c>
      <c r="E41" s="468">
        <v>-1.0715072666469091E-2</v>
      </c>
      <c r="F41" s="8">
        <v>-1.2993190850227983E-2</v>
      </c>
      <c r="G41" s="516">
        <v>-1.9458962284787995E-2</v>
      </c>
      <c r="H41" s="516">
        <v>-3.2452153135015982E-2</v>
      </c>
      <c r="I41" s="8">
        <v>2.2781441652377026E-3</v>
      </c>
      <c r="J41" s="491">
        <v>3.734905068985253E-3</v>
      </c>
      <c r="K41" s="496">
        <v>51178.213139582687</v>
      </c>
      <c r="L41" s="6">
        <v>6922.2564199225717</v>
      </c>
      <c r="M41" s="464">
        <v>0.1352578762576746</v>
      </c>
      <c r="N41" s="465">
        <v>0.85557457994661357</v>
      </c>
      <c r="O41" s="475"/>
      <c r="P41" s="475"/>
      <c r="Q41" s="528">
        <v>-1.0715046684990282E-2</v>
      </c>
      <c r="R41" s="527">
        <v>-1.2993190850227985E-2</v>
      </c>
      <c r="S41" s="527">
        <v>2.2781441652377026E-3</v>
      </c>
      <c r="U41" s="527">
        <v>-1.0715072666469263E-2</v>
      </c>
      <c r="V41" s="530"/>
      <c r="W41" s="528">
        <v>-1.0715072666469309E-2</v>
      </c>
      <c r="X41" s="527">
        <v>-1.2993205241535832E-2</v>
      </c>
      <c r="Y41" s="527">
        <v>2.2781325750665235E-3</v>
      </c>
      <c r="Z41" s="528">
        <v>4.6837533851373792E-17</v>
      </c>
      <c r="AA41" s="530">
        <v>-2.5981478809968678E-8</v>
      </c>
    </row>
    <row r="42" spans="1:27">
      <c r="A42" s="470">
        <v>2012</v>
      </c>
      <c r="B42" s="463">
        <v>47882.125893121294</v>
      </c>
      <c r="C42" s="6">
        <v>48009.898041195498</v>
      </c>
      <c r="D42" s="6">
        <v>-127.77214807420387</v>
      </c>
      <c r="E42" s="468">
        <v>-2.6684727482527986E-3</v>
      </c>
      <c r="F42" s="8">
        <v>-4.7184656011021219E-3</v>
      </c>
      <c r="G42" s="516">
        <v>-2.0123652628608508E-2</v>
      </c>
      <c r="H42" s="516">
        <v>-2.4842118229710632E-2</v>
      </c>
      <c r="I42" s="8">
        <v>2.0500003269300084E-3</v>
      </c>
      <c r="J42" s="491">
        <v>4.6086745217927732E-4</v>
      </c>
      <c r="K42" s="496">
        <v>55408.973714168962</v>
      </c>
      <c r="L42" s="6">
        <v>7399.075672973464</v>
      </c>
      <c r="M42" s="464">
        <v>0.13353569245195029</v>
      </c>
      <c r="N42" s="465">
        <v>0.86415832460865571</v>
      </c>
      <c r="O42" s="475"/>
      <c r="P42" s="475"/>
      <c r="Q42" s="528">
        <v>-2.6684652741721135E-3</v>
      </c>
      <c r="R42" s="527">
        <v>-4.7184656011021219E-3</v>
      </c>
      <c r="S42" s="527">
        <v>2.0500003269300084E-3</v>
      </c>
      <c r="U42" s="527">
        <v>-2.6684727482528601E-3</v>
      </c>
      <c r="V42" s="530"/>
      <c r="W42" s="528">
        <v>-2.6684785127428817E-3</v>
      </c>
      <c r="X42" s="527">
        <v>-4.7184709253635417E-3</v>
      </c>
      <c r="Y42" s="527">
        <v>2.0499924126206599E-3</v>
      </c>
      <c r="Z42" s="528">
        <v>5.7644900216050066E-9</v>
      </c>
      <c r="AA42" s="530">
        <v>-7.4740806850839836E-9</v>
      </c>
    </row>
    <row r="43" spans="1:27">
      <c r="A43" s="470">
        <v>2013</v>
      </c>
      <c r="B43" s="463">
        <v>52797.737151010508</v>
      </c>
      <c r="C43" s="6">
        <v>53279.223813776582</v>
      </c>
      <c r="D43" s="6">
        <v>-481.48666276607401</v>
      </c>
      <c r="E43" s="468">
        <v>-9.1194564151289344E-3</v>
      </c>
      <c r="F43" s="507">
        <v>-1.1002659605996725E-2</v>
      </c>
      <c r="G43" s="516">
        <v>-1.9496600635665454E-2</v>
      </c>
      <c r="H43" s="516">
        <v>-3.049926024166218E-2</v>
      </c>
      <c r="I43" s="8">
        <v>1.883203190867931E-3</v>
      </c>
      <c r="J43" s="491">
        <v>-1.0209091923780863E-3</v>
      </c>
      <c r="K43" s="496">
        <v>61490.384946782113</v>
      </c>
      <c r="L43" s="531">
        <v>8211.1611330055293</v>
      </c>
      <c r="M43" s="464">
        <v>0.13353569245195029</v>
      </c>
      <c r="N43" s="465">
        <v>0.85863403191743226</v>
      </c>
      <c r="O43" s="475"/>
      <c r="P43" s="475"/>
      <c r="Q43" s="528">
        <v>-9.1194564151287922E-3</v>
      </c>
      <c r="R43" s="527">
        <v>-1.1002659605996723E-2</v>
      </c>
      <c r="S43" s="527">
        <v>1.883203190867931E-3</v>
      </c>
      <c r="U43" s="527">
        <v>-9.1194564151288633E-3</v>
      </c>
      <c r="V43" s="530"/>
      <c r="W43" s="528">
        <v>-9.1876114641395688E-3</v>
      </c>
      <c r="X43" s="527">
        <v>-1.1070517359907283E-2</v>
      </c>
      <c r="Y43" s="527">
        <v>1.8829058957677133E-3</v>
      </c>
      <c r="Z43" s="528">
        <v>6.8155049010705515E-5</v>
      </c>
      <c r="AA43" s="530">
        <v>-1.4072944198861848E-16</v>
      </c>
    </row>
    <row r="44" spans="1:27">
      <c r="A44" s="470">
        <v>2014</v>
      </c>
      <c r="B44" s="463">
        <v>58051.368074924903</v>
      </c>
      <c r="C44" s="6">
        <v>57970.159940105405</v>
      </c>
      <c r="D44" s="6">
        <v>81.20813481949881</v>
      </c>
      <c r="E44" s="468">
        <v>1.3989013095210136E-3</v>
      </c>
      <c r="F44" s="507">
        <v>-1.3105036905131588E-3</v>
      </c>
      <c r="G44" s="516">
        <v>-2.2032665662567473E-2</v>
      </c>
      <c r="H44" s="516">
        <v>-2.3343169353080631E-2</v>
      </c>
      <c r="I44" s="8">
        <v>2.7094050000344362E-3</v>
      </c>
      <c r="J44" s="491">
        <v>1.5097621623350597E-4</v>
      </c>
      <c r="K44" s="496">
        <v>66904.267648544395</v>
      </c>
      <c r="L44" s="531">
        <v>8934.1077084389926</v>
      </c>
      <c r="M44" s="464">
        <v>0.13353569245195029</v>
      </c>
      <c r="N44" s="465">
        <v>0.86767810358339525</v>
      </c>
      <c r="O44" s="475"/>
      <c r="P44" s="475"/>
      <c r="R44" s="529"/>
      <c r="S44" s="529"/>
    </row>
    <row r="45" spans="1:27" ht="15" thickBot="1">
      <c r="A45" s="472">
        <v>2015</v>
      </c>
      <c r="B45" s="502">
        <v>61985.404796145143</v>
      </c>
      <c r="C45" s="474">
        <v>62272.47479614515</v>
      </c>
      <c r="D45" s="474">
        <v>-287.07000000000698</v>
      </c>
      <c r="E45" s="473">
        <v>-4.6312515170968084E-3</v>
      </c>
      <c r="F45" s="509"/>
      <c r="G45" s="518"/>
      <c r="H45" s="518"/>
      <c r="I45" s="503"/>
      <c r="J45" s="504"/>
      <c r="K45" s="505">
        <v>71869.636468195589</v>
      </c>
      <c r="L45" s="506">
        <v>9597.1616720504371</v>
      </c>
      <c r="M45" s="484">
        <v>0.13353569245195029</v>
      </c>
      <c r="N45" s="485">
        <v>0.8624699920887382</v>
      </c>
      <c r="O45" s="12"/>
      <c r="P45" s="12"/>
      <c r="R45" s="529"/>
      <c r="S45" s="529"/>
    </row>
    <row r="46" spans="1:27" ht="15" thickTop="1">
      <c r="B46" s="476"/>
      <c r="C46" s="12"/>
      <c r="D46" s="12"/>
      <c r="E46" s="12"/>
      <c r="G46" s="12"/>
      <c r="J46" s="479"/>
      <c r="K46" s="492"/>
      <c r="L46" s="12"/>
      <c r="M46" s="12"/>
      <c r="N46" s="12"/>
      <c r="O46" s="12"/>
      <c r="P46" s="12"/>
      <c r="R46" s="529"/>
      <c r="S46" s="529"/>
    </row>
    <row r="47" spans="1:27">
      <c r="J47" s="479"/>
      <c r="K47" s="492"/>
    </row>
    <row r="48" spans="1:27">
      <c r="J48" s="479"/>
      <c r="K48" s="492"/>
    </row>
    <row r="49" spans="10:11">
      <c r="J49" s="479"/>
      <c r="K49" s="492"/>
    </row>
    <row r="50" spans="10:11">
      <c r="J50" s="479"/>
      <c r="K50" s="492"/>
    </row>
    <row r="51" spans="10:11">
      <c r="J51" s="479"/>
      <c r="K51" s="492"/>
    </row>
    <row r="52" spans="10:11">
      <c r="J52" s="479"/>
      <c r="K52" s="492"/>
    </row>
    <row r="53" spans="10:11">
      <c r="J53" s="479"/>
      <c r="K53" s="492"/>
    </row>
    <row r="54" spans="10:11">
      <c r="J54" s="479"/>
      <c r="K54" s="492"/>
    </row>
    <row r="55" spans="10:11">
      <c r="J55" s="479"/>
      <c r="K55" s="492"/>
    </row>
    <row r="56" spans="10:11">
      <c r="J56" s="479"/>
      <c r="K56" s="492"/>
    </row>
    <row r="57" spans="10:11">
      <c r="J57" s="479"/>
      <c r="K57" s="492"/>
    </row>
    <row r="58" spans="10:11">
      <c r="J58" s="479"/>
      <c r="K58" s="492"/>
    </row>
    <row r="59" spans="10:11">
      <c r="J59" s="479"/>
      <c r="K59" s="492"/>
    </row>
    <row r="60" spans="10:11">
      <c r="J60" s="479"/>
      <c r="K60" s="492"/>
    </row>
    <row r="61" spans="10:11">
      <c r="J61" s="479"/>
      <c r="K61" s="492"/>
    </row>
    <row r="62" spans="10:11">
      <c r="J62" s="479"/>
      <c r="K62" s="492"/>
    </row>
    <row r="63" spans="10:11">
      <c r="J63" s="479"/>
      <c r="K63" s="492"/>
    </row>
    <row r="64" spans="10:11">
      <c r="J64" s="479"/>
      <c r="K64" s="492"/>
    </row>
    <row r="65" spans="10:11">
      <c r="J65" s="479"/>
      <c r="K65" s="492"/>
    </row>
    <row r="66" spans="10:11">
      <c r="J66" s="479"/>
      <c r="K66" s="492"/>
    </row>
    <row r="67" spans="10:11">
      <c r="J67" s="479"/>
      <c r="K67" s="492"/>
    </row>
    <row r="68" spans="10:11">
      <c r="J68" s="479"/>
      <c r="K68" s="492"/>
    </row>
    <row r="69" spans="10:11">
      <c r="J69" s="479"/>
      <c r="K69" s="492"/>
    </row>
    <row r="70" spans="10:11">
      <c r="J70" s="479"/>
      <c r="K70" s="492"/>
    </row>
    <row r="71" spans="10:11">
      <c r="J71" s="479"/>
      <c r="K71" s="492"/>
    </row>
    <row r="72" spans="10:11">
      <c r="J72" s="479"/>
      <c r="K72" s="492"/>
    </row>
    <row r="73" spans="10:11">
      <c r="J73" s="479"/>
      <c r="K73" s="492"/>
    </row>
    <row r="74" spans="10:11">
      <c r="J74" s="479"/>
      <c r="K74" s="492"/>
    </row>
    <row r="75" spans="10:11">
      <c r="J75" s="479"/>
      <c r="K75" s="492"/>
    </row>
    <row r="76" spans="10:11">
      <c r="J76" s="479"/>
      <c r="K76" s="492"/>
    </row>
    <row r="77" spans="10:11">
      <c r="J77" s="479"/>
      <c r="K77" s="492"/>
    </row>
    <row r="78" spans="10:11">
      <c r="J78" s="479"/>
      <c r="K78" s="492"/>
    </row>
    <row r="79" spans="10:11">
      <c r="J79" s="479"/>
      <c r="K79" s="492"/>
    </row>
    <row r="80" spans="10:11">
      <c r="J80" s="479"/>
      <c r="K80" s="492"/>
    </row>
    <row r="81" spans="10:11">
      <c r="J81" s="479"/>
      <c r="K81" s="492"/>
    </row>
    <row r="82" spans="10:11">
      <c r="J82" s="479"/>
      <c r="K82" s="492"/>
    </row>
    <row r="83" spans="10:11">
      <c r="J83" s="479"/>
      <c r="K83" s="492"/>
    </row>
    <row r="84" spans="10:11">
      <c r="J84" s="479"/>
      <c r="K84" s="492"/>
    </row>
    <row r="85" spans="10:11">
      <c r="J85" s="479"/>
      <c r="K85" s="492"/>
    </row>
    <row r="86" spans="10:11">
      <c r="J86" s="479"/>
      <c r="K86" s="492"/>
    </row>
    <row r="87" spans="10:11">
      <c r="J87" s="479"/>
      <c r="K87" s="492"/>
    </row>
    <row r="88" spans="10:11">
      <c r="J88" s="479"/>
      <c r="K88" s="492"/>
    </row>
    <row r="89" spans="10:11">
      <c r="J89" s="479"/>
      <c r="K89" s="492"/>
    </row>
    <row r="90" spans="10:11">
      <c r="J90" s="479"/>
      <c r="K90" s="492"/>
    </row>
    <row r="91" spans="10:11">
      <c r="J91" s="479"/>
      <c r="K91" s="492"/>
    </row>
    <row r="92" spans="10:11">
      <c r="J92" s="479"/>
      <c r="K92" s="492"/>
    </row>
    <row r="93" spans="10:11">
      <c r="J93" s="479"/>
      <c r="K93" s="492"/>
    </row>
    <row r="94" spans="10:11">
      <c r="J94" s="479"/>
      <c r="K94" s="492"/>
    </row>
    <row r="95" spans="10:11">
      <c r="J95" s="479"/>
      <c r="K95" s="492"/>
    </row>
    <row r="96" spans="10:11">
      <c r="J96" s="479"/>
      <c r="K96" s="492"/>
    </row>
    <row r="97" spans="10:11">
      <c r="J97" s="479"/>
      <c r="K97" s="492"/>
    </row>
    <row r="98" spans="10:11">
      <c r="J98" s="479"/>
      <c r="K98" s="492"/>
    </row>
    <row r="99" spans="10:11">
      <c r="J99" s="479"/>
      <c r="K99" s="492"/>
    </row>
    <row r="100" spans="10:11">
      <c r="J100" s="479"/>
      <c r="K100" s="492"/>
    </row>
    <row r="101" spans="10:11">
      <c r="J101" s="479"/>
      <c r="K101" s="492"/>
    </row>
    <row r="102" spans="10:11">
      <c r="J102" s="479"/>
      <c r="K102" s="492"/>
    </row>
    <row r="103" spans="10:11">
      <c r="J103" s="479"/>
      <c r="K103" s="492"/>
    </row>
    <row r="104" spans="10:11">
      <c r="J104" s="479"/>
      <c r="K104" s="492"/>
    </row>
    <row r="105" spans="10:11">
      <c r="J105" s="479"/>
      <c r="K105" s="492"/>
    </row>
    <row r="106" spans="10:11">
      <c r="J106" s="479"/>
      <c r="K106" s="492"/>
    </row>
    <row r="107" spans="10:11">
      <c r="J107" s="479"/>
      <c r="K107" s="492"/>
    </row>
    <row r="108" spans="10:11">
      <c r="J108" s="479"/>
      <c r="K108" s="492"/>
    </row>
    <row r="109" spans="10:11">
      <c r="J109" s="479"/>
      <c r="K109" s="492"/>
    </row>
    <row r="110" spans="10:11">
      <c r="J110" s="479"/>
      <c r="K110" s="492"/>
    </row>
    <row r="111" spans="10:11">
      <c r="J111" s="479"/>
      <c r="K111" s="492"/>
    </row>
    <row r="112" spans="10:11">
      <c r="J112" s="479"/>
      <c r="K112" s="492"/>
    </row>
    <row r="113" spans="10:11">
      <c r="J113" s="479"/>
      <c r="K113" s="492"/>
    </row>
    <row r="114" spans="10:11">
      <c r="J114" s="479"/>
      <c r="K114" s="492"/>
    </row>
    <row r="115" spans="10:11">
      <c r="J115" s="479"/>
      <c r="K115" s="492"/>
    </row>
    <row r="116" spans="10:11">
      <c r="J116" s="479"/>
      <c r="K116" s="492"/>
    </row>
    <row r="117" spans="10:11">
      <c r="J117" s="479"/>
      <c r="K117" s="492"/>
    </row>
    <row r="118" spans="10:11">
      <c r="J118" s="479"/>
      <c r="K118" s="492"/>
    </row>
    <row r="119" spans="10:11">
      <c r="J119" s="479"/>
      <c r="K119" s="492"/>
    </row>
    <row r="120" spans="10:11">
      <c r="J120" s="479"/>
      <c r="K120" s="492"/>
    </row>
    <row r="121" spans="10:11">
      <c r="J121" s="479"/>
      <c r="K121" s="492"/>
    </row>
    <row r="122" spans="10:11">
      <c r="J122" s="479"/>
      <c r="K122" s="492"/>
    </row>
    <row r="123" spans="10:11">
      <c r="J123" s="479"/>
      <c r="K123" s="492"/>
    </row>
    <row r="124" spans="10:11">
      <c r="J124" s="479"/>
      <c r="K124" s="492"/>
    </row>
    <row r="125" spans="10:11">
      <c r="J125" s="479"/>
      <c r="K125" s="492"/>
    </row>
    <row r="126" spans="10:11">
      <c r="J126" s="479"/>
      <c r="K126" s="492"/>
    </row>
    <row r="127" spans="10:11">
      <c r="J127" s="479"/>
      <c r="K127" s="492"/>
    </row>
    <row r="128" spans="10:11">
      <c r="J128" s="479"/>
      <c r="K128" s="492"/>
    </row>
    <row r="129" spans="10:11">
      <c r="J129" s="479"/>
      <c r="K129" s="492"/>
    </row>
    <row r="130" spans="10:11">
      <c r="J130" s="479"/>
      <c r="K130" s="492"/>
    </row>
    <row r="131" spans="10:11">
      <c r="J131" s="479"/>
      <c r="K131" s="492"/>
    </row>
    <row r="132" spans="10:11">
      <c r="J132" s="479"/>
      <c r="K132" s="492"/>
    </row>
    <row r="133" spans="10:11">
      <c r="J133" s="479"/>
      <c r="K133" s="492"/>
    </row>
    <row r="134" spans="10:11">
      <c r="J134" s="479"/>
      <c r="K134" s="492"/>
    </row>
    <row r="135" spans="10:11">
      <c r="J135" s="479"/>
      <c r="K135" s="492"/>
    </row>
    <row r="136" spans="10:11">
      <c r="J136" s="479"/>
      <c r="K136" s="492"/>
    </row>
    <row r="137" spans="10:11">
      <c r="J137" s="479"/>
      <c r="K137" s="492"/>
    </row>
    <row r="138" spans="10:11">
      <c r="J138" s="479"/>
      <c r="K138" s="492"/>
    </row>
    <row r="139" spans="10:11">
      <c r="J139" s="479"/>
      <c r="K139" s="492"/>
    </row>
    <row r="140" spans="10:11">
      <c r="J140" s="479"/>
      <c r="K140" s="492"/>
    </row>
    <row r="141" spans="10:11">
      <c r="J141" s="479"/>
      <c r="K141" s="492"/>
    </row>
    <row r="142" spans="10:11">
      <c r="J142" s="479"/>
      <c r="K142" s="492"/>
    </row>
    <row r="143" spans="10:11">
      <c r="J143" s="479"/>
      <c r="K143" s="492"/>
    </row>
    <row r="144" spans="10:11">
      <c r="J144" s="479"/>
      <c r="K144" s="492"/>
    </row>
    <row r="145" spans="10:11">
      <c r="J145" s="479"/>
      <c r="K145" s="492"/>
    </row>
    <row r="146" spans="10:11">
      <c r="J146" s="479"/>
      <c r="K146" s="492"/>
    </row>
    <row r="147" spans="10:11">
      <c r="J147" s="479"/>
      <c r="K147" s="492"/>
    </row>
    <row r="148" spans="10:11">
      <c r="J148" s="479"/>
      <c r="K148" s="492"/>
    </row>
    <row r="149" spans="10:11">
      <c r="J149" s="479"/>
      <c r="K149" s="492"/>
    </row>
    <row r="150" spans="10:11">
      <c r="J150" s="479"/>
      <c r="K150" s="492"/>
    </row>
    <row r="151" spans="10:11">
      <c r="J151" s="479"/>
      <c r="K151" s="492"/>
    </row>
    <row r="152" spans="10:11">
      <c r="J152" s="479"/>
      <c r="K152" s="492"/>
    </row>
    <row r="153" spans="10:11">
      <c r="J153" s="479"/>
      <c r="K153" s="492"/>
    </row>
    <row r="154" spans="10:11">
      <c r="J154" s="479"/>
      <c r="K154" s="492"/>
    </row>
    <row r="155" spans="10:11">
      <c r="J155" s="479"/>
      <c r="K155" s="492"/>
    </row>
    <row r="156" spans="10:11">
      <c r="J156" s="479"/>
      <c r="K156" s="492"/>
    </row>
    <row r="157" spans="10:11">
      <c r="J157" s="479"/>
      <c r="K157" s="492"/>
    </row>
    <row r="158" spans="10:11">
      <c r="J158" s="479"/>
      <c r="K158" s="492"/>
    </row>
    <row r="159" spans="10:11">
      <c r="J159" s="479"/>
      <c r="K159" s="492"/>
    </row>
    <row r="160" spans="10:11">
      <c r="J160" s="479"/>
      <c r="K160" s="492"/>
    </row>
    <row r="161" spans="10:11">
      <c r="J161" s="479"/>
      <c r="K161" s="492"/>
    </row>
    <row r="162" spans="10:11">
      <c r="J162" s="479"/>
      <c r="K162" s="492"/>
    </row>
    <row r="163" spans="10:11">
      <c r="J163" s="479"/>
      <c r="K163" s="492"/>
    </row>
    <row r="164" spans="10:11">
      <c r="J164" s="479"/>
      <c r="K164" s="492"/>
    </row>
    <row r="165" spans="10:11">
      <c r="J165" s="479"/>
      <c r="K165" s="492"/>
    </row>
    <row r="166" spans="10:11">
      <c r="J166" s="479"/>
      <c r="K166" s="492"/>
    </row>
    <row r="167" spans="10:11">
      <c r="J167" s="479"/>
      <c r="K167" s="492"/>
    </row>
    <row r="168" spans="10:11">
      <c r="J168" s="479"/>
      <c r="K168" s="492"/>
    </row>
    <row r="169" spans="10:11">
      <c r="J169" s="479"/>
      <c r="K169" s="492"/>
    </row>
    <row r="170" spans="10:11">
      <c r="J170" s="479"/>
      <c r="K170" s="492"/>
    </row>
    <row r="171" spans="10:11">
      <c r="J171" s="479"/>
      <c r="K171" s="492"/>
    </row>
    <row r="172" spans="10:11">
      <c r="J172" s="479"/>
      <c r="K172" s="492"/>
    </row>
    <row r="173" spans="10:11">
      <c r="J173" s="479"/>
      <c r="K173" s="492"/>
    </row>
    <row r="174" spans="10:11">
      <c r="J174" s="479"/>
      <c r="K174" s="492"/>
    </row>
    <row r="175" spans="10:11">
      <c r="J175" s="479"/>
      <c r="K175" s="492"/>
    </row>
    <row r="176" spans="10:11">
      <c r="J176" s="479"/>
      <c r="K176" s="492"/>
    </row>
    <row r="177" spans="10:11">
      <c r="J177" s="479"/>
      <c r="K177" s="492"/>
    </row>
    <row r="178" spans="10:11">
      <c r="J178" s="479"/>
      <c r="K178" s="492"/>
    </row>
    <row r="179" spans="10:11">
      <c r="J179" s="479"/>
      <c r="K179" s="492"/>
    </row>
    <row r="180" spans="10:11">
      <c r="J180" s="479"/>
      <c r="K180" s="492"/>
    </row>
    <row r="181" spans="10:11">
      <c r="J181" s="479"/>
      <c r="K181" s="492"/>
    </row>
    <row r="182" spans="10:11">
      <c r="J182" s="479"/>
      <c r="K182" s="492"/>
    </row>
    <row r="183" spans="10:11">
      <c r="J183" s="479"/>
      <c r="K183" s="492"/>
    </row>
    <row r="184" spans="10:11">
      <c r="J184" s="479"/>
      <c r="K184" s="492"/>
    </row>
    <row r="185" spans="10:11">
      <c r="J185" s="479"/>
      <c r="K185" s="492"/>
    </row>
    <row r="186" spans="10:11">
      <c r="J186" s="479"/>
      <c r="K186" s="492"/>
    </row>
    <row r="187" spans="10:11">
      <c r="J187" s="479"/>
      <c r="K187" s="492"/>
    </row>
    <row r="188" spans="10:11">
      <c r="J188" s="479"/>
      <c r="K188" s="492"/>
    </row>
    <row r="189" spans="10:11">
      <c r="J189" s="479"/>
      <c r="K189" s="492"/>
    </row>
    <row r="190" spans="10:11">
      <c r="J190" s="479"/>
      <c r="K190" s="492"/>
    </row>
    <row r="191" spans="10:11">
      <c r="J191" s="479"/>
      <c r="K191" s="492"/>
    </row>
    <row r="192" spans="10:11">
      <c r="J192" s="479"/>
      <c r="K192" s="492"/>
    </row>
    <row r="193" spans="10:11">
      <c r="J193" s="479"/>
      <c r="K193" s="492"/>
    </row>
    <row r="194" spans="10:11">
      <c r="J194" s="479"/>
      <c r="K194" s="492"/>
    </row>
    <row r="195" spans="10:11">
      <c r="J195" s="479"/>
      <c r="K195" s="492"/>
    </row>
    <row r="196" spans="10:11">
      <c r="J196" s="479"/>
      <c r="K196" s="492"/>
    </row>
    <row r="197" spans="10:11">
      <c r="J197" s="479"/>
      <c r="K197" s="492"/>
    </row>
    <row r="198" spans="10:11">
      <c r="J198" s="479"/>
      <c r="K198" s="492"/>
    </row>
    <row r="199" spans="10:11">
      <c r="J199" s="479"/>
      <c r="K199" s="492"/>
    </row>
    <row r="200" spans="10:11">
      <c r="J200" s="479"/>
      <c r="K200" s="492"/>
    </row>
    <row r="201" spans="10:11">
      <c r="J201" s="479"/>
      <c r="K201" s="492"/>
    </row>
    <row r="202" spans="10:11">
      <c r="J202" s="479"/>
      <c r="K202" s="492"/>
    </row>
    <row r="203" spans="10:11">
      <c r="J203" s="479"/>
      <c r="K203" s="492"/>
    </row>
    <row r="204" spans="10:11">
      <c r="J204" s="479"/>
      <c r="K204" s="492"/>
    </row>
    <row r="205" spans="10:11">
      <c r="J205" s="479"/>
      <c r="K205" s="492"/>
    </row>
    <row r="206" spans="10:11">
      <c r="J206" s="479"/>
      <c r="K206" s="492"/>
    </row>
    <row r="207" spans="10:11">
      <c r="J207" s="479"/>
      <c r="K207" s="492"/>
    </row>
    <row r="208" spans="10:11">
      <c r="J208" s="479"/>
      <c r="K208" s="492"/>
    </row>
    <row r="209" spans="10:11">
      <c r="J209" s="479"/>
      <c r="K209" s="492"/>
    </row>
    <row r="210" spans="10:11">
      <c r="J210" s="479"/>
      <c r="K210" s="492"/>
    </row>
    <row r="211" spans="10:11">
      <c r="J211" s="479"/>
      <c r="K211" s="492"/>
    </row>
    <row r="212" spans="10:11">
      <c r="J212" s="479"/>
      <c r="K212" s="492"/>
    </row>
    <row r="213" spans="10:11">
      <c r="J213" s="479"/>
      <c r="K213" s="492"/>
    </row>
    <row r="214" spans="10:11">
      <c r="J214" s="479"/>
      <c r="K214" s="492"/>
    </row>
    <row r="215" spans="10:11">
      <c r="J215" s="479"/>
      <c r="K215" s="492"/>
    </row>
    <row r="216" spans="10:11">
      <c r="J216" s="479"/>
      <c r="K216" s="492"/>
    </row>
    <row r="217" spans="10:11">
      <c r="J217" s="479"/>
      <c r="K217" s="492"/>
    </row>
    <row r="218" spans="10:11">
      <c r="J218" s="479"/>
      <c r="K218" s="492"/>
    </row>
    <row r="219" spans="10:11">
      <c r="J219" s="479"/>
      <c r="K219" s="492"/>
    </row>
    <row r="220" spans="10:11">
      <c r="J220" s="479"/>
      <c r="K220" s="492"/>
    </row>
    <row r="221" spans="10:11">
      <c r="J221" s="479"/>
      <c r="K221" s="492"/>
    </row>
    <row r="222" spans="10:11">
      <c r="J222" s="479"/>
      <c r="K222" s="492"/>
    </row>
    <row r="223" spans="10:11">
      <c r="J223" s="479"/>
      <c r="K223" s="492"/>
    </row>
    <row r="224" spans="10:11">
      <c r="J224" s="479"/>
      <c r="K224" s="492"/>
    </row>
    <row r="225" spans="10:11">
      <c r="J225" s="479"/>
      <c r="K225" s="492"/>
    </row>
    <row r="226" spans="10:11">
      <c r="J226" s="479"/>
      <c r="K226" s="492"/>
    </row>
    <row r="227" spans="10:11">
      <c r="J227" s="479"/>
      <c r="K227" s="492"/>
    </row>
    <row r="228" spans="10:11">
      <c r="J228" s="479"/>
      <c r="K228" s="492"/>
    </row>
    <row r="229" spans="10:11">
      <c r="J229" s="479"/>
      <c r="K229" s="492"/>
    </row>
    <row r="230" spans="10:11">
      <c r="J230" s="479"/>
      <c r="K230" s="492"/>
    </row>
    <row r="231" spans="10:11">
      <c r="J231" s="479"/>
      <c r="K231" s="492"/>
    </row>
    <row r="232" spans="10:11">
      <c r="J232" s="479"/>
      <c r="K232" s="492"/>
    </row>
    <row r="233" spans="10:11">
      <c r="J233" s="479"/>
      <c r="K233" s="492"/>
    </row>
    <row r="234" spans="10:11">
      <c r="J234" s="479"/>
      <c r="K234" s="492"/>
    </row>
    <row r="235" spans="10:11">
      <c r="J235" s="479"/>
      <c r="K235" s="492"/>
    </row>
    <row r="236" spans="10:11">
      <c r="J236" s="479"/>
      <c r="K236" s="492"/>
    </row>
    <row r="237" spans="10:11">
      <c r="J237" s="479"/>
      <c r="K237" s="492"/>
    </row>
    <row r="238" spans="10:11">
      <c r="J238" s="479"/>
      <c r="K238" s="492"/>
    </row>
    <row r="239" spans="10:11">
      <c r="J239" s="479"/>
      <c r="K239" s="492"/>
    </row>
    <row r="240" spans="10:11">
      <c r="J240" s="479"/>
      <c r="K240" s="492"/>
    </row>
    <row r="241" spans="10:11">
      <c r="J241" s="479"/>
      <c r="K241" s="492"/>
    </row>
    <row r="242" spans="10:11">
      <c r="J242" s="479"/>
      <c r="K242" s="492"/>
    </row>
    <row r="243" spans="10:11">
      <c r="J243" s="479"/>
      <c r="K243" s="492"/>
    </row>
    <row r="244" spans="10:11">
      <c r="J244" s="479"/>
      <c r="K244" s="492"/>
    </row>
    <row r="245" spans="10:11">
      <c r="J245" s="479"/>
      <c r="K245" s="492"/>
    </row>
    <row r="246" spans="10:11">
      <c r="J246" s="479"/>
      <c r="K246" s="492"/>
    </row>
    <row r="247" spans="10:11">
      <c r="J247" s="479"/>
      <c r="K247" s="492"/>
    </row>
    <row r="248" spans="10:11">
      <c r="J248" s="479"/>
      <c r="K248" s="492"/>
    </row>
    <row r="249" spans="10:11">
      <c r="J249" s="479"/>
      <c r="K249" s="492"/>
    </row>
    <row r="250" spans="10:11">
      <c r="J250" s="479"/>
      <c r="K250" s="492"/>
    </row>
    <row r="251" spans="10:11">
      <c r="J251" s="479"/>
      <c r="K251" s="492"/>
    </row>
    <row r="252" spans="10:11">
      <c r="J252" s="479"/>
      <c r="K252" s="492"/>
    </row>
    <row r="253" spans="10:11">
      <c r="J253" s="479"/>
      <c r="K253" s="492"/>
    </row>
    <row r="254" spans="10:11">
      <c r="J254" s="479"/>
      <c r="K254" s="492"/>
    </row>
    <row r="255" spans="10:11">
      <c r="J255" s="479"/>
      <c r="K255" s="492"/>
    </row>
    <row r="256" spans="10:11">
      <c r="J256" s="479"/>
      <c r="K256" s="492"/>
    </row>
    <row r="257" spans="10:11">
      <c r="J257" s="479"/>
      <c r="K257" s="492"/>
    </row>
    <row r="258" spans="10:11">
      <c r="J258" s="479"/>
      <c r="K258" s="492"/>
    </row>
    <row r="259" spans="10:11">
      <c r="J259" s="479"/>
      <c r="K259" s="492"/>
    </row>
    <row r="260" spans="10:11">
      <c r="J260" s="479"/>
      <c r="K260" s="492"/>
    </row>
    <row r="261" spans="10:11">
      <c r="J261" s="479"/>
      <c r="K261" s="492"/>
    </row>
    <row r="262" spans="10:11">
      <c r="J262" s="479"/>
      <c r="K262" s="492"/>
    </row>
    <row r="263" spans="10:11">
      <c r="J263" s="479"/>
      <c r="K263" s="492"/>
    </row>
    <row r="264" spans="10:11">
      <c r="J264" s="479"/>
      <c r="K264" s="492"/>
    </row>
    <row r="265" spans="10:11">
      <c r="J265" s="479"/>
      <c r="K265" s="492"/>
    </row>
    <row r="266" spans="10:11">
      <c r="J266" s="479"/>
      <c r="K266" s="492"/>
    </row>
    <row r="267" spans="10:11">
      <c r="J267" s="479"/>
      <c r="K267" s="492"/>
    </row>
    <row r="268" spans="10:11">
      <c r="J268" s="479"/>
      <c r="K268" s="492"/>
    </row>
    <row r="269" spans="10:11">
      <c r="J269" s="479"/>
      <c r="K269" s="492"/>
    </row>
    <row r="270" spans="10:11">
      <c r="J270" s="479"/>
      <c r="K270" s="492"/>
    </row>
    <row r="271" spans="10:11">
      <c r="J271" s="479"/>
      <c r="K271" s="492"/>
    </row>
    <row r="272" spans="10:11">
      <c r="J272" s="479"/>
      <c r="K272" s="492"/>
    </row>
    <row r="273" spans="10:11">
      <c r="J273" s="479"/>
      <c r="K273" s="492"/>
    </row>
    <row r="274" spans="10:11">
      <c r="J274" s="479"/>
      <c r="K274" s="492"/>
    </row>
    <row r="275" spans="10:11">
      <c r="J275" s="479"/>
      <c r="K275" s="492"/>
    </row>
    <row r="276" spans="10:11">
      <c r="J276" s="479"/>
      <c r="K276" s="492"/>
    </row>
    <row r="277" spans="10:11">
      <c r="J277" s="479"/>
      <c r="K277" s="492"/>
    </row>
    <row r="278" spans="10:11">
      <c r="J278" s="479"/>
      <c r="K278" s="492"/>
    </row>
    <row r="279" spans="10:11">
      <c r="J279" s="479"/>
      <c r="K279" s="492"/>
    </row>
    <row r="280" spans="10:11">
      <c r="J280" s="479"/>
      <c r="K280" s="492"/>
    </row>
    <row r="281" spans="10:11">
      <c r="J281" s="479"/>
      <c r="K281" s="492"/>
    </row>
    <row r="282" spans="10:11">
      <c r="J282" s="479"/>
      <c r="K282" s="492"/>
    </row>
    <row r="283" spans="10:11">
      <c r="J283" s="479"/>
      <c r="K283" s="492"/>
    </row>
    <row r="284" spans="10:11">
      <c r="J284" s="479"/>
      <c r="K284" s="492"/>
    </row>
    <row r="285" spans="10:11">
      <c r="J285" s="479"/>
      <c r="K285" s="492"/>
    </row>
    <row r="286" spans="10:11">
      <c r="J286" s="479"/>
      <c r="K286" s="492"/>
    </row>
    <row r="287" spans="10:11">
      <c r="J287" s="479"/>
      <c r="K287" s="492"/>
    </row>
    <row r="288" spans="10:11">
      <c r="J288" s="479"/>
      <c r="K288" s="492"/>
    </row>
    <row r="289" spans="10:11">
      <c r="J289" s="479"/>
      <c r="K289" s="492"/>
    </row>
    <row r="290" spans="10:11">
      <c r="J290" s="479"/>
      <c r="K290" s="492"/>
    </row>
    <row r="291" spans="10:11">
      <c r="J291" s="479"/>
      <c r="K291" s="492"/>
    </row>
    <row r="292" spans="10:11">
      <c r="J292" s="479"/>
      <c r="K292" s="492"/>
    </row>
    <row r="293" spans="10:11">
      <c r="J293" s="479"/>
      <c r="K293" s="492"/>
    </row>
    <row r="294" spans="10:11">
      <c r="J294" s="479"/>
      <c r="K294" s="492"/>
    </row>
    <row r="295" spans="10:11">
      <c r="J295" s="479"/>
      <c r="K295" s="492"/>
    </row>
    <row r="296" spans="10:11">
      <c r="J296" s="479"/>
      <c r="K296" s="492"/>
    </row>
    <row r="297" spans="10:11">
      <c r="J297" s="479"/>
      <c r="K297" s="492"/>
    </row>
    <row r="298" spans="10:11">
      <c r="J298" s="479"/>
      <c r="K298" s="492"/>
    </row>
    <row r="299" spans="10:11">
      <c r="J299" s="479"/>
      <c r="K299" s="492"/>
    </row>
    <row r="300" spans="10:11">
      <c r="J300" s="479"/>
      <c r="K300" s="492"/>
    </row>
    <row r="301" spans="10:11">
      <c r="J301" s="479"/>
      <c r="K301" s="492"/>
    </row>
    <row r="302" spans="10:11">
      <c r="J302" s="479"/>
      <c r="K302" s="492"/>
    </row>
    <row r="303" spans="10:11">
      <c r="J303" s="479"/>
      <c r="K303" s="492"/>
    </row>
    <row r="304" spans="10:11">
      <c r="J304" s="479"/>
      <c r="K304" s="492"/>
    </row>
    <row r="305" spans="10:11">
      <c r="J305" s="479"/>
      <c r="K305" s="492"/>
    </row>
    <row r="306" spans="10:11">
      <c r="J306" s="479"/>
      <c r="K306" s="492"/>
    </row>
    <row r="307" spans="10:11">
      <c r="J307" s="479"/>
      <c r="K307" s="492"/>
    </row>
    <row r="308" spans="10:11">
      <c r="J308" s="479"/>
      <c r="K308" s="492"/>
    </row>
    <row r="309" spans="10:11">
      <c r="J309" s="479"/>
      <c r="K309" s="492"/>
    </row>
    <row r="310" spans="10:11">
      <c r="J310" s="479"/>
      <c r="K310" s="492"/>
    </row>
    <row r="311" spans="10:11">
      <c r="J311" s="479"/>
      <c r="K311" s="492"/>
    </row>
    <row r="312" spans="10:11">
      <c r="J312" s="479"/>
      <c r="K312" s="492"/>
    </row>
    <row r="313" spans="10:11">
      <c r="J313" s="479"/>
      <c r="K313" s="492"/>
    </row>
    <row r="314" spans="10:11">
      <c r="J314" s="479"/>
      <c r="K314" s="492"/>
    </row>
  </sheetData>
  <mergeCells count="10">
    <mergeCell ref="A2:N2"/>
    <mergeCell ref="A5:A6"/>
    <mergeCell ref="E5:E6"/>
    <mergeCell ref="M5:M6"/>
    <mergeCell ref="N5:N6"/>
    <mergeCell ref="F5:F6"/>
    <mergeCell ref="G5:G6"/>
    <mergeCell ref="H5:H6"/>
    <mergeCell ref="I5:I6"/>
    <mergeCell ref="J5:J6"/>
  </mergeCells>
  <hyperlinks>
    <hyperlink ref="A1" location="Index!A1" display="Back to index" xr:uid="{00000000-0004-0000-0E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88DB-2DD3-4BCC-AA9B-FF6420C339F8}">
  <dimension ref="A1:X266"/>
  <sheetViews>
    <sheetView zoomScaleNormal="100" workbookViewId="0">
      <selection activeCell="I46" sqref="I46"/>
    </sheetView>
  </sheetViews>
  <sheetFormatPr defaultRowHeight="14.4"/>
  <sheetData>
    <row r="1" spans="1:24" ht="16.2" thickBot="1">
      <c r="A1" s="1" t="s">
        <v>0</v>
      </c>
      <c r="B1" s="1"/>
      <c r="C1" s="44"/>
      <c r="D1" s="44"/>
      <c r="E1" s="44"/>
      <c r="F1" s="2"/>
      <c r="G1" s="13"/>
      <c r="H1" s="34"/>
      <c r="I1" s="13"/>
      <c r="J1" s="13"/>
      <c r="K1" s="13"/>
      <c r="L1" s="13"/>
      <c r="M1" s="13"/>
      <c r="N1" s="33"/>
    </row>
    <row r="2" spans="1:24" ht="18.600000000000001" thickTop="1">
      <c r="A2" s="585" t="s">
        <v>1</v>
      </c>
      <c r="B2" s="586"/>
      <c r="C2" s="586"/>
      <c r="D2" s="586"/>
      <c r="E2" s="586"/>
      <c r="F2" s="586"/>
      <c r="G2" s="586"/>
      <c r="H2" s="586"/>
      <c r="I2" s="586"/>
      <c r="J2" s="586"/>
      <c r="K2" s="586"/>
      <c r="L2" s="586"/>
      <c r="M2" s="586"/>
      <c r="N2" s="587"/>
      <c r="O2" s="58"/>
      <c r="P2" s="59"/>
      <c r="Q2" s="48"/>
      <c r="R2" s="48"/>
      <c r="S2" s="48"/>
      <c r="T2" s="48"/>
      <c r="U2" s="48"/>
      <c r="V2" s="48"/>
      <c r="W2" s="48"/>
      <c r="X2" s="48"/>
    </row>
    <row r="3" spans="1:24">
      <c r="A3" s="3"/>
      <c r="C3" s="39"/>
      <c r="D3" s="39"/>
      <c r="E3" s="39"/>
      <c r="N3" s="4"/>
    </row>
    <row r="4" spans="1:24">
      <c r="A4" s="3"/>
      <c r="B4" s="41" t="s">
        <v>2</v>
      </c>
      <c r="C4" s="41" t="s">
        <v>3</v>
      </c>
      <c r="D4" s="41" t="s">
        <v>4</v>
      </c>
      <c r="E4" s="41" t="s">
        <v>5</v>
      </c>
      <c r="F4" s="41" t="s">
        <v>6</v>
      </c>
      <c r="G4" s="41" t="s">
        <v>7</v>
      </c>
      <c r="H4" s="41" t="s">
        <v>8</v>
      </c>
      <c r="I4" s="41" t="s">
        <v>9</v>
      </c>
      <c r="J4" s="41" t="s">
        <v>10</v>
      </c>
      <c r="K4" s="41" t="s">
        <v>11</v>
      </c>
      <c r="L4" s="41" t="s">
        <v>12</v>
      </c>
      <c r="M4" s="41" t="s">
        <v>13</v>
      </c>
      <c r="N4" s="45" t="s">
        <v>14</v>
      </c>
      <c r="O4" s="60"/>
    </row>
    <row r="5" spans="1:24" ht="15.6">
      <c r="A5" s="617"/>
      <c r="B5" s="619" t="s">
        <v>15</v>
      </c>
      <c r="C5" s="619"/>
      <c r="D5" s="619"/>
      <c r="E5" s="619"/>
      <c r="F5" s="619"/>
      <c r="G5" s="619"/>
      <c r="H5" s="619"/>
      <c r="I5" s="620"/>
      <c r="J5" s="615" t="s">
        <v>16</v>
      </c>
      <c r="K5" s="615"/>
      <c r="L5" s="615"/>
      <c r="M5" s="615"/>
      <c r="N5" s="616"/>
      <c r="O5" s="61"/>
    </row>
    <row r="6" spans="1:24">
      <c r="A6" s="617"/>
      <c r="B6" s="621" t="s">
        <v>17</v>
      </c>
      <c r="C6" s="622"/>
      <c r="D6" s="622"/>
      <c r="E6" s="623"/>
      <c r="F6" s="624" t="s">
        <v>18</v>
      </c>
      <c r="G6" s="624" t="s">
        <v>19</v>
      </c>
      <c r="H6" s="626" t="s">
        <v>20</v>
      </c>
      <c r="I6" s="602" t="s">
        <v>21</v>
      </c>
      <c r="J6" s="629" t="s">
        <v>22</v>
      </c>
      <c r="K6" s="631" t="s">
        <v>23</v>
      </c>
      <c r="L6" s="631" t="s">
        <v>24</v>
      </c>
      <c r="M6" s="631" t="s">
        <v>20</v>
      </c>
      <c r="N6" s="604" t="s">
        <v>25</v>
      </c>
      <c r="O6" s="62"/>
    </row>
    <row r="7" spans="1:24" ht="52.8">
      <c r="A7" s="617"/>
      <c r="B7" s="57"/>
      <c r="C7" s="66" t="s">
        <v>26</v>
      </c>
      <c r="D7" s="67" t="s">
        <v>27</v>
      </c>
      <c r="E7" s="68" t="s">
        <v>28</v>
      </c>
      <c r="F7" s="625"/>
      <c r="G7" s="625"/>
      <c r="H7" s="627"/>
      <c r="I7" s="628"/>
      <c r="J7" s="630"/>
      <c r="K7" s="632"/>
      <c r="L7" s="632"/>
      <c r="M7" s="632"/>
      <c r="N7" s="605"/>
      <c r="O7" s="62"/>
    </row>
    <row r="8" spans="1:24" ht="15.6">
      <c r="A8" s="618"/>
      <c r="B8" s="49" t="s">
        <v>29</v>
      </c>
      <c r="C8" s="69" t="s">
        <v>30</v>
      </c>
      <c r="D8" s="70" t="s">
        <v>31</v>
      </c>
      <c r="E8" s="71"/>
      <c r="F8" s="37" t="s">
        <v>32</v>
      </c>
      <c r="G8" s="37" t="s">
        <v>33</v>
      </c>
      <c r="H8" s="86" t="s">
        <v>34</v>
      </c>
      <c r="I8" s="17" t="s">
        <v>35</v>
      </c>
      <c r="J8" s="18" t="s">
        <v>36</v>
      </c>
      <c r="K8" s="16" t="s">
        <v>37</v>
      </c>
      <c r="L8" s="16" t="s">
        <v>33</v>
      </c>
      <c r="M8" s="16" t="s">
        <v>34</v>
      </c>
      <c r="N8" s="19" t="s">
        <v>35</v>
      </c>
      <c r="O8" s="62"/>
    </row>
    <row r="9" spans="1:24" ht="82.2" customHeight="1">
      <c r="A9" s="38" t="s">
        <v>38</v>
      </c>
      <c r="B9" s="50" t="s">
        <v>39</v>
      </c>
      <c r="C9" s="72" t="s">
        <v>40</v>
      </c>
      <c r="D9" s="73" t="s">
        <v>39</v>
      </c>
      <c r="E9" s="74" t="s">
        <v>41</v>
      </c>
      <c r="F9" s="52" t="s">
        <v>39</v>
      </c>
      <c r="G9" s="52" t="s">
        <v>39</v>
      </c>
      <c r="H9" s="52"/>
      <c r="I9" s="53"/>
      <c r="J9" s="54"/>
      <c r="K9" s="55"/>
      <c r="L9" s="55"/>
      <c r="M9" s="55"/>
      <c r="N9" s="56"/>
      <c r="O9" s="62"/>
    </row>
    <row r="10" spans="1:24">
      <c r="A10" s="5">
        <v>1978</v>
      </c>
      <c r="B10" s="9"/>
      <c r="C10" s="75"/>
      <c r="D10" s="76"/>
      <c r="E10" s="77"/>
      <c r="F10" s="21"/>
      <c r="G10" s="21"/>
      <c r="H10" s="35">
        <v>0</v>
      </c>
      <c r="I10" s="24"/>
      <c r="J10" s="25"/>
      <c r="K10" s="21"/>
      <c r="L10" s="21"/>
      <c r="M10" s="21"/>
      <c r="N10" s="26"/>
      <c r="O10" s="60"/>
      <c r="P10" s="63"/>
    </row>
    <row r="11" spans="1:24">
      <c r="A11" s="5">
        <v>1979</v>
      </c>
      <c r="B11" s="9"/>
      <c r="C11" s="78"/>
      <c r="D11" s="76"/>
      <c r="E11" s="77"/>
      <c r="F11" s="21"/>
      <c r="G11" s="21"/>
      <c r="H11" s="36">
        <v>0</v>
      </c>
      <c r="I11" s="24"/>
      <c r="J11" s="25"/>
      <c r="K11" s="21"/>
      <c r="L11" s="21"/>
      <c r="M11" s="21"/>
      <c r="N11" s="26"/>
      <c r="O11" s="60"/>
      <c r="P11" s="63"/>
    </row>
    <row r="12" spans="1:24">
      <c r="A12" s="7">
        <v>1980</v>
      </c>
      <c r="B12" s="47"/>
      <c r="C12" s="75"/>
      <c r="D12" s="79"/>
      <c r="E12" s="80"/>
      <c r="F12" s="14"/>
      <c r="G12" s="14"/>
      <c r="H12" s="35">
        <v>0</v>
      </c>
      <c r="I12" s="22"/>
      <c r="J12" s="23"/>
      <c r="K12" s="14"/>
      <c r="L12" s="14"/>
      <c r="M12" s="14"/>
      <c r="N12" s="20"/>
      <c r="O12" s="60"/>
      <c r="P12" s="63"/>
    </row>
    <row r="13" spans="1:24">
      <c r="A13" s="5">
        <v>1981</v>
      </c>
      <c r="B13" s="9"/>
      <c r="C13" s="75"/>
      <c r="D13" s="76"/>
      <c r="E13" s="77"/>
      <c r="F13" s="21"/>
      <c r="G13" s="21"/>
      <c r="H13" s="35">
        <v>-4.717850558099347E-4</v>
      </c>
      <c r="I13" s="24"/>
      <c r="J13" s="25"/>
      <c r="K13" s="21"/>
      <c r="L13" s="21"/>
      <c r="M13" s="21"/>
      <c r="N13" s="26"/>
      <c r="O13" s="60"/>
      <c r="P13" s="63"/>
    </row>
    <row r="14" spans="1:24">
      <c r="A14" s="5">
        <v>1982</v>
      </c>
      <c r="B14" s="9"/>
      <c r="C14" s="75"/>
      <c r="D14" s="76"/>
      <c r="E14" s="77"/>
      <c r="F14" s="21"/>
      <c r="G14" s="21"/>
      <c r="H14" s="35">
        <v>1.4633246903996396E-3</v>
      </c>
      <c r="I14" s="24"/>
      <c r="J14" s="25"/>
      <c r="K14" s="21"/>
      <c r="L14" s="21"/>
      <c r="M14" s="21"/>
      <c r="N14" s="26"/>
      <c r="O14" s="60"/>
      <c r="P14" s="63"/>
    </row>
    <row r="15" spans="1:24">
      <c r="A15" s="5">
        <v>1983</v>
      </c>
      <c r="B15" s="9"/>
      <c r="C15" s="75"/>
      <c r="D15" s="76"/>
      <c r="E15" s="77"/>
      <c r="F15" s="21"/>
      <c r="G15" s="21"/>
      <c r="H15" s="35">
        <v>4.1787243472843055E-3</v>
      </c>
      <c r="I15" s="24"/>
      <c r="J15" s="25"/>
      <c r="K15" s="21"/>
      <c r="L15" s="21"/>
      <c r="M15" s="21"/>
      <c r="N15" s="26"/>
      <c r="O15" s="60"/>
      <c r="P15" s="63"/>
    </row>
    <row r="16" spans="1:24">
      <c r="A16" s="5">
        <v>1984</v>
      </c>
      <c r="B16" s="9"/>
      <c r="C16" s="75"/>
      <c r="D16" s="76"/>
      <c r="E16" s="77"/>
      <c r="F16" s="21"/>
      <c r="G16" s="21"/>
      <c r="H16" s="35">
        <v>5.3799361246143857E-3</v>
      </c>
      <c r="I16" s="24"/>
      <c r="J16" s="25"/>
      <c r="K16" s="21"/>
      <c r="L16" s="21"/>
      <c r="M16" s="21"/>
      <c r="N16" s="26"/>
      <c r="O16" s="60"/>
      <c r="P16" s="63"/>
    </row>
    <row r="17" spans="1:16">
      <c r="A17" s="5">
        <v>1985</v>
      </c>
      <c r="B17" s="9"/>
      <c r="C17" s="75"/>
      <c r="D17" s="76"/>
      <c r="E17" s="77"/>
      <c r="F17" s="21"/>
      <c r="G17" s="21"/>
      <c r="H17" s="35">
        <v>2.9807192004722852E-3</v>
      </c>
      <c r="I17" s="24"/>
      <c r="J17" s="25"/>
      <c r="K17" s="21"/>
      <c r="L17" s="21"/>
      <c r="M17" s="21"/>
      <c r="N17" s="26"/>
      <c r="O17" s="60"/>
      <c r="P17" s="63"/>
    </row>
    <row r="18" spans="1:16">
      <c r="A18" s="5">
        <v>1986</v>
      </c>
      <c r="B18" s="9"/>
      <c r="C18" s="75"/>
      <c r="D18" s="76"/>
      <c r="E18" s="77"/>
      <c r="F18" s="21"/>
      <c r="G18" s="21"/>
      <c r="H18" s="35">
        <v>-8.3976206370114828E-5</v>
      </c>
      <c r="I18" s="24"/>
      <c r="J18" s="25"/>
      <c r="K18" s="21"/>
      <c r="L18" s="21"/>
      <c r="M18" s="21"/>
      <c r="N18" s="26"/>
      <c r="O18" s="60"/>
      <c r="P18" s="63"/>
    </row>
    <row r="19" spans="1:16">
      <c r="A19" s="5">
        <v>1987</v>
      </c>
      <c r="B19" s="9"/>
      <c r="C19" s="75"/>
      <c r="D19" s="76"/>
      <c r="E19" s="77"/>
      <c r="F19" s="21"/>
      <c r="G19" s="21"/>
      <c r="H19" s="35">
        <v>-7.2402582697653217E-4</v>
      </c>
      <c r="I19" s="24"/>
      <c r="J19" s="25"/>
      <c r="K19" s="21"/>
      <c r="L19" s="21"/>
      <c r="M19" s="21"/>
      <c r="N19" s="26"/>
      <c r="O19" s="60"/>
      <c r="P19" s="63"/>
    </row>
    <row r="20" spans="1:16">
      <c r="A20" s="5">
        <v>1988</v>
      </c>
      <c r="B20" s="9"/>
      <c r="C20" s="75"/>
      <c r="D20" s="76"/>
      <c r="E20" s="77"/>
      <c r="F20" s="21"/>
      <c r="G20" s="21"/>
      <c r="H20" s="35">
        <v>-4.3543623753418696E-4</v>
      </c>
      <c r="I20" s="24"/>
      <c r="J20" s="25"/>
      <c r="K20" s="21"/>
      <c r="L20" s="21"/>
      <c r="M20" s="21"/>
      <c r="N20" s="26"/>
      <c r="O20" s="60"/>
      <c r="P20" s="63"/>
    </row>
    <row r="21" spans="1:16">
      <c r="A21" s="10">
        <v>1989</v>
      </c>
      <c r="B21" s="9"/>
      <c r="C21" s="78"/>
      <c r="D21" s="81"/>
      <c r="E21" s="82"/>
      <c r="F21" s="21"/>
      <c r="G21" s="27"/>
      <c r="H21" s="36">
        <v>5.5468026755361825E-4</v>
      </c>
      <c r="I21" s="28"/>
      <c r="J21" s="29"/>
      <c r="K21" s="27"/>
      <c r="L21" s="27"/>
      <c r="M21" s="27"/>
      <c r="N21" s="30"/>
      <c r="O21" s="60"/>
      <c r="P21" s="63"/>
    </row>
    <row r="22" spans="1:16">
      <c r="A22" s="5">
        <v>1990</v>
      </c>
      <c r="B22" s="47"/>
      <c r="C22" s="75"/>
      <c r="D22" s="76"/>
      <c r="E22" s="77"/>
      <c r="F22" s="14"/>
      <c r="G22" s="21"/>
      <c r="H22" s="35">
        <v>2.9437785432170948E-3</v>
      </c>
      <c r="I22" s="24"/>
      <c r="J22" s="25"/>
      <c r="K22" s="21"/>
      <c r="L22" s="21"/>
      <c r="M22" s="21"/>
      <c r="N22" s="26"/>
      <c r="O22" s="60"/>
      <c r="P22" s="63"/>
    </row>
    <row r="23" spans="1:16">
      <c r="A23" s="5">
        <v>1991</v>
      </c>
      <c r="B23" s="9"/>
      <c r="C23" s="75"/>
      <c r="D23" s="76"/>
      <c r="E23" s="77"/>
      <c r="F23" s="21"/>
      <c r="G23" s="21"/>
      <c r="H23" s="35">
        <v>2.2412979066223329E-3</v>
      </c>
      <c r="I23" s="24"/>
      <c r="J23" s="25"/>
      <c r="K23" s="21"/>
      <c r="L23" s="21"/>
      <c r="M23" s="21"/>
      <c r="N23" s="26"/>
      <c r="O23" s="60"/>
      <c r="P23" s="63"/>
    </row>
    <row r="24" spans="1:16">
      <c r="A24" s="5">
        <v>1992</v>
      </c>
      <c r="B24" s="9">
        <v>0.30278777036882021</v>
      </c>
      <c r="C24" s="90">
        <v>1.4448257199471478E-2</v>
      </c>
      <c r="D24" s="76">
        <v>7.7270154238017322E-2</v>
      </c>
      <c r="E24" s="77">
        <v>0.21106935893133139</v>
      </c>
      <c r="F24" s="21">
        <v>0.4682119065904744</v>
      </c>
      <c r="G24" s="21">
        <v>0.12490428952591988</v>
      </c>
      <c r="H24" s="35">
        <v>5.6147683590146034E-4</v>
      </c>
      <c r="I24" s="24">
        <v>0.10353551480568443</v>
      </c>
      <c r="J24" s="25">
        <v>0.33775768629940611</v>
      </c>
      <c r="K24" s="21">
        <v>0.52228717849205808</v>
      </c>
      <c r="L24" s="21">
        <v>0.13932988042336772</v>
      </c>
      <c r="M24" s="21">
        <v>6.263235690589081E-4</v>
      </c>
      <c r="N24" s="26">
        <v>0.11549315841914509</v>
      </c>
      <c r="O24" s="60">
        <v>1.0000009581268006</v>
      </c>
      <c r="P24" s="63">
        <v>1.0000010687838909</v>
      </c>
    </row>
    <row r="25" spans="1:16">
      <c r="A25" s="5">
        <v>1993</v>
      </c>
      <c r="B25" s="9">
        <v>0.27210535482000708</v>
      </c>
      <c r="C25" s="90">
        <v>1.5900780686948775E-2</v>
      </c>
      <c r="D25" s="76">
        <v>6.5414873755839556E-2</v>
      </c>
      <c r="E25" s="77">
        <v>0.19078970037721873</v>
      </c>
      <c r="F25" s="21">
        <v>0.51058272185443487</v>
      </c>
      <c r="G25" s="21">
        <v>0.10961209437479198</v>
      </c>
      <c r="H25" s="35">
        <v>-2.3028966574793978E-3</v>
      </c>
      <c r="I25" s="24">
        <v>0.11000195544524217</v>
      </c>
      <c r="J25" s="25">
        <v>0.30573702547417853</v>
      </c>
      <c r="K25" s="21">
        <v>0.57368971199241869</v>
      </c>
      <c r="L25" s="21">
        <v>0.12315992719919736</v>
      </c>
      <c r="M25" s="21">
        <v>-2.5875300193850146E-3</v>
      </c>
      <c r="N25" s="26">
        <v>0.12359797430821683</v>
      </c>
      <c r="O25" s="60">
        <v>0.99999922983699674</v>
      </c>
      <c r="P25" s="63">
        <v>0.99999913464640955</v>
      </c>
    </row>
    <row r="26" spans="1:16">
      <c r="A26" s="5">
        <v>1994</v>
      </c>
      <c r="B26" s="9">
        <v>0.29440428444749511</v>
      </c>
      <c r="C26" s="90">
        <v>1.4863127619277576E-2</v>
      </c>
      <c r="D26" s="76">
        <v>8.4879130302251971E-2</v>
      </c>
      <c r="E26" s="77">
        <v>0.19466202652596554</v>
      </c>
      <c r="F26" s="21">
        <v>0.51223192108262583</v>
      </c>
      <c r="G26" s="21">
        <v>9.5410631660877626E-2</v>
      </c>
      <c r="H26" s="35">
        <v>-2.0578291323307693E-3</v>
      </c>
      <c r="I26" s="24">
        <v>0.10001430373796362</v>
      </c>
      <c r="J26" s="25">
        <v>0.32712107055730083</v>
      </c>
      <c r="K26" s="21">
        <v>0.5691556245950451</v>
      </c>
      <c r="L26" s="21">
        <v>0.1060134978335236</v>
      </c>
      <c r="M26" s="21">
        <v>-2.2865131533508502E-3</v>
      </c>
      <c r="N26" s="26">
        <v>0.11112877032752734</v>
      </c>
      <c r="O26" s="60">
        <v>1.0000033117966314</v>
      </c>
      <c r="P26" s="63">
        <v>1.0000036798325187</v>
      </c>
    </row>
    <row r="27" spans="1:16">
      <c r="A27" s="5">
        <v>1995</v>
      </c>
      <c r="B27" s="9">
        <v>0.29298035310327863</v>
      </c>
      <c r="C27" s="90">
        <v>1.6658845212342541E-2</v>
      </c>
      <c r="D27" s="76">
        <v>7.6188036072261212E-2</v>
      </c>
      <c r="E27" s="77">
        <v>0.20013347181867489</v>
      </c>
      <c r="F27" s="21">
        <v>0.5432676557660262</v>
      </c>
      <c r="G27" s="21">
        <v>8.8461691370900569E-2</v>
      </c>
      <c r="H27" s="35">
        <v>-1.8366217760091272E-2</v>
      </c>
      <c r="I27" s="24">
        <v>9.3655971850974643E-2</v>
      </c>
      <c r="J27" s="25">
        <v>0.32325512609336177</v>
      </c>
      <c r="K27" s="21">
        <v>0.59940556664284605</v>
      </c>
      <c r="L27" s="21">
        <v>9.7602774027827854E-2</v>
      </c>
      <c r="M27" s="21">
        <v>-2.0264068818988689E-2</v>
      </c>
      <c r="N27" s="26">
        <v>0.10333379924424822</v>
      </c>
      <c r="O27" s="60">
        <v>0.99999945433108872</v>
      </c>
      <c r="P27" s="63">
        <v>0.99999939794504689</v>
      </c>
    </row>
    <row r="28" spans="1:16">
      <c r="A28" s="5">
        <v>1996</v>
      </c>
      <c r="B28" s="9">
        <v>0.31290196983825075</v>
      </c>
      <c r="C28" s="90">
        <v>2.0203965166241303E-2</v>
      </c>
      <c r="D28" s="76">
        <v>9.5081214701040639E-2</v>
      </c>
      <c r="E28" s="77">
        <v>0.19761678997096879</v>
      </c>
      <c r="F28" s="21">
        <v>0.52878413464759177</v>
      </c>
      <c r="G28" s="21">
        <v>8.3078639097719786E-2</v>
      </c>
      <c r="H28" s="35">
        <v>-1.6504035539840631E-2</v>
      </c>
      <c r="I28" s="24">
        <v>9.1739425157026044E-2</v>
      </c>
      <c r="J28" s="25">
        <v>0.34450682822200807</v>
      </c>
      <c r="K28" s="21">
        <v>0.5821943055703056</v>
      </c>
      <c r="L28" s="21">
        <v>9.1470048793082279E-2</v>
      </c>
      <c r="M28" s="21">
        <v>-1.8171035930623716E-2</v>
      </c>
      <c r="N28" s="26">
        <v>0.10100562294348905</v>
      </c>
      <c r="O28" s="60">
        <v>1.0000001332007478</v>
      </c>
      <c r="P28" s="63">
        <v>1.0000001466547721</v>
      </c>
    </row>
    <row r="29" spans="1:16">
      <c r="A29" s="5">
        <v>1997</v>
      </c>
      <c r="B29" s="9">
        <v>0.31509850349813451</v>
      </c>
      <c r="C29" s="90">
        <v>2.4457576349735628E-2</v>
      </c>
      <c r="D29" s="76">
        <v>0.10845994489858349</v>
      </c>
      <c r="E29" s="77">
        <v>0.18218098224981538</v>
      </c>
      <c r="F29" s="21">
        <v>0.5132759355016745</v>
      </c>
      <c r="G29" s="21">
        <v>8.4097869480021389E-2</v>
      </c>
      <c r="H29" s="35">
        <v>-1.3104670202799E-2</v>
      </c>
      <c r="I29" s="24">
        <v>0.10063304036112314</v>
      </c>
      <c r="J29" s="25">
        <v>0.35035588101285831</v>
      </c>
      <c r="K29" s="21">
        <v>0.57070801856871678</v>
      </c>
      <c r="L29" s="21">
        <v>9.3507848580282771E-2</v>
      </c>
      <c r="M29" s="21">
        <v>-1.4570993588713691E-2</v>
      </c>
      <c r="N29" s="26">
        <v>0.11189319252013701</v>
      </c>
      <c r="O29" s="60">
        <v>1.0000006786381546</v>
      </c>
      <c r="P29" s="63">
        <v>1.0000007545731442</v>
      </c>
    </row>
    <row r="30" spans="1:16">
      <c r="A30" s="5">
        <v>1998</v>
      </c>
      <c r="B30" s="9">
        <v>0.32810199456790656</v>
      </c>
      <c r="C30" s="90">
        <v>2.8307329033777077E-2</v>
      </c>
      <c r="D30" s="76">
        <v>0.12343442967647211</v>
      </c>
      <c r="E30" s="77">
        <v>0.17636023585765734</v>
      </c>
      <c r="F30" s="21">
        <v>0.4891405100277092</v>
      </c>
      <c r="G30" s="21">
        <v>9.2664642378410517E-2</v>
      </c>
      <c r="H30" s="35">
        <v>-1.8750717075612593E-2</v>
      </c>
      <c r="I30" s="24">
        <v>0.10884656704667264</v>
      </c>
      <c r="J30" s="25">
        <v>0.36817677229897439</v>
      </c>
      <c r="K30" s="21">
        <v>0.54888472842064118</v>
      </c>
      <c r="L30" s="21">
        <v>0.10398281480139197</v>
      </c>
      <c r="M30" s="21">
        <v>-2.1040952525393716E-2</v>
      </c>
      <c r="N30" s="26">
        <v>0.1221412194822048</v>
      </c>
      <c r="O30" s="60">
        <v>1.0000029969450863</v>
      </c>
      <c r="P30" s="63">
        <v>1.000003362995614</v>
      </c>
    </row>
    <row r="31" spans="1:16">
      <c r="A31" s="15">
        <v>1999</v>
      </c>
      <c r="B31" s="51">
        <v>0.33155171376580572</v>
      </c>
      <c r="C31" s="91">
        <v>3.0501891742855881E-2</v>
      </c>
      <c r="D31" s="81">
        <v>0.13574179278674642</v>
      </c>
      <c r="E31" s="77">
        <v>0.16530802923620344</v>
      </c>
      <c r="F31" s="27">
        <v>0.46768196073598395</v>
      </c>
      <c r="G31" s="27">
        <v>9.4495444854815702E-2</v>
      </c>
      <c r="H31" s="36">
        <v>-1.5412662986724755E-2</v>
      </c>
      <c r="I31" s="28">
        <v>0.12168412582317321</v>
      </c>
      <c r="J31" s="29">
        <v>0.37748573550095732</v>
      </c>
      <c r="K31" s="21">
        <v>0.53247581477939676</v>
      </c>
      <c r="L31" s="21">
        <v>0.10758708527655669</v>
      </c>
      <c r="M31" s="21">
        <v>-1.7547972705343366E-2</v>
      </c>
      <c r="N31" s="26">
        <v>0.13854255558937464</v>
      </c>
      <c r="O31" s="60">
        <v>1.0000005821930538</v>
      </c>
      <c r="P31" s="63">
        <v>1.0000006628515674</v>
      </c>
    </row>
    <row r="32" spans="1:16">
      <c r="A32" s="31">
        <v>2000</v>
      </c>
      <c r="B32" s="9">
        <v>0.3480628676840713</v>
      </c>
      <c r="C32" s="90">
        <v>3.4359159175497811E-2</v>
      </c>
      <c r="D32" s="76">
        <v>0.16198250987188229</v>
      </c>
      <c r="E32" s="77">
        <v>0.1517211986366912</v>
      </c>
      <c r="F32" s="21">
        <v>0.43472733150493631</v>
      </c>
      <c r="G32" s="21">
        <v>9.1313331620445873E-2</v>
      </c>
      <c r="H32" s="35">
        <v>-1.4203586337749739E-2</v>
      </c>
      <c r="I32" s="24">
        <v>0.14010094105473145</v>
      </c>
      <c r="J32" s="25">
        <v>0.40477177415567456</v>
      </c>
      <c r="K32" s="14">
        <v>0.50555623591234344</v>
      </c>
      <c r="L32" s="14">
        <v>0.10619075654350478</v>
      </c>
      <c r="M32" s="14">
        <v>-1.6517736808749989E-2</v>
      </c>
      <c r="N32" s="20">
        <v>0.16292719429949823</v>
      </c>
      <c r="O32" s="60">
        <v>1.0000008855264353</v>
      </c>
      <c r="P32" s="63">
        <v>1.0000010298027728</v>
      </c>
    </row>
    <row r="33" spans="1:16">
      <c r="A33" s="15">
        <v>2001</v>
      </c>
      <c r="B33" s="9">
        <v>0.33377205331186699</v>
      </c>
      <c r="C33" s="90">
        <v>3.6201727964608271E-2</v>
      </c>
      <c r="D33" s="76">
        <v>0.15264969765946948</v>
      </c>
      <c r="E33" s="77">
        <v>0.14492062768778921</v>
      </c>
      <c r="F33" s="21">
        <v>0.44942358730703974</v>
      </c>
      <c r="G33" s="21">
        <v>9.632946744178969E-2</v>
      </c>
      <c r="H33" s="35">
        <v>-1.6798879083240612E-2</v>
      </c>
      <c r="I33" s="24">
        <v>0.13727376511418443</v>
      </c>
      <c r="J33" s="25">
        <v>0.38688061150249214</v>
      </c>
      <c r="K33" s="21">
        <v>0.52093418414072257</v>
      </c>
      <c r="L33" s="21">
        <v>0.11165705127135631</v>
      </c>
      <c r="M33" s="21">
        <v>-1.9471853763046852E-2</v>
      </c>
      <c r="N33" s="26">
        <v>0.15911625213571143</v>
      </c>
      <c r="O33" s="60">
        <v>0.9999999940916402</v>
      </c>
      <c r="P33" s="63">
        <v>0.99999999315152432</v>
      </c>
    </row>
    <row r="34" spans="1:16">
      <c r="A34" s="15">
        <v>2002</v>
      </c>
      <c r="B34" s="9">
        <v>0.31248921431135773</v>
      </c>
      <c r="C34" s="90">
        <v>4.0336589134144445E-2</v>
      </c>
      <c r="D34" s="76">
        <v>0.13454406586143117</v>
      </c>
      <c r="E34" s="77">
        <v>0.13760855931578211</v>
      </c>
      <c r="F34" s="21">
        <v>0.45009695431513974</v>
      </c>
      <c r="G34" s="21">
        <v>0.10826248426618848</v>
      </c>
      <c r="H34" s="35">
        <v>-1.181253883314147E-2</v>
      </c>
      <c r="I34" s="24">
        <v>0.1409638928708144</v>
      </c>
      <c r="J34" s="25">
        <v>0.36376726393453473</v>
      </c>
      <c r="K34" s="21">
        <v>0.52395580416208531</v>
      </c>
      <c r="L34" s="21">
        <v>0.1260278623537619</v>
      </c>
      <c r="M34" s="21">
        <v>-1.3750922382782972E-2</v>
      </c>
      <c r="N34" s="26">
        <v>0.16409542241699465</v>
      </c>
      <c r="O34" s="60">
        <v>1.000000006930359</v>
      </c>
      <c r="P34" s="63">
        <v>1.000000008067599</v>
      </c>
    </row>
    <row r="35" spans="1:16">
      <c r="A35" s="15">
        <v>2003</v>
      </c>
      <c r="B35" s="9">
        <v>0.31440953482475831</v>
      </c>
      <c r="C35" s="90">
        <v>4.1392458119775766E-2</v>
      </c>
      <c r="D35" s="76">
        <v>0.14604751042850847</v>
      </c>
      <c r="E35" s="77">
        <v>0.12696956627647404</v>
      </c>
      <c r="F35" s="21">
        <v>0.4427234530249573</v>
      </c>
      <c r="G35" s="21">
        <v>0.10266858731914744</v>
      </c>
      <c r="H35" s="35">
        <v>-7.1130486491494541E-3</v>
      </c>
      <c r="I35" s="24">
        <v>0.14731187836938534</v>
      </c>
      <c r="J35" s="25">
        <v>0.36872747121597738</v>
      </c>
      <c r="K35" s="21">
        <v>0.51920912440802769</v>
      </c>
      <c r="L35" s="21">
        <v>0.12040579048153267</v>
      </c>
      <c r="M35" s="21">
        <v>-8.3419112670961235E-3</v>
      </c>
      <c r="N35" s="26">
        <v>0.17276173390064062</v>
      </c>
      <c r="O35" s="60">
        <v>1.0000004048890989</v>
      </c>
      <c r="P35" s="63">
        <v>1.0000004748384417</v>
      </c>
    </row>
    <row r="36" spans="1:16">
      <c r="A36" s="15">
        <v>2004</v>
      </c>
      <c r="B36" s="9">
        <v>0.30549765644032628</v>
      </c>
      <c r="C36" s="90">
        <v>4.4874487484652219E-2</v>
      </c>
      <c r="D36" s="76">
        <v>0.12865859354962825</v>
      </c>
      <c r="E36" s="77">
        <v>0.13196457540604581</v>
      </c>
      <c r="F36" s="21">
        <v>0.45098325373844117</v>
      </c>
      <c r="G36" s="21">
        <v>0.10055601107342757</v>
      </c>
      <c r="H36" s="35">
        <v>-3.0083369442204465E-3</v>
      </c>
      <c r="I36" s="24">
        <v>0.14597109850059725</v>
      </c>
      <c r="J36" s="25">
        <v>0.35771348710092798</v>
      </c>
      <c r="K36" s="21">
        <v>0.52806556422933493</v>
      </c>
      <c r="L36" s="21">
        <v>0.11774310084457709</v>
      </c>
      <c r="M36" s="21">
        <v>-3.5225235808047776E-3</v>
      </c>
      <c r="N36" s="26">
        <v>0.17092056046852572</v>
      </c>
      <c r="O36" s="60">
        <v>0.99999968280857177</v>
      </c>
      <c r="P36" s="63">
        <v>0.99999962859403535</v>
      </c>
    </row>
    <row r="37" spans="1:16">
      <c r="A37" s="15">
        <v>2005</v>
      </c>
      <c r="B37" s="9">
        <v>0.30468908160971714</v>
      </c>
      <c r="C37" s="90">
        <v>4.871216943117284E-2</v>
      </c>
      <c r="D37" s="76">
        <v>0.13668509276681576</v>
      </c>
      <c r="E37" s="77">
        <v>0.11929181941172855</v>
      </c>
      <c r="F37" s="21">
        <v>0.45552798927939486</v>
      </c>
      <c r="G37" s="21">
        <v>0.10267863010481124</v>
      </c>
      <c r="H37" s="35">
        <v>-8.0917710317680337E-3</v>
      </c>
      <c r="I37" s="24">
        <v>0.14519628734221782</v>
      </c>
      <c r="J37" s="25">
        <v>0.35644332973516035</v>
      </c>
      <c r="K37" s="21">
        <v>0.53290361580561352</v>
      </c>
      <c r="L37" s="21">
        <v>0.12011954157938745</v>
      </c>
      <c r="M37" s="21">
        <v>-9.466232904638246E-3</v>
      </c>
      <c r="N37" s="26">
        <v>0.16985921468540305</v>
      </c>
      <c r="O37" s="60">
        <v>1.0000002173043729</v>
      </c>
      <c r="P37" s="63">
        <v>1.0000002542155231</v>
      </c>
    </row>
    <row r="38" spans="1:16">
      <c r="A38" s="15">
        <v>2006</v>
      </c>
      <c r="B38" s="9">
        <v>0.29830576112520407</v>
      </c>
      <c r="C38" s="90">
        <v>4.7285311924711325E-2</v>
      </c>
      <c r="D38" s="76">
        <v>0.14331786050336398</v>
      </c>
      <c r="E38" s="77">
        <v>0.10770258869712875</v>
      </c>
      <c r="F38" s="21">
        <v>0.45949033427895014</v>
      </c>
      <c r="G38" s="21">
        <v>0.10091490727047668</v>
      </c>
      <c r="H38" s="35">
        <v>-2.1261760712150677E-3</v>
      </c>
      <c r="I38" s="24">
        <v>0.14341488518914283</v>
      </c>
      <c r="J38" s="25">
        <v>0.34824999403716356</v>
      </c>
      <c r="K38" s="21">
        <v>0.53642110554350497</v>
      </c>
      <c r="L38" s="21">
        <v>0.11781071784414528</v>
      </c>
      <c r="M38" s="21">
        <v>-2.4821538857636456E-3</v>
      </c>
      <c r="N38" s="26">
        <v>0.16742631025150409</v>
      </c>
      <c r="O38" s="60">
        <v>0.99999971179255875</v>
      </c>
      <c r="P38" s="63">
        <v>0.99999966353905012</v>
      </c>
    </row>
    <row r="39" spans="1:16">
      <c r="A39" s="15">
        <v>2007</v>
      </c>
      <c r="B39" s="9">
        <v>0.29358386713575524</v>
      </c>
      <c r="C39" s="90">
        <v>5.1068057514101574E-2</v>
      </c>
      <c r="D39" s="76">
        <v>0.13957495013576074</v>
      </c>
      <c r="E39" s="77">
        <v>0.10294085948589293</v>
      </c>
      <c r="F39" s="21">
        <v>0.45807223862208291</v>
      </c>
      <c r="G39" s="21">
        <v>9.8958626085474358E-2</v>
      </c>
      <c r="H39" s="35">
        <v>2.5442023444406984E-3</v>
      </c>
      <c r="I39" s="24">
        <v>0.14684111097294542</v>
      </c>
      <c r="J39" s="25">
        <v>0.34411394045317784</v>
      </c>
      <c r="K39" s="21">
        <v>0.53691316414046875</v>
      </c>
      <c r="L39" s="21">
        <v>0.11599085159662009</v>
      </c>
      <c r="M39" s="21">
        <v>2.9820967432480435E-3</v>
      </c>
      <c r="N39" s="26">
        <v>0.17211461178163839</v>
      </c>
      <c r="O39" s="60">
        <v>1.0000000451606987</v>
      </c>
      <c r="P39" s="63">
        <v>1.0000000529335149</v>
      </c>
    </row>
    <row r="40" spans="1:16">
      <c r="A40" s="15">
        <v>2008</v>
      </c>
      <c r="B40" s="9">
        <v>0.27541355491646385</v>
      </c>
      <c r="C40" s="90">
        <v>4.3725095476568866E-2</v>
      </c>
      <c r="D40" s="76">
        <v>0.12913453373928055</v>
      </c>
      <c r="E40" s="77">
        <v>0.10255392570061445</v>
      </c>
      <c r="F40" s="21">
        <v>0.47534602670815018</v>
      </c>
      <c r="G40" s="21">
        <v>0.10280232192237966</v>
      </c>
      <c r="H40" s="35">
        <v>6.9970223843748777E-3</v>
      </c>
      <c r="I40" s="24">
        <v>0.139441043102282</v>
      </c>
      <c r="J40" s="25">
        <v>0.32004030950920453</v>
      </c>
      <c r="K40" s="21">
        <v>0.55236892591502895</v>
      </c>
      <c r="L40" s="21">
        <v>0.11945994065645205</v>
      </c>
      <c r="M40" s="21">
        <v>8.1307879353192426E-3</v>
      </c>
      <c r="N40" s="26">
        <v>0.16203543288302014</v>
      </c>
      <c r="O40" s="60">
        <v>0.99999996903365052</v>
      </c>
      <c r="P40" s="63">
        <v>0.99999996401600477</v>
      </c>
    </row>
    <row r="41" spans="1:16">
      <c r="A41" s="15">
        <v>2009</v>
      </c>
      <c r="B41" s="51">
        <v>0.30213176902859024</v>
      </c>
      <c r="C41" s="91">
        <v>5.3399385516649397E-2</v>
      </c>
      <c r="D41" s="81">
        <v>0.15065889375264985</v>
      </c>
      <c r="E41" s="77">
        <v>9.8073489759290991E-2</v>
      </c>
      <c r="F41" s="27">
        <v>0.45611285776059557</v>
      </c>
      <c r="G41" s="27">
        <v>0.1075352826916747</v>
      </c>
      <c r="H41" s="36">
        <v>-1.8905680818326791E-3</v>
      </c>
      <c r="I41" s="28">
        <v>0.1361106520975966</v>
      </c>
      <c r="J41" s="29">
        <v>0.34973433780864616</v>
      </c>
      <c r="K41" s="21">
        <v>0.52797601784079895</v>
      </c>
      <c r="L41" s="21">
        <v>0.12447807459691392</v>
      </c>
      <c r="M41" s="21">
        <v>-2.1884377743783259E-3</v>
      </c>
      <c r="N41" s="26">
        <v>0.15755565504781927</v>
      </c>
      <c r="O41" s="60">
        <v>0.99999999349662461</v>
      </c>
      <c r="P41" s="63">
        <v>0.99999999247198079</v>
      </c>
    </row>
    <row r="42" spans="1:16">
      <c r="A42" s="31">
        <v>2010</v>
      </c>
      <c r="B42" s="9">
        <v>0.29923098928266345</v>
      </c>
      <c r="C42" s="90">
        <v>4.9907031838854365E-2</v>
      </c>
      <c r="D42" s="76">
        <v>0.15386260590719233</v>
      </c>
      <c r="E42" s="77">
        <v>9.5461351536616751E-2</v>
      </c>
      <c r="F42" s="21">
        <v>0.46037995929786057</v>
      </c>
      <c r="G42" s="21">
        <v>9.9419144263402204E-2</v>
      </c>
      <c r="H42" s="35">
        <v>-4.8538914809073625E-3</v>
      </c>
      <c r="I42" s="24">
        <v>0.14582380016559229</v>
      </c>
      <c r="J42" s="25">
        <v>0.35031529717249549</v>
      </c>
      <c r="K42" s="14">
        <v>0.53897540037653913</v>
      </c>
      <c r="L42" s="14">
        <v>0.1163918454795109</v>
      </c>
      <c r="M42" s="14">
        <v>-5.682541238971944E-3</v>
      </c>
      <c r="N42" s="20">
        <v>0.17071864118183341</v>
      </c>
      <c r="O42" s="60">
        <v>1.0000000015286112</v>
      </c>
      <c r="P42" s="63">
        <v>1.0000000017895736</v>
      </c>
    </row>
    <row r="43" spans="1:16">
      <c r="A43" s="15">
        <v>2011</v>
      </c>
      <c r="B43" s="9">
        <v>0.29989340907778828</v>
      </c>
      <c r="C43" s="90">
        <v>5.0132689557694239E-2</v>
      </c>
      <c r="D43" s="76">
        <v>0.15522002995740514</v>
      </c>
      <c r="E43" s="77">
        <v>9.4540689562688879E-2</v>
      </c>
      <c r="F43" s="21">
        <v>0.46932632491191328</v>
      </c>
      <c r="G43" s="21">
        <v>9.4581101455785674E-2</v>
      </c>
      <c r="H43" s="35">
        <v>-1.0715046684990284E-2</v>
      </c>
      <c r="I43" s="24">
        <v>0.14691424041246876</v>
      </c>
      <c r="J43" s="25">
        <v>0.3515395793534139</v>
      </c>
      <c r="K43" s="21">
        <v>0.55015139994698026</v>
      </c>
      <c r="L43" s="21">
        <v>0.11086939430511164</v>
      </c>
      <c r="M43" s="21">
        <v>-1.2560339408515074E-2</v>
      </c>
      <c r="N43" s="26">
        <v>0.17221508946943637</v>
      </c>
      <c r="O43" s="60">
        <v>1.0000000291729658</v>
      </c>
      <c r="P43" s="63">
        <v>1.0000000341969908</v>
      </c>
    </row>
    <row r="44" spans="1:16">
      <c r="A44" s="15">
        <v>2012</v>
      </c>
      <c r="B44" s="9">
        <v>0.29578868974244898</v>
      </c>
      <c r="C44" s="90">
        <v>5.0659883830959804E-2</v>
      </c>
      <c r="D44" s="76">
        <v>0.15305505950076004</v>
      </c>
      <c r="E44" s="77">
        <v>9.2073746410729129E-2</v>
      </c>
      <c r="F44" s="21">
        <v>0.47793407921308967</v>
      </c>
      <c r="G44" s="21">
        <v>8.2558953157434015E-2</v>
      </c>
      <c r="H44" s="35">
        <v>-2.668465274172113E-3</v>
      </c>
      <c r="I44" s="24">
        <v>0.14638675239980484</v>
      </c>
      <c r="J44" s="25">
        <v>0.34651370579593771</v>
      </c>
      <c r="K44" s="21">
        <v>0.55989533967136662</v>
      </c>
      <c r="L44" s="21">
        <v>9.671704766712097E-2</v>
      </c>
      <c r="M44" s="21">
        <v>-3.1260823114848562E-3</v>
      </c>
      <c r="N44" s="26">
        <v>0.17149072230468435</v>
      </c>
      <c r="O44" s="60">
        <v>1.0000000092386054</v>
      </c>
      <c r="P44" s="63">
        <v>1.0000000108229405</v>
      </c>
    </row>
    <row r="45" spans="1:16">
      <c r="A45" s="15">
        <v>2013</v>
      </c>
      <c r="B45" s="9">
        <v>0.2589008283964051</v>
      </c>
      <c r="C45" s="90">
        <v>5.0417499741167444E-2</v>
      </c>
      <c r="D45" s="76">
        <v>0.12293834362110981</v>
      </c>
      <c r="E45" s="77">
        <v>8.5544985034127843E-2</v>
      </c>
      <c r="F45" s="21">
        <v>0.53111086665462415</v>
      </c>
      <c r="G45" s="21">
        <v>8.0035483672491511E-2</v>
      </c>
      <c r="H45" s="35">
        <v>-9.1194564151287922E-3</v>
      </c>
      <c r="I45" s="24">
        <v>0.13907227769160793</v>
      </c>
      <c r="J45" s="25">
        <v>0.30072307080810262</v>
      </c>
      <c r="K45" s="21">
        <v>0.61690529052841381</v>
      </c>
      <c r="L45" s="21">
        <v>9.2964231024985022E-2</v>
      </c>
      <c r="M45" s="21">
        <v>-1.0592592361501538E-2</v>
      </c>
      <c r="N45" s="26">
        <v>0.16153769252396194</v>
      </c>
      <c r="O45" s="60">
        <v>0.99999999999999978</v>
      </c>
      <c r="P45" s="63">
        <v>0.99999999999999978</v>
      </c>
    </row>
    <row r="46" spans="1:16">
      <c r="A46" s="15">
        <v>2014</v>
      </c>
      <c r="B46" s="9">
        <v>0.249423750043233</v>
      </c>
      <c r="C46" s="90">
        <v>4.8083850538273167E-2</v>
      </c>
      <c r="D46" s="76">
        <v>0.12131382886976085</v>
      </c>
      <c r="E46" s="77">
        <v>8.0026070635198981E-2</v>
      </c>
      <c r="F46" s="21">
        <v>0.53325105847622167</v>
      </c>
      <c r="G46" s="21">
        <v>8.1278516408293658E-2</v>
      </c>
      <c r="H46" s="35">
        <v>1.3989013095212772E-3</v>
      </c>
      <c r="I46" s="24">
        <v>0.1346477566413633</v>
      </c>
      <c r="J46" s="25">
        <v>0.28823378220545248</v>
      </c>
      <c r="K46" s="21">
        <v>0.61622427464514129</v>
      </c>
      <c r="L46" s="21">
        <v>9.392535471201012E-2</v>
      </c>
      <c r="M46" s="21">
        <v>1.6165686519651356E-3</v>
      </c>
      <c r="N46" s="26">
        <v>0.15559878381867195</v>
      </c>
      <c r="O46" s="64"/>
    </row>
    <row r="47" spans="1:16" ht="15" thickBot="1">
      <c r="A47" s="32">
        <v>2015</v>
      </c>
      <c r="B47" s="87"/>
      <c r="C47" s="83"/>
      <c r="D47" s="84"/>
      <c r="E47" s="85"/>
      <c r="F47" s="42"/>
      <c r="G47" s="42"/>
      <c r="H47" s="88"/>
      <c r="I47" s="89"/>
      <c r="J47" s="43"/>
      <c r="K47" s="42"/>
      <c r="L47" s="42"/>
      <c r="M47" s="42"/>
      <c r="N47" s="46"/>
      <c r="O47" s="60"/>
    </row>
    <row r="48" spans="1:16" ht="15" thickTop="1">
      <c r="A48" s="11"/>
      <c r="B48" s="11"/>
      <c r="C48" s="40"/>
      <c r="D48" s="40"/>
      <c r="E48" s="40"/>
      <c r="F48" s="9"/>
      <c r="G48" s="9"/>
      <c r="H48" s="8"/>
      <c r="I48" s="9"/>
      <c r="J48" s="9"/>
      <c r="K48" s="9"/>
      <c r="L48" s="9"/>
      <c r="M48" s="9"/>
      <c r="N48" s="9"/>
      <c r="O48" s="60"/>
    </row>
    <row r="49" spans="1:15" ht="15" thickBot="1">
      <c r="F49" s="12"/>
      <c r="G49" s="12"/>
      <c r="I49" s="12"/>
      <c r="J49" s="12"/>
      <c r="K49" s="12"/>
      <c r="L49" s="12"/>
      <c r="M49" s="12"/>
      <c r="N49" s="6"/>
      <c r="O49" s="60"/>
    </row>
    <row r="50" spans="1:15">
      <c r="A50" s="606" t="s">
        <v>42</v>
      </c>
      <c r="B50" s="607"/>
      <c r="C50" s="607"/>
      <c r="D50" s="607"/>
      <c r="E50" s="607"/>
      <c r="F50" s="607"/>
      <c r="G50" s="607"/>
      <c r="H50" s="607"/>
      <c r="I50" s="607"/>
      <c r="J50" s="607"/>
      <c r="K50" s="607"/>
      <c r="L50" s="607"/>
      <c r="M50" s="607"/>
      <c r="N50" s="608"/>
      <c r="O50" s="65"/>
    </row>
    <row r="51" spans="1:15">
      <c r="A51" s="609"/>
      <c r="B51" s="610"/>
      <c r="C51" s="610"/>
      <c r="D51" s="610"/>
      <c r="E51" s="610"/>
      <c r="F51" s="610"/>
      <c r="G51" s="610"/>
      <c r="H51" s="610"/>
      <c r="I51" s="610"/>
      <c r="J51" s="610"/>
      <c r="K51" s="610"/>
      <c r="L51" s="610"/>
      <c r="M51" s="610"/>
      <c r="N51" s="611"/>
      <c r="O51" s="65"/>
    </row>
    <row r="52" spans="1:15">
      <c r="A52" s="609"/>
      <c r="B52" s="610"/>
      <c r="C52" s="610"/>
      <c r="D52" s="610"/>
      <c r="E52" s="610"/>
      <c r="F52" s="610"/>
      <c r="G52" s="610"/>
      <c r="H52" s="610"/>
      <c r="I52" s="610"/>
      <c r="J52" s="610"/>
      <c r="K52" s="610"/>
      <c r="L52" s="610"/>
      <c r="M52" s="610"/>
      <c r="N52" s="611"/>
      <c r="O52" s="65"/>
    </row>
    <row r="53" spans="1:15">
      <c r="A53" s="609"/>
      <c r="B53" s="610"/>
      <c r="C53" s="610"/>
      <c r="D53" s="610"/>
      <c r="E53" s="610"/>
      <c r="F53" s="610"/>
      <c r="G53" s="610"/>
      <c r="H53" s="610"/>
      <c r="I53" s="610"/>
      <c r="J53" s="610"/>
      <c r="K53" s="610"/>
      <c r="L53" s="610"/>
      <c r="M53" s="610"/>
      <c r="N53" s="611"/>
      <c r="O53" s="65"/>
    </row>
    <row r="54" spans="1:15" ht="15" thickBot="1">
      <c r="A54" s="612"/>
      <c r="B54" s="613"/>
      <c r="C54" s="613"/>
      <c r="D54" s="613"/>
      <c r="E54" s="613"/>
      <c r="F54" s="613"/>
      <c r="G54" s="613"/>
      <c r="H54" s="613"/>
      <c r="I54" s="613"/>
      <c r="J54" s="613"/>
      <c r="K54" s="613"/>
      <c r="L54" s="613"/>
      <c r="M54" s="613"/>
      <c r="N54" s="614"/>
      <c r="O54" s="65"/>
    </row>
    <row r="55" spans="1:15">
      <c r="F55" s="12"/>
      <c r="G55" s="12"/>
      <c r="I55" s="12"/>
      <c r="J55" s="12"/>
      <c r="K55" s="12"/>
      <c r="L55" s="12"/>
      <c r="M55" s="12"/>
      <c r="N55" s="6"/>
      <c r="O55" s="60"/>
    </row>
    <row r="56" spans="1:15">
      <c r="F56" s="12"/>
      <c r="G56" s="12"/>
      <c r="I56" s="12"/>
      <c r="J56" s="12"/>
      <c r="K56" s="12"/>
      <c r="L56" s="12"/>
      <c r="M56" s="12"/>
      <c r="N56" s="6"/>
      <c r="O56" s="60"/>
    </row>
    <row r="57" spans="1:15">
      <c r="F57" s="12"/>
      <c r="G57" s="12"/>
      <c r="I57" s="12"/>
      <c r="J57" s="12"/>
      <c r="K57" s="12"/>
      <c r="L57" s="12"/>
      <c r="M57" s="12"/>
      <c r="N57" s="6"/>
      <c r="O57" s="60"/>
    </row>
    <row r="58" spans="1:15">
      <c r="F58" s="12"/>
      <c r="G58" s="12"/>
      <c r="I58" s="12"/>
      <c r="J58" s="12"/>
      <c r="K58" s="12"/>
      <c r="L58" s="12"/>
      <c r="M58" s="12"/>
      <c r="N58" s="6"/>
      <c r="O58" s="60"/>
    </row>
    <row r="59" spans="1:15">
      <c r="F59" s="12"/>
      <c r="G59" s="12"/>
      <c r="I59" s="12"/>
      <c r="J59" s="12"/>
      <c r="K59" s="12"/>
      <c r="L59" s="12"/>
      <c r="M59" s="12"/>
      <c r="N59" s="6"/>
      <c r="O59" s="60"/>
    </row>
    <row r="60" spans="1:15">
      <c r="F60" s="12"/>
      <c r="G60" s="12"/>
      <c r="I60" s="12"/>
      <c r="J60" s="12"/>
      <c r="K60" s="12"/>
      <c r="L60" s="12"/>
      <c r="M60" s="12"/>
      <c r="N60" s="6"/>
      <c r="O60" s="60"/>
    </row>
    <row r="61" spans="1:15">
      <c r="F61" s="12"/>
      <c r="G61" s="12"/>
      <c r="I61" s="12"/>
      <c r="J61" s="12"/>
      <c r="K61" s="12"/>
      <c r="L61" s="12"/>
      <c r="M61" s="12"/>
      <c r="N61" s="12"/>
    </row>
    <row r="62" spans="1:15">
      <c r="F62" s="12"/>
      <c r="G62" s="12"/>
      <c r="I62" s="12"/>
      <c r="J62" s="12"/>
      <c r="K62" s="12"/>
      <c r="L62" s="12"/>
      <c r="M62" s="12"/>
      <c r="N62" s="12"/>
    </row>
    <row r="63" spans="1:15">
      <c r="F63" s="12"/>
      <c r="G63" s="12"/>
      <c r="I63" s="12"/>
      <c r="J63" s="12"/>
      <c r="K63" s="12"/>
      <c r="L63" s="12"/>
      <c r="M63" s="12"/>
      <c r="N63" s="12"/>
    </row>
    <row r="64" spans="1:15">
      <c r="F64" s="12"/>
      <c r="G64" s="12"/>
      <c r="I64" s="12"/>
      <c r="J64" s="12"/>
      <c r="K64" s="12"/>
      <c r="L64" s="12"/>
      <c r="M64" s="12"/>
      <c r="N64" s="12"/>
    </row>
    <row r="65" spans="6:14">
      <c r="F65" s="12"/>
      <c r="G65" s="12"/>
      <c r="I65" s="12"/>
      <c r="J65" s="12"/>
      <c r="K65" s="12"/>
      <c r="L65" s="12"/>
      <c r="M65" s="12"/>
      <c r="N65" s="12"/>
    </row>
    <row r="66" spans="6:14">
      <c r="F66" s="12"/>
      <c r="G66" s="12"/>
      <c r="I66" s="12"/>
      <c r="J66" s="12"/>
      <c r="K66" s="12"/>
      <c r="L66" s="12"/>
      <c r="M66" s="12"/>
      <c r="N66" s="12"/>
    </row>
    <row r="67" spans="6:14">
      <c r="F67" s="12"/>
      <c r="G67" s="12"/>
      <c r="I67" s="12"/>
      <c r="J67" s="12"/>
      <c r="K67" s="12"/>
      <c r="L67" s="12"/>
      <c r="M67" s="12"/>
      <c r="N67" s="12"/>
    </row>
    <row r="68" spans="6:14">
      <c r="F68" s="12"/>
      <c r="G68" s="12"/>
      <c r="I68" s="12"/>
      <c r="J68" s="12"/>
      <c r="K68" s="12"/>
      <c r="L68" s="12"/>
      <c r="M68" s="12"/>
      <c r="N68" s="12"/>
    </row>
    <row r="69" spans="6:14">
      <c r="F69" s="12"/>
      <c r="G69" s="12"/>
      <c r="I69" s="12"/>
      <c r="J69" s="12"/>
      <c r="K69" s="12"/>
      <c r="L69" s="12"/>
      <c r="M69" s="12"/>
      <c r="N69" s="12"/>
    </row>
    <row r="70" spans="6:14">
      <c r="F70" s="12"/>
      <c r="G70" s="12"/>
      <c r="I70" s="12"/>
      <c r="J70" s="12"/>
      <c r="K70" s="12"/>
      <c r="L70" s="12"/>
      <c r="M70" s="12"/>
      <c r="N70" s="12"/>
    </row>
    <row r="71" spans="6:14">
      <c r="F71" s="12"/>
      <c r="G71" s="12"/>
      <c r="I71" s="12"/>
      <c r="J71" s="12"/>
      <c r="K71" s="12"/>
      <c r="L71" s="12"/>
      <c r="M71" s="12"/>
      <c r="N71" s="12"/>
    </row>
    <row r="72" spans="6:14">
      <c r="F72" s="12"/>
      <c r="G72" s="12"/>
      <c r="I72" s="12"/>
      <c r="J72" s="12"/>
      <c r="K72" s="12"/>
      <c r="L72" s="12"/>
      <c r="M72" s="12"/>
      <c r="N72" s="12"/>
    </row>
    <row r="73" spans="6:14">
      <c r="F73" s="12"/>
      <c r="G73" s="12"/>
      <c r="I73" s="12"/>
      <c r="J73" s="12"/>
      <c r="K73" s="12"/>
      <c r="L73" s="12"/>
      <c r="M73" s="12"/>
      <c r="N73" s="12"/>
    </row>
    <row r="74" spans="6:14">
      <c r="F74" s="12"/>
      <c r="G74" s="12"/>
      <c r="I74" s="12"/>
      <c r="J74" s="12"/>
      <c r="K74" s="12"/>
      <c r="L74" s="12"/>
      <c r="M74" s="12"/>
      <c r="N74" s="12"/>
    </row>
    <row r="75" spans="6:14">
      <c r="F75" s="12"/>
      <c r="G75" s="12"/>
      <c r="I75" s="12"/>
      <c r="J75" s="12"/>
      <c r="K75" s="12"/>
      <c r="L75" s="12"/>
      <c r="M75" s="12"/>
      <c r="N75" s="12"/>
    </row>
    <row r="76" spans="6:14">
      <c r="F76" s="12"/>
      <c r="G76" s="12"/>
      <c r="I76" s="12"/>
      <c r="J76" s="12"/>
      <c r="K76" s="12"/>
      <c r="L76" s="12"/>
      <c r="M76" s="12"/>
      <c r="N76" s="12"/>
    </row>
    <row r="77" spans="6:14">
      <c r="F77" s="12"/>
      <c r="G77" s="12"/>
      <c r="I77" s="12"/>
      <c r="J77" s="12"/>
      <c r="K77" s="12"/>
      <c r="L77" s="12"/>
      <c r="M77" s="12"/>
      <c r="N77" s="12"/>
    </row>
    <row r="78" spans="6:14">
      <c r="F78" s="12"/>
      <c r="G78" s="12"/>
      <c r="I78" s="12"/>
      <c r="J78" s="12"/>
      <c r="K78" s="12"/>
      <c r="L78" s="12"/>
      <c r="M78" s="12"/>
      <c r="N78" s="12"/>
    </row>
    <row r="79" spans="6:14">
      <c r="F79" s="12"/>
      <c r="G79" s="12"/>
      <c r="I79" s="12"/>
      <c r="J79" s="12"/>
      <c r="K79" s="12"/>
      <c r="L79" s="12"/>
      <c r="M79" s="12"/>
      <c r="N79" s="12"/>
    </row>
    <row r="80" spans="6:14">
      <c r="F80" s="12"/>
      <c r="G80" s="12"/>
      <c r="I80" s="12"/>
      <c r="J80" s="12"/>
      <c r="K80" s="12"/>
      <c r="L80" s="12"/>
      <c r="M80" s="12"/>
      <c r="N80" s="12"/>
    </row>
    <row r="81" spans="6:14">
      <c r="F81" s="12"/>
      <c r="G81" s="12"/>
      <c r="I81" s="12"/>
      <c r="J81" s="12"/>
      <c r="K81" s="12"/>
      <c r="L81" s="12"/>
      <c r="M81" s="12"/>
      <c r="N81" s="12"/>
    </row>
    <row r="82" spans="6:14">
      <c r="F82" s="12"/>
      <c r="G82" s="12"/>
      <c r="I82" s="12"/>
      <c r="J82" s="12"/>
      <c r="K82" s="12"/>
      <c r="L82" s="12"/>
      <c r="M82" s="12"/>
      <c r="N82" s="12"/>
    </row>
    <row r="83" spans="6:14">
      <c r="F83" s="12"/>
      <c r="G83" s="12"/>
      <c r="I83" s="12"/>
      <c r="J83" s="12"/>
      <c r="K83" s="12"/>
      <c r="L83" s="12"/>
      <c r="M83" s="12"/>
      <c r="N83" s="12"/>
    </row>
    <row r="84" spans="6:14">
      <c r="F84" s="12"/>
      <c r="G84" s="12"/>
      <c r="I84" s="12"/>
      <c r="J84" s="12"/>
      <c r="K84" s="12"/>
      <c r="L84" s="12"/>
      <c r="M84" s="12"/>
      <c r="N84" s="12"/>
    </row>
    <row r="85" spans="6:14">
      <c r="F85" s="12"/>
      <c r="G85" s="12"/>
      <c r="I85" s="12"/>
      <c r="J85" s="12"/>
      <c r="K85" s="12"/>
      <c r="L85" s="12"/>
      <c r="M85" s="12"/>
      <c r="N85" s="12"/>
    </row>
    <row r="86" spans="6:14">
      <c r="F86" s="12"/>
      <c r="G86" s="12"/>
      <c r="I86" s="12"/>
      <c r="J86" s="12"/>
      <c r="K86" s="12"/>
      <c r="L86" s="12"/>
      <c r="M86" s="12"/>
      <c r="N86" s="12"/>
    </row>
    <row r="87" spans="6:14">
      <c r="F87" s="12"/>
      <c r="G87" s="12"/>
      <c r="I87" s="12"/>
      <c r="J87" s="12"/>
      <c r="K87" s="12"/>
      <c r="L87" s="12"/>
      <c r="M87" s="12"/>
      <c r="N87" s="12"/>
    </row>
    <row r="88" spans="6:14">
      <c r="F88" s="12"/>
      <c r="G88" s="12"/>
      <c r="I88" s="12"/>
      <c r="J88" s="12"/>
      <c r="K88" s="12"/>
      <c r="L88" s="12"/>
      <c r="M88" s="12"/>
      <c r="N88" s="12"/>
    </row>
    <row r="89" spans="6:14">
      <c r="F89" s="12"/>
      <c r="G89" s="12"/>
      <c r="I89" s="12"/>
      <c r="J89" s="12"/>
      <c r="K89" s="12"/>
      <c r="L89" s="12"/>
      <c r="M89" s="12"/>
      <c r="N89" s="12"/>
    </row>
    <row r="90" spans="6:14">
      <c r="F90" s="12"/>
      <c r="G90" s="12"/>
      <c r="I90" s="12"/>
      <c r="J90" s="12"/>
      <c r="K90" s="12"/>
      <c r="L90" s="12"/>
      <c r="M90" s="12"/>
      <c r="N90" s="12"/>
    </row>
    <row r="91" spans="6:14">
      <c r="F91" s="12"/>
      <c r="G91" s="12"/>
      <c r="I91" s="12"/>
      <c r="J91" s="12"/>
      <c r="K91" s="12"/>
      <c r="L91" s="12"/>
      <c r="M91" s="12"/>
      <c r="N91" s="12"/>
    </row>
    <row r="92" spans="6:14">
      <c r="F92" s="12"/>
      <c r="G92" s="12"/>
      <c r="I92" s="12"/>
      <c r="J92" s="12"/>
      <c r="K92" s="12"/>
      <c r="L92" s="12"/>
      <c r="M92" s="12"/>
      <c r="N92" s="12"/>
    </row>
    <row r="93" spans="6:14">
      <c r="F93" s="12"/>
      <c r="G93" s="12"/>
      <c r="I93" s="12"/>
      <c r="J93" s="12"/>
      <c r="K93" s="12"/>
      <c r="L93" s="12"/>
      <c r="M93" s="12"/>
      <c r="N93" s="12"/>
    </row>
    <row r="94" spans="6:14">
      <c r="F94" s="12"/>
      <c r="G94" s="12"/>
      <c r="I94" s="12"/>
      <c r="J94" s="12"/>
      <c r="K94" s="12"/>
      <c r="L94" s="12"/>
      <c r="M94" s="12"/>
      <c r="N94" s="12"/>
    </row>
    <row r="95" spans="6:14">
      <c r="F95" s="12"/>
      <c r="G95" s="12"/>
      <c r="I95" s="12"/>
      <c r="J95" s="12"/>
      <c r="K95" s="12"/>
      <c r="L95" s="12"/>
      <c r="M95" s="12"/>
      <c r="N95" s="12"/>
    </row>
    <row r="96" spans="6:14">
      <c r="F96" s="12"/>
      <c r="G96" s="12"/>
      <c r="I96" s="12"/>
      <c r="J96" s="12"/>
      <c r="K96" s="12"/>
      <c r="L96" s="12"/>
      <c r="M96" s="12"/>
      <c r="N96" s="12"/>
    </row>
    <row r="97" spans="6:14">
      <c r="F97" s="12"/>
      <c r="G97" s="12"/>
      <c r="I97" s="12"/>
      <c r="J97" s="12"/>
      <c r="K97" s="12"/>
      <c r="L97" s="12"/>
      <c r="M97" s="12"/>
      <c r="N97" s="12"/>
    </row>
    <row r="98" spans="6:14">
      <c r="F98" s="12"/>
      <c r="G98" s="12"/>
      <c r="I98" s="12"/>
      <c r="J98" s="12"/>
      <c r="K98" s="12"/>
      <c r="L98" s="12"/>
      <c r="M98" s="12"/>
      <c r="N98" s="12"/>
    </row>
    <row r="99" spans="6:14">
      <c r="F99" s="12"/>
      <c r="G99" s="12"/>
      <c r="I99" s="12"/>
      <c r="J99" s="12"/>
      <c r="K99" s="12"/>
      <c r="L99" s="12"/>
      <c r="M99" s="12"/>
      <c r="N99" s="12"/>
    </row>
    <row r="100" spans="6:14">
      <c r="F100" s="12"/>
      <c r="G100" s="12"/>
      <c r="I100" s="12"/>
      <c r="J100" s="12"/>
      <c r="K100" s="12"/>
      <c r="L100" s="12"/>
      <c r="M100" s="12"/>
      <c r="N100" s="12"/>
    </row>
    <row r="101" spans="6:14">
      <c r="F101" s="12"/>
      <c r="G101" s="12"/>
      <c r="I101" s="12"/>
      <c r="J101" s="12"/>
      <c r="K101" s="12"/>
      <c r="L101" s="12"/>
      <c r="M101" s="12"/>
      <c r="N101" s="12"/>
    </row>
    <row r="102" spans="6:14">
      <c r="F102" s="12"/>
      <c r="G102" s="12"/>
      <c r="I102" s="12"/>
      <c r="J102" s="12"/>
      <c r="K102" s="12"/>
      <c r="L102" s="12"/>
      <c r="M102" s="12"/>
      <c r="N102" s="12"/>
    </row>
    <row r="103" spans="6:14">
      <c r="F103" s="12"/>
      <c r="G103" s="12"/>
      <c r="I103" s="12"/>
      <c r="J103" s="12"/>
      <c r="K103" s="12"/>
      <c r="L103" s="12"/>
      <c r="M103" s="12"/>
      <c r="N103" s="12"/>
    </row>
    <row r="104" spans="6:14">
      <c r="F104" s="12"/>
      <c r="G104" s="12"/>
      <c r="I104" s="12"/>
      <c r="J104" s="12"/>
      <c r="K104" s="12"/>
      <c r="L104" s="12"/>
      <c r="M104" s="12"/>
      <c r="N104" s="12"/>
    </row>
    <row r="105" spans="6:14">
      <c r="F105" s="12"/>
      <c r="G105" s="12"/>
      <c r="I105" s="12"/>
      <c r="J105" s="12"/>
      <c r="K105" s="12"/>
      <c r="L105" s="12"/>
      <c r="M105" s="12"/>
      <c r="N105" s="12"/>
    </row>
    <row r="106" spans="6:14">
      <c r="F106" s="12"/>
      <c r="G106" s="12"/>
      <c r="I106" s="12"/>
      <c r="J106" s="12"/>
      <c r="K106" s="12"/>
      <c r="L106" s="12"/>
      <c r="M106" s="12"/>
      <c r="N106" s="12"/>
    </row>
    <row r="107" spans="6:14">
      <c r="F107" s="12"/>
      <c r="G107" s="12"/>
      <c r="I107" s="12"/>
      <c r="J107" s="12"/>
      <c r="K107" s="12"/>
      <c r="L107" s="12"/>
      <c r="M107" s="12"/>
      <c r="N107" s="12"/>
    </row>
    <row r="108" spans="6:14">
      <c r="F108" s="12"/>
      <c r="G108" s="12"/>
      <c r="I108" s="12"/>
      <c r="J108" s="12"/>
      <c r="K108" s="12"/>
      <c r="L108" s="12"/>
      <c r="M108" s="12"/>
      <c r="N108" s="12"/>
    </row>
    <row r="109" spans="6:14">
      <c r="F109" s="12"/>
      <c r="G109" s="12"/>
      <c r="I109" s="12"/>
      <c r="J109" s="12"/>
      <c r="K109" s="12"/>
      <c r="L109" s="12"/>
      <c r="M109" s="12"/>
      <c r="N109" s="12"/>
    </row>
    <row r="110" spans="6:14">
      <c r="F110" s="12"/>
      <c r="G110" s="12"/>
      <c r="I110" s="12"/>
      <c r="J110" s="12"/>
      <c r="K110" s="12"/>
      <c r="L110" s="12"/>
      <c r="M110" s="12"/>
      <c r="N110" s="12"/>
    </row>
    <row r="111" spans="6:14">
      <c r="F111" s="12"/>
      <c r="G111" s="12"/>
      <c r="I111" s="12"/>
      <c r="J111" s="12"/>
      <c r="K111" s="12"/>
      <c r="L111" s="12"/>
      <c r="M111" s="12"/>
      <c r="N111" s="12"/>
    </row>
    <row r="112" spans="6:14">
      <c r="F112" s="12"/>
      <c r="G112" s="12"/>
      <c r="I112" s="12"/>
      <c r="J112" s="12"/>
      <c r="K112" s="12"/>
      <c r="L112" s="12"/>
      <c r="M112" s="12"/>
      <c r="N112" s="12"/>
    </row>
    <row r="113" spans="6:14">
      <c r="F113" s="12"/>
      <c r="G113" s="12"/>
      <c r="I113" s="12"/>
      <c r="J113" s="12"/>
      <c r="K113" s="12"/>
      <c r="L113" s="12"/>
      <c r="M113" s="12"/>
      <c r="N113" s="12"/>
    </row>
    <row r="114" spans="6:14">
      <c r="F114" s="12"/>
      <c r="G114" s="12"/>
      <c r="I114" s="12"/>
      <c r="J114" s="12"/>
      <c r="K114" s="12"/>
      <c r="L114" s="12"/>
      <c r="M114" s="12"/>
      <c r="N114" s="12"/>
    </row>
    <row r="115" spans="6:14">
      <c r="F115" s="12"/>
      <c r="G115" s="12"/>
      <c r="I115" s="12"/>
      <c r="J115" s="12"/>
      <c r="K115" s="12"/>
      <c r="L115" s="12"/>
      <c r="M115" s="12"/>
      <c r="N115" s="12"/>
    </row>
    <row r="116" spans="6:14">
      <c r="F116" s="12"/>
      <c r="G116" s="12"/>
      <c r="I116" s="12"/>
      <c r="J116" s="12"/>
      <c r="K116" s="12"/>
      <c r="L116" s="12"/>
      <c r="M116" s="12"/>
      <c r="N116" s="12"/>
    </row>
    <row r="117" spans="6:14">
      <c r="F117" s="12"/>
      <c r="G117" s="12"/>
      <c r="I117" s="12"/>
      <c r="J117" s="12"/>
      <c r="K117" s="12"/>
      <c r="L117" s="12"/>
      <c r="M117" s="12"/>
      <c r="N117" s="12"/>
    </row>
    <row r="118" spans="6:14">
      <c r="F118" s="12"/>
      <c r="G118" s="12"/>
      <c r="I118" s="12"/>
      <c r="J118" s="12"/>
      <c r="K118" s="12"/>
      <c r="L118" s="12"/>
      <c r="M118" s="12"/>
      <c r="N118" s="12"/>
    </row>
    <row r="119" spans="6:14">
      <c r="F119" s="12"/>
      <c r="G119" s="12"/>
      <c r="I119" s="12"/>
      <c r="J119" s="12"/>
      <c r="K119" s="12"/>
      <c r="L119" s="12"/>
      <c r="M119" s="12"/>
      <c r="N119" s="12"/>
    </row>
    <row r="120" spans="6:14">
      <c r="F120" s="12"/>
      <c r="G120" s="12"/>
      <c r="I120" s="12"/>
      <c r="J120" s="12"/>
      <c r="K120" s="12"/>
      <c r="L120" s="12"/>
      <c r="M120" s="12"/>
      <c r="N120" s="12"/>
    </row>
    <row r="121" spans="6:14">
      <c r="F121" s="12"/>
      <c r="G121" s="12"/>
      <c r="I121" s="12"/>
      <c r="J121" s="12"/>
      <c r="K121" s="12"/>
      <c r="L121" s="12"/>
      <c r="M121" s="12"/>
      <c r="N121" s="12"/>
    </row>
    <row r="122" spans="6:14">
      <c r="F122" s="12"/>
      <c r="G122" s="12"/>
      <c r="I122" s="12"/>
      <c r="J122" s="12"/>
      <c r="K122" s="12"/>
      <c r="L122" s="12"/>
      <c r="M122" s="12"/>
      <c r="N122" s="12"/>
    </row>
    <row r="123" spans="6:14">
      <c r="F123" s="12"/>
      <c r="G123" s="12"/>
      <c r="I123" s="12"/>
      <c r="J123" s="12"/>
      <c r="K123" s="12"/>
      <c r="L123" s="12"/>
      <c r="M123" s="12"/>
      <c r="N123" s="12"/>
    </row>
    <row r="124" spans="6:14">
      <c r="F124" s="12"/>
      <c r="G124" s="12"/>
      <c r="I124" s="12"/>
      <c r="J124" s="12"/>
      <c r="K124" s="12"/>
      <c r="L124" s="12"/>
      <c r="M124" s="12"/>
      <c r="N124" s="12"/>
    </row>
    <row r="125" spans="6:14">
      <c r="F125" s="12"/>
      <c r="G125" s="12"/>
      <c r="I125" s="12"/>
      <c r="J125" s="12"/>
      <c r="K125" s="12"/>
      <c r="L125" s="12"/>
      <c r="M125" s="12"/>
      <c r="N125" s="12"/>
    </row>
    <row r="126" spans="6:14">
      <c r="F126" s="12"/>
      <c r="G126" s="12"/>
      <c r="I126" s="12"/>
      <c r="J126" s="12"/>
      <c r="K126" s="12"/>
      <c r="L126" s="12"/>
      <c r="M126" s="12"/>
      <c r="N126" s="12"/>
    </row>
    <row r="127" spans="6:14">
      <c r="F127" s="12"/>
      <c r="G127" s="12"/>
      <c r="I127" s="12"/>
      <c r="J127" s="12"/>
      <c r="K127" s="12"/>
      <c r="L127" s="12"/>
      <c r="M127" s="12"/>
      <c r="N127" s="12"/>
    </row>
    <row r="128" spans="6:14">
      <c r="F128" s="12"/>
      <c r="G128" s="12"/>
      <c r="I128" s="12"/>
      <c r="J128" s="12"/>
      <c r="K128" s="12"/>
      <c r="L128" s="12"/>
      <c r="M128" s="12"/>
      <c r="N128" s="12"/>
    </row>
    <row r="129" spans="6:14">
      <c r="F129" s="12"/>
      <c r="G129" s="12"/>
      <c r="I129" s="12"/>
      <c r="J129" s="12"/>
      <c r="K129" s="12"/>
      <c r="L129" s="12"/>
      <c r="M129" s="12"/>
      <c r="N129" s="12"/>
    </row>
    <row r="130" spans="6:14">
      <c r="F130" s="12"/>
      <c r="G130" s="12"/>
      <c r="I130" s="12"/>
      <c r="J130" s="12"/>
      <c r="K130" s="12"/>
      <c r="L130" s="12"/>
      <c r="M130" s="12"/>
      <c r="N130" s="12"/>
    </row>
    <row r="131" spans="6:14">
      <c r="F131" s="12"/>
      <c r="G131" s="12"/>
      <c r="I131" s="12"/>
      <c r="J131" s="12"/>
      <c r="K131" s="12"/>
      <c r="L131" s="12"/>
      <c r="M131" s="12"/>
      <c r="N131" s="12"/>
    </row>
    <row r="132" spans="6:14">
      <c r="F132" s="12"/>
      <c r="G132" s="12"/>
      <c r="I132" s="12"/>
      <c r="J132" s="12"/>
      <c r="K132" s="12"/>
      <c r="L132" s="12"/>
      <c r="M132" s="12"/>
      <c r="N132" s="12"/>
    </row>
    <row r="133" spans="6:14">
      <c r="F133" s="12"/>
      <c r="G133" s="12"/>
      <c r="I133" s="12"/>
      <c r="J133" s="12"/>
      <c r="K133" s="12"/>
      <c r="L133" s="12"/>
      <c r="M133" s="12"/>
      <c r="N133" s="12"/>
    </row>
    <row r="134" spans="6:14">
      <c r="F134" s="12"/>
      <c r="G134" s="12"/>
      <c r="I134" s="12"/>
      <c r="J134" s="12"/>
      <c r="K134" s="12"/>
      <c r="L134" s="12"/>
      <c r="M134" s="12"/>
      <c r="N134" s="12"/>
    </row>
    <row r="135" spans="6:14">
      <c r="F135" s="12"/>
      <c r="G135" s="12"/>
      <c r="I135" s="12"/>
      <c r="J135" s="12"/>
      <c r="K135" s="12"/>
      <c r="L135" s="12"/>
      <c r="M135" s="12"/>
      <c r="N135" s="12"/>
    </row>
    <row r="136" spans="6:14">
      <c r="F136" s="12"/>
      <c r="G136" s="12"/>
      <c r="I136" s="12"/>
      <c r="J136" s="12"/>
      <c r="K136" s="12"/>
      <c r="L136" s="12"/>
      <c r="M136" s="12"/>
      <c r="N136" s="12"/>
    </row>
    <row r="137" spans="6:14">
      <c r="F137" s="12"/>
      <c r="G137" s="12"/>
      <c r="I137" s="12"/>
      <c r="J137" s="12"/>
      <c r="K137" s="12"/>
      <c r="L137" s="12"/>
      <c r="M137" s="12"/>
      <c r="N137" s="12"/>
    </row>
    <row r="138" spans="6:14">
      <c r="F138" s="12"/>
      <c r="G138" s="12"/>
      <c r="I138" s="12"/>
      <c r="J138" s="12"/>
      <c r="K138" s="12"/>
      <c r="L138" s="12"/>
      <c r="M138" s="12"/>
      <c r="N138" s="12"/>
    </row>
    <row r="139" spans="6:14">
      <c r="F139" s="12"/>
      <c r="G139" s="12"/>
      <c r="I139" s="12"/>
      <c r="J139" s="12"/>
      <c r="K139" s="12"/>
      <c r="L139" s="12"/>
      <c r="M139" s="12"/>
      <c r="N139" s="12"/>
    </row>
    <row r="140" spans="6:14">
      <c r="F140" s="12"/>
      <c r="G140" s="12"/>
      <c r="I140" s="12"/>
      <c r="J140" s="12"/>
      <c r="K140" s="12"/>
      <c r="L140" s="12"/>
      <c r="M140" s="12"/>
      <c r="N140" s="12"/>
    </row>
    <row r="141" spans="6:14">
      <c r="F141" s="12"/>
      <c r="G141" s="12"/>
      <c r="I141" s="12"/>
      <c r="J141" s="12"/>
      <c r="K141" s="12"/>
      <c r="L141" s="12"/>
      <c r="M141" s="12"/>
      <c r="N141" s="12"/>
    </row>
    <row r="142" spans="6:14">
      <c r="F142" s="12"/>
      <c r="G142" s="12"/>
      <c r="I142" s="12"/>
      <c r="J142" s="12"/>
      <c r="K142" s="12"/>
      <c r="L142" s="12"/>
      <c r="M142" s="12"/>
      <c r="N142" s="12"/>
    </row>
    <row r="143" spans="6:14">
      <c r="F143" s="12"/>
      <c r="G143" s="12"/>
      <c r="I143" s="12"/>
      <c r="J143" s="12"/>
      <c r="K143" s="12"/>
      <c r="L143" s="12"/>
      <c r="M143" s="12"/>
      <c r="N143" s="12"/>
    </row>
    <row r="144" spans="6:14">
      <c r="F144" s="12"/>
      <c r="G144" s="12"/>
      <c r="I144" s="12"/>
      <c r="J144" s="12"/>
      <c r="K144" s="12"/>
      <c r="L144" s="12"/>
      <c r="M144" s="12"/>
      <c r="N144" s="12"/>
    </row>
    <row r="145" spans="6:14">
      <c r="F145" s="12"/>
      <c r="G145" s="12"/>
      <c r="I145" s="12"/>
      <c r="J145" s="12"/>
      <c r="K145" s="12"/>
      <c r="L145" s="12"/>
      <c r="M145" s="12"/>
      <c r="N145" s="12"/>
    </row>
    <row r="146" spans="6:14">
      <c r="F146" s="12"/>
      <c r="G146" s="12"/>
      <c r="I146" s="12"/>
      <c r="J146" s="12"/>
      <c r="K146" s="12"/>
      <c r="L146" s="12"/>
      <c r="M146" s="12"/>
      <c r="N146" s="12"/>
    </row>
    <row r="147" spans="6:14">
      <c r="F147" s="12"/>
      <c r="G147" s="12"/>
      <c r="I147" s="12"/>
      <c r="J147" s="12"/>
      <c r="K147" s="12"/>
      <c r="L147" s="12"/>
      <c r="M147" s="12"/>
      <c r="N147" s="12"/>
    </row>
    <row r="148" spans="6:14">
      <c r="F148" s="12"/>
      <c r="G148" s="12"/>
      <c r="I148" s="12"/>
      <c r="J148" s="12"/>
      <c r="K148" s="12"/>
      <c r="L148" s="12"/>
      <c r="M148" s="12"/>
      <c r="N148" s="12"/>
    </row>
    <row r="149" spans="6:14">
      <c r="F149" s="12"/>
      <c r="G149" s="12"/>
      <c r="I149" s="12"/>
      <c r="J149" s="12"/>
      <c r="K149" s="12"/>
      <c r="L149" s="12"/>
      <c r="M149" s="12"/>
      <c r="N149" s="12"/>
    </row>
    <row r="150" spans="6:14">
      <c r="F150" s="12"/>
      <c r="G150" s="12"/>
      <c r="I150" s="12"/>
      <c r="J150" s="12"/>
      <c r="K150" s="12"/>
      <c r="L150" s="12"/>
      <c r="M150" s="12"/>
      <c r="N150" s="12"/>
    </row>
    <row r="151" spans="6:14">
      <c r="F151" s="12"/>
      <c r="G151" s="12"/>
      <c r="I151" s="12"/>
      <c r="J151" s="12"/>
      <c r="K151" s="12"/>
      <c r="L151" s="12"/>
      <c r="M151" s="12"/>
      <c r="N151" s="12"/>
    </row>
    <row r="152" spans="6:14">
      <c r="F152" s="12"/>
      <c r="G152" s="12"/>
      <c r="I152" s="12"/>
      <c r="J152" s="12"/>
      <c r="K152" s="12"/>
      <c r="L152" s="12"/>
      <c r="M152" s="12"/>
      <c r="N152" s="12"/>
    </row>
    <row r="153" spans="6:14">
      <c r="F153" s="12"/>
      <c r="G153" s="12"/>
      <c r="I153" s="12"/>
      <c r="J153" s="12"/>
      <c r="K153" s="12"/>
      <c r="L153" s="12"/>
      <c r="M153" s="12"/>
      <c r="N153" s="12"/>
    </row>
    <row r="154" spans="6:14">
      <c r="F154" s="12"/>
      <c r="G154" s="12"/>
      <c r="I154" s="12"/>
      <c r="J154" s="12"/>
      <c r="K154" s="12"/>
      <c r="L154" s="12"/>
      <c r="M154" s="12"/>
      <c r="N154" s="12"/>
    </row>
    <row r="155" spans="6:14">
      <c r="F155" s="12"/>
      <c r="G155" s="12"/>
      <c r="I155" s="12"/>
      <c r="J155" s="12"/>
      <c r="K155" s="12"/>
      <c r="L155" s="12"/>
      <c r="M155" s="12"/>
      <c r="N155" s="12"/>
    </row>
    <row r="156" spans="6:14">
      <c r="F156" s="12"/>
      <c r="G156" s="12"/>
      <c r="I156" s="12"/>
      <c r="J156" s="12"/>
      <c r="K156" s="12"/>
      <c r="L156" s="12"/>
      <c r="M156" s="12"/>
      <c r="N156" s="12"/>
    </row>
    <row r="157" spans="6:14">
      <c r="F157" s="12"/>
      <c r="G157" s="12"/>
      <c r="I157" s="12"/>
      <c r="J157" s="12"/>
      <c r="K157" s="12"/>
      <c r="L157" s="12"/>
      <c r="M157" s="12"/>
      <c r="N157" s="12"/>
    </row>
    <row r="158" spans="6:14">
      <c r="F158" s="12"/>
      <c r="G158" s="12"/>
      <c r="I158" s="12"/>
      <c r="J158" s="12"/>
      <c r="K158" s="12"/>
      <c r="L158" s="12"/>
      <c r="M158" s="12"/>
      <c r="N158" s="12"/>
    </row>
    <row r="159" spans="6:14">
      <c r="F159" s="12"/>
      <c r="G159" s="12"/>
      <c r="I159" s="12"/>
      <c r="J159" s="12"/>
      <c r="K159" s="12"/>
      <c r="L159" s="12"/>
      <c r="M159" s="12"/>
      <c r="N159" s="12"/>
    </row>
    <row r="160" spans="6:14">
      <c r="F160" s="12"/>
      <c r="G160" s="12"/>
      <c r="I160" s="12"/>
      <c r="J160" s="12"/>
      <c r="K160" s="12"/>
      <c r="L160" s="12"/>
      <c r="M160" s="12"/>
      <c r="N160" s="12"/>
    </row>
    <row r="161" spans="6:14">
      <c r="F161" s="12"/>
      <c r="G161" s="12"/>
      <c r="I161" s="12"/>
      <c r="J161" s="12"/>
      <c r="K161" s="12"/>
      <c r="L161" s="12"/>
      <c r="M161" s="12"/>
      <c r="N161" s="12"/>
    </row>
    <row r="162" spans="6:14">
      <c r="F162" s="12"/>
      <c r="G162" s="12"/>
      <c r="I162" s="12"/>
      <c r="J162" s="12"/>
      <c r="K162" s="12"/>
      <c r="L162" s="12"/>
      <c r="M162" s="12"/>
      <c r="N162" s="12"/>
    </row>
    <row r="163" spans="6:14">
      <c r="F163" s="12"/>
      <c r="G163" s="12"/>
      <c r="I163" s="12"/>
      <c r="J163" s="12"/>
      <c r="K163" s="12"/>
      <c r="L163" s="12"/>
      <c r="M163" s="12"/>
      <c r="N163" s="12"/>
    </row>
    <row r="164" spans="6:14">
      <c r="F164" s="12"/>
      <c r="G164" s="12"/>
      <c r="I164" s="12"/>
      <c r="J164" s="12"/>
      <c r="K164" s="12"/>
      <c r="L164" s="12"/>
      <c r="M164" s="12"/>
      <c r="N164" s="12"/>
    </row>
    <row r="165" spans="6:14">
      <c r="F165" s="12"/>
      <c r="G165" s="12"/>
      <c r="I165" s="12"/>
      <c r="J165" s="12"/>
      <c r="K165" s="12"/>
      <c r="L165" s="12"/>
      <c r="M165" s="12"/>
      <c r="N165" s="12"/>
    </row>
    <row r="166" spans="6:14">
      <c r="F166" s="12"/>
      <c r="G166" s="12"/>
      <c r="I166" s="12"/>
      <c r="J166" s="12"/>
      <c r="K166" s="12"/>
      <c r="L166" s="12"/>
      <c r="M166" s="12"/>
      <c r="N166" s="12"/>
    </row>
    <row r="167" spans="6:14">
      <c r="F167" s="12"/>
      <c r="G167" s="12"/>
      <c r="I167" s="12"/>
      <c r="J167" s="12"/>
      <c r="K167" s="12"/>
      <c r="L167" s="12"/>
      <c r="M167" s="12"/>
      <c r="N167" s="12"/>
    </row>
    <row r="168" spans="6:14">
      <c r="F168" s="12"/>
      <c r="G168" s="12"/>
      <c r="I168" s="12"/>
      <c r="J168" s="12"/>
      <c r="K168" s="12"/>
      <c r="L168" s="12"/>
      <c r="M168" s="12"/>
      <c r="N168" s="12"/>
    </row>
    <row r="169" spans="6:14">
      <c r="F169" s="12"/>
      <c r="G169" s="12"/>
      <c r="I169" s="12"/>
      <c r="J169" s="12"/>
      <c r="K169" s="12"/>
      <c r="L169" s="12"/>
      <c r="M169" s="12"/>
      <c r="N169" s="12"/>
    </row>
    <row r="170" spans="6:14">
      <c r="F170" s="12"/>
      <c r="G170" s="12"/>
      <c r="I170" s="12"/>
      <c r="J170" s="12"/>
      <c r="K170" s="12"/>
      <c r="L170" s="12"/>
      <c r="M170" s="12"/>
      <c r="N170" s="12"/>
    </row>
    <row r="171" spans="6:14">
      <c r="F171" s="12"/>
      <c r="G171" s="12"/>
      <c r="I171" s="12"/>
      <c r="J171" s="12"/>
      <c r="K171" s="12"/>
      <c r="L171" s="12"/>
      <c r="M171" s="12"/>
      <c r="N171" s="12"/>
    </row>
    <row r="172" spans="6:14">
      <c r="F172" s="12"/>
      <c r="G172" s="12"/>
      <c r="I172" s="12"/>
      <c r="J172" s="12"/>
      <c r="K172" s="12"/>
      <c r="L172" s="12"/>
      <c r="M172" s="12"/>
      <c r="N172" s="12"/>
    </row>
    <row r="173" spans="6:14">
      <c r="F173" s="12"/>
      <c r="G173" s="12"/>
      <c r="I173" s="12"/>
      <c r="J173" s="12"/>
      <c r="K173" s="12"/>
      <c r="L173" s="12"/>
      <c r="M173" s="12"/>
      <c r="N173" s="12"/>
    </row>
    <row r="174" spans="6:14">
      <c r="F174" s="12"/>
      <c r="G174" s="12"/>
      <c r="I174" s="12"/>
      <c r="J174" s="12"/>
      <c r="K174" s="12"/>
      <c r="L174" s="12"/>
      <c r="M174" s="12"/>
      <c r="N174" s="12"/>
    </row>
    <row r="175" spans="6:14">
      <c r="F175" s="12"/>
      <c r="G175" s="12"/>
      <c r="I175" s="12"/>
      <c r="J175" s="12"/>
      <c r="K175" s="12"/>
      <c r="L175" s="12"/>
      <c r="M175" s="12"/>
      <c r="N175" s="12"/>
    </row>
    <row r="176" spans="6:14">
      <c r="F176" s="12"/>
      <c r="G176" s="12"/>
      <c r="I176" s="12"/>
      <c r="J176" s="12"/>
      <c r="K176" s="12"/>
      <c r="L176" s="12"/>
      <c r="M176" s="12"/>
      <c r="N176" s="12"/>
    </row>
    <row r="177" spans="6:14">
      <c r="F177" s="12"/>
      <c r="G177" s="12"/>
      <c r="I177" s="12"/>
      <c r="J177" s="12"/>
      <c r="K177" s="12"/>
      <c r="L177" s="12"/>
      <c r="M177" s="12"/>
      <c r="N177" s="12"/>
    </row>
    <row r="178" spans="6:14">
      <c r="F178" s="12"/>
      <c r="G178" s="12"/>
      <c r="I178" s="12"/>
      <c r="J178" s="12"/>
      <c r="K178" s="12"/>
      <c r="L178" s="12"/>
      <c r="M178" s="12"/>
      <c r="N178" s="12"/>
    </row>
    <row r="179" spans="6:14">
      <c r="F179" s="12"/>
      <c r="G179" s="12"/>
      <c r="I179" s="12"/>
      <c r="J179" s="12"/>
      <c r="K179" s="12"/>
      <c r="L179" s="12"/>
      <c r="M179" s="12"/>
      <c r="N179" s="12"/>
    </row>
    <row r="180" spans="6:14">
      <c r="F180" s="12"/>
      <c r="G180" s="12"/>
      <c r="I180" s="12"/>
      <c r="J180" s="12"/>
      <c r="K180" s="12"/>
      <c r="L180" s="12"/>
      <c r="M180" s="12"/>
      <c r="N180" s="12"/>
    </row>
    <row r="181" spans="6:14">
      <c r="F181" s="12"/>
      <c r="G181" s="12"/>
      <c r="I181" s="12"/>
      <c r="J181" s="12"/>
      <c r="K181" s="12"/>
      <c r="L181" s="12"/>
      <c r="M181" s="12"/>
      <c r="N181" s="12"/>
    </row>
    <row r="182" spans="6:14">
      <c r="F182" s="12"/>
      <c r="G182" s="12"/>
      <c r="I182" s="12"/>
      <c r="J182" s="12"/>
      <c r="K182" s="12"/>
      <c r="L182" s="12"/>
      <c r="M182" s="12"/>
      <c r="N182" s="12"/>
    </row>
    <row r="183" spans="6:14">
      <c r="F183" s="12"/>
      <c r="G183" s="12"/>
      <c r="I183" s="12"/>
      <c r="J183" s="12"/>
      <c r="K183" s="12"/>
      <c r="L183" s="12"/>
      <c r="M183" s="12"/>
      <c r="N183" s="12"/>
    </row>
    <row r="184" spans="6:14">
      <c r="F184" s="12"/>
      <c r="G184" s="12"/>
      <c r="I184" s="12"/>
      <c r="J184" s="12"/>
      <c r="K184" s="12"/>
      <c r="L184" s="12"/>
      <c r="M184" s="12"/>
      <c r="N184" s="12"/>
    </row>
    <row r="185" spans="6:14">
      <c r="F185" s="12"/>
      <c r="G185" s="12"/>
      <c r="I185" s="12"/>
      <c r="J185" s="12"/>
      <c r="K185" s="12"/>
      <c r="L185" s="12"/>
      <c r="M185" s="12"/>
      <c r="N185" s="12"/>
    </row>
    <row r="186" spans="6:14">
      <c r="F186" s="12"/>
      <c r="G186" s="12"/>
      <c r="I186" s="12"/>
      <c r="J186" s="12"/>
      <c r="K186" s="12"/>
      <c r="L186" s="12"/>
      <c r="M186" s="12"/>
      <c r="N186" s="12"/>
    </row>
    <row r="187" spans="6:14">
      <c r="F187" s="12"/>
      <c r="G187" s="12"/>
      <c r="I187" s="12"/>
      <c r="J187" s="12"/>
      <c r="K187" s="12"/>
      <c r="L187" s="12"/>
      <c r="M187" s="12"/>
      <c r="N187" s="12"/>
    </row>
    <row r="188" spans="6:14">
      <c r="F188" s="12"/>
      <c r="G188" s="12"/>
      <c r="I188" s="12"/>
      <c r="J188" s="12"/>
      <c r="K188" s="12"/>
      <c r="L188" s="12"/>
      <c r="M188" s="12"/>
      <c r="N188" s="12"/>
    </row>
    <row r="189" spans="6:14">
      <c r="F189" s="12"/>
      <c r="G189" s="12"/>
      <c r="I189" s="12"/>
      <c r="J189" s="12"/>
      <c r="K189" s="12"/>
      <c r="L189" s="12"/>
      <c r="M189" s="12"/>
      <c r="N189" s="12"/>
    </row>
    <row r="190" spans="6:14">
      <c r="F190" s="12"/>
      <c r="G190" s="12"/>
      <c r="I190" s="12"/>
      <c r="J190" s="12"/>
      <c r="K190" s="12"/>
      <c r="L190" s="12"/>
      <c r="M190" s="12"/>
      <c r="N190" s="12"/>
    </row>
    <row r="191" spans="6:14">
      <c r="F191" s="12"/>
      <c r="G191" s="12"/>
      <c r="I191" s="12"/>
      <c r="J191" s="12"/>
      <c r="K191" s="12"/>
      <c r="L191" s="12"/>
      <c r="M191" s="12"/>
      <c r="N191" s="12"/>
    </row>
    <row r="192" spans="6:14">
      <c r="F192" s="12"/>
      <c r="G192" s="12"/>
      <c r="I192" s="12"/>
      <c r="J192" s="12"/>
      <c r="K192" s="12"/>
      <c r="L192" s="12"/>
      <c r="M192" s="12"/>
      <c r="N192" s="12"/>
    </row>
    <row r="193" spans="6:14">
      <c r="F193" s="12"/>
      <c r="G193" s="12"/>
      <c r="I193" s="12"/>
      <c r="J193" s="12"/>
      <c r="K193" s="12"/>
      <c r="L193" s="12"/>
      <c r="M193" s="12"/>
      <c r="N193" s="12"/>
    </row>
    <row r="194" spans="6:14">
      <c r="F194" s="12"/>
      <c r="G194" s="12"/>
      <c r="I194" s="12"/>
      <c r="J194" s="12"/>
      <c r="K194" s="12"/>
      <c r="L194" s="12"/>
      <c r="M194" s="12"/>
      <c r="N194" s="12"/>
    </row>
    <row r="195" spans="6:14">
      <c r="F195" s="12"/>
      <c r="G195" s="12"/>
      <c r="I195" s="12"/>
      <c r="J195" s="12"/>
      <c r="K195" s="12"/>
      <c r="L195" s="12"/>
      <c r="M195" s="12"/>
      <c r="N195" s="12"/>
    </row>
    <row r="196" spans="6:14">
      <c r="F196" s="12"/>
      <c r="G196" s="12"/>
      <c r="I196" s="12"/>
      <c r="J196" s="12"/>
      <c r="K196" s="12"/>
      <c r="L196" s="12"/>
      <c r="M196" s="12"/>
      <c r="N196" s="12"/>
    </row>
    <row r="197" spans="6:14">
      <c r="F197" s="12"/>
      <c r="G197" s="12"/>
      <c r="I197" s="12"/>
      <c r="J197" s="12"/>
      <c r="K197" s="12"/>
      <c r="L197" s="12"/>
      <c r="M197" s="12"/>
      <c r="N197" s="12"/>
    </row>
    <row r="198" spans="6:14">
      <c r="F198" s="12"/>
      <c r="G198" s="12"/>
      <c r="I198" s="12"/>
      <c r="J198" s="12"/>
      <c r="K198" s="12"/>
      <c r="L198" s="12"/>
      <c r="M198" s="12"/>
      <c r="N198" s="12"/>
    </row>
    <row r="199" spans="6:14">
      <c r="F199" s="12"/>
      <c r="G199" s="12"/>
      <c r="I199" s="12"/>
      <c r="J199" s="12"/>
      <c r="K199" s="12"/>
      <c r="L199" s="12"/>
      <c r="M199" s="12"/>
      <c r="N199" s="12"/>
    </row>
    <row r="200" spans="6:14">
      <c r="F200" s="12"/>
      <c r="G200" s="12"/>
      <c r="I200" s="12"/>
      <c r="J200" s="12"/>
      <c r="K200" s="12"/>
      <c r="L200" s="12"/>
      <c r="M200" s="12"/>
      <c r="N200" s="12"/>
    </row>
    <row r="201" spans="6:14">
      <c r="F201" s="12"/>
      <c r="G201" s="12"/>
      <c r="I201" s="12"/>
      <c r="J201" s="12"/>
      <c r="K201" s="12"/>
      <c r="L201" s="12"/>
      <c r="M201" s="12"/>
      <c r="N201" s="12"/>
    </row>
    <row r="202" spans="6:14">
      <c r="F202" s="12"/>
      <c r="G202" s="12"/>
      <c r="I202" s="12"/>
      <c r="J202" s="12"/>
      <c r="K202" s="12"/>
      <c r="L202" s="12"/>
      <c r="M202" s="12"/>
      <c r="N202" s="12"/>
    </row>
    <row r="203" spans="6:14">
      <c r="F203" s="12"/>
      <c r="G203" s="12"/>
      <c r="I203" s="12"/>
      <c r="J203" s="12"/>
      <c r="K203" s="12"/>
      <c r="L203" s="12"/>
      <c r="M203" s="12"/>
      <c r="N203" s="12"/>
    </row>
    <row r="204" spans="6:14">
      <c r="F204" s="12"/>
      <c r="G204" s="12"/>
      <c r="I204" s="12"/>
      <c r="J204" s="12"/>
      <c r="K204" s="12"/>
      <c r="L204" s="12"/>
      <c r="M204" s="12"/>
      <c r="N204" s="12"/>
    </row>
    <row r="205" spans="6:14">
      <c r="F205" s="12"/>
      <c r="G205" s="12"/>
      <c r="I205" s="12"/>
      <c r="J205" s="12"/>
      <c r="K205" s="12"/>
      <c r="L205" s="12"/>
      <c r="M205" s="12"/>
      <c r="N205" s="12"/>
    </row>
    <row r="206" spans="6:14">
      <c r="F206" s="12"/>
      <c r="G206" s="12"/>
      <c r="I206" s="12"/>
      <c r="J206" s="12"/>
      <c r="K206" s="12"/>
      <c r="L206" s="12"/>
      <c r="M206" s="12"/>
      <c r="N206" s="12"/>
    </row>
    <row r="207" spans="6:14">
      <c r="F207" s="12"/>
      <c r="G207" s="12"/>
      <c r="I207" s="12"/>
      <c r="J207" s="12"/>
      <c r="K207" s="12"/>
      <c r="L207" s="12"/>
      <c r="M207" s="12"/>
      <c r="N207" s="12"/>
    </row>
    <row r="208" spans="6:14">
      <c r="F208" s="12"/>
      <c r="G208" s="12"/>
      <c r="I208" s="12"/>
      <c r="J208" s="12"/>
      <c r="K208" s="12"/>
      <c r="L208" s="12"/>
      <c r="M208" s="12"/>
      <c r="N208" s="12"/>
    </row>
    <row r="209" spans="6:14">
      <c r="F209" s="12"/>
      <c r="G209" s="12"/>
      <c r="I209" s="12"/>
      <c r="J209" s="12"/>
      <c r="K209" s="12"/>
      <c r="L209" s="12"/>
      <c r="M209" s="12"/>
      <c r="N209" s="12"/>
    </row>
    <row r="210" spans="6:14">
      <c r="F210" s="12"/>
      <c r="G210" s="12"/>
      <c r="I210" s="12"/>
      <c r="J210" s="12"/>
      <c r="K210" s="12"/>
      <c r="L210" s="12"/>
      <c r="M210" s="12"/>
      <c r="N210" s="12"/>
    </row>
    <row r="211" spans="6:14">
      <c r="F211" s="12"/>
      <c r="G211" s="12"/>
      <c r="I211" s="12"/>
      <c r="J211" s="12"/>
      <c r="K211" s="12"/>
      <c r="L211" s="12"/>
      <c r="M211" s="12"/>
      <c r="N211" s="12"/>
    </row>
    <row r="212" spans="6:14">
      <c r="F212" s="12"/>
      <c r="G212" s="12"/>
      <c r="I212" s="12"/>
      <c r="J212" s="12"/>
      <c r="K212" s="12"/>
      <c r="L212" s="12"/>
      <c r="M212" s="12"/>
      <c r="N212" s="12"/>
    </row>
    <row r="213" spans="6:14">
      <c r="F213" s="12"/>
      <c r="G213" s="12"/>
      <c r="I213" s="12"/>
      <c r="J213" s="12"/>
      <c r="K213" s="12"/>
      <c r="L213" s="12"/>
      <c r="M213" s="12"/>
      <c r="N213" s="12"/>
    </row>
    <row r="214" spans="6:14">
      <c r="F214" s="12"/>
      <c r="G214" s="12"/>
      <c r="I214" s="12"/>
      <c r="J214" s="12"/>
      <c r="K214" s="12"/>
      <c r="L214" s="12"/>
      <c r="M214" s="12"/>
      <c r="N214" s="12"/>
    </row>
    <row r="215" spans="6:14">
      <c r="F215" s="12"/>
      <c r="G215" s="12"/>
      <c r="I215" s="12"/>
      <c r="J215" s="12"/>
      <c r="K215" s="12"/>
      <c r="L215" s="12"/>
      <c r="M215" s="12"/>
      <c r="N215" s="12"/>
    </row>
    <row r="216" spans="6:14">
      <c r="F216" s="12"/>
      <c r="G216" s="12"/>
      <c r="I216" s="12"/>
      <c r="J216" s="12"/>
      <c r="K216" s="12"/>
      <c r="L216" s="12"/>
      <c r="M216" s="12"/>
      <c r="N216" s="12"/>
    </row>
    <row r="217" spans="6:14">
      <c r="F217" s="12"/>
      <c r="G217" s="12"/>
      <c r="I217" s="12"/>
      <c r="J217" s="12"/>
      <c r="K217" s="12"/>
      <c r="L217" s="12"/>
      <c r="M217" s="12"/>
      <c r="N217" s="12"/>
    </row>
    <row r="218" spans="6:14">
      <c r="F218" s="12"/>
      <c r="G218" s="12"/>
      <c r="I218" s="12"/>
      <c r="J218" s="12"/>
      <c r="K218" s="12"/>
      <c r="L218" s="12"/>
      <c r="M218" s="12"/>
      <c r="N218" s="12"/>
    </row>
    <row r="219" spans="6:14">
      <c r="F219" s="12"/>
      <c r="G219" s="12"/>
      <c r="I219" s="12"/>
      <c r="J219" s="12"/>
      <c r="K219" s="12"/>
      <c r="L219" s="12"/>
      <c r="M219" s="12"/>
      <c r="N219" s="12"/>
    </row>
    <row r="220" spans="6:14">
      <c r="F220" s="12"/>
      <c r="G220" s="12"/>
      <c r="I220" s="12"/>
      <c r="J220" s="12"/>
      <c r="K220" s="12"/>
      <c r="L220" s="12"/>
      <c r="M220" s="12"/>
      <c r="N220" s="12"/>
    </row>
    <row r="221" spans="6:14">
      <c r="F221" s="12"/>
      <c r="G221" s="12"/>
      <c r="I221" s="12"/>
      <c r="J221" s="12"/>
      <c r="K221" s="12"/>
      <c r="L221" s="12"/>
      <c r="M221" s="12"/>
      <c r="N221" s="12"/>
    </row>
    <row r="222" spans="6:14">
      <c r="F222" s="12"/>
      <c r="G222" s="12"/>
      <c r="I222" s="12"/>
      <c r="J222" s="12"/>
      <c r="K222" s="12"/>
      <c r="L222" s="12"/>
      <c r="M222" s="12"/>
      <c r="N222" s="12"/>
    </row>
    <row r="223" spans="6:14">
      <c r="F223" s="12"/>
      <c r="G223" s="12"/>
      <c r="I223" s="12"/>
      <c r="J223" s="12"/>
      <c r="K223" s="12"/>
      <c r="L223" s="12"/>
      <c r="M223" s="12"/>
      <c r="N223" s="12"/>
    </row>
    <row r="224" spans="6:14">
      <c r="F224" s="12"/>
      <c r="G224" s="12"/>
      <c r="I224" s="12"/>
      <c r="J224" s="12"/>
      <c r="K224" s="12"/>
      <c r="L224" s="12"/>
      <c r="M224" s="12"/>
      <c r="N224" s="12"/>
    </row>
    <row r="225" spans="6:14">
      <c r="F225" s="12"/>
      <c r="G225" s="12"/>
      <c r="I225" s="12"/>
      <c r="J225" s="12"/>
      <c r="K225" s="12"/>
      <c r="L225" s="12"/>
      <c r="M225" s="12"/>
      <c r="N225" s="12"/>
    </row>
    <row r="226" spans="6:14">
      <c r="F226" s="12"/>
      <c r="G226" s="12"/>
      <c r="I226" s="12"/>
      <c r="J226" s="12"/>
      <c r="K226" s="12"/>
      <c r="L226" s="12"/>
      <c r="M226" s="12"/>
      <c r="N226" s="12"/>
    </row>
    <row r="227" spans="6:14">
      <c r="F227" s="12"/>
      <c r="G227" s="12"/>
      <c r="I227" s="12"/>
      <c r="J227" s="12"/>
      <c r="K227" s="12"/>
      <c r="L227" s="12"/>
      <c r="M227" s="12"/>
      <c r="N227" s="12"/>
    </row>
    <row r="228" spans="6:14">
      <c r="F228" s="12"/>
      <c r="G228" s="12"/>
      <c r="I228" s="12"/>
      <c r="J228" s="12"/>
      <c r="K228" s="12"/>
      <c r="L228" s="12"/>
      <c r="M228" s="12"/>
      <c r="N228" s="12"/>
    </row>
    <row r="229" spans="6:14">
      <c r="F229" s="12"/>
      <c r="G229" s="12"/>
      <c r="I229" s="12"/>
      <c r="J229" s="12"/>
      <c r="K229" s="12"/>
      <c r="L229" s="12"/>
      <c r="M229" s="12"/>
      <c r="N229" s="12"/>
    </row>
    <row r="230" spans="6:14">
      <c r="F230" s="12"/>
      <c r="G230" s="12"/>
      <c r="I230" s="12"/>
      <c r="J230" s="12"/>
      <c r="K230" s="12"/>
      <c r="L230" s="12"/>
      <c r="M230" s="12"/>
      <c r="N230" s="12"/>
    </row>
    <row r="231" spans="6:14">
      <c r="F231" s="12"/>
      <c r="G231" s="12"/>
      <c r="I231" s="12"/>
      <c r="J231" s="12"/>
      <c r="K231" s="12"/>
      <c r="L231" s="12"/>
      <c r="M231" s="12"/>
      <c r="N231" s="12"/>
    </row>
    <row r="232" spans="6:14">
      <c r="F232" s="12"/>
      <c r="G232" s="12"/>
      <c r="I232" s="12"/>
      <c r="J232" s="12"/>
      <c r="K232" s="12"/>
      <c r="L232" s="12"/>
      <c r="M232" s="12"/>
      <c r="N232" s="12"/>
    </row>
    <row r="233" spans="6:14">
      <c r="F233" s="12"/>
      <c r="G233" s="12"/>
      <c r="I233" s="12"/>
      <c r="J233" s="12"/>
      <c r="K233" s="12"/>
      <c r="L233" s="12"/>
      <c r="M233" s="12"/>
      <c r="N233" s="12"/>
    </row>
    <row r="234" spans="6:14">
      <c r="F234" s="12"/>
      <c r="G234" s="12"/>
      <c r="I234" s="12"/>
      <c r="J234" s="12"/>
      <c r="K234" s="12"/>
      <c r="L234" s="12"/>
      <c r="M234" s="12"/>
      <c r="N234" s="12"/>
    </row>
    <row r="235" spans="6:14">
      <c r="F235" s="12"/>
      <c r="G235" s="12"/>
      <c r="I235" s="12"/>
      <c r="J235" s="12"/>
      <c r="K235" s="12"/>
      <c r="L235" s="12"/>
      <c r="M235" s="12"/>
      <c r="N235" s="12"/>
    </row>
    <row r="236" spans="6:14">
      <c r="F236" s="12"/>
      <c r="G236" s="12"/>
      <c r="I236" s="12"/>
      <c r="J236" s="12"/>
      <c r="K236" s="12"/>
      <c r="L236" s="12"/>
      <c r="M236" s="12"/>
      <c r="N236" s="12"/>
    </row>
    <row r="237" spans="6:14">
      <c r="F237" s="12"/>
      <c r="G237" s="12"/>
      <c r="I237" s="12"/>
      <c r="J237" s="12"/>
      <c r="K237" s="12"/>
      <c r="L237" s="12"/>
      <c r="M237" s="12"/>
      <c r="N237" s="12"/>
    </row>
    <row r="238" spans="6:14">
      <c r="F238" s="12"/>
      <c r="G238" s="12"/>
      <c r="I238" s="12"/>
      <c r="J238" s="12"/>
      <c r="K238" s="12"/>
      <c r="L238" s="12"/>
      <c r="M238" s="12"/>
      <c r="N238" s="12"/>
    </row>
    <row r="239" spans="6:14">
      <c r="F239" s="12"/>
      <c r="G239" s="12"/>
      <c r="I239" s="12"/>
      <c r="J239" s="12"/>
      <c r="K239" s="12"/>
      <c r="L239" s="12"/>
      <c r="M239" s="12"/>
      <c r="N239" s="12"/>
    </row>
    <row r="240" spans="6:14">
      <c r="F240" s="12"/>
      <c r="G240" s="12"/>
      <c r="I240" s="12"/>
      <c r="J240" s="12"/>
      <c r="K240" s="12"/>
      <c r="L240" s="12"/>
      <c r="M240" s="12"/>
      <c r="N240" s="12"/>
    </row>
    <row r="241" spans="6:14">
      <c r="F241" s="12"/>
      <c r="G241" s="12"/>
      <c r="I241" s="12"/>
      <c r="J241" s="12"/>
      <c r="K241" s="12"/>
      <c r="L241" s="12"/>
      <c r="M241" s="12"/>
      <c r="N241" s="12"/>
    </row>
    <row r="242" spans="6:14">
      <c r="F242" s="12"/>
      <c r="G242" s="12"/>
      <c r="I242" s="12"/>
      <c r="J242" s="12"/>
      <c r="K242" s="12"/>
      <c r="L242" s="12"/>
      <c r="M242" s="12"/>
      <c r="N242" s="12"/>
    </row>
    <row r="243" spans="6:14">
      <c r="F243" s="12"/>
      <c r="G243" s="12"/>
      <c r="I243" s="12"/>
      <c r="J243" s="12"/>
      <c r="K243" s="12"/>
      <c r="L243" s="12"/>
      <c r="M243" s="12"/>
      <c r="N243" s="12"/>
    </row>
    <row r="244" spans="6:14">
      <c r="F244" s="12"/>
      <c r="G244" s="12"/>
      <c r="I244" s="12"/>
      <c r="J244" s="12"/>
      <c r="K244" s="12"/>
      <c r="L244" s="12"/>
      <c r="M244" s="12"/>
      <c r="N244" s="12"/>
    </row>
    <row r="245" spans="6:14">
      <c r="F245" s="12"/>
      <c r="G245" s="12"/>
      <c r="I245" s="12"/>
      <c r="J245" s="12"/>
      <c r="K245" s="12"/>
      <c r="L245" s="12"/>
      <c r="M245" s="12"/>
      <c r="N245" s="12"/>
    </row>
    <row r="246" spans="6:14">
      <c r="F246" s="12"/>
      <c r="G246" s="12"/>
      <c r="I246" s="12"/>
      <c r="J246" s="12"/>
      <c r="K246" s="12"/>
      <c r="L246" s="12"/>
      <c r="M246" s="12"/>
      <c r="N246" s="12"/>
    </row>
    <row r="247" spans="6:14">
      <c r="F247" s="12"/>
      <c r="G247" s="12"/>
      <c r="I247" s="12"/>
      <c r="J247" s="12"/>
      <c r="K247" s="12"/>
      <c r="L247" s="12"/>
      <c r="M247" s="12"/>
      <c r="N247" s="12"/>
    </row>
    <row r="248" spans="6:14">
      <c r="F248" s="12"/>
      <c r="G248" s="12"/>
      <c r="I248" s="12"/>
      <c r="J248" s="12"/>
      <c r="K248" s="12"/>
      <c r="L248" s="12"/>
      <c r="M248" s="12"/>
      <c r="N248" s="12"/>
    </row>
    <row r="249" spans="6:14">
      <c r="F249" s="12"/>
      <c r="G249" s="12"/>
      <c r="I249" s="12"/>
      <c r="J249" s="12"/>
      <c r="K249" s="12"/>
      <c r="L249" s="12"/>
      <c r="M249" s="12"/>
      <c r="N249" s="12"/>
    </row>
    <row r="250" spans="6:14">
      <c r="F250" s="12"/>
      <c r="G250" s="12"/>
      <c r="I250" s="12"/>
      <c r="J250" s="12"/>
      <c r="K250" s="12"/>
      <c r="L250" s="12"/>
      <c r="M250" s="12"/>
      <c r="N250" s="12"/>
    </row>
    <row r="251" spans="6:14">
      <c r="F251" s="12"/>
      <c r="G251" s="12"/>
      <c r="I251" s="12"/>
      <c r="J251" s="12"/>
      <c r="K251" s="12"/>
      <c r="L251" s="12"/>
      <c r="M251" s="12"/>
      <c r="N251" s="12"/>
    </row>
    <row r="252" spans="6:14">
      <c r="F252" s="12"/>
      <c r="G252" s="12"/>
      <c r="I252" s="12"/>
      <c r="J252" s="12"/>
      <c r="K252" s="12"/>
      <c r="L252" s="12"/>
      <c r="M252" s="12"/>
      <c r="N252" s="12"/>
    </row>
    <row r="253" spans="6:14">
      <c r="F253" s="12"/>
      <c r="G253" s="12"/>
      <c r="I253" s="12"/>
      <c r="J253" s="12"/>
      <c r="K253" s="12"/>
      <c r="L253" s="12"/>
      <c r="M253" s="12"/>
      <c r="N253" s="12"/>
    </row>
    <row r="254" spans="6:14">
      <c r="F254" s="12"/>
      <c r="G254" s="12"/>
      <c r="I254" s="12"/>
      <c r="J254" s="12"/>
      <c r="K254" s="12"/>
      <c r="L254" s="12"/>
      <c r="M254" s="12"/>
      <c r="N254" s="12"/>
    </row>
    <row r="255" spans="6:14">
      <c r="N255" s="12"/>
    </row>
    <row r="256" spans="6:14">
      <c r="N256" s="12"/>
    </row>
    <row r="257" spans="14:14">
      <c r="N257" s="12"/>
    </row>
    <row r="258" spans="14:14">
      <c r="N258" s="12"/>
    </row>
    <row r="259" spans="14:14">
      <c r="N259" s="12"/>
    </row>
    <row r="260" spans="14:14">
      <c r="N260" s="12"/>
    </row>
    <row r="261" spans="14:14">
      <c r="N261" s="12"/>
    </row>
    <row r="262" spans="14:14">
      <c r="N262" s="12"/>
    </row>
    <row r="263" spans="14:14">
      <c r="N263" s="12"/>
    </row>
    <row r="264" spans="14:14">
      <c r="N264" s="12"/>
    </row>
    <row r="265" spans="14:14">
      <c r="N265" s="12"/>
    </row>
    <row r="266" spans="14:14">
      <c r="N266" s="12"/>
    </row>
  </sheetData>
  <mergeCells count="15">
    <mergeCell ref="N6:N7"/>
    <mergeCell ref="A50:N54"/>
    <mergeCell ref="A2:N2"/>
    <mergeCell ref="J5:N5"/>
    <mergeCell ref="A5:A8"/>
    <mergeCell ref="B5:I5"/>
    <mergeCell ref="B6:E6"/>
    <mergeCell ref="F6:F7"/>
    <mergeCell ref="G6:G7"/>
    <mergeCell ref="H6:H7"/>
    <mergeCell ref="I6:I7"/>
    <mergeCell ref="J6:J7"/>
    <mergeCell ref="K6:K7"/>
    <mergeCell ref="L6:L7"/>
    <mergeCell ref="M6:M7"/>
  </mergeCells>
  <hyperlinks>
    <hyperlink ref="A1" location="Index!A1" display="Back to index" xr:uid="{00000000-0004-0000-10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8BD6-68F1-4683-B72F-A63133F2386A}">
  <dimension ref="A1:AI259"/>
  <sheetViews>
    <sheetView topLeftCell="A3" zoomScale="85" zoomScaleNormal="85" workbookViewId="0">
      <selection activeCell="T8" sqref="T8:U8"/>
    </sheetView>
  </sheetViews>
  <sheetFormatPr defaultRowHeight="14.4"/>
  <sheetData>
    <row r="1" spans="1:35" ht="16.2" thickBot="1">
      <c r="A1" s="1" t="s">
        <v>0</v>
      </c>
    </row>
    <row r="2" spans="1:35" ht="18" thickTop="1">
      <c r="A2" s="585" t="s">
        <v>43</v>
      </c>
      <c r="B2" s="586"/>
      <c r="C2" s="586"/>
      <c r="D2" s="586"/>
      <c r="E2" s="586"/>
      <c r="F2" s="586"/>
      <c r="G2" s="586"/>
      <c r="H2" s="586"/>
      <c r="I2" s="586"/>
      <c r="J2" s="586"/>
      <c r="K2" s="586"/>
      <c r="L2" s="586"/>
      <c r="M2" s="586"/>
      <c r="N2" s="586"/>
      <c r="O2" s="586"/>
      <c r="P2" s="586"/>
      <c r="Q2" s="586"/>
      <c r="R2" s="586"/>
      <c r="S2" s="586"/>
      <c r="T2" s="586"/>
      <c r="U2" s="586"/>
      <c r="V2" s="586"/>
      <c r="W2" s="586"/>
      <c r="X2" s="586"/>
      <c r="Y2" s="586"/>
      <c r="Z2" s="586"/>
      <c r="AA2" s="586"/>
      <c r="AB2" s="147"/>
      <c r="AC2" s="147"/>
      <c r="AD2" s="148"/>
    </row>
    <row r="3" spans="1:35">
      <c r="A3" s="3"/>
      <c r="D3" s="135"/>
      <c r="E3" s="135"/>
      <c r="F3" s="135"/>
      <c r="G3" s="135"/>
      <c r="H3" s="135"/>
      <c r="I3" s="135"/>
      <c r="J3" s="135"/>
      <c r="K3" s="135"/>
      <c r="L3" s="39"/>
      <c r="M3" s="117"/>
      <c r="N3" s="117"/>
      <c r="O3" s="117"/>
      <c r="P3" s="117"/>
      <c r="Q3" s="117"/>
      <c r="R3" s="117"/>
      <c r="S3" s="39"/>
      <c r="T3" s="135"/>
      <c r="U3" s="135"/>
      <c r="V3" s="194"/>
      <c r="W3" s="135"/>
      <c r="X3" s="135"/>
      <c r="Y3" s="39"/>
      <c r="Z3" s="39"/>
      <c r="AA3" s="39"/>
      <c r="AB3" s="108"/>
      <c r="AC3" s="108"/>
      <c r="AD3" s="149"/>
    </row>
    <row r="4" spans="1:35">
      <c r="A4" s="3"/>
      <c r="B4" s="136">
        <v>1</v>
      </c>
      <c r="C4" s="136">
        <v>2</v>
      </c>
      <c r="D4" s="136">
        <v>3</v>
      </c>
      <c r="E4" s="136">
        <v>4</v>
      </c>
      <c r="F4" s="136">
        <v>5</v>
      </c>
      <c r="G4" s="136">
        <v>6</v>
      </c>
      <c r="H4" s="136">
        <v>7</v>
      </c>
      <c r="I4" s="136">
        <v>8</v>
      </c>
      <c r="J4" s="136">
        <v>9</v>
      </c>
      <c r="K4" s="136">
        <v>10</v>
      </c>
      <c r="L4" s="136">
        <v>11</v>
      </c>
      <c r="M4" s="136">
        <v>12</v>
      </c>
      <c r="N4" s="136">
        <v>13</v>
      </c>
      <c r="O4" s="136">
        <v>14</v>
      </c>
      <c r="P4" s="136">
        <v>15</v>
      </c>
      <c r="Q4" s="136">
        <v>16</v>
      </c>
      <c r="R4" s="136">
        <v>17</v>
      </c>
      <c r="S4" s="136">
        <v>18</v>
      </c>
      <c r="T4" s="136">
        <v>19</v>
      </c>
      <c r="U4" s="136">
        <v>20</v>
      </c>
      <c r="V4" s="136">
        <v>21</v>
      </c>
      <c r="W4" s="136">
        <v>22</v>
      </c>
      <c r="X4" s="136">
        <v>23</v>
      </c>
      <c r="Y4" s="136">
        <v>24</v>
      </c>
      <c r="Z4" s="136">
        <v>25</v>
      </c>
      <c r="AA4" s="136">
        <v>26</v>
      </c>
      <c r="AB4" s="136">
        <v>27</v>
      </c>
      <c r="AC4" s="136">
        <v>28</v>
      </c>
      <c r="AD4" s="137">
        <v>29</v>
      </c>
    </row>
    <row r="5" spans="1:35">
      <c r="A5" s="667"/>
      <c r="B5" s="634" t="s">
        <v>44</v>
      </c>
      <c r="C5" s="635"/>
      <c r="D5" s="635"/>
      <c r="E5" s="635"/>
      <c r="F5" s="635"/>
      <c r="G5" s="635"/>
      <c r="H5" s="635"/>
      <c r="I5" s="635"/>
      <c r="J5" s="635"/>
      <c r="K5" s="635"/>
      <c r="L5" s="635"/>
      <c r="M5" s="635"/>
      <c r="N5" s="635"/>
      <c r="O5" s="635"/>
      <c r="P5" s="635"/>
      <c r="Q5" s="635"/>
      <c r="R5" s="635"/>
      <c r="S5" s="635"/>
      <c r="T5" s="635"/>
      <c r="U5" s="635"/>
      <c r="V5" s="635"/>
      <c r="W5" s="635"/>
      <c r="X5" s="635"/>
      <c r="Y5" s="635"/>
      <c r="Z5" s="635"/>
      <c r="AA5" s="635"/>
      <c r="AB5" s="635"/>
      <c r="AC5" s="635"/>
      <c r="AD5" s="636"/>
    </row>
    <row r="6" spans="1:35" ht="15" thickBot="1">
      <c r="A6" s="667"/>
      <c r="B6" s="637"/>
      <c r="C6" s="638"/>
      <c r="D6" s="638"/>
      <c r="E6" s="638"/>
      <c r="F6" s="638"/>
      <c r="G6" s="638"/>
      <c r="H6" s="638"/>
      <c r="I6" s="638"/>
      <c r="J6" s="638"/>
      <c r="K6" s="638"/>
      <c r="L6" s="638"/>
      <c r="M6" s="638"/>
      <c r="N6" s="638"/>
      <c r="O6" s="638"/>
      <c r="P6" s="638"/>
      <c r="Q6" s="638"/>
      <c r="R6" s="638"/>
      <c r="S6" s="638"/>
      <c r="T6" s="638"/>
      <c r="U6" s="638"/>
      <c r="V6" s="638"/>
      <c r="W6" s="638"/>
      <c r="X6" s="638"/>
      <c r="Y6" s="638"/>
      <c r="Z6" s="638"/>
      <c r="AA6" s="638"/>
      <c r="AB6" s="638"/>
      <c r="AC6" s="638"/>
      <c r="AD6" s="639"/>
    </row>
    <row r="7" spans="1:35" ht="39.6">
      <c r="A7" s="667"/>
      <c r="B7" s="127" t="s">
        <v>45</v>
      </c>
      <c r="C7" s="645" t="s">
        <v>46</v>
      </c>
      <c r="D7" s="646"/>
      <c r="E7" s="646"/>
      <c r="F7" s="646"/>
      <c r="G7" s="646"/>
      <c r="H7" s="646"/>
      <c r="I7" s="646"/>
      <c r="J7" s="646"/>
      <c r="K7" s="647"/>
      <c r="L7" s="648" t="s">
        <v>47</v>
      </c>
      <c r="M7" s="649"/>
      <c r="N7" s="649"/>
      <c r="O7" s="649"/>
      <c r="P7" s="649"/>
      <c r="Q7" s="649"/>
      <c r="R7" s="649"/>
      <c r="S7" s="648" t="s">
        <v>48</v>
      </c>
      <c r="T7" s="649"/>
      <c r="U7" s="649"/>
      <c r="V7" s="649"/>
      <c r="W7" s="649"/>
      <c r="X7" s="649"/>
      <c r="Y7" s="652" t="s">
        <v>49</v>
      </c>
      <c r="Z7" s="653"/>
      <c r="AA7" s="654"/>
      <c r="AB7" s="648" t="s">
        <v>50</v>
      </c>
      <c r="AC7" s="656" t="s">
        <v>51</v>
      </c>
      <c r="AD7" s="633" t="s">
        <v>49</v>
      </c>
      <c r="AE7" s="642" t="s">
        <v>52</v>
      </c>
      <c r="AF7" s="643"/>
      <c r="AG7" s="643"/>
    </row>
    <row r="8" spans="1:35">
      <c r="A8" s="667"/>
      <c r="B8" s="665" t="s">
        <v>53</v>
      </c>
      <c r="C8" s="630" t="s">
        <v>54</v>
      </c>
      <c r="D8" s="663" t="s">
        <v>55</v>
      </c>
      <c r="E8" s="658"/>
      <c r="F8" s="657" t="s">
        <v>56</v>
      </c>
      <c r="G8" s="658"/>
      <c r="H8" s="659"/>
      <c r="I8" s="660" t="s">
        <v>57</v>
      </c>
      <c r="J8" s="660" t="s">
        <v>58</v>
      </c>
      <c r="K8" s="644" t="s">
        <v>59</v>
      </c>
      <c r="L8" s="664" t="s">
        <v>54</v>
      </c>
      <c r="M8" s="650" t="s">
        <v>60</v>
      </c>
      <c r="N8" s="661"/>
      <c r="O8" s="661"/>
      <c r="P8" s="662" t="s">
        <v>56</v>
      </c>
      <c r="Q8" s="661"/>
      <c r="R8" s="661"/>
      <c r="S8" s="664" t="s">
        <v>54</v>
      </c>
      <c r="T8" s="650" t="s">
        <v>61</v>
      </c>
      <c r="U8" s="661"/>
      <c r="V8" s="662" t="s">
        <v>56</v>
      </c>
      <c r="W8" s="661"/>
      <c r="X8" s="661"/>
      <c r="Y8" s="664" t="s">
        <v>54</v>
      </c>
      <c r="Z8" s="650" t="s">
        <v>56</v>
      </c>
      <c r="AA8" s="651"/>
      <c r="AB8" s="655"/>
      <c r="AC8" s="656"/>
      <c r="AD8" s="633"/>
      <c r="AE8" s="640" t="s">
        <v>62</v>
      </c>
      <c r="AF8" s="641" t="s">
        <v>63</v>
      </c>
      <c r="AG8" s="641" t="s">
        <v>64</v>
      </c>
    </row>
    <row r="9" spans="1:35" ht="66">
      <c r="A9" s="667"/>
      <c r="B9" s="666"/>
      <c r="C9" s="630"/>
      <c r="D9" s="150" t="s">
        <v>65</v>
      </c>
      <c r="E9" s="151" t="s">
        <v>66</v>
      </c>
      <c r="F9" s="141" t="s">
        <v>67</v>
      </c>
      <c r="G9" s="73" t="s">
        <v>68</v>
      </c>
      <c r="H9" s="144" t="s">
        <v>69</v>
      </c>
      <c r="I9" s="660"/>
      <c r="J9" s="660"/>
      <c r="K9" s="644"/>
      <c r="L9" s="664"/>
      <c r="M9" s="150" t="s">
        <v>65</v>
      </c>
      <c r="N9" s="118" t="s">
        <v>70</v>
      </c>
      <c r="O9" s="118" t="s">
        <v>71</v>
      </c>
      <c r="P9" s="141" t="s">
        <v>67</v>
      </c>
      <c r="Q9" s="73" t="s">
        <v>68</v>
      </c>
      <c r="R9" s="73" t="s">
        <v>69</v>
      </c>
      <c r="S9" s="664"/>
      <c r="T9" s="150" t="s">
        <v>65</v>
      </c>
      <c r="U9" s="152" t="s">
        <v>66</v>
      </c>
      <c r="V9" s="195" t="s">
        <v>67</v>
      </c>
      <c r="W9" s="73" t="s">
        <v>68</v>
      </c>
      <c r="X9" s="73" t="s">
        <v>69</v>
      </c>
      <c r="Y9" s="664"/>
      <c r="Z9" s="185" t="s">
        <v>67</v>
      </c>
      <c r="AA9" s="93" t="s">
        <v>68</v>
      </c>
      <c r="AB9" s="655"/>
      <c r="AC9" s="656"/>
      <c r="AD9" s="633"/>
      <c r="AE9" s="640"/>
      <c r="AF9" s="641"/>
      <c r="AG9" s="641"/>
      <c r="AH9" s="183"/>
      <c r="AI9" s="183"/>
    </row>
    <row r="10" spans="1:35" ht="15.6">
      <c r="A10" s="667"/>
      <c r="B10" s="129" t="s">
        <v>72</v>
      </c>
      <c r="C10" s="130" t="s">
        <v>73</v>
      </c>
      <c r="D10" s="153"/>
      <c r="E10" s="139"/>
      <c r="F10" s="138"/>
      <c r="G10" s="131"/>
      <c r="H10" s="139"/>
      <c r="I10" s="131"/>
      <c r="J10" s="131"/>
      <c r="K10" s="131"/>
      <c r="L10" s="154" t="s">
        <v>74</v>
      </c>
      <c r="M10" s="94" t="s">
        <v>75</v>
      </c>
      <c r="N10" s="70" t="s">
        <v>76</v>
      </c>
      <c r="O10" s="70"/>
      <c r="P10" s="69"/>
      <c r="Q10" s="70"/>
      <c r="R10" s="70"/>
      <c r="S10" s="154" t="s">
        <v>77</v>
      </c>
      <c r="T10" s="155"/>
      <c r="U10" s="156"/>
      <c r="V10" s="196"/>
      <c r="W10" s="156"/>
      <c r="X10" s="156"/>
      <c r="Y10" s="154" t="s">
        <v>78</v>
      </c>
      <c r="Z10" s="186"/>
      <c r="AA10" s="187"/>
      <c r="AB10" s="142"/>
      <c r="AC10" s="108"/>
      <c r="AD10" s="149"/>
      <c r="AE10" s="92"/>
      <c r="AF10" s="92"/>
      <c r="AG10" s="92"/>
      <c r="AH10" s="92"/>
      <c r="AI10" s="92"/>
    </row>
    <row r="11" spans="1:35" ht="151.19999999999999" customHeight="1">
      <c r="A11" s="116" t="s">
        <v>38</v>
      </c>
      <c r="B11" s="123" t="s">
        <v>79</v>
      </c>
      <c r="C11" s="128" t="s">
        <v>80</v>
      </c>
      <c r="D11" s="157"/>
      <c r="E11" s="158"/>
      <c r="F11" s="159"/>
      <c r="G11" s="109" t="s">
        <v>81</v>
      </c>
      <c r="H11" s="158"/>
      <c r="I11" s="109"/>
      <c r="J11" s="109"/>
      <c r="K11" s="109"/>
      <c r="L11" s="160"/>
      <c r="M11" s="119" t="s">
        <v>82</v>
      </c>
      <c r="N11" s="140"/>
      <c r="O11" s="73"/>
      <c r="P11" s="141"/>
      <c r="Q11" s="73" t="s">
        <v>83</v>
      </c>
      <c r="R11" s="73"/>
      <c r="S11" s="95" t="s">
        <v>84</v>
      </c>
      <c r="T11" s="111"/>
      <c r="U11" s="109" t="s">
        <v>85</v>
      </c>
      <c r="V11" s="126"/>
      <c r="W11" s="109" t="s">
        <v>86</v>
      </c>
      <c r="X11" s="109"/>
      <c r="Y11" s="95" t="s">
        <v>87</v>
      </c>
      <c r="Z11" s="188"/>
      <c r="AA11" s="189"/>
      <c r="AB11" s="161"/>
      <c r="AC11" s="162"/>
      <c r="AD11" s="163"/>
      <c r="AE11" s="193" t="s">
        <v>88</v>
      </c>
      <c r="AF11" s="183"/>
      <c r="AG11" s="183"/>
      <c r="AH11" s="183"/>
      <c r="AI11" s="183"/>
    </row>
    <row r="12" spans="1:35">
      <c r="A12" s="5">
        <v>1978</v>
      </c>
      <c r="B12" s="101"/>
      <c r="C12" s="104"/>
      <c r="D12" s="164"/>
      <c r="E12" s="165"/>
      <c r="F12" s="166"/>
      <c r="G12" s="143"/>
      <c r="H12" s="165"/>
      <c r="I12" s="143"/>
      <c r="J12" s="143"/>
      <c r="K12" s="143"/>
      <c r="L12" s="142"/>
      <c r="M12" s="120"/>
      <c r="N12" s="113"/>
      <c r="O12" s="113"/>
      <c r="P12" s="132"/>
      <c r="Q12" s="113"/>
      <c r="R12" s="113"/>
      <c r="S12" s="142"/>
      <c r="T12" s="164"/>
      <c r="U12" s="143"/>
      <c r="V12" s="197"/>
      <c r="W12" s="143"/>
      <c r="X12" s="143"/>
      <c r="Y12" s="142"/>
      <c r="Z12" s="167"/>
      <c r="AA12" s="190"/>
      <c r="AB12" s="142"/>
      <c r="AC12" s="108"/>
      <c r="AD12" s="149"/>
    </row>
    <row r="13" spans="1:35">
      <c r="A13" s="5">
        <v>1979</v>
      </c>
      <c r="B13" s="112"/>
      <c r="C13" s="105"/>
      <c r="D13" s="168">
        <v>4.200402604030774E-3</v>
      </c>
      <c r="E13" s="169"/>
      <c r="F13" s="170"/>
      <c r="G13" s="171"/>
      <c r="H13" s="169"/>
      <c r="I13" s="171"/>
      <c r="J13" s="171"/>
      <c r="K13" s="171"/>
      <c r="L13" s="145"/>
      <c r="M13" s="121">
        <v>6.358649534895987E-3</v>
      </c>
      <c r="N13" s="114"/>
      <c r="O13" s="114">
        <v>9.1639269449010879E-2</v>
      </c>
      <c r="P13" s="133"/>
      <c r="Q13" s="114"/>
      <c r="R13" s="114"/>
      <c r="S13" s="145"/>
      <c r="T13" s="168">
        <v>6.087187437211785E-3</v>
      </c>
      <c r="U13" s="171"/>
      <c r="V13" s="198"/>
      <c r="W13" s="171"/>
      <c r="X13" s="171"/>
      <c r="Y13" s="145"/>
      <c r="Z13" s="167"/>
      <c r="AA13" s="190"/>
      <c r="AB13" s="142"/>
      <c r="AC13" s="108"/>
      <c r="AD13" s="149"/>
    </row>
    <row r="14" spans="1:35">
      <c r="A14" s="7">
        <v>1980</v>
      </c>
      <c r="B14" s="101"/>
      <c r="C14" s="104"/>
      <c r="D14" s="164">
        <v>4.3133331817125139E-3</v>
      </c>
      <c r="E14" s="165"/>
      <c r="F14" s="166"/>
      <c r="G14" s="143"/>
      <c r="H14" s="165"/>
      <c r="I14" s="143"/>
      <c r="J14" s="143"/>
      <c r="K14" s="143"/>
      <c r="L14" s="142"/>
      <c r="M14" s="120">
        <v>6.5392214721142431E-3</v>
      </c>
      <c r="N14" s="113"/>
      <c r="O14" s="113">
        <v>8.8143386314225913E-2</v>
      </c>
      <c r="P14" s="132"/>
      <c r="Q14" s="113"/>
      <c r="R14" s="113"/>
      <c r="S14" s="142"/>
      <c r="T14" s="164">
        <v>6.3121058892102802E-3</v>
      </c>
      <c r="U14" s="143"/>
      <c r="V14" s="197"/>
      <c r="W14" s="143"/>
      <c r="X14" s="143"/>
      <c r="Y14" s="142"/>
      <c r="Z14" s="167"/>
      <c r="AA14" s="190"/>
      <c r="AB14" s="142"/>
      <c r="AC14" s="108"/>
      <c r="AD14" s="149"/>
    </row>
    <row r="15" spans="1:35">
      <c r="A15" s="5">
        <v>1981</v>
      </c>
      <c r="B15" s="101"/>
      <c r="C15" s="104"/>
      <c r="D15" s="164">
        <v>4.8113867181723315E-3</v>
      </c>
      <c r="E15" s="165"/>
      <c r="F15" s="166"/>
      <c r="G15" s="143"/>
      <c r="H15" s="165"/>
      <c r="I15" s="143"/>
      <c r="J15" s="143"/>
      <c r="K15" s="143"/>
      <c r="L15" s="142"/>
      <c r="M15" s="120">
        <v>7.2496270941375214E-3</v>
      </c>
      <c r="N15" s="113"/>
      <c r="O15" s="113">
        <v>9.2873445747848435E-2</v>
      </c>
      <c r="P15" s="132"/>
      <c r="Q15" s="113"/>
      <c r="R15" s="113"/>
      <c r="S15" s="142"/>
      <c r="T15" s="164">
        <v>7.0691824429581357E-3</v>
      </c>
      <c r="U15" s="143"/>
      <c r="V15" s="197"/>
      <c r="W15" s="143"/>
      <c r="X15" s="143"/>
      <c r="Y15" s="142"/>
      <c r="Z15" s="167"/>
      <c r="AA15" s="190"/>
      <c r="AB15" s="142"/>
      <c r="AC15" s="108"/>
      <c r="AD15" s="149"/>
    </row>
    <row r="16" spans="1:35">
      <c r="A16" s="5">
        <v>1982</v>
      </c>
      <c r="B16" s="101"/>
      <c r="C16" s="104"/>
      <c r="D16" s="164">
        <v>5.4971283538776446E-3</v>
      </c>
      <c r="E16" s="165"/>
      <c r="F16" s="166"/>
      <c r="G16" s="143"/>
      <c r="H16" s="165"/>
      <c r="I16" s="143"/>
      <c r="J16" s="143"/>
      <c r="K16" s="143"/>
      <c r="L16" s="142"/>
      <c r="M16" s="120">
        <v>8.2080503738301905E-3</v>
      </c>
      <c r="N16" s="113"/>
      <c r="O16" s="113">
        <v>9.6817993680072184E-2</v>
      </c>
      <c r="P16" s="132"/>
      <c r="Q16" s="113"/>
      <c r="R16" s="113"/>
      <c r="S16" s="142"/>
      <c r="T16" s="164">
        <v>7.5424090563651737E-3</v>
      </c>
      <c r="U16" s="143"/>
      <c r="V16" s="197"/>
      <c r="W16" s="143"/>
      <c r="X16" s="143"/>
      <c r="Y16" s="142">
        <v>-1.4633246903996396E-3</v>
      </c>
      <c r="Z16" s="167"/>
      <c r="AA16" s="190"/>
      <c r="AB16" s="142"/>
      <c r="AC16" s="108"/>
      <c r="AD16" s="149"/>
    </row>
    <row r="17" spans="1:33">
      <c r="A17" s="5">
        <v>1983</v>
      </c>
      <c r="B17" s="101"/>
      <c r="C17" s="104"/>
      <c r="D17" s="164">
        <v>6.2946021736457382E-3</v>
      </c>
      <c r="E17" s="165"/>
      <c r="F17" s="166"/>
      <c r="G17" s="143"/>
      <c r="H17" s="165"/>
      <c r="I17" s="143"/>
      <c r="J17" s="143"/>
      <c r="K17" s="143"/>
      <c r="L17" s="142"/>
      <c r="M17" s="120">
        <v>9.3466321392824455E-3</v>
      </c>
      <c r="N17" s="113"/>
      <c r="O17" s="113">
        <v>9.5673663508831761E-2</v>
      </c>
      <c r="P17" s="132"/>
      <c r="Q17" s="113"/>
      <c r="R17" s="113"/>
      <c r="S17" s="142"/>
      <c r="T17" s="164">
        <v>8.1588929619534432E-3</v>
      </c>
      <c r="U17" s="143"/>
      <c r="V17" s="197"/>
      <c r="W17" s="143"/>
      <c r="X17" s="143"/>
      <c r="Y17" s="142">
        <v>-4.1787243472843055E-3</v>
      </c>
      <c r="Z17" s="167"/>
      <c r="AA17" s="190"/>
      <c r="AB17" s="142"/>
      <c r="AC17" s="108"/>
      <c r="AD17" s="149"/>
    </row>
    <row r="18" spans="1:33">
      <c r="A18" s="5">
        <v>1984</v>
      </c>
      <c r="B18" s="101"/>
      <c r="C18" s="104"/>
      <c r="D18" s="164">
        <v>6.6915317634146307E-3</v>
      </c>
      <c r="E18" s="165"/>
      <c r="F18" s="166"/>
      <c r="G18" s="143"/>
      <c r="H18" s="165"/>
      <c r="I18" s="143"/>
      <c r="J18" s="143"/>
      <c r="K18" s="143"/>
      <c r="L18" s="142"/>
      <c r="M18" s="120">
        <v>9.8363422052847298E-3</v>
      </c>
      <c r="N18" s="113"/>
      <c r="O18" s="113">
        <v>9.2500941225547237E-2</v>
      </c>
      <c r="P18" s="132"/>
      <c r="Q18" s="113"/>
      <c r="R18" s="113"/>
      <c r="S18" s="142"/>
      <c r="T18" s="164">
        <v>8.6393022753610479E-3</v>
      </c>
      <c r="U18" s="143"/>
      <c r="V18" s="197"/>
      <c r="W18" s="143"/>
      <c r="X18" s="143"/>
      <c r="Y18" s="142">
        <v>-5.3799361246143857E-3</v>
      </c>
      <c r="Z18" s="167"/>
      <c r="AA18" s="190"/>
      <c r="AB18" s="142"/>
      <c r="AC18" s="108"/>
      <c r="AD18" s="149"/>
    </row>
    <row r="19" spans="1:33">
      <c r="A19" s="5">
        <v>1985</v>
      </c>
      <c r="B19" s="101"/>
      <c r="C19" s="104"/>
      <c r="D19" s="164">
        <v>7.0354287931720079E-3</v>
      </c>
      <c r="E19" s="165"/>
      <c r="F19" s="166"/>
      <c r="G19" s="143"/>
      <c r="H19" s="165"/>
      <c r="I19" s="143"/>
      <c r="J19" s="143"/>
      <c r="K19" s="143"/>
      <c r="L19" s="142"/>
      <c r="M19" s="120">
        <v>1.0051682749765142E-2</v>
      </c>
      <c r="N19" s="113"/>
      <c r="O19" s="113">
        <v>8.1978412770993075E-2</v>
      </c>
      <c r="P19" s="132"/>
      <c r="Q19" s="113"/>
      <c r="R19" s="113"/>
      <c r="S19" s="142"/>
      <c r="T19" s="164">
        <v>8.9894486784693785E-3</v>
      </c>
      <c r="U19" s="143"/>
      <c r="V19" s="197"/>
      <c r="W19" s="143"/>
      <c r="X19" s="143"/>
      <c r="Y19" s="142">
        <v>-2.9807192004722852E-3</v>
      </c>
      <c r="Z19" s="167"/>
      <c r="AA19" s="190"/>
      <c r="AB19" s="142"/>
      <c r="AC19" s="108"/>
      <c r="AD19" s="149"/>
    </row>
    <row r="20" spans="1:33">
      <c r="A20" s="5">
        <v>1986</v>
      </c>
      <c r="B20" s="101"/>
      <c r="C20" s="104"/>
      <c r="D20" s="164">
        <v>8.7893554934330882E-3</v>
      </c>
      <c r="E20" s="165"/>
      <c r="F20" s="166"/>
      <c r="G20" s="143"/>
      <c r="H20" s="165"/>
      <c r="I20" s="143"/>
      <c r="J20" s="143"/>
      <c r="K20" s="143"/>
      <c r="L20" s="142"/>
      <c r="M20" s="120">
        <v>1.142347653890507E-2</v>
      </c>
      <c r="N20" s="113"/>
      <c r="O20" s="113">
        <v>7.7956858807011087E-2</v>
      </c>
      <c r="P20" s="132"/>
      <c r="Q20" s="113"/>
      <c r="R20" s="113"/>
      <c r="S20" s="142"/>
      <c r="T20" s="164">
        <v>1.0878875452051504E-2</v>
      </c>
      <c r="U20" s="143"/>
      <c r="V20" s="197"/>
      <c r="W20" s="143"/>
      <c r="X20" s="143"/>
      <c r="Y20" s="142">
        <v>8.3976206370114828E-5</v>
      </c>
      <c r="Z20" s="167"/>
      <c r="AA20" s="190"/>
      <c r="AB20" s="142"/>
      <c r="AC20" s="108"/>
      <c r="AD20" s="149"/>
    </row>
    <row r="21" spans="1:33">
      <c r="A21" s="5">
        <v>1987</v>
      </c>
      <c r="B21" s="101"/>
      <c r="C21" s="104"/>
      <c r="D21" s="164">
        <v>7.8087368484234306E-3</v>
      </c>
      <c r="E21" s="165"/>
      <c r="F21" s="166"/>
      <c r="G21" s="143"/>
      <c r="H21" s="165"/>
      <c r="I21" s="143"/>
      <c r="J21" s="143"/>
      <c r="K21" s="143"/>
      <c r="L21" s="142"/>
      <c r="M21" s="120">
        <v>9.949330051857181E-3</v>
      </c>
      <c r="N21" s="113"/>
      <c r="O21" s="113">
        <v>7.7453542240998582E-2</v>
      </c>
      <c r="P21" s="132"/>
      <c r="Q21" s="113"/>
      <c r="R21" s="113"/>
      <c r="S21" s="142"/>
      <c r="T21" s="164">
        <v>9.5890575880935615E-3</v>
      </c>
      <c r="U21" s="143"/>
      <c r="V21" s="197"/>
      <c r="W21" s="143"/>
      <c r="X21" s="143"/>
      <c r="Y21" s="142">
        <v>7.2402582697653217E-4</v>
      </c>
      <c r="Z21" s="167"/>
      <c r="AA21" s="190"/>
      <c r="AB21" s="142"/>
      <c r="AC21" s="108"/>
      <c r="AD21" s="149"/>
    </row>
    <row r="22" spans="1:33">
      <c r="A22" s="5">
        <v>1988</v>
      </c>
      <c r="B22" s="101"/>
      <c r="C22" s="104"/>
      <c r="D22" s="164">
        <v>7.8801732300006391E-3</v>
      </c>
      <c r="E22" s="165"/>
      <c r="F22" s="166"/>
      <c r="G22" s="143"/>
      <c r="H22" s="165"/>
      <c r="I22" s="143"/>
      <c r="J22" s="143"/>
      <c r="K22" s="143"/>
      <c r="L22" s="142"/>
      <c r="M22" s="120">
        <v>1.0161413704893549E-2</v>
      </c>
      <c r="N22" s="113"/>
      <c r="O22" s="113">
        <v>7.4418544593384067E-2</v>
      </c>
      <c r="P22" s="132"/>
      <c r="Q22" s="113"/>
      <c r="R22" s="113"/>
      <c r="S22" s="142"/>
      <c r="T22" s="164">
        <v>9.7353143930509322E-3</v>
      </c>
      <c r="U22" s="143"/>
      <c r="V22" s="197"/>
      <c r="W22" s="143"/>
      <c r="X22" s="143"/>
      <c r="Y22" s="142">
        <v>4.3543623753418696E-4</v>
      </c>
      <c r="Z22" s="167"/>
      <c r="AA22" s="190"/>
      <c r="AB22" s="142"/>
      <c r="AC22" s="108"/>
      <c r="AD22" s="149"/>
    </row>
    <row r="23" spans="1:33">
      <c r="A23" s="5">
        <v>1989</v>
      </c>
      <c r="B23" s="112"/>
      <c r="C23" s="105"/>
      <c r="D23" s="168">
        <v>8.3886079198251598E-3</v>
      </c>
      <c r="E23" s="169"/>
      <c r="F23" s="170"/>
      <c r="G23" s="171"/>
      <c r="H23" s="169"/>
      <c r="I23" s="171"/>
      <c r="J23" s="171"/>
      <c r="K23" s="171"/>
      <c r="L23" s="145"/>
      <c r="M23" s="121">
        <v>1.0624535968009123E-2</v>
      </c>
      <c r="N23" s="114"/>
      <c r="O23" s="114">
        <v>7.2778741669570421E-2</v>
      </c>
      <c r="P23" s="133"/>
      <c r="Q23" s="114"/>
      <c r="R23" s="114"/>
      <c r="S23" s="145"/>
      <c r="T23" s="168">
        <v>1.0358343295306204E-2</v>
      </c>
      <c r="U23" s="171"/>
      <c r="V23" s="198"/>
      <c r="W23" s="171"/>
      <c r="X23" s="171"/>
      <c r="Y23" s="145">
        <v>-5.5468026755361825E-4</v>
      </c>
      <c r="Z23" s="167"/>
      <c r="AA23" s="190"/>
      <c r="AB23" s="142"/>
      <c r="AC23" s="108"/>
      <c r="AD23" s="149"/>
    </row>
    <row r="24" spans="1:33">
      <c r="A24" s="7">
        <v>1990</v>
      </c>
      <c r="B24" s="101"/>
      <c r="C24" s="104"/>
      <c r="D24" s="164">
        <v>9.5474963160241556E-3</v>
      </c>
      <c r="E24" s="165"/>
      <c r="F24" s="166"/>
      <c r="G24" s="143"/>
      <c r="H24" s="165"/>
      <c r="I24" s="143"/>
      <c r="J24" s="143"/>
      <c r="K24" s="143"/>
      <c r="L24" s="142"/>
      <c r="M24" s="120">
        <v>1.225520426238547E-2</v>
      </c>
      <c r="N24" s="113"/>
      <c r="O24" s="113">
        <v>7.8631754705471249E-2</v>
      </c>
      <c r="P24" s="132"/>
      <c r="Q24" s="113"/>
      <c r="R24" s="113"/>
      <c r="S24" s="142"/>
      <c r="T24" s="164">
        <v>1.1860165904451358E-2</v>
      </c>
      <c r="U24" s="143"/>
      <c r="V24" s="197"/>
      <c r="W24" s="143"/>
      <c r="X24" s="143"/>
      <c r="Y24" s="142">
        <v>-2.9437785432170948E-3</v>
      </c>
      <c r="Z24" s="167"/>
      <c r="AA24" s="190"/>
      <c r="AB24" s="142"/>
      <c r="AC24" s="108"/>
      <c r="AD24" s="149"/>
    </row>
    <row r="25" spans="1:33">
      <c r="A25" s="5">
        <v>1991</v>
      </c>
      <c r="B25" s="101"/>
      <c r="C25" s="104"/>
      <c r="D25" s="164">
        <v>9.9632643664191271E-3</v>
      </c>
      <c r="E25" s="165"/>
      <c r="F25" s="166"/>
      <c r="G25" s="143"/>
      <c r="H25" s="165"/>
      <c r="I25" s="143"/>
      <c r="J25" s="143"/>
      <c r="K25" s="143"/>
      <c r="L25" s="142"/>
      <c r="M25" s="120">
        <v>1.3331576685594209E-2</v>
      </c>
      <c r="N25" s="113"/>
      <c r="O25" s="113">
        <v>7.1358034022476785E-2</v>
      </c>
      <c r="P25" s="132"/>
      <c r="Q25" s="113"/>
      <c r="R25" s="113"/>
      <c r="S25" s="142"/>
      <c r="T25" s="164">
        <v>1.243595194463867E-2</v>
      </c>
      <c r="U25" s="143"/>
      <c r="V25" s="197"/>
      <c r="W25" s="143"/>
      <c r="X25" s="143"/>
      <c r="Y25" s="142">
        <v>-2.2412979066223329E-3</v>
      </c>
      <c r="Z25" s="167"/>
      <c r="AA25" s="190"/>
      <c r="AB25" s="142"/>
      <c r="AC25" s="108"/>
      <c r="AD25" s="149"/>
    </row>
    <row r="26" spans="1:33">
      <c r="A26" s="5">
        <v>1992</v>
      </c>
      <c r="B26" s="102">
        <v>0.26153116200282484</v>
      </c>
      <c r="C26" s="142">
        <v>0.10620261478943592</v>
      </c>
      <c r="D26" s="164">
        <v>1.0890558365869316E-2</v>
      </c>
      <c r="E26" s="165">
        <v>0.13801684533386896</v>
      </c>
      <c r="F26" s="166">
        <v>-4.2464737219590841E-2</v>
      </c>
      <c r="G26" s="143">
        <v>-1.4647221806125043E-4</v>
      </c>
      <c r="H26" s="165">
        <v>-9.3579472650243332E-5</v>
      </c>
      <c r="I26" s="143">
        <v>6.171701803515066E-3</v>
      </c>
      <c r="J26" s="143">
        <v>9.4620907248603836E-2</v>
      </c>
      <c r="K26" s="143">
        <v>5.4059370645931377E-3</v>
      </c>
      <c r="L26" s="142">
        <v>0.12985448171471453</v>
      </c>
      <c r="M26" s="120">
        <v>1.4448257199471478E-2</v>
      </c>
      <c r="N26" s="113">
        <v>3.8635077119008663E-3</v>
      </c>
      <c r="O26" s="113">
        <v>6.3320807679399418E-2</v>
      </c>
      <c r="P26" s="132">
        <v>4.8030681505918368E-2</v>
      </c>
      <c r="Q26" s="113">
        <v>9.7648145374166953E-5</v>
      </c>
      <c r="R26" s="113">
        <v>9.3579472650243318E-5</v>
      </c>
      <c r="S26" s="142">
        <v>2.603554233457582E-2</v>
      </c>
      <c r="T26" s="164">
        <v>1.2690669540878663E-2</v>
      </c>
      <c r="U26" s="143">
        <v>1.8296447498712207E-2</v>
      </c>
      <c r="V26" s="197">
        <v>-4.9515747050150501E-3</v>
      </c>
      <c r="W26" s="143">
        <v>0</v>
      </c>
      <c r="X26" s="143">
        <v>0</v>
      </c>
      <c r="Y26" s="142">
        <v>-5.6147683590145991E-4</v>
      </c>
      <c r="Z26" s="167">
        <v>-6.1030090858854341E-4</v>
      </c>
      <c r="AA26" s="190">
        <v>4.8824072687083476E-5</v>
      </c>
      <c r="AB26" s="142">
        <v>0.13602618351822959</v>
      </c>
      <c r="AC26" s="108">
        <v>0.12065644958317966</v>
      </c>
      <c r="AD26" s="149">
        <v>4.8444602286916777E-3</v>
      </c>
      <c r="AE26" s="184"/>
      <c r="AF26" s="184"/>
      <c r="AG26" s="184"/>
    </row>
    <row r="27" spans="1:33">
      <c r="A27" s="5">
        <v>1993</v>
      </c>
      <c r="B27" s="102">
        <v>0.29726057962685731</v>
      </c>
      <c r="C27" s="142">
        <v>0.14311912086701986</v>
      </c>
      <c r="D27" s="164">
        <v>1.1307711451558239E-2</v>
      </c>
      <c r="E27" s="165">
        <v>0.18447264164109672</v>
      </c>
      <c r="F27" s="166">
        <v>-5.1903987451930783E-2</v>
      </c>
      <c r="G27" s="143">
        <v>-6.5129283005844964E-4</v>
      </c>
      <c r="H27" s="165">
        <v>-1.0595194364587218E-4</v>
      </c>
      <c r="I27" s="143">
        <v>8.0820367355652952E-3</v>
      </c>
      <c r="J27" s="143">
        <v>0.12353203699284995</v>
      </c>
      <c r="K27" s="143">
        <v>1.1505047138604604E-2</v>
      </c>
      <c r="L27" s="142">
        <v>0.13214227307927179</v>
      </c>
      <c r="M27" s="120">
        <v>1.5900780686948779E-2</v>
      </c>
      <c r="N27" s="113">
        <v>3.2707436877919783E-3</v>
      </c>
      <c r="O27" s="113">
        <v>5.7236910113165625E-2</v>
      </c>
      <c r="P27" s="132">
        <v>5.5391052891334648E-2</v>
      </c>
      <c r="Q27" s="113">
        <v>2.3683375638489074E-4</v>
      </c>
      <c r="R27" s="113">
        <v>1.0595194364587218E-4</v>
      </c>
      <c r="S27" s="142">
        <v>1.9696289023086223E-2</v>
      </c>
      <c r="T27" s="164">
        <v>1.2520752170824939E-2</v>
      </c>
      <c r="U27" s="143">
        <v>1.2551039875470977E-2</v>
      </c>
      <c r="V27" s="197">
        <v>-5.3755030232096922E-3</v>
      </c>
      <c r="W27" s="143">
        <v>0</v>
      </c>
      <c r="X27" s="143">
        <v>0</v>
      </c>
      <c r="Y27" s="142">
        <v>2.3028966574793991E-3</v>
      </c>
      <c r="Z27" s="167">
        <v>1.8884375838058402E-3</v>
      </c>
      <c r="AA27" s="190">
        <v>4.144590736735589E-4</v>
      </c>
      <c r="AB27" s="142">
        <v>0.14022430981483708</v>
      </c>
      <c r="AC27" s="108">
        <v>0.14322832601593619</v>
      </c>
      <c r="AD27" s="149">
        <v>1.3807943796084004E-2</v>
      </c>
      <c r="AE27" s="184"/>
      <c r="AF27" s="184"/>
      <c r="AG27" s="184"/>
    </row>
    <row r="28" spans="1:33">
      <c r="A28" s="5">
        <v>1994</v>
      </c>
      <c r="B28" s="102">
        <v>0.27448325817778491</v>
      </c>
      <c r="C28" s="142">
        <v>0.11524965256806137</v>
      </c>
      <c r="D28" s="164">
        <v>8.3970996555028307E-3</v>
      </c>
      <c r="E28" s="165">
        <v>0.16632196925025206</v>
      </c>
      <c r="F28" s="166">
        <v>-5.8066770471710209E-2</v>
      </c>
      <c r="G28" s="143">
        <v>-1.361120166003537E-3</v>
      </c>
      <c r="H28" s="165">
        <v>-4.1525699979768924E-5</v>
      </c>
      <c r="I28" s="143">
        <v>6.2092197006016463E-3</v>
      </c>
      <c r="J28" s="143">
        <v>9.481031398673799E-2</v>
      </c>
      <c r="K28" s="143">
        <v>1.4230118880721763E-2</v>
      </c>
      <c r="L28" s="142">
        <v>0.14103770607789406</v>
      </c>
      <c r="M28" s="120">
        <v>1.4863127619277576E-2</v>
      </c>
      <c r="N28" s="113">
        <v>4.2439565151125985E-3</v>
      </c>
      <c r="O28" s="113">
        <v>5.8398607957789658E-2</v>
      </c>
      <c r="P28" s="132">
        <v>6.2920663402678767E-2</v>
      </c>
      <c r="Q28" s="113">
        <v>5.6982488305571798E-4</v>
      </c>
      <c r="R28" s="113">
        <v>4.1525699979768924E-5</v>
      </c>
      <c r="S28" s="142">
        <v>1.6135763416166536E-2</v>
      </c>
      <c r="T28" s="164">
        <v>9.5061071284669122E-3</v>
      </c>
      <c r="U28" s="143">
        <v>1.275239005138333E-2</v>
      </c>
      <c r="V28" s="197">
        <v>-6.1227337636837065E-3</v>
      </c>
      <c r="W28" s="143">
        <v>0</v>
      </c>
      <c r="X28" s="143">
        <v>0</v>
      </c>
      <c r="Y28" s="142">
        <v>2.0601361156629798E-3</v>
      </c>
      <c r="Z28" s="167">
        <v>1.2665338493829516E-3</v>
      </c>
      <c r="AA28" s="190">
        <v>7.9360226628002832E-4</v>
      </c>
      <c r="AB28" s="142">
        <v>0.14724692577849571</v>
      </c>
      <c r="AC28" s="108">
        <v>0.11094607740290452</v>
      </c>
      <c r="AD28" s="149">
        <v>1.6290254996384743E-2</v>
      </c>
      <c r="AE28" s="184"/>
      <c r="AF28" s="184"/>
      <c r="AG28" s="184"/>
    </row>
    <row r="29" spans="1:33">
      <c r="A29" s="5">
        <v>1995</v>
      </c>
      <c r="B29" s="102">
        <v>0.29237225435151648</v>
      </c>
      <c r="C29" s="142">
        <v>0.12643030930403626</v>
      </c>
      <c r="D29" s="164">
        <v>7.0399838851723656E-3</v>
      </c>
      <c r="E29" s="165">
        <v>0.18597533681618422</v>
      </c>
      <c r="F29" s="166">
        <v>-5.0445454700087954E-2</v>
      </c>
      <c r="G29" s="143">
        <v>-1.6100328608037697E-2</v>
      </c>
      <c r="H29" s="165">
        <v>-3.9228089194661989E-5</v>
      </c>
      <c r="I29" s="143">
        <v>6.8401788173431607E-3</v>
      </c>
      <c r="J29" s="143">
        <v>0.10305109079702571</v>
      </c>
      <c r="K29" s="143">
        <v>1.6542775698162111E-2</v>
      </c>
      <c r="L29" s="142">
        <v>0.13569100203296328</v>
      </c>
      <c r="M29" s="120">
        <v>1.6658845212342541E-2</v>
      </c>
      <c r="N29" s="113">
        <v>3.8094018036130602E-3</v>
      </c>
      <c r="O29" s="113">
        <v>6.0040041545602468E-2</v>
      </c>
      <c r="P29" s="132">
        <v>5.4570008078269547E-2</v>
      </c>
      <c r="Q29" s="113">
        <v>5.7534530818837586E-4</v>
      </c>
      <c r="R29" s="113">
        <v>3.736008494729713E-5</v>
      </c>
      <c r="S29" s="142">
        <v>1.1882857250178278E-2</v>
      </c>
      <c r="T29" s="164">
        <v>8.2164597980798355E-3</v>
      </c>
      <c r="U29" s="143">
        <v>1.0634053294769357E-2</v>
      </c>
      <c r="V29" s="197">
        <v>-6.9676558426709145E-3</v>
      </c>
      <c r="W29" s="143">
        <v>0</v>
      </c>
      <c r="X29" s="143">
        <v>0</v>
      </c>
      <c r="Y29" s="142">
        <v>1.8368085764338637E-2</v>
      </c>
      <c r="Z29" s="167">
        <v>2.8431024644893126E-3</v>
      </c>
      <c r="AA29" s="190">
        <v>1.5524983299849323E-2</v>
      </c>
      <c r="AB29" s="142">
        <v>0.14253118085030644</v>
      </c>
      <c r="AC29" s="108">
        <v>0.11493394804720398</v>
      </c>
      <c r="AD29" s="149">
        <v>3.4910861462500747E-2</v>
      </c>
      <c r="AE29" s="184"/>
      <c r="AF29" s="184"/>
      <c r="AG29" s="184"/>
    </row>
    <row r="30" spans="1:33">
      <c r="A30" s="5">
        <v>1996</v>
      </c>
      <c r="B30" s="102">
        <v>0.27036596452235423</v>
      </c>
      <c r="C30" s="142">
        <v>9.3990264503086576E-2</v>
      </c>
      <c r="D30" s="164">
        <v>6.7841628562565863E-3</v>
      </c>
      <c r="E30" s="165">
        <v>0.15448306849205215</v>
      </c>
      <c r="F30" s="166">
        <v>-5.0771335324766485E-2</v>
      </c>
      <c r="G30" s="143">
        <v>-1.606354489009728E-2</v>
      </c>
      <c r="H30" s="165">
        <v>-4.4208663035836534E-4</v>
      </c>
      <c r="I30" s="143">
        <v>5.0003607751919234E-3</v>
      </c>
      <c r="J30" s="143">
        <v>7.5155711821661905E-2</v>
      </c>
      <c r="K30" s="143">
        <v>1.3834191906232772E-2</v>
      </c>
      <c r="L30" s="142">
        <v>0.14273894439400925</v>
      </c>
      <c r="M30" s="120">
        <v>2.0203965166241303E-2</v>
      </c>
      <c r="N30" s="113">
        <v>4.7540607350520315E-3</v>
      </c>
      <c r="O30" s="113">
        <v>5.9285036991290639E-2</v>
      </c>
      <c r="P30" s="132">
        <v>5.7479241849662542E-2</v>
      </c>
      <c r="Q30" s="113">
        <v>5.7455302140437361E-4</v>
      </c>
      <c r="R30" s="113">
        <v>4.4208663035836529E-4</v>
      </c>
      <c r="S30" s="142">
        <v>1.7134316066032801E-2</v>
      </c>
      <c r="T30" s="164">
        <v>8.1271984892519571E-3</v>
      </c>
      <c r="U30" s="143">
        <v>1.6730067772824632E-2</v>
      </c>
      <c r="V30" s="197">
        <v>-7.7229501960437881E-3</v>
      </c>
      <c r="W30" s="143">
        <v>0</v>
      </c>
      <c r="X30" s="143">
        <v>0</v>
      </c>
      <c r="Y30" s="142">
        <v>1.6502439559225621E-2</v>
      </c>
      <c r="Z30" s="167">
        <v>1.0150436711477272E-3</v>
      </c>
      <c r="AA30" s="190">
        <v>1.5487395888077893E-2</v>
      </c>
      <c r="AB30" s="142">
        <v>0.14773930516920117</v>
      </c>
      <c r="AC30" s="108">
        <v>9.2290027887694706E-2</v>
      </c>
      <c r="AD30" s="149">
        <v>3.0336631465458393E-2</v>
      </c>
      <c r="AE30" s="184"/>
      <c r="AF30" s="184"/>
      <c r="AG30" s="184"/>
    </row>
    <row r="31" spans="1:33">
      <c r="A31" s="5">
        <v>1997</v>
      </c>
      <c r="B31" s="102">
        <v>0.25336599014760652</v>
      </c>
      <c r="C31" s="142">
        <v>9.0907761555137551E-2</v>
      </c>
      <c r="D31" s="164">
        <v>6.1909576514065697E-3</v>
      </c>
      <c r="E31" s="165">
        <v>0.14000293940959777</v>
      </c>
      <c r="F31" s="166">
        <v>-4.0609824303082895E-2</v>
      </c>
      <c r="G31" s="143">
        <v>-1.4082995176281367E-2</v>
      </c>
      <c r="H31" s="165">
        <v>-5.933160265025201E-4</v>
      </c>
      <c r="I31" s="143">
        <v>6.6332818708125562E-3</v>
      </c>
      <c r="J31" s="143">
        <v>7.0461047635605178E-2</v>
      </c>
      <c r="K31" s="143">
        <v>1.3814868649268253E-2</v>
      </c>
      <c r="L31" s="142">
        <v>0.13268684545196163</v>
      </c>
      <c r="M31" s="120">
        <v>2.4457576349735624E-2</v>
      </c>
      <c r="N31" s="113">
        <v>5.4229972449291747E-3</v>
      </c>
      <c r="O31" s="113">
        <v>5.4654294674944606E-2</v>
      </c>
      <c r="P31" s="132">
        <v>4.6778587058050984E-2</v>
      </c>
      <c r="Q31" s="113">
        <v>7.8007409779871288E-4</v>
      </c>
      <c r="R31" s="113">
        <v>5.933160265025201E-4</v>
      </c>
      <c r="S31" s="142">
        <v>1.6468462062024694E-2</v>
      </c>
      <c r="T31" s="164">
        <v>7.6942207465886345E-3</v>
      </c>
      <c r="U31" s="143">
        <v>1.4944440670952578E-2</v>
      </c>
      <c r="V31" s="197">
        <v>-6.1701993555165219E-3</v>
      </c>
      <c r="W31" s="143">
        <v>0</v>
      </c>
      <c r="X31" s="143">
        <v>0</v>
      </c>
      <c r="Y31" s="142">
        <v>1.3302921078482651E-2</v>
      </c>
      <c r="Z31" s="167">
        <v>0</v>
      </c>
      <c r="AA31" s="190">
        <v>1.3302921078482651E-2</v>
      </c>
      <c r="AB31" s="142">
        <v>0.13932012732277418</v>
      </c>
      <c r="AC31" s="108">
        <v>8.6929509697629873E-2</v>
      </c>
      <c r="AD31" s="149">
        <v>2.7117789727750904E-2</v>
      </c>
      <c r="AE31" s="184"/>
      <c r="AF31" s="184"/>
      <c r="AG31" s="184"/>
    </row>
    <row r="32" spans="1:33">
      <c r="A32" s="5">
        <v>1998</v>
      </c>
      <c r="B32" s="102">
        <v>0.2464052511159075</v>
      </c>
      <c r="C32" s="142">
        <v>7.8172195482172011E-2</v>
      </c>
      <c r="D32" s="164">
        <v>5.5016418262806193E-3</v>
      </c>
      <c r="E32" s="165">
        <v>0.13355493080082084</v>
      </c>
      <c r="F32" s="166">
        <v>-4.1398818119913375E-2</v>
      </c>
      <c r="G32" s="143">
        <v>-1.9209312884777369E-2</v>
      </c>
      <c r="H32" s="165">
        <v>-2.7624614023872239E-4</v>
      </c>
      <c r="I32" s="143">
        <v>7.2905468959133584E-3</v>
      </c>
      <c r="J32" s="143">
        <v>5.9018128383291131E-2</v>
      </c>
      <c r="K32" s="143">
        <v>1.1860798566117887E-2</v>
      </c>
      <c r="L32" s="142">
        <v>0.1360608746939059</v>
      </c>
      <c r="M32" s="120">
        <v>2.8307329033777074E-2</v>
      </c>
      <c r="N32" s="113">
        <v>6.171721483823606E-3</v>
      </c>
      <c r="O32" s="113">
        <v>5.2908070757297206E-2</v>
      </c>
      <c r="P32" s="132">
        <v>4.759054195285025E-2</v>
      </c>
      <c r="Q32" s="113">
        <v>8.0560450749420543E-4</v>
      </c>
      <c r="R32" s="113">
        <v>2.7760695866354369E-4</v>
      </c>
      <c r="S32" s="142">
        <v>1.3542576704026085E-2</v>
      </c>
      <c r="T32" s="164">
        <v>7.1090367519114628E-3</v>
      </c>
      <c r="U32" s="143">
        <v>1.2849798825147018E-2</v>
      </c>
      <c r="V32" s="197">
        <v>-6.4162588730323948E-3</v>
      </c>
      <c r="W32" s="143">
        <v>0</v>
      </c>
      <c r="X32" s="143">
        <v>0</v>
      </c>
      <c r="Y32" s="142">
        <v>1.8629604235803496E-2</v>
      </c>
      <c r="Z32" s="167">
        <v>2.2453504009551333E-4</v>
      </c>
      <c r="AA32" s="190">
        <v>1.8405069195707984E-2</v>
      </c>
      <c r="AB32" s="142">
        <v>0.14335142158981926</v>
      </c>
      <c r="AC32" s="108">
        <v>7.2560705087317212E-2</v>
      </c>
      <c r="AD32" s="149">
        <v>3.0490402801921383E-2</v>
      </c>
      <c r="AE32" s="184"/>
      <c r="AF32" s="184"/>
      <c r="AG32" s="184"/>
    </row>
    <row r="33" spans="1:33">
      <c r="A33" s="100">
        <v>1999</v>
      </c>
      <c r="B33" s="103">
        <v>0.23791929576190354</v>
      </c>
      <c r="C33" s="146">
        <v>8.8587521639530459E-2</v>
      </c>
      <c r="D33" s="168">
        <v>4.9119223943441875E-3</v>
      </c>
      <c r="E33" s="169">
        <v>0.13078078370190052</v>
      </c>
      <c r="F33" s="170">
        <v>-3.1773579802752132E-2</v>
      </c>
      <c r="G33" s="171">
        <v>-1.4829814974955296E-2</v>
      </c>
      <c r="H33" s="169">
        <v>-5.0178967900681637E-4</v>
      </c>
      <c r="I33" s="171">
        <v>1.0432229326662195E-2</v>
      </c>
      <c r="J33" s="171">
        <v>6.4847503017944494E-2</v>
      </c>
      <c r="K33" s="172">
        <v>1.3306502654721187E-2</v>
      </c>
      <c r="L33" s="145">
        <v>0.12575207731324636</v>
      </c>
      <c r="M33" s="121">
        <v>3.0501891742855881E-2</v>
      </c>
      <c r="N33" s="114">
        <v>6.7870896393373214E-3</v>
      </c>
      <c r="O33" s="114">
        <v>4.9592408770861032E-2</v>
      </c>
      <c r="P33" s="133">
        <v>3.7100270241439873E-2</v>
      </c>
      <c r="Q33" s="114">
        <v>1.2686272397454384E-3</v>
      </c>
      <c r="R33" s="114">
        <v>5.0178967900681637E-4</v>
      </c>
      <c r="S33" s="145">
        <v>8.5684655656074263E-3</v>
      </c>
      <c r="T33" s="168">
        <v>6.5574724961083497E-3</v>
      </c>
      <c r="U33" s="171">
        <v>8.7864403762936798E-3</v>
      </c>
      <c r="V33" s="198">
        <v>-6.7754473067946032E-3</v>
      </c>
      <c r="W33" s="171">
        <v>0</v>
      </c>
      <c r="X33" s="171">
        <v>0</v>
      </c>
      <c r="Y33" s="145">
        <v>1.50112312435193E-2</v>
      </c>
      <c r="Z33" s="173">
        <v>1.4513301485120221E-3</v>
      </c>
      <c r="AA33" s="191">
        <v>1.3559901095007277E-2</v>
      </c>
      <c r="AB33" s="145">
        <v>0.13618430663990855</v>
      </c>
      <c r="AC33" s="124">
        <v>7.3415968583551927E-2</v>
      </c>
      <c r="AD33" s="174">
        <v>2.8317733898240487E-2</v>
      </c>
      <c r="AE33" s="184"/>
      <c r="AF33" s="184"/>
      <c r="AG33" s="184"/>
    </row>
    <row r="34" spans="1:33">
      <c r="A34" s="15">
        <v>2000</v>
      </c>
      <c r="B34" s="102">
        <v>0.2222201143708307</v>
      </c>
      <c r="C34" s="142">
        <v>8.7043898374269804E-2</v>
      </c>
      <c r="D34" s="164">
        <v>4.0236096884096219E-3</v>
      </c>
      <c r="E34" s="165">
        <v>0.11423139650312948</v>
      </c>
      <c r="F34" s="166">
        <v>-1.5390816021009225E-2</v>
      </c>
      <c r="G34" s="143">
        <v>-1.546533960282202E-2</v>
      </c>
      <c r="H34" s="165">
        <v>-3.5495219343804484E-4</v>
      </c>
      <c r="I34" s="143">
        <v>1.2336894254041704E-2</v>
      </c>
      <c r="J34" s="143">
        <v>6.0964466435993715E-2</v>
      </c>
      <c r="K34" s="143">
        <v>1.2797714376981404E-2</v>
      </c>
      <c r="L34" s="142">
        <v>0.11081384075158528</v>
      </c>
      <c r="M34" s="120">
        <v>3.4359159175497804E-2</v>
      </c>
      <c r="N34" s="113">
        <v>8.0991254935941139E-3</v>
      </c>
      <c r="O34" s="113">
        <v>4.5516359591007353E-2</v>
      </c>
      <c r="P34" s="132">
        <v>2.0754759039117634E-2</v>
      </c>
      <c r="Q34" s="113">
        <v>1.4832181636148755E-3</v>
      </c>
      <c r="R34" s="113">
        <v>6.0121928875349773E-4</v>
      </c>
      <c r="S34" s="142">
        <v>1.0621256283844393E-2</v>
      </c>
      <c r="T34" s="164">
        <v>5.6368799431761075E-3</v>
      </c>
      <c r="U34" s="143">
        <v>1.0353466984522008E-2</v>
      </c>
      <c r="V34" s="197">
        <v>-5.3638260266141982E-3</v>
      </c>
      <c r="W34" s="143">
        <v>2.410024780759302E-4</v>
      </c>
      <c r="X34" s="143">
        <v>-2.4626709531545295E-4</v>
      </c>
      <c r="Y34" s="142">
        <v>1.374111896113122E-2</v>
      </c>
      <c r="Z34" s="167">
        <v>0</v>
      </c>
      <c r="AA34" s="190">
        <v>1.374111896113122E-2</v>
      </c>
      <c r="AB34" s="142">
        <v>0.12315073500562698</v>
      </c>
      <c r="AC34" s="108">
        <v>7.158572271983811E-2</v>
      </c>
      <c r="AD34" s="149">
        <v>2.6538833338112626E-2</v>
      </c>
      <c r="AE34" s="184">
        <v>-6.1590172127705557E-3</v>
      </c>
      <c r="AF34" s="184">
        <v>1.6833906102109511E-3</v>
      </c>
      <c r="AG34" s="184">
        <v>4.4756266025596046E-3</v>
      </c>
    </row>
    <row r="35" spans="1:33">
      <c r="A35" s="15">
        <v>2001</v>
      </c>
      <c r="B35" s="102">
        <v>0.2371970208843705</v>
      </c>
      <c r="C35" s="142">
        <v>0.10769934107325782</v>
      </c>
      <c r="D35" s="164">
        <v>3.1429642777847421E-3</v>
      </c>
      <c r="E35" s="165">
        <v>0.13804097662511336</v>
      </c>
      <c r="F35" s="166">
        <v>-1.1781063703192636E-2</v>
      </c>
      <c r="G35" s="143">
        <v>-2.1420587357153128E-2</v>
      </c>
      <c r="H35" s="165">
        <v>-2.8294876929452266E-4</v>
      </c>
      <c r="I35" s="143">
        <v>1.8525603755837228E-2</v>
      </c>
      <c r="J35" s="143">
        <v>7.2532666258472517E-2</v>
      </c>
      <c r="K35" s="143">
        <v>1.5697590931480012E-2</v>
      </c>
      <c r="L35" s="142">
        <v>0.10766641096793846</v>
      </c>
      <c r="M35" s="120">
        <v>3.6201727964608271E-2</v>
      </c>
      <c r="N35" s="113">
        <v>7.6324848829734749E-3</v>
      </c>
      <c r="O35" s="113">
        <v>4.3476188306336767E-2</v>
      </c>
      <c r="P35" s="132">
        <v>1.7534778763051883E-2</v>
      </c>
      <c r="Q35" s="113">
        <v>2.3220217745023005E-3</v>
      </c>
      <c r="R35" s="113">
        <v>4.992092764657571E-4</v>
      </c>
      <c r="S35" s="142">
        <v>7.9031606627646793E-3</v>
      </c>
      <c r="T35" s="164">
        <v>4.6079713133780316E-3</v>
      </c>
      <c r="U35" s="143">
        <v>6.479924356118787E-3</v>
      </c>
      <c r="V35" s="197">
        <v>-5.7537150598592516E-3</v>
      </c>
      <c r="W35" s="143">
        <v>2.7852405602983464E-3</v>
      </c>
      <c r="X35" s="143">
        <v>-2.1626050717123445E-4</v>
      </c>
      <c r="Y35" s="142">
        <v>1.3928108180409536E-2</v>
      </c>
      <c r="Z35" s="167">
        <v>-2.3852168419429406E-3</v>
      </c>
      <c r="AA35" s="190">
        <v>1.6313325022352478E-2</v>
      </c>
      <c r="AB35" s="142">
        <v>0.12619201472377567</v>
      </c>
      <c r="AC35" s="108">
        <v>8.04358269212372E-2</v>
      </c>
      <c r="AD35" s="149">
        <v>2.9625699111889548E-2</v>
      </c>
      <c r="AE35" s="184">
        <v>-1.1209238319081515E-2</v>
      </c>
      <c r="AF35" s="184">
        <v>3.3539961672641042E-3</v>
      </c>
      <c r="AG35" s="184">
        <v>7.8552421518174095E-3</v>
      </c>
    </row>
    <row r="36" spans="1:33">
      <c r="A36" s="15">
        <v>2002</v>
      </c>
      <c r="B36" s="102">
        <v>0.24783129443822624</v>
      </c>
      <c r="C36" s="142">
        <v>0.11090479605464912</v>
      </c>
      <c r="D36" s="164">
        <v>2.568749160320293E-3</v>
      </c>
      <c r="E36" s="165">
        <v>0.1414035353120193</v>
      </c>
      <c r="F36" s="166">
        <v>-1.1923310330917914E-2</v>
      </c>
      <c r="G36" s="143">
        <v>-2.0756191366543497E-2</v>
      </c>
      <c r="H36" s="165">
        <v>-3.8798672022905066E-4</v>
      </c>
      <c r="I36" s="143">
        <v>2.1287736590877387E-2</v>
      </c>
      <c r="J36" s="143">
        <v>7.2525100613874377E-2</v>
      </c>
      <c r="K36" s="143">
        <v>1.6090909185077978E-2</v>
      </c>
      <c r="L36" s="142">
        <v>0.10789256396062745</v>
      </c>
      <c r="M36" s="120">
        <v>4.0336589134144438E-2</v>
      </c>
      <c r="N36" s="113">
        <v>6.7272032930715576E-3</v>
      </c>
      <c r="O36" s="113">
        <v>4.1282567794734631E-2</v>
      </c>
      <c r="P36" s="132">
        <v>1.5936389808551648E-2</v>
      </c>
      <c r="Q36" s="113">
        <v>3.2522893717846432E-3</v>
      </c>
      <c r="R36" s="113">
        <v>3.5752455834052807E-4</v>
      </c>
      <c r="S36" s="142">
        <v>1.7439978312575703E-2</v>
      </c>
      <c r="T36" s="164">
        <v>3.7033498569560555E-3</v>
      </c>
      <c r="U36" s="143">
        <v>1.1809299886979992E-2</v>
      </c>
      <c r="V36" s="197">
        <v>-4.0131749703042298E-3</v>
      </c>
      <c r="W36" s="143">
        <v>5.9100413770553639E-3</v>
      </c>
      <c r="X36" s="143">
        <v>3.0462161888522604E-5</v>
      </c>
      <c r="Y36" s="142">
        <v>1.1593956110373983E-2</v>
      </c>
      <c r="Z36" s="167">
        <v>0</v>
      </c>
      <c r="AA36" s="190">
        <v>1.1593956110373983E-2</v>
      </c>
      <c r="AB36" s="142">
        <v>0.12918030055150484</v>
      </c>
      <c r="AC36" s="108">
        <v>8.9965078926450087E-2</v>
      </c>
      <c r="AD36" s="149">
        <v>2.7684865295451961E-2</v>
      </c>
      <c r="AE36" s="184">
        <v>-1.8272045036236202E-2</v>
      </c>
      <c r="AF36" s="184">
        <v>5.6542165127940729E-3</v>
      </c>
      <c r="AG36" s="184">
        <v>1.2617828523442131E-2</v>
      </c>
    </row>
    <row r="37" spans="1:33">
      <c r="A37" s="15">
        <v>2003</v>
      </c>
      <c r="B37" s="102">
        <v>0.24319909475247881</v>
      </c>
      <c r="C37" s="142">
        <v>0.12371546096607278</v>
      </c>
      <c r="D37" s="164">
        <v>2.1459713619764427E-3</v>
      </c>
      <c r="E37" s="165">
        <v>0.14335024706348259</v>
      </c>
      <c r="F37" s="166">
        <v>-1.1061312913279837E-2</v>
      </c>
      <c r="G37" s="143">
        <v>-9.9793605040090147E-3</v>
      </c>
      <c r="H37" s="165">
        <v>-7.4008404209741552E-4</v>
      </c>
      <c r="I37" s="143">
        <v>2.6169067319651722E-2</v>
      </c>
      <c r="J37" s="143">
        <v>7.7833076010869501E-2</v>
      </c>
      <c r="K37" s="143">
        <v>1.8739938919274796E-2</v>
      </c>
      <c r="L37" s="142">
        <v>0.10575346881988487</v>
      </c>
      <c r="M37" s="120">
        <v>4.1392458119775766E-2</v>
      </c>
      <c r="N37" s="113">
        <v>7.3023755214254235E-3</v>
      </c>
      <c r="O37" s="113">
        <v>3.8090869882942219E-2</v>
      </c>
      <c r="P37" s="132">
        <v>1.6437687077280244E-2</v>
      </c>
      <c r="Q37" s="113">
        <v>2.0966244510782469E-3</v>
      </c>
      <c r="R37" s="113">
        <v>4.3345376738296364E-4</v>
      </c>
      <c r="S37" s="142">
        <v>6.5040853000331795E-3</v>
      </c>
      <c r="T37" s="164">
        <v>2.736909646669403E-3</v>
      </c>
      <c r="U37" s="143">
        <v>8.1803472566662639E-3</v>
      </c>
      <c r="V37" s="197">
        <v>-5.3764582644597369E-3</v>
      </c>
      <c r="W37" s="143">
        <v>6.5665638644279772E-4</v>
      </c>
      <c r="X37" s="143">
        <v>3.0663027471445188E-4</v>
      </c>
      <c r="Y37" s="142">
        <v>7.2260796664879679E-3</v>
      </c>
      <c r="Z37" s="167">
        <v>0</v>
      </c>
      <c r="AA37" s="190">
        <v>7.2260796664879679E-3</v>
      </c>
      <c r="AB37" s="142">
        <v>0.13192253613953658</v>
      </c>
      <c r="AC37" s="108">
        <v>8.4337161310902686E-2</v>
      </c>
      <c r="AD37" s="149">
        <v>2.5966018585762765E-2</v>
      </c>
      <c r="AE37" s="184">
        <v>-4.1329993330930168E-2</v>
      </c>
      <c r="AF37" s="184">
        <v>1.3251625276050869E-2</v>
      </c>
      <c r="AG37" s="184">
        <v>2.8078283954419969E-2</v>
      </c>
    </row>
    <row r="38" spans="1:33">
      <c r="A38" s="15">
        <v>2004</v>
      </c>
      <c r="B38" s="102">
        <v>0.27721092098080519</v>
      </c>
      <c r="C38" s="142">
        <v>0.15519231886364615</v>
      </c>
      <c r="D38" s="164">
        <v>2.2162619502987934E-3</v>
      </c>
      <c r="E38" s="165">
        <v>0.17397931025265756</v>
      </c>
      <c r="F38" s="166">
        <v>-1.340920879780054E-2</v>
      </c>
      <c r="G38" s="143">
        <v>-6.9377393564474532E-3</v>
      </c>
      <c r="H38" s="165">
        <v>-6.5630518506219608E-4</v>
      </c>
      <c r="I38" s="143">
        <v>3.7303554136210761E-2</v>
      </c>
      <c r="J38" s="143">
        <v>9.6055217263984458E-2</v>
      </c>
      <c r="K38" s="143">
        <v>2.0667058137658848E-2</v>
      </c>
      <c r="L38" s="142">
        <v>0.11017371825000905</v>
      </c>
      <c r="M38" s="120">
        <v>4.4874487484652226E-2</v>
      </c>
      <c r="N38" s="113">
        <v>6.4329296774814125E-3</v>
      </c>
      <c r="O38" s="113">
        <v>3.9589372621813744E-2</v>
      </c>
      <c r="P38" s="132">
        <v>1.5730358940221567E-2</v>
      </c>
      <c r="Q38" s="113">
        <v>2.8516623198563654E-3</v>
      </c>
      <c r="R38" s="113">
        <v>6.9490720598372631E-4</v>
      </c>
      <c r="S38" s="142">
        <v>8.4659675220828227E-3</v>
      </c>
      <c r="T38" s="164">
        <v>2.6248095101640521E-3</v>
      </c>
      <c r="U38" s="143">
        <v>7.4937494837373723E-3</v>
      </c>
      <c r="V38" s="197">
        <v>-2.3211501424210261E-3</v>
      </c>
      <c r="W38" s="143">
        <v>7.0716069152395493E-4</v>
      </c>
      <c r="X38" s="143">
        <v>-3.8602020921529965E-5</v>
      </c>
      <c r="Y38" s="142">
        <v>3.3789163450671342E-3</v>
      </c>
      <c r="Z38" s="167">
        <v>0</v>
      </c>
      <c r="AA38" s="190">
        <v>3.3789163450671342E-3</v>
      </c>
      <c r="AB38" s="142">
        <v>0.1474772723862198</v>
      </c>
      <c r="AC38" s="108">
        <v>0.10452118478606728</v>
      </c>
      <c r="AD38" s="149">
        <v>2.4045974482725982E-2</v>
      </c>
      <c r="AE38" s="184">
        <v>-3.6660728830856061E-2</v>
      </c>
      <c r="AF38" s="184">
        <v>1.116051712767809E-2</v>
      </c>
      <c r="AG38" s="184">
        <v>2.5500282532574154E-2</v>
      </c>
    </row>
    <row r="39" spans="1:33">
      <c r="A39" s="15">
        <v>2005</v>
      </c>
      <c r="B39" s="102">
        <v>0.28718405956684701</v>
      </c>
      <c r="C39" s="142">
        <v>0.15378201226432234</v>
      </c>
      <c r="D39" s="164">
        <v>1.8837007742318996E-3</v>
      </c>
      <c r="E39" s="165">
        <v>0.17999447304478144</v>
      </c>
      <c r="F39" s="166">
        <v>-1.3778998739891369E-2</v>
      </c>
      <c r="G39" s="143">
        <v>-1.2733198635331039E-2</v>
      </c>
      <c r="H39" s="165">
        <v>-1.583964179468593E-3</v>
      </c>
      <c r="I39" s="143">
        <v>3.842817086670211E-2</v>
      </c>
      <c r="J39" s="143">
        <v>8.9697133212640112E-2</v>
      </c>
      <c r="K39" s="143">
        <v>2.3864687407921949E-2</v>
      </c>
      <c r="L39" s="142">
        <v>0.11144588288860456</v>
      </c>
      <c r="M39" s="120">
        <v>4.871216943117284E-2</v>
      </c>
      <c r="N39" s="113">
        <v>6.8342546383407879E-3</v>
      </c>
      <c r="O39" s="113">
        <v>3.5787545823518563E-2</v>
      </c>
      <c r="P39" s="132">
        <v>1.581027847404792E-2</v>
      </c>
      <c r="Q39" s="113">
        <v>2.7016707038794007E-3</v>
      </c>
      <c r="R39" s="113">
        <v>1.5999638176450433E-3</v>
      </c>
      <c r="S39" s="142">
        <v>1.310131485333809E-2</v>
      </c>
      <c r="T39" s="164">
        <v>2.2430891862207261E-3</v>
      </c>
      <c r="U39" s="143">
        <v>1.1728826668580772E-2</v>
      </c>
      <c r="V39" s="197">
        <v>-2.031279734156558E-3</v>
      </c>
      <c r="W39" s="143">
        <v>1.1766783708696018E-3</v>
      </c>
      <c r="X39" s="143">
        <v>-1.599963817645043E-5</v>
      </c>
      <c r="Y39" s="142">
        <v>8.8548495605820371E-3</v>
      </c>
      <c r="Z39" s="167">
        <v>0</v>
      </c>
      <c r="AA39" s="190">
        <v>8.8548495605820371E-3</v>
      </c>
      <c r="AB39" s="142">
        <v>0.14987405375530666</v>
      </c>
      <c r="AC39" s="108">
        <v>0.10279844806597821</v>
      </c>
      <c r="AD39" s="149">
        <v>3.2719536968503986E-2</v>
      </c>
      <c r="AE39" s="184">
        <v>-3.0206949069364247E-2</v>
      </c>
      <c r="AF39" s="184">
        <v>8.8376851977873799E-3</v>
      </c>
      <c r="AG39" s="184">
        <v>2.1369263871576869E-2</v>
      </c>
    </row>
    <row r="40" spans="1:33">
      <c r="A40" s="15">
        <v>2006</v>
      </c>
      <c r="B40" s="102">
        <v>0.29786056872067668</v>
      </c>
      <c r="C40" s="142">
        <v>0.16449419833678805</v>
      </c>
      <c r="D40" s="164">
        <v>1.5806749336538357E-3</v>
      </c>
      <c r="E40" s="165">
        <v>0.19495177450033374</v>
      </c>
      <c r="F40" s="166">
        <v>-1.9830136182271509E-2</v>
      </c>
      <c r="G40" s="143">
        <v>-7.1173124311614483E-3</v>
      </c>
      <c r="H40" s="165">
        <v>-5.0908024837665686E-3</v>
      </c>
      <c r="I40" s="143">
        <v>4.2979427313850023E-2</v>
      </c>
      <c r="J40" s="143">
        <v>9.187086528672915E-2</v>
      </c>
      <c r="K40" s="143">
        <v>2.6737461108738668E-2</v>
      </c>
      <c r="L40" s="142">
        <v>0.1139911088324882</v>
      </c>
      <c r="M40" s="120">
        <v>4.7285311924711325E-2</v>
      </c>
      <c r="N40" s="113">
        <v>7.1658930251681996E-3</v>
      </c>
      <c r="O40" s="113">
        <v>3.2310776609138621E-2</v>
      </c>
      <c r="P40" s="132">
        <v>2.155593652923285E-2</v>
      </c>
      <c r="Q40" s="113">
        <v>2.4588286124775593E-3</v>
      </c>
      <c r="R40" s="113">
        <v>3.2143621317596315E-3</v>
      </c>
      <c r="S40" s="142">
        <v>1.6426658464686845E-2</v>
      </c>
      <c r="T40" s="164">
        <v>1.7926054674708835E-3</v>
      </c>
      <c r="U40" s="143">
        <v>1.2773532260200074E-2</v>
      </c>
      <c r="V40" s="197">
        <v>-1.7258003469613351E-3</v>
      </c>
      <c r="W40" s="143">
        <v>1.7098807319702854E-3</v>
      </c>
      <c r="X40" s="143">
        <v>1.8764403520069373E-3</v>
      </c>
      <c r="Y40" s="142">
        <v>2.9486030867136035E-3</v>
      </c>
      <c r="Z40" s="167">
        <v>0</v>
      </c>
      <c r="AA40" s="190">
        <v>2.9486030867136035E-3</v>
      </c>
      <c r="AB40" s="142">
        <v>0.15697053614633821</v>
      </c>
      <c r="AC40" s="108">
        <v>0.10829752375141599</v>
      </c>
      <c r="AD40" s="149">
        <v>2.9686064195452271E-2</v>
      </c>
      <c r="AE40" s="184">
        <v>-3.5802695560636866E-2</v>
      </c>
      <c r="AF40" s="184">
        <v>1.0260580777407302E-2</v>
      </c>
      <c r="AG40" s="184">
        <v>2.5542062927806142E-2</v>
      </c>
    </row>
    <row r="41" spans="1:33">
      <c r="A41" s="15">
        <v>2007</v>
      </c>
      <c r="B41" s="102">
        <v>0.30755526769443148</v>
      </c>
      <c r="C41" s="142">
        <v>0.17719990876900438</v>
      </c>
      <c r="D41" s="164">
        <v>1.5887875346610573E-3</v>
      </c>
      <c r="E41" s="165">
        <v>0.20392892101517865</v>
      </c>
      <c r="F41" s="166">
        <v>-1.6071606008020954E-2</v>
      </c>
      <c r="G41" s="143">
        <v>-3.3347060187653684E-3</v>
      </c>
      <c r="H41" s="165">
        <v>-8.9114877540489718E-3</v>
      </c>
      <c r="I41" s="143">
        <v>5.0201207721715484E-2</v>
      </c>
      <c r="J41" s="143">
        <v>9.9030320213340836E-2</v>
      </c>
      <c r="K41" s="143">
        <v>2.4053669883137199E-2</v>
      </c>
      <c r="L41" s="142">
        <v>0.11872043702809096</v>
      </c>
      <c r="M41" s="120">
        <v>5.1068057514101574E-2</v>
      </c>
      <c r="N41" s="113">
        <v>6.9787475067880364E-3</v>
      </c>
      <c r="O41" s="113">
        <v>3.0882257845767879E-2</v>
      </c>
      <c r="P41" s="132">
        <v>1.9093620949043887E-2</v>
      </c>
      <c r="Q41" s="113">
        <v>3.3789602495073157E-3</v>
      </c>
      <c r="R41" s="113">
        <v>7.3187929628822611E-3</v>
      </c>
      <c r="S41" s="142">
        <v>1.2806494426978173E-2</v>
      </c>
      <c r="T41" s="164">
        <v>1.6563697864555873E-3</v>
      </c>
      <c r="U41" s="143">
        <v>1.1452126491478672E-2</v>
      </c>
      <c r="V41" s="197">
        <v>-3.0220149410229266E-3</v>
      </c>
      <c r="W41" s="143">
        <v>1.1273182989001269E-3</v>
      </c>
      <c r="X41" s="143">
        <v>1.592694791166712E-3</v>
      </c>
      <c r="Y41" s="142">
        <v>-1.1715725296420712E-3</v>
      </c>
      <c r="Z41" s="167">
        <v>0</v>
      </c>
      <c r="AA41" s="190">
        <v>-1.1715725296420712E-3</v>
      </c>
      <c r="AB41" s="142">
        <v>0.16892164474980645</v>
      </c>
      <c r="AC41" s="108">
        <v>0.11183681464031901</v>
      </c>
      <c r="AD41" s="149">
        <v>2.2882097353495126E-2</v>
      </c>
      <c r="AE41" s="184">
        <v>-4.3981509885767663E-2</v>
      </c>
      <c r="AF41" s="184">
        <v>1.2467090595624942E-2</v>
      </c>
      <c r="AG41" s="184">
        <v>3.1514377697820596E-2</v>
      </c>
    </row>
    <row r="42" spans="1:33">
      <c r="A42" s="15">
        <v>2008</v>
      </c>
      <c r="B42" s="102">
        <v>0.32172799722613465</v>
      </c>
      <c r="C42" s="142">
        <v>0.19762643641380462</v>
      </c>
      <c r="D42" s="164">
        <v>1.2663510810950987E-3</v>
      </c>
      <c r="E42" s="165">
        <v>0.22092591215108021</v>
      </c>
      <c r="F42" s="166">
        <v>-1.5468569678397683E-2</v>
      </c>
      <c r="G42" s="143">
        <v>-3.0630171394061025E-3</v>
      </c>
      <c r="H42" s="165">
        <v>-6.0342400005668944E-3</v>
      </c>
      <c r="I42" s="143">
        <v>5.9255967918442766E-2</v>
      </c>
      <c r="J42" s="143">
        <v>0.10717249481875572</v>
      </c>
      <c r="K42" s="143">
        <v>2.6570822927360217E-2</v>
      </c>
      <c r="L42" s="142">
        <v>0.10969328645296379</v>
      </c>
      <c r="M42" s="120">
        <v>4.3725095476568866E-2</v>
      </c>
      <c r="N42" s="113">
        <v>6.4567266869640276E-3</v>
      </c>
      <c r="O42" s="113">
        <v>3.076617771018433E-2</v>
      </c>
      <c r="P42" s="132">
        <v>2.1718018614712519E-2</v>
      </c>
      <c r="Q42" s="113">
        <v>2.5787705955290434E-3</v>
      </c>
      <c r="R42" s="113">
        <v>4.4484973690050045E-3</v>
      </c>
      <c r="S42" s="142">
        <v>1.9838448786963975E-2</v>
      </c>
      <c r="T42" s="164">
        <v>1.295046670192433E-3</v>
      </c>
      <c r="U42" s="143">
        <v>1.7292722701308612E-2</v>
      </c>
      <c r="V42" s="197">
        <v>-5.9703999706505109E-3</v>
      </c>
      <c r="W42" s="143">
        <v>5.6353367545515483E-3</v>
      </c>
      <c r="X42" s="143">
        <v>1.5857426315618898E-3</v>
      </c>
      <c r="Y42" s="142">
        <v>-5.4301744275977405E-3</v>
      </c>
      <c r="Z42" s="167">
        <v>-2.7911946818217682E-4</v>
      </c>
      <c r="AA42" s="190">
        <v>-5.1510549594155639E-3</v>
      </c>
      <c r="AB42" s="142">
        <v>0.16894925437140657</v>
      </c>
      <c r="AC42" s="108">
        <v>0.12701094360571968</v>
      </c>
      <c r="AD42" s="149">
        <v>2.1140648499762476E-2</v>
      </c>
      <c r="AE42" s="184">
        <v>-3.5501190352562328E-2</v>
      </c>
      <c r="AF42" s="184">
        <v>1.5199849331598906E-2</v>
      </c>
      <c r="AG42" s="184">
        <v>2.0301305769704497E-2</v>
      </c>
    </row>
    <row r="43" spans="1:33">
      <c r="A43" s="99">
        <v>2009</v>
      </c>
      <c r="B43" s="103">
        <v>0.30773689989386893</v>
      </c>
      <c r="C43" s="145">
        <v>0.1687152797173426</v>
      </c>
      <c r="D43" s="168">
        <v>1.5273427840858643E-3</v>
      </c>
      <c r="E43" s="169">
        <v>0.19751626753249343</v>
      </c>
      <c r="F43" s="170">
        <v>-1.1327158025893012E-2</v>
      </c>
      <c r="G43" s="171">
        <v>-1.2745197613470829E-2</v>
      </c>
      <c r="H43" s="169">
        <v>-6.2559749598728861E-3</v>
      </c>
      <c r="I43" s="171">
        <v>4.8918605547394071E-2</v>
      </c>
      <c r="J43" s="171">
        <v>8.8900451597331537E-2</v>
      </c>
      <c r="K43" s="172">
        <v>2.5358673863379106E-2</v>
      </c>
      <c r="L43" s="145">
        <v>0.11594830825643408</v>
      </c>
      <c r="M43" s="121">
        <v>5.3399385516649411E-2</v>
      </c>
      <c r="N43" s="114">
        <v>7.5329446876324924E-3</v>
      </c>
      <c r="O43" s="114">
        <v>2.9422046927787295E-2</v>
      </c>
      <c r="P43" s="133">
        <v>1.816185713420735E-2</v>
      </c>
      <c r="Q43" s="114">
        <v>2.5711090166185896E-3</v>
      </c>
      <c r="R43" s="114">
        <v>4.860964973538948E-3</v>
      </c>
      <c r="S43" s="145">
        <v>1.9596782777949885E-2</v>
      </c>
      <c r="T43" s="168">
        <v>1.6029264432633064E-3</v>
      </c>
      <c r="U43" s="171">
        <v>1.6736018438015175E-2</v>
      </c>
      <c r="V43" s="198">
        <v>-6.8347639804305221E-3</v>
      </c>
      <c r="W43" s="171">
        <v>6.6975918907679899E-3</v>
      </c>
      <c r="X43" s="171">
        <v>1.3950099863339384E-3</v>
      </c>
      <c r="Y43" s="145">
        <v>3.4765291421423412E-3</v>
      </c>
      <c r="Z43" s="173">
        <v>0</v>
      </c>
      <c r="AA43" s="191">
        <v>3.4765291421423412E-3</v>
      </c>
      <c r="AB43" s="145">
        <v>0.16486691380382815</v>
      </c>
      <c r="AC43" s="124">
        <v>0.10849723437528142</v>
      </c>
      <c r="AD43" s="174">
        <v>2.8835203005521448E-2</v>
      </c>
      <c r="AE43" s="184">
        <v>-5.1275861274327886E-2</v>
      </c>
      <c r="AF43" s="184">
        <v>2.1225767181387033E-2</v>
      </c>
      <c r="AG43" s="184">
        <v>3.0050094092940863E-2</v>
      </c>
    </row>
    <row r="44" spans="1:33">
      <c r="A44" s="15">
        <v>2010</v>
      </c>
      <c r="B44" s="102">
        <v>0.30821460400630118</v>
      </c>
      <c r="C44" s="142">
        <v>0.17847525796875896</v>
      </c>
      <c r="D44" s="164">
        <v>1.4123915517558906E-3</v>
      </c>
      <c r="E44" s="165">
        <v>0.20637211973929229</v>
      </c>
      <c r="F44" s="166">
        <v>1.0410980682717771E-2</v>
      </c>
      <c r="G44" s="143">
        <v>-3.3323404910659923E-2</v>
      </c>
      <c r="H44" s="165">
        <v>-6.3968290943470646E-3</v>
      </c>
      <c r="I44" s="143">
        <v>5.1547868692001141E-2</v>
      </c>
      <c r="J44" s="143">
        <v>9.4230560028785604E-2</v>
      </c>
      <c r="K44" s="143">
        <v>2.6046682864402176E-2</v>
      </c>
      <c r="L44" s="142">
        <v>0.10921012687557614</v>
      </c>
      <c r="M44" s="120">
        <v>4.9907031838854365E-2</v>
      </c>
      <c r="N44" s="113">
        <v>7.6931302953596173E-3</v>
      </c>
      <c r="O44" s="113">
        <v>2.8638405460985023E-2</v>
      </c>
      <c r="P44" s="132">
        <v>1.5467027665909938E-2</v>
      </c>
      <c r="Q44" s="113">
        <v>2.9493330552457886E-3</v>
      </c>
      <c r="R44" s="113">
        <v>4.5551985592214208E-3</v>
      </c>
      <c r="S44" s="142">
        <v>1.3392537473390169E-2</v>
      </c>
      <c r="T44" s="164">
        <v>1.4405000556773232E-3</v>
      </c>
      <c r="U44" s="143">
        <v>1.2750997379427056E-2</v>
      </c>
      <c r="V44" s="197">
        <v>-6.6986781002921787E-3</v>
      </c>
      <c r="W44" s="143">
        <v>4.0580876034523239E-3</v>
      </c>
      <c r="X44" s="143">
        <v>1.8416305351256445E-3</v>
      </c>
      <c r="Y44" s="142">
        <v>7.1366816885759243E-3</v>
      </c>
      <c r="Z44" s="167">
        <v>-1.9179302563385885E-2</v>
      </c>
      <c r="AA44" s="190">
        <v>2.631598425196181E-2</v>
      </c>
      <c r="AB44" s="142">
        <v>0.16075799556757728</v>
      </c>
      <c r="AC44" s="108">
        <v>0.10762309750217577</v>
      </c>
      <c r="AD44" s="149">
        <v>3.3183364552978101E-2</v>
      </c>
      <c r="AE44" s="184">
        <v>-6.669611671663199E-2</v>
      </c>
      <c r="AF44" s="184">
        <v>2.7305388982262317E-2</v>
      </c>
      <c r="AG44" s="184">
        <v>3.939072773436967E-2</v>
      </c>
    </row>
    <row r="45" spans="1:33">
      <c r="A45" s="15">
        <v>2011</v>
      </c>
      <c r="B45" s="102">
        <v>0.31605355866778151</v>
      </c>
      <c r="C45" s="142">
        <v>0.17595790043427342</v>
      </c>
      <c r="D45" s="164">
        <v>1.2797237609548328E-3</v>
      </c>
      <c r="E45" s="165">
        <v>0.21509603696693586</v>
      </c>
      <c r="F45" s="166">
        <v>1.9316839269788281E-3</v>
      </c>
      <c r="G45" s="143">
        <v>-3.6411873975902412E-2</v>
      </c>
      <c r="H45" s="165">
        <v>-5.9376702446937001E-3</v>
      </c>
      <c r="I45" s="143">
        <v>5.0904831933290789E-2</v>
      </c>
      <c r="J45" s="143">
        <v>9.2838092066455991E-2</v>
      </c>
      <c r="K45" s="143">
        <v>2.5058761767236225E-2</v>
      </c>
      <c r="L45" s="142">
        <v>0.11118400107887273</v>
      </c>
      <c r="M45" s="120">
        <v>5.0132689557694239E-2</v>
      </c>
      <c r="N45" s="113">
        <v>7.7610014978702572E-3</v>
      </c>
      <c r="O45" s="113">
        <v>2.8362206868806663E-2</v>
      </c>
      <c r="P45" s="132">
        <v>1.7992599112264727E-2</v>
      </c>
      <c r="Q45" s="113">
        <v>2.6205936278408787E-3</v>
      </c>
      <c r="R45" s="113">
        <v>4.3149104143959645E-3</v>
      </c>
      <c r="S45" s="142">
        <v>1.5918466304407335E-2</v>
      </c>
      <c r="T45" s="164">
        <v>1.2079415324031942E-3</v>
      </c>
      <c r="U45" s="143">
        <v>1.2213887704722481E-2</v>
      </c>
      <c r="V45" s="197">
        <v>-4.7672079443694731E-3</v>
      </c>
      <c r="W45" s="143">
        <v>5.6410615885554216E-3</v>
      </c>
      <c r="X45" s="143">
        <v>1.6227834230957106E-3</v>
      </c>
      <c r="Y45" s="142">
        <v>1.2993190850227987E-2</v>
      </c>
      <c r="Z45" s="167">
        <v>-1.5157051502076104E-2</v>
      </c>
      <c r="AA45" s="190">
        <v>2.8150242352304091E-2</v>
      </c>
      <c r="AB45" s="142">
        <v>0.16208883301216354</v>
      </c>
      <c r="AC45" s="108">
        <v>0.10875655837086333</v>
      </c>
      <c r="AD45" s="149">
        <v>3.8051952617464212E-2</v>
      </c>
      <c r="AE45" s="184">
        <v>-6.2896983832746153E-2</v>
      </c>
      <c r="AF45" s="184">
        <v>3.4329125363491406E-2</v>
      </c>
      <c r="AG45" s="184">
        <v>2.8567834876456775E-2</v>
      </c>
    </row>
    <row r="46" spans="1:33">
      <c r="A46" s="15">
        <v>2012</v>
      </c>
      <c r="B46" s="102">
        <v>0.30097765867869458</v>
      </c>
      <c r="C46" s="142">
        <v>0.16593661707018731</v>
      </c>
      <c r="D46" s="164">
        <v>1.2360760009585082E-3</v>
      </c>
      <c r="E46" s="165">
        <v>0.20268106973101691</v>
      </c>
      <c r="F46" s="166">
        <v>-3.2858886409909494E-3</v>
      </c>
      <c r="G46" s="143">
        <v>-2.793000030656478E-2</v>
      </c>
      <c r="H46" s="165">
        <v>-6.7646397142323862E-3</v>
      </c>
      <c r="I46" s="143">
        <v>4.9267676853316532E-2</v>
      </c>
      <c r="J46" s="143">
        <v>8.8744743929732639E-2</v>
      </c>
      <c r="K46" s="143">
        <v>1.8655937343272609E-2</v>
      </c>
      <c r="L46" s="142">
        <v>0.11385398386691203</v>
      </c>
      <c r="M46" s="120">
        <v>5.0659883830959811E-2</v>
      </c>
      <c r="N46" s="113">
        <v>7.6527529750380022E-3</v>
      </c>
      <c r="O46" s="113">
        <v>2.7622123923218736E-2</v>
      </c>
      <c r="P46" s="132">
        <v>1.9710315254519391E-2</v>
      </c>
      <c r="Q46" s="113">
        <v>3.6368799868875569E-3</v>
      </c>
      <c r="R46" s="113">
        <v>4.5720278962885505E-3</v>
      </c>
      <c r="S46" s="142">
        <v>1.6468613397236421E-2</v>
      </c>
      <c r="T46" s="164">
        <v>1.0751394027402232E-3</v>
      </c>
      <c r="U46" s="143">
        <v>1.0050570301275704E-2</v>
      </c>
      <c r="V46" s="197">
        <v>-1.3225945701118322E-3</v>
      </c>
      <c r="W46" s="143">
        <v>4.4728864453884923E-3</v>
      </c>
      <c r="X46" s="143">
        <v>2.1926118179438352E-3</v>
      </c>
      <c r="Y46" s="142">
        <v>4.7184443443587867E-3</v>
      </c>
      <c r="Z46" s="167">
        <v>-1.5101789529929945E-2</v>
      </c>
      <c r="AA46" s="190">
        <v>1.9820233874288731E-2</v>
      </c>
      <c r="AB46" s="142">
        <v>0.16312166072022857</v>
      </c>
      <c r="AC46" s="108">
        <v>0.10521335732696906</v>
      </c>
      <c r="AD46" s="149">
        <v>2.3374381687631396E-2</v>
      </c>
      <c r="AE46" s="184">
        <v>-5.3418068452645684E-2</v>
      </c>
      <c r="AF46" s="184">
        <v>3.0611304653709374E-2</v>
      </c>
      <c r="AG46" s="184">
        <v>2.2806785055679644E-2</v>
      </c>
    </row>
    <row r="47" spans="1:33">
      <c r="A47" s="15">
        <v>2013</v>
      </c>
      <c r="B47" s="102">
        <v>0.3204601546148047</v>
      </c>
      <c r="C47" s="142">
        <v>0.18117319153977401</v>
      </c>
      <c r="D47" s="164">
        <v>1.1885930426526624E-3</v>
      </c>
      <c r="E47" s="165">
        <v>0.22713754631961863</v>
      </c>
      <c r="F47" s="166">
        <v>-6.9221054973409111E-3</v>
      </c>
      <c r="G47" s="143">
        <v>-3.4126625380347324E-2</v>
      </c>
      <c r="H47" s="165">
        <v>-6.1042169448090548E-3</v>
      </c>
      <c r="I47" s="143">
        <v>5.5211653009182939E-2</v>
      </c>
      <c r="J47" s="143">
        <v>9.7319810675803461E-2</v>
      </c>
      <c r="K47" s="143">
        <v>1.9053139628571209E-2</v>
      </c>
      <c r="L47" s="142">
        <v>0.10913197689811913</v>
      </c>
      <c r="M47" s="120">
        <v>5.0417499741167444E-2</v>
      </c>
      <c r="N47" s="113">
        <v>6.1469171810554901E-3</v>
      </c>
      <c r="O47" s="113">
        <v>2.5663495510238353E-2</v>
      </c>
      <c r="P47" s="132">
        <v>2.048322231802573E-2</v>
      </c>
      <c r="Q47" s="113">
        <v>3.2517154908728039E-3</v>
      </c>
      <c r="R47" s="113">
        <v>3.1691266567593014E-3</v>
      </c>
      <c r="S47" s="142">
        <v>1.9152326570914886E-2</v>
      </c>
      <c r="T47" s="164">
        <v>9.7161329739417935E-4</v>
      </c>
      <c r="U47" s="143">
        <v>8.9345273467375547E-3</v>
      </c>
      <c r="V47" s="197">
        <v>-2.3910479269452923E-4</v>
      </c>
      <c r="W47" s="143">
        <v>6.5502004314279281E-3</v>
      </c>
      <c r="X47" s="143">
        <v>2.9350902880497533E-3</v>
      </c>
      <c r="Y47" s="142">
        <v>1.1002659605996728E-2</v>
      </c>
      <c r="Z47" s="167">
        <v>-1.3322030940020073E-2</v>
      </c>
      <c r="AA47" s="190">
        <v>2.4324690546016801E-2</v>
      </c>
      <c r="AB47" s="142">
        <v>0.16434362990730206</v>
      </c>
      <c r="AC47" s="108">
        <v>0.11647213724671834</v>
      </c>
      <c r="AD47" s="149">
        <v>3.0055799234567936E-2</v>
      </c>
      <c r="AE47" s="184">
        <v>-6.7900711613291448E-2</v>
      </c>
      <c r="AF47" s="184">
        <v>4.409120367091237E-2</v>
      </c>
      <c r="AG47" s="184">
        <v>2.3809507942379078E-2</v>
      </c>
    </row>
    <row r="48" spans="1:33">
      <c r="A48" s="15">
        <v>2014</v>
      </c>
      <c r="B48" s="102">
        <v>0.31996136355782301</v>
      </c>
      <c r="C48" s="142">
        <v>0.19087449422300165</v>
      </c>
      <c r="D48" s="164">
        <v>1.0381386104809139E-3</v>
      </c>
      <c r="E48" s="165">
        <v>0.22970905789449256</v>
      </c>
      <c r="F48" s="166">
        <v>-8.335195208545915E-3</v>
      </c>
      <c r="G48" s="143">
        <v>-2.5340154262677755E-2</v>
      </c>
      <c r="H48" s="165">
        <v>-6.1973528107481645E-3</v>
      </c>
      <c r="I48" s="143">
        <v>5.8113591558239155E-2</v>
      </c>
      <c r="J48" s="143">
        <v>0.10047233215836275</v>
      </c>
      <c r="K48" s="143">
        <v>2.2339583708229711E-2</v>
      </c>
      <c r="L48" s="142">
        <v>0.10419427147442058</v>
      </c>
      <c r="M48" s="120">
        <v>4.8083850538273167E-2</v>
      </c>
      <c r="N48" s="113">
        <v>6.065691443488043E-3</v>
      </c>
      <c r="O48" s="113">
        <v>2.4007821190559695E-2</v>
      </c>
      <c r="P48" s="132">
        <v>1.8754660056827119E-2</v>
      </c>
      <c r="Q48" s="113">
        <v>3.3916058773109229E-3</v>
      </c>
      <c r="R48" s="113">
        <v>3.8906423679616374E-3</v>
      </c>
      <c r="S48" s="142">
        <v>2.3582094169887585E-2</v>
      </c>
      <c r="T48" s="164">
        <v>8.0752712016361197E-4</v>
      </c>
      <c r="U48" s="143">
        <v>1.0249276760364981E-2</v>
      </c>
      <c r="V48" s="197">
        <v>2.9865314500180529E-3</v>
      </c>
      <c r="W48" s="143">
        <v>7.2320655179216407E-3</v>
      </c>
      <c r="X48" s="143">
        <v>2.3066933214192968E-3</v>
      </c>
      <c r="Y48" s="142">
        <v>1.3105036905131581E-3</v>
      </c>
      <c r="Z48" s="167">
        <v>-1.3405996298299264E-2</v>
      </c>
      <c r="AA48" s="190">
        <v>1.4716499988812422E-2</v>
      </c>
      <c r="AB48" s="142">
        <v>0.16230786303265973</v>
      </c>
      <c r="AC48" s="108">
        <v>0.12405442632825034</v>
      </c>
      <c r="AD48" s="149">
        <v>2.3650087398742869E-2</v>
      </c>
      <c r="AE48" s="184">
        <v>-5.0910522429129128E-2</v>
      </c>
      <c r="AF48" s="184">
        <v>2.9828092647822671E-2</v>
      </c>
      <c r="AG48" s="184">
        <v>2.1082412659939233E-2</v>
      </c>
    </row>
    <row r="49" spans="1:33" ht="15" thickBot="1">
      <c r="A49" s="32">
        <v>2015</v>
      </c>
      <c r="B49" s="106"/>
      <c r="C49" s="107"/>
      <c r="D49" s="175">
        <v>1.0993315675272867E-3</v>
      </c>
      <c r="E49" s="176"/>
      <c r="F49" s="177"/>
      <c r="G49" s="178"/>
      <c r="H49" s="176"/>
      <c r="I49" s="178"/>
      <c r="J49" s="178"/>
      <c r="K49" s="180"/>
      <c r="L49" s="179"/>
      <c r="M49" s="122">
        <v>5.1572116448726488E-2</v>
      </c>
      <c r="N49" s="115"/>
      <c r="O49" s="115">
        <v>2.3305019387096962E-2</v>
      </c>
      <c r="P49" s="134"/>
      <c r="Q49" s="115"/>
      <c r="R49" s="115"/>
      <c r="S49" s="179"/>
      <c r="T49" s="175">
        <v>8.7432584956437676E-4</v>
      </c>
      <c r="U49" s="178"/>
      <c r="V49" s="199"/>
      <c r="W49" s="178"/>
      <c r="X49" s="178"/>
      <c r="Y49" s="179"/>
      <c r="Z49" s="181"/>
      <c r="AA49" s="192"/>
      <c r="AB49" s="179"/>
      <c r="AC49" s="125"/>
      <c r="AD49" s="182"/>
      <c r="AE49" s="184"/>
      <c r="AF49" s="184"/>
      <c r="AG49" s="184"/>
    </row>
    <row r="50" spans="1:33" ht="15" thickTop="1">
      <c r="C50" s="12"/>
    </row>
    <row r="51" spans="1:33">
      <c r="C51" s="12"/>
    </row>
    <row r="52" spans="1:33">
      <c r="C52" s="12"/>
    </row>
    <row r="53" spans="1:33">
      <c r="B53" s="13"/>
      <c r="C53" s="12"/>
    </row>
    <row r="54" spans="1:33">
      <c r="B54" s="13"/>
      <c r="C54" s="12"/>
    </row>
    <row r="55" spans="1:33">
      <c r="B55" s="13"/>
      <c r="C55" s="12"/>
    </row>
    <row r="56" spans="1:33">
      <c r="B56" s="13"/>
      <c r="C56" s="12"/>
    </row>
    <row r="57" spans="1:33">
      <c r="B57" s="13"/>
      <c r="C57" s="12"/>
    </row>
    <row r="58" spans="1:33">
      <c r="B58" s="13"/>
      <c r="C58" s="12"/>
    </row>
    <row r="59" spans="1:33">
      <c r="B59" s="13"/>
      <c r="C59" s="12"/>
    </row>
    <row r="60" spans="1:33">
      <c r="B60" s="13"/>
      <c r="C60" s="12"/>
    </row>
    <row r="61" spans="1:33">
      <c r="B61" s="13"/>
      <c r="C61" s="12"/>
    </row>
    <row r="62" spans="1:33">
      <c r="B62" s="13"/>
      <c r="C62" s="12"/>
    </row>
    <row r="63" spans="1:33">
      <c r="B63" s="13"/>
      <c r="C63" s="12"/>
    </row>
    <row r="64" spans="1:33">
      <c r="B64" s="13"/>
      <c r="C64" s="12"/>
    </row>
    <row r="65" spans="2:3">
      <c r="B65" s="13"/>
      <c r="C65" s="12"/>
    </row>
    <row r="66" spans="2:3">
      <c r="B66" s="13"/>
      <c r="C66" s="12"/>
    </row>
    <row r="67" spans="2:3">
      <c r="B67" s="13"/>
      <c r="C67" s="12"/>
    </row>
    <row r="68" spans="2:3">
      <c r="B68" s="13"/>
      <c r="C68" s="12"/>
    </row>
    <row r="69" spans="2:3">
      <c r="B69" s="13"/>
      <c r="C69" s="12"/>
    </row>
    <row r="70" spans="2:3">
      <c r="B70" s="13"/>
      <c r="C70" s="12"/>
    </row>
    <row r="71" spans="2:3">
      <c r="B71" s="13"/>
      <c r="C71" s="12"/>
    </row>
    <row r="72" spans="2:3">
      <c r="B72" s="13"/>
      <c r="C72" s="12"/>
    </row>
    <row r="73" spans="2:3">
      <c r="B73" s="13"/>
      <c r="C73" s="12"/>
    </row>
    <row r="74" spans="2:3">
      <c r="B74" s="13"/>
      <c r="C74" s="12"/>
    </row>
    <row r="75" spans="2:3">
      <c r="B75" s="13"/>
      <c r="C75" s="12"/>
    </row>
    <row r="76" spans="2:3">
      <c r="B76" s="13"/>
      <c r="C76" s="12"/>
    </row>
    <row r="77" spans="2:3">
      <c r="B77" s="13"/>
      <c r="C77" s="12"/>
    </row>
    <row r="78" spans="2:3">
      <c r="B78" s="13"/>
      <c r="C78" s="12"/>
    </row>
    <row r="79" spans="2:3">
      <c r="B79" s="13"/>
      <c r="C79" s="12"/>
    </row>
    <row r="80" spans="2:3">
      <c r="B80" s="13"/>
      <c r="C80" s="12"/>
    </row>
    <row r="81" spans="2:3">
      <c r="B81" s="13"/>
      <c r="C81" s="12"/>
    </row>
    <row r="82" spans="2:3">
      <c r="B82" s="13"/>
      <c r="C82" s="12"/>
    </row>
    <row r="83" spans="2:3">
      <c r="B83" s="13"/>
      <c r="C83" s="12"/>
    </row>
    <row r="84" spans="2:3">
      <c r="B84" s="13"/>
      <c r="C84" s="12"/>
    </row>
    <row r="85" spans="2:3">
      <c r="B85" s="13"/>
      <c r="C85" s="12"/>
    </row>
    <row r="86" spans="2:3">
      <c r="B86" s="13"/>
      <c r="C86" s="12"/>
    </row>
    <row r="87" spans="2:3">
      <c r="B87" s="13"/>
      <c r="C87" s="12"/>
    </row>
    <row r="88" spans="2:3">
      <c r="B88" s="13"/>
      <c r="C88" s="12"/>
    </row>
    <row r="89" spans="2:3">
      <c r="B89" s="13"/>
      <c r="C89" s="12"/>
    </row>
    <row r="90" spans="2:3">
      <c r="B90" s="13"/>
      <c r="C90" s="12"/>
    </row>
    <row r="91" spans="2:3">
      <c r="B91" s="13"/>
      <c r="C91" s="12"/>
    </row>
    <row r="92" spans="2:3">
      <c r="B92" s="13"/>
      <c r="C92" s="12"/>
    </row>
    <row r="93" spans="2:3">
      <c r="B93" s="13"/>
      <c r="C93" s="12"/>
    </row>
    <row r="94" spans="2:3">
      <c r="B94" s="13"/>
      <c r="C94" s="12"/>
    </row>
    <row r="95" spans="2:3">
      <c r="B95" s="13"/>
      <c r="C95" s="12"/>
    </row>
    <row r="96" spans="2:3">
      <c r="B96" s="13"/>
      <c r="C96" s="12"/>
    </row>
    <row r="97" spans="2:3">
      <c r="B97" s="13"/>
      <c r="C97" s="12"/>
    </row>
    <row r="98" spans="2:3">
      <c r="B98" s="13"/>
      <c r="C98" s="12"/>
    </row>
    <row r="99" spans="2:3">
      <c r="B99" s="13"/>
      <c r="C99" s="12"/>
    </row>
    <row r="100" spans="2:3">
      <c r="B100" s="13"/>
      <c r="C100" s="12"/>
    </row>
    <row r="101" spans="2:3">
      <c r="B101" s="13"/>
      <c r="C101" s="12"/>
    </row>
    <row r="102" spans="2:3">
      <c r="B102" s="13"/>
      <c r="C102" s="12"/>
    </row>
    <row r="103" spans="2:3">
      <c r="B103" s="13"/>
      <c r="C103" s="12"/>
    </row>
    <row r="104" spans="2:3">
      <c r="B104" s="13"/>
      <c r="C104" s="12"/>
    </row>
    <row r="105" spans="2:3">
      <c r="B105" s="13"/>
      <c r="C105" s="12"/>
    </row>
    <row r="106" spans="2:3">
      <c r="B106" s="13"/>
      <c r="C106" s="12"/>
    </row>
    <row r="107" spans="2:3">
      <c r="B107" s="13"/>
      <c r="C107" s="12"/>
    </row>
    <row r="108" spans="2:3">
      <c r="B108" s="13"/>
      <c r="C108" s="12"/>
    </row>
    <row r="109" spans="2:3">
      <c r="B109" s="13"/>
      <c r="C109" s="12"/>
    </row>
    <row r="110" spans="2:3">
      <c r="B110" s="13"/>
      <c r="C110" s="12"/>
    </row>
    <row r="111" spans="2:3">
      <c r="B111" s="13"/>
      <c r="C111" s="12"/>
    </row>
    <row r="112" spans="2:3">
      <c r="B112" s="13"/>
      <c r="C112" s="12"/>
    </row>
    <row r="113" spans="2:3">
      <c r="B113" s="13"/>
      <c r="C113" s="12"/>
    </row>
    <row r="114" spans="2:3">
      <c r="B114" s="13"/>
      <c r="C114" s="12"/>
    </row>
    <row r="115" spans="2:3">
      <c r="B115" s="13"/>
      <c r="C115" s="12"/>
    </row>
    <row r="116" spans="2:3">
      <c r="B116" s="13"/>
      <c r="C116" s="12"/>
    </row>
    <row r="117" spans="2:3">
      <c r="B117" s="13"/>
      <c r="C117" s="12"/>
    </row>
    <row r="118" spans="2:3">
      <c r="B118" s="13"/>
      <c r="C118" s="12"/>
    </row>
    <row r="119" spans="2:3">
      <c r="B119" s="13"/>
      <c r="C119" s="12"/>
    </row>
    <row r="120" spans="2:3">
      <c r="B120" s="13"/>
      <c r="C120" s="12"/>
    </row>
    <row r="121" spans="2:3">
      <c r="B121" s="13"/>
      <c r="C121" s="12"/>
    </row>
    <row r="122" spans="2:3">
      <c r="B122" s="13"/>
      <c r="C122" s="12"/>
    </row>
    <row r="123" spans="2:3">
      <c r="B123" s="13"/>
      <c r="C123" s="12"/>
    </row>
    <row r="124" spans="2:3">
      <c r="B124" s="13"/>
      <c r="C124" s="12"/>
    </row>
    <row r="125" spans="2:3">
      <c r="B125" s="13"/>
      <c r="C125" s="12"/>
    </row>
    <row r="126" spans="2:3">
      <c r="B126" s="13"/>
      <c r="C126" s="12"/>
    </row>
    <row r="127" spans="2:3">
      <c r="B127" s="13"/>
      <c r="C127" s="12"/>
    </row>
    <row r="128" spans="2:3">
      <c r="B128" s="13"/>
      <c r="C128" s="12"/>
    </row>
    <row r="129" spans="2:3">
      <c r="B129" s="13"/>
      <c r="C129" s="12"/>
    </row>
    <row r="130" spans="2:3">
      <c r="B130" s="13"/>
      <c r="C130" s="12"/>
    </row>
    <row r="131" spans="2:3">
      <c r="B131" s="13"/>
      <c r="C131" s="12"/>
    </row>
    <row r="132" spans="2:3">
      <c r="B132" s="13"/>
      <c r="C132" s="12"/>
    </row>
    <row r="133" spans="2:3">
      <c r="B133" s="13"/>
      <c r="C133" s="12"/>
    </row>
    <row r="134" spans="2:3">
      <c r="B134" s="13"/>
      <c r="C134" s="12"/>
    </row>
    <row r="135" spans="2:3">
      <c r="B135" s="13"/>
      <c r="C135" s="12"/>
    </row>
    <row r="136" spans="2:3">
      <c r="B136" s="13"/>
      <c r="C136" s="12"/>
    </row>
    <row r="137" spans="2:3">
      <c r="B137" s="13"/>
      <c r="C137" s="12"/>
    </row>
    <row r="138" spans="2:3">
      <c r="B138" s="13"/>
      <c r="C138" s="12"/>
    </row>
    <row r="139" spans="2:3">
      <c r="B139" s="13"/>
      <c r="C139" s="12"/>
    </row>
    <row r="140" spans="2:3">
      <c r="B140" s="13"/>
      <c r="C140" s="12"/>
    </row>
    <row r="141" spans="2:3">
      <c r="B141" s="13"/>
      <c r="C141" s="12"/>
    </row>
    <row r="142" spans="2:3">
      <c r="B142" s="13"/>
      <c r="C142" s="12"/>
    </row>
    <row r="143" spans="2:3">
      <c r="B143" s="13"/>
      <c r="C143" s="12"/>
    </row>
    <row r="144" spans="2:3">
      <c r="B144" s="13"/>
      <c r="C144" s="12"/>
    </row>
    <row r="145" spans="2:3">
      <c r="B145" s="13"/>
      <c r="C145" s="12"/>
    </row>
    <row r="146" spans="2:3">
      <c r="B146" s="13"/>
      <c r="C146" s="12"/>
    </row>
    <row r="147" spans="2:3">
      <c r="B147" s="13"/>
      <c r="C147" s="12"/>
    </row>
    <row r="148" spans="2:3">
      <c r="B148" s="13"/>
      <c r="C148" s="12"/>
    </row>
    <row r="149" spans="2:3">
      <c r="B149" s="13"/>
      <c r="C149" s="12"/>
    </row>
    <row r="150" spans="2:3">
      <c r="B150" s="13"/>
      <c r="C150" s="12"/>
    </row>
    <row r="151" spans="2:3">
      <c r="B151" s="13"/>
      <c r="C151" s="12"/>
    </row>
    <row r="152" spans="2:3">
      <c r="B152" s="13"/>
      <c r="C152" s="12"/>
    </row>
    <row r="153" spans="2:3">
      <c r="B153" s="13"/>
      <c r="C153" s="12"/>
    </row>
    <row r="154" spans="2:3">
      <c r="B154" s="13"/>
      <c r="C154" s="12"/>
    </row>
    <row r="155" spans="2:3">
      <c r="B155" s="13"/>
      <c r="C155" s="12"/>
    </row>
    <row r="156" spans="2:3">
      <c r="B156" s="13"/>
      <c r="C156" s="12"/>
    </row>
    <row r="157" spans="2:3">
      <c r="B157" s="13"/>
      <c r="C157" s="12"/>
    </row>
    <row r="158" spans="2:3">
      <c r="B158" s="13"/>
      <c r="C158" s="12"/>
    </row>
    <row r="159" spans="2:3">
      <c r="B159" s="13"/>
      <c r="C159" s="12"/>
    </row>
    <row r="160" spans="2:3">
      <c r="B160" s="13"/>
      <c r="C160" s="12"/>
    </row>
    <row r="161" spans="2:3">
      <c r="B161" s="13"/>
      <c r="C161" s="12"/>
    </row>
    <row r="162" spans="2:3">
      <c r="B162" s="13"/>
      <c r="C162" s="12"/>
    </row>
    <row r="163" spans="2:3">
      <c r="B163" s="13"/>
      <c r="C163" s="12"/>
    </row>
    <row r="164" spans="2:3">
      <c r="B164" s="13"/>
      <c r="C164" s="12"/>
    </row>
    <row r="165" spans="2:3">
      <c r="B165" s="13"/>
      <c r="C165" s="12"/>
    </row>
    <row r="166" spans="2:3">
      <c r="B166" s="13"/>
      <c r="C166" s="12"/>
    </row>
    <row r="167" spans="2:3">
      <c r="B167" s="13"/>
      <c r="C167" s="12"/>
    </row>
    <row r="168" spans="2:3">
      <c r="B168" s="13"/>
      <c r="C168" s="12"/>
    </row>
    <row r="169" spans="2:3">
      <c r="B169" s="13"/>
      <c r="C169" s="12"/>
    </row>
    <row r="170" spans="2:3">
      <c r="B170" s="13"/>
      <c r="C170" s="12"/>
    </row>
    <row r="171" spans="2:3">
      <c r="B171" s="13"/>
      <c r="C171" s="12"/>
    </row>
    <row r="172" spans="2:3">
      <c r="B172" s="13"/>
      <c r="C172" s="12"/>
    </row>
    <row r="173" spans="2:3">
      <c r="B173" s="13"/>
      <c r="C173" s="12"/>
    </row>
    <row r="174" spans="2:3">
      <c r="B174" s="13"/>
      <c r="C174" s="12"/>
    </row>
    <row r="175" spans="2:3">
      <c r="B175" s="13"/>
      <c r="C175" s="12"/>
    </row>
    <row r="176" spans="2:3">
      <c r="B176" s="13"/>
      <c r="C176" s="12"/>
    </row>
    <row r="177" spans="2:3">
      <c r="B177" s="13"/>
      <c r="C177" s="12"/>
    </row>
    <row r="178" spans="2:3">
      <c r="B178" s="13"/>
      <c r="C178" s="12"/>
    </row>
    <row r="179" spans="2:3">
      <c r="B179" s="13"/>
      <c r="C179" s="12"/>
    </row>
    <row r="180" spans="2:3">
      <c r="B180" s="13"/>
      <c r="C180" s="12"/>
    </row>
    <row r="181" spans="2:3">
      <c r="B181" s="13"/>
      <c r="C181" s="12"/>
    </row>
    <row r="182" spans="2:3">
      <c r="B182" s="13"/>
      <c r="C182" s="12"/>
    </row>
    <row r="183" spans="2:3">
      <c r="B183" s="13"/>
      <c r="C183" s="12"/>
    </row>
    <row r="184" spans="2:3">
      <c r="B184" s="13"/>
      <c r="C184" s="12"/>
    </row>
    <row r="185" spans="2:3">
      <c r="B185" s="13"/>
      <c r="C185" s="12"/>
    </row>
    <row r="186" spans="2:3">
      <c r="B186" s="13"/>
      <c r="C186" s="12"/>
    </row>
    <row r="187" spans="2:3">
      <c r="B187" s="13"/>
      <c r="C187" s="12"/>
    </row>
    <row r="188" spans="2:3">
      <c r="B188" s="13"/>
      <c r="C188" s="12"/>
    </row>
    <row r="189" spans="2:3">
      <c r="B189" s="13"/>
      <c r="C189" s="12"/>
    </row>
    <row r="190" spans="2:3">
      <c r="B190" s="13"/>
      <c r="C190" s="12"/>
    </row>
    <row r="191" spans="2:3">
      <c r="B191" s="13"/>
      <c r="C191" s="12"/>
    </row>
    <row r="192" spans="2:3">
      <c r="B192" s="13"/>
      <c r="C192" s="12"/>
    </row>
    <row r="193" spans="2:3">
      <c r="B193" s="13"/>
      <c r="C193" s="12"/>
    </row>
    <row r="194" spans="2:3">
      <c r="B194" s="13"/>
      <c r="C194" s="12"/>
    </row>
    <row r="195" spans="2:3">
      <c r="B195" s="13"/>
      <c r="C195" s="12"/>
    </row>
    <row r="196" spans="2:3">
      <c r="B196" s="13"/>
      <c r="C196" s="12"/>
    </row>
    <row r="197" spans="2:3">
      <c r="B197" s="13"/>
      <c r="C197" s="12"/>
    </row>
    <row r="198" spans="2:3">
      <c r="B198" s="13"/>
      <c r="C198" s="12"/>
    </row>
    <row r="199" spans="2:3">
      <c r="B199" s="13"/>
      <c r="C199" s="12"/>
    </row>
    <row r="200" spans="2:3">
      <c r="B200" s="13"/>
      <c r="C200" s="12"/>
    </row>
    <row r="201" spans="2:3">
      <c r="B201" s="13"/>
      <c r="C201" s="12"/>
    </row>
    <row r="202" spans="2:3">
      <c r="B202" s="13"/>
      <c r="C202" s="12"/>
    </row>
    <row r="203" spans="2:3">
      <c r="B203" s="13"/>
      <c r="C203" s="12"/>
    </row>
    <row r="204" spans="2:3">
      <c r="B204" s="13"/>
      <c r="C204" s="12"/>
    </row>
    <row r="205" spans="2:3">
      <c r="B205" s="13"/>
      <c r="C205" s="12"/>
    </row>
    <row r="206" spans="2:3">
      <c r="B206" s="13"/>
      <c r="C206" s="12"/>
    </row>
    <row r="207" spans="2:3">
      <c r="B207" s="13"/>
      <c r="C207" s="12"/>
    </row>
    <row r="208" spans="2:3">
      <c r="B208" s="13"/>
      <c r="C208" s="12"/>
    </row>
    <row r="209" spans="2:3">
      <c r="B209" s="13"/>
      <c r="C209" s="12"/>
    </row>
    <row r="210" spans="2:3">
      <c r="B210" s="13"/>
      <c r="C210" s="12"/>
    </row>
    <row r="211" spans="2:3">
      <c r="B211" s="13"/>
      <c r="C211" s="12"/>
    </row>
    <row r="212" spans="2:3">
      <c r="B212" s="13"/>
      <c r="C212" s="12"/>
    </row>
    <row r="213" spans="2:3">
      <c r="B213" s="13"/>
      <c r="C213" s="12"/>
    </row>
    <row r="214" spans="2:3">
      <c r="B214" s="13"/>
      <c r="C214" s="12"/>
    </row>
    <row r="215" spans="2:3">
      <c r="B215" s="13"/>
      <c r="C215" s="12"/>
    </row>
    <row r="216" spans="2:3">
      <c r="B216" s="13"/>
      <c r="C216" s="12"/>
    </row>
    <row r="217" spans="2:3">
      <c r="B217" s="13"/>
      <c r="C217" s="12"/>
    </row>
    <row r="218" spans="2:3">
      <c r="B218" s="13"/>
      <c r="C218" s="12"/>
    </row>
    <row r="219" spans="2:3">
      <c r="B219" s="13"/>
      <c r="C219" s="12"/>
    </row>
    <row r="220" spans="2:3">
      <c r="B220" s="13"/>
      <c r="C220" s="12"/>
    </row>
    <row r="221" spans="2:3">
      <c r="B221" s="13"/>
      <c r="C221" s="12"/>
    </row>
    <row r="222" spans="2:3">
      <c r="B222" s="13"/>
      <c r="C222" s="12"/>
    </row>
    <row r="223" spans="2:3">
      <c r="B223" s="13"/>
      <c r="C223" s="12"/>
    </row>
    <row r="224" spans="2:3">
      <c r="B224" s="13"/>
      <c r="C224" s="12"/>
    </row>
    <row r="225" spans="2:3">
      <c r="B225" s="13"/>
      <c r="C225" s="12"/>
    </row>
    <row r="226" spans="2:3">
      <c r="B226" s="13"/>
      <c r="C226" s="12"/>
    </row>
    <row r="227" spans="2:3">
      <c r="B227" s="13"/>
      <c r="C227" s="12"/>
    </row>
    <row r="228" spans="2:3">
      <c r="B228" s="13"/>
      <c r="C228" s="12"/>
    </row>
    <row r="229" spans="2:3">
      <c r="B229" s="13"/>
      <c r="C229" s="12"/>
    </row>
    <row r="230" spans="2:3">
      <c r="B230" s="13"/>
      <c r="C230" s="12"/>
    </row>
    <row r="231" spans="2:3">
      <c r="B231" s="13"/>
      <c r="C231" s="12"/>
    </row>
    <row r="232" spans="2:3">
      <c r="B232" s="13"/>
      <c r="C232" s="12"/>
    </row>
    <row r="233" spans="2:3">
      <c r="B233" s="13"/>
      <c r="C233" s="12"/>
    </row>
    <row r="234" spans="2:3">
      <c r="B234" s="13"/>
      <c r="C234" s="12"/>
    </row>
    <row r="235" spans="2:3">
      <c r="B235" s="13"/>
      <c r="C235" s="12"/>
    </row>
    <row r="236" spans="2:3">
      <c r="B236" s="13"/>
      <c r="C236" s="12"/>
    </row>
    <row r="237" spans="2:3">
      <c r="B237" s="13"/>
      <c r="C237" s="12"/>
    </row>
    <row r="238" spans="2:3">
      <c r="B238" s="13"/>
      <c r="C238" s="12"/>
    </row>
    <row r="239" spans="2:3">
      <c r="B239" s="13"/>
      <c r="C239" s="12"/>
    </row>
    <row r="240" spans="2:3">
      <c r="B240" s="13"/>
      <c r="C240" s="12"/>
    </row>
    <row r="241" spans="2:3">
      <c r="B241" s="13"/>
      <c r="C241" s="12"/>
    </row>
    <row r="242" spans="2:3">
      <c r="B242" s="13"/>
      <c r="C242" s="12"/>
    </row>
    <row r="243" spans="2:3">
      <c r="B243" s="13"/>
      <c r="C243" s="12"/>
    </row>
    <row r="244" spans="2:3">
      <c r="B244" s="13"/>
      <c r="C244" s="12"/>
    </row>
    <row r="245" spans="2:3">
      <c r="B245" s="13"/>
      <c r="C245" s="12"/>
    </row>
    <row r="246" spans="2:3">
      <c r="B246" s="13"/>
      <c r="C246" s="12"/>
    </row>
    <row r="247" spans="2:3">
      <c r="B247" s="13"/>
      <c r="C247" s="12"/>
    </row>
    <row r="248" spans="2:3">
      <c r="B248" s="13"/>
    </row>
    <row r="249" spans="2:3">
      <c r="B249" s="13"/>
    </row>
    <row r="250" spans="2:3">
      <c r="B250" s="13"/>
    </row>
    <row r="251" spans="2:3">
      <c r="B251" s="13"/>
    </row>
    <row r="252" spans="2:3">
      <c r="B252" s="13"/>
    </row>
    <row r="253" spans="2:3">
      <c r="B253" s="13"/>
    </row>
    <row r="254" spans="2:3">
      <c r="B254" s="13"/>
    </row>
    <row r="255" spans="2:3">
      <c r="B255" s="13"/>
    </row>
    <row r="256" spans="2:3">
      <c r="B256" s="13"/>
    </row>
    <row r="257" spans="2:2">
      <c r="B257" s="13"/>
    </row>
    <row r="258" spans="2:2">
      <c r="B258" s="13"/>
    </row>
    <row r="259" spans="2:2">
      <c r="B259" s="13"/>
    </row>
  </sheetData>
  <mergeCells count="29">
    <mergeCell ref="A2:AA2"/>
    <mergeCell ref="F8:H8"/>
    <mergeCell ref="I8:I9"/>
    <mergeCell ref="J8:J9"/>
    <mergeCell ref="S7:X7"/>
    <mergeCell ref="T8:U8"/>
    <mergeCell ref="P8:R8"/>
    <mergeCell ref="V8:X8"/>
    <mergeCell ref="D8:E8"/>
    <mergeCell ref="Y8:Y9"/>
    <mergeCell ref="M8:O8"/>
    <mergeCell ref="S8:S9"/>
    <mergeCell ref="L8:L9"/>
    <mergeCell ref="B8:B9"/>
    <mergeCell ref="C8:C9"/>
    <mergeCell ref="A5:A10"/>
    <mergeCell ref="AD7:AD9"/>
    <mergeCell ref="B5:AD6"/>
    <mergeCell ref="AE8:AE9"/>
    <mergeCell ref="AF8:AF9"/>
    <mergeCell ref="AG8:AG9"/>
    <mergeCell ref="AE7:AG7"/>
    <mergeCell ref="K8:K9"/>
    <mergeCell ref="C7:K7"/>
    <mergeCell ref="L7:R7"/>
    <mergeCell ref="Z8:AA8"/>
    <mergeCell ref="Y7:AA7"/>
    <mergeCell ref="AB7:AB9"/>
    <mergeCell ref="AC7:AC9"/>
  </mergeCells>
  <hyperlinks>
    <hyperlink ref="A1" location="Index!A1" display="Back to index" xr:uid="{00000000-0004-0000-1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CN</vt:lpstr>
      <vt:lpstr>AP2</vt:lpstr>
      <vt:lpstr>A30</vt:lpstr>
      <vt:lpstr>A32</vt:lpstr>
      <vt:lpstr>A36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Dietrich</dc:creator>
  <cp:lastModifiedBy>Jonas Dietrich</cp:lastModifiedBy>
  <dcterms:created xsi:type="dcterms:W3CDTF">2025-04-29T09:06:09Z</dcterms:created>
  <dcterms:modified xsi:type="dcterms:W3CDTF">2025-07-04T14:59:57Z</dcterms:modified>
</cp:coreProperties>
</file>