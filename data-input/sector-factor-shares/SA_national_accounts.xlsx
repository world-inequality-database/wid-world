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wid-world\country-fix\"/>
    </mc:Choice>
  </mc:AlternateContent>
  <xr:revisionPtr revIDLastSave="0" documentId="13_ncr:1_{7E50F20A-B2B7-41A7-B12A-458D7091DD75}" xr6:coauthVersionLast="47" xr6:coauthVersionMax="47" xr10:uidLastSave="{00000000-0000-0000-0000-000000000000}"/>
  <bookViews>
    <workbookView xWindow="-30" yWindow="-18120" windowWidth="29040" windowHeight="17520" xr2:uid="{0DD0D61F-5FF1-4D50-8AEF-6AC362B75365}"/>
  </bookViews>
  <sheets>
    <sheet name="SA" sheetId="12" r:id="rId1"/>
    <sheet name="SA_raw Sheet2" sheetId="4" r:id="rId2"/>
    <sheet name="SA_raw_data_2018" sheetId="15" r:id="rId3"/>
    <sheet name="SAW_rawReport" sheetId="6" r:id="rId4"/>
    <sheet name="SA_RAWInstitutional" sheetId="7" r:id="rId5"/>
  </sheets>
  <externalReferences>
    <externalReference r:id="rId6"/>
  </externalReferences>
  <definedNames>
    <definedName name="\0">#REF!</definedName>
    <definedName name="\66">'[1](2)'!#REF!</definedName>
    <definedName name="\L">#REF!</definedName>
    <definedName name="_118__123Graph_CCHART_2" hidden="1">#REF!</definedName>
    <definedName name="_134__123Graph_XCHART_1" hidden="1">#REF!</definedName>
    <definedName name="_150__123Graph_XCHART_3" hidden="1">#REF!</definedName>
    <definedName name="_16__123Graph_ACHART_1" hidden="1">#REF!</definedName>
    <definedName name="_32__123Graph_ACHART_3" hidden="1">#REF!</definedName>
    <definedName name="_48__123Graph_BCHART_1" hidden="1">#REF!</definedName>
    <definedName name="_77__123Graph_BCHART_2" hidden="1">#REF!</definedName>
    <definedName name="_78__123Graph_BCHART_4" hidden="1">#REF!</definedName>
    <definedName name="_93__123Graph_CCHART_1" hidden="1">#REF!</definedName>
    <definedName name="_L">#REF!</definedName>
    <definedName name="building" localSheetId="2">#REF!</definedName>
    <definedName name="building">#REF!</definedName>
    <definedName name="CCODE">#REF!</definedName>
    <definedName name="CHANEL2">#REF!</definedName>
    <definedName name="CNAME2">#REF!</definedName>
    <definedName name="CNAME3">#REF!</definedName>
    <definedName name="CNAME4">#REF!</definedName>
    <definedName name="Consolidated">#REF!</definedName>
    <definedName name="COUNTER">#REF!</definedName>
    <definedName name="D">#REF!</definedName>
    <definedName name="GIVEM1">#REF!</definedName>
    <definedName name="LOOP">#REF!</definedName>
    <definedName name="menuitem">#REF!</definedName>
    <definedName name="_xlnm.Print_Area" localSheetId="2">SA_raw_data_2018!$A$1:$S$112</definedName>
    <definedName name="_xlnm.Print_Area">#N/A</definedName>
    <definedName name="_xlnm.Print_Titles" localSheetId="2">SA_raw_data_2018!$2:$7</definedName>
    <definedName name="STAT">#REF!</definedName>
    <definedName name="STOP">#REF!</definedName>
    <definedName name="yy" localSheetId="2">#REF!</definedName>
    <definedName name="yy">#REF!</definedName>
    <definedName name="الزراعة">#REF!</definedName>
    <definedName name="الغ">#REF!</definedName>
    <definedName name="ي">#REF!</definedName>
    <definedName name="ئ2094" localSheetId="2">#REF!</definedName>
    <definedName name="ئ2094">#REF!</definedName>
    <definedName name="يباب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2" l="1"/>
  <c r="M24" i="12" s="1"/>
  <c r="M25" i="12" s="1"/>
  <c r="N26" i="12"/>
  <c r="C25" i="12"/>
  <c r="C24" i="12"/>
  <c r="X24" i="12"/>
  <c r="Y24" i="12"/>
  <c r="Y25" i="12" s="1"/>
  <c r="Z24" i="12"/>
  <c r="Z25" i="12" s="1"/>
  <c r="AA24" i="12"/>
  <c r="AA25" i="12" s="1"/>
  <c r="X25" i="12"/>
  <c r="E24" i="12"/>
  <c r="F24" i="12"/>
  <c r="G24" i="12"/>
  <c r="H24" i="12"/>
  <c r="I24" i="12"/>
  <c r="J24" i="12"/>
  <c r="K24" i="12"/>
  <c r="L24" i="12"/>
  <c r="N24" i="12"/>
  <c r="O24" i="12"/>
  <c r="P24" i="12"/>
  <c r="P25" i="12" s="1"/>
  <c r="Q24" i="12"/>
  <c r="R24" i="12"/>
  <c r="S24" i="12"/>
  <c r="T24" i="12"/>
  <c r="U24" i="12"/>
  <c r="E25" i="12"/>
  <c r="F25" i="12"/>
  <c r="G25" i="12"/>
  <c r="H25" i="12"/>
  <c r="I25" i="12"/>
  <c r="J25" i="12"/>
  <c r="K25" i="12"/>
  <c r="L25" i="12"/>
  <c r="N25" i="12"/>
  <c r="O25" i="12"/>
  <c r="Q25" i="12"/>
  <c r="R25" i="12"/>
  <c r="S25" i="12"/>
  <c r="T25" i="12"/>
  <c r="U25" i="12"/>
  <c r="D25" i="12"/>
  <c r="D24" i="12"/>
  <c r="O26" i="12"/>
  <c r="S26" i="12"/>
  <c r="T26" i="12"/>
  <c r="AF21" i="12"/>
  <c r="S8" i="4"/>
  <c r="AA26" i="12"/>
  <c r="N21" i="12"/>
  <c r="Q26" i="12"/>
  <c r="U26" i="12"/>
  <c r="R26" i="12"/>
  <c r="H26" i="12"/>
  <c r="L26" i="12"/>
  <c r="K26" i="12"/>
  <c r="J26" i="12"/>
  <c r="I26" i="12"/>
  <c r="C26" i="12"/>
  <c r="E26" i="12"/>
  <c r="G26" i="12"/>
  <c r="D26" i="12"/>
  <c r="AD22" i="12"/>
  <c r="AD23" i="12"/>
  <c r="AD21" i="12"/>
  <c r="T22" i="12"/>
  <c r="T23" i="12"/>
  <c r="T21" i="12"/>
  <c r="O22" i="12"/>
  <c r="O23" i="12"/>
  <c r="O21" i="12"/>
  <c r="R3" i="4"/>
  <c r="R4" i="4"/>
  <c r="R2" i="4"/>
  <c r="D10" i="4"/>
  <c r="V23" i="12"/>
  <c r="I10" i="4"/>
  <c r="K23" i="12"/>
  <c r="N10" i="4"/>
  <c r="W23" i="12"/>
  <c r="C10" i="4"/>
  <c r="Z23" i="12"/>
  <c r="S10" i="4"/>
  <c r="AA23" i="12"/>
  <c r="I8" i="4"/>
  <c r="K21" i="12"/>
  <c r="N8" i="4"/>
  <c r="W21" i="12"/>
  <c r="I9" i="4"/>
  <c r="K22" i="12"/>
  <c r="N9" i="4"/>
  <c r="W22" i="12"/>
  <c r="R9" i="4"/>
  <c r="P22" i="12"/>
  <c r="N22" i="12"/>
  <c r="R10" i="4"/>
  <c r="P23" i="12"/>
  <c r="N23" i="12"/>
  <c r="R8" i="4"/>
  <c r="P21" i="12"/>
  <c r="L10" i="4"/>
  <c r="R23" i="12"/>
  <c r="P4" i="4"/>
  <c r="P10" i="4"/>
  <c r="U23" i="12"/>
  <c r="S23" i="12"/>
  <c r="Q23" i="12"/>
  <c r="M23" i="12"/>
  <c r="G10" i="4"/>
  <c r="D23" i="12"/>
  <c r="E10" i="4"/>
  <c r="G23" i="12"/>
  <c r="E23" i="12"/>
  <c r="C23" i="12"/>
  <c r="K10" i="4"/>
  <c r="I23" i="12"/>
  <c r="H10" i="4"/>
  <c r="L23" i="12"/>
  <c r="J23" i="12"/>
  <c r="H23" i="12"/>
  <c r="AF23" i="12"/>
  <c r="L9" i="4"/>
  <c r="R22" i="12"/>
  <c r="P3" i="4"/>
  <c r="P9" i="4"/>
  <c r="U22" i="12"/>
  <c r="S22" i="12"/>
  <c r="Q22" i="12"/>
  <c r="M22" i="12"/>
  <c r="G9" i="4"/>
  <c r="D22" i="12"/>
  <c r="E9" i="4"/>
  <c r="G22" i="12"/>
  <c r="E22" i="12"/>
  <c r="C22" i="12"/>
  <c r="K9" i="4"/>
  <c r="I22" i="12"/>
  <c r="H9" i="4"/>
  <c r="L22" i="12"/>
  <c r="J22" i="12"/>
  <c r="H22" i="12"/>
  <c r="S9" i="4"/>
  <c r="AA22" i="12"/>
  <c r="AF22" i="12"/>
  <c r="L8" i="4"/>
  <c r="R21" i="12"/>
  <c r="P2" i="4"/>
  <c r="P8" i="4"/>
  <c r="U21" i="12"/>
  <c r="S21" i="12"/>
  <c r="Q21" i="12"/>
  <c r="M21" i="12"/>
  <c r="G8" i="4"/>
  <c r="D21" i="12"/>
  <c r="E8" i="4"/>
  <c r="G21" i="12"/>
  <c r="E21" i="12"/>
  <c r="C21" i="12"/>
  <c r="K8" i="4"/>
  <c r="I21" i="12"/>
  <c r="H8" i="4"/>
  <c r="L21" i="12"/>
  <c r="J21" i="12"/>
  <c r="H21" i="12"/>
  <c r="AA21" i="12"/>
  <c r="D9" i="4"/>
  <c r="V22" i="12"/>
  <c r="D8" i="4"/>
  <c r="V21" i="12"/>
  <c r="C8" i="4"/>
  <c r="Z21" i="12"/>
  <c r="C9" i="4"/>
  <c r="Z22" i="12"/>
  <c r="AG8" i="12"/>
  <c r="AF8" i="12"/>
  <c r="M9" i="4"/>
  <c r="M10" i="4"/>
  <c r="M8" i="4"/>
  <c r="J8" i="4"/>
  <c r="F10" i="4"/>
  <c r="J10" i="4"/>
  <c r="O10" i="4"/>
  <c r="Q10" i="4"/>
  <c r="E15" i="4"/>
  <c r="F9" i="4"/>
  <c r="J9" i="4"/>
  <c r="O9" i="4"/>
  <c r="Q9" i="4"/>
  <c r="E14" i="4"/>
  <c r="F8" i="4"/>
  <c r="O8" i="4"/>
  <c r="Q8" i="4"/>
  <c r="E13" i="4"/>
  <c r="B10" i="4"/>
  <c r="B9" i="4"/>
  <c r="B8" i="4"/>
  <c r="C15" i="4"/>
  <c r="U9" i="4"/>
  <c r="D13" i="4"/>
  <c r="C14" i="4"/>
  <c r="D15" i="4"/>
  <c r="U10" i="4"/>
  <c r="B13" i="4"/>
  <c r="C13" i="4"/>
  <c r="F13" i="4"/>
  <c r="T8" i="4"/>
  <c r="T9" i="4"/>
  <c r="T10" i="4"/>
  <c r="U8" i="4"/>
  <c r="B15" i="4"/>
  <c r="B14" i="4"/>
  <c r="D14" i="4"/>
  <c r="F14" i="4"/>
  <c r="F15" i="4"/>
  <c r="V24" i="12" l="1"/>
  <c r="V25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D34ED3-6D57-4362-9B30-50AD2F2DFC5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<sst xmlns="http://schemas.openxmlformats.org/spreadsheetml/2006/main" count="531" uniqueCount="308">
  <si>
    <t>Year</t>
  </si>
  <si>
    <t>GDP</t>
  </si>
  <si>
    <t>confc</t>
  </si>
  <si>
    <t>comhn</t>
  </si>
  <si>
    <t>Cfcgo</t>
  </si>
  <si>
    <t>Nsrgo</t>
  </si>
  <si>
    <t>Ceugo</t>
  </si>
  <si>
    <t>Cfcco</t>
  </si>
  <si>
    <t>Nsrco</t>
  </si>
  <si>
    <t>gsrco</t>
  </si>
  <si>
    <t>Ceuco</t>
  </si>
  <si>
    <t>Ceuhn</t>
  </si>
  <si>
    <t>Nmxhn</t>
  </si>
  <si>
    <t>gmxhn</t>
  </si>
  <si>
    <t>Ccmhn</t>
  </si>
  <si>
    <t>Nsrhn</t>
  </si>
  <si>
    <t>Ccshn</t>
  </si>
  <si>
    <t>Ptxgo</t>
  </si>
  <si>
    <t>2013</t>
  </si>
  <si>
    <t>2014</t>
  </si>
  <si>
    <t>2015</t>
  </si>
  <si>
    <t>SUM</t>
  </si>
  <si>
    <t>GO</t>
  </si>
  <si>
    <t>HN</t>
  </si>
  <si>
    <t>CO</t>
  </si>
  <si>
    <t>cfchn</t>
  </si>
  <si>
    <t>ptxgo</t>
  </si>
  <si>
    <t>Sources</t>
  </si>
  <si>
    <t xml:space="preserve">2013-2015: https://www.stats.gov.sa/sites/default/files/national_accounts_in_saudi_arabia_2013_-_2015_according_to_sna2008en.pdf </t>
  </si>
  <si>
    <t>https://database.stats.gov.sa/home/indicator/434</t>
  </si>
  <si>
    <t xml:space="preserve">  Report Link: https://database.stats.gov.sa/home/report/4045</t>
  </si>
  <si>
    <t xml:space="preserve">  Date of Extraction: Mon Dec 16 2024 19:24:27 GMT+0100 (Mitteleuropäische Normalzeit)</t>
  </si>
  <si>
    <t xml:space="preserve">  Methodology Link: Methodologies/En_Documents/33_Annual National Account Indicators Methodology _ General Authority for Statistics.pdf</t>
  </si>
  <si>
    <t xml:space="preserve">  Frequency: Annual</t>
  </si>
  <si>
    <t xml:space="preserve">  Data Producer: General Authority for Statistics</t>
  </si>
  <si>
    <t xml:space="preserve">  Indicator Name: GDP by Income Approach</t>
  </si>
  <si>
    <t xml:space="preserve">  Indicator Code: EFNA0401</t>
  </si>
  <si>
    <t xml:space="preserve">  Report name: Gross domestic product (GDP) at current price by income approach</t>
  </si>
  <si>
    <t>Metadata</t>
  </si>
  <si>
    <t>Gross Domestic Product</t>
  </si>
  <si>
    <t>Net Operating Surplus</t>
  </si>
  <si>
    <t>Consumption of Fixed Capital</t>
  </si>
  <si>
    <t>Net Taxes on Production</t>
  </si>
  <si>
    <t>Compensation of Employees</t>
  </si>
  <si>
    <t>2022</t>
  </si>
  <si>
    <t>2021</t>
  </si>
  <si>
    <t>2020</t>
  </si>
  <si>
    <t>2019</t>
  </si>
  <si>
    <t>2018</t>
  </si>
  <si>
    <t>2017</t>
  </si>
  <si>
    <t>Income Factors</t>
  </si>
  <si>
    <t>https://database.stats.gov.sa/home/indicator/606</t>
  </si>
  <si>
    <t>iso</t>
  </si>
  <si>
    <t>year</t>
  </si>
  <si>
    <t>SA</t>
  </si>
  <si>
    <t xml:space="preserve">  Report Link: https://database.stats.gov.sa/home/report/147</t>
  </si>
  <si>
    <t xml:space="preserve">  Date of Extraction: Tue Dec 17 2024 11:15:56 GMT+0100 (Mitteleuropäische Normalzeit)</t>
  </si>
  <si>
    <t xml:space="preserve">  Methodology Link: Methodologies/En_Documents/34_quarterly national accounts indicators Methodology _ General Authority for Statistics.pdf,Methodologies/En_Documents/33_Annual National Account Indicators Methodology _ General Authority for Statistics.pdf</t>
  </si>
  <si>
    <t xml:space="preserve">  Indicator Definition: It expresses the total of final goods and services produced during a certain period of time (usually a year) within the geographical borders of the country, whether that was done by the citizens of the country or foreigners residing in it.</t>
  </si>
  <si>
    <t xml:space="preserve">  Indicator Name: Gross Domestic Product-Current prices</t>
  </si>
  <si>
    <t xml:space="preserve">  Indicator Code: EfNa0101</t>
  </si>
  <si>
    <t xml:space="preserve">  Report name: Gross domestic product (GDP) at current price by institutional sectors</t>
  </si>
  <si>
    <t>5</t>
  </si>
  <si>
    <t>Net Taxes on Products</t>
  </si>
  <si>
    <t>4</t>
  </si>
  <si>
    <t>Gross Value Added</t>
  </si>
  <si>
    <t>3</t>
  </si>
  <si>
    <t>Private Sector</t>
  </si>
  <si>
    <t>2.2</t>
  </si>
  <si>
    <t>Government Sector</t>
  </si>
  <si>
    <t>2.1</t>
  </si>
  <si>
    <t>Non-Oil Sector</t>
  </si>
  <si>
    <t>2</t>
  </si>
  <si>
    <t>Oil Sector</t>
  </si>
  <si>
    <t>1</t>
  </si>
  <si>
    <t>2024</t>
  </si>
  <si>
    <t>2016</t>
  </si>
  <si>
    <t>2012</t>
  </si>
  <si>
    <t>2011</t>
  </si>
  <si>
    <t>2010</t>
  </si>
  <si>
    <t>Institutional Sectors</t>
  </si>
  <si>
    <t>Item Code</t>
  </si>
  <si>
    <t>Housing included in mixed income most likely. Assume 1/3 of mixed income is housing</t>
  </si>
  <si>
    <t>cfcgo</t>
  </si>
  <si>
    <t>nsrgo</t>
  </si>
  <si>
    <t>ceugo</t>
  </si>
  <si>
    <t>cfcco</t>
  </si>
  <si>
    <t>nsrco</t>
  </si>
  <si>
    <t>ceuco</t>
  </si>
  <si>
    <t>ceuhn</t>
  </si>
  <si>
    <t>nmxhn</t>
  </si>
  <si>
    <t>ccmhn</t>
  </si>
  <si>
    <t>nsrhn</t>
  </si>
  <si>
    <t>ccshn</t>
  </si>
  <si>
    <t>Compensation of employees</t>
  </si>
  <si>
    <t>gsrhn</t>
  </si>
  <si>
    <t>gvahn</t>
  </si>
  <si>
    <t>Goverment Sector</t>
  </si>
  <si>
    <t>Components Goverment Sector</t>
  </si>
  <si>
    <t>Corporate Sector</t>
  </si>
  <si>
    <t>Components Corporate Sector</t>
  </si>
  <si>
    <t>Household Sector</t>
  </si>
  <si>
    <t>Components Household Sector</t>
  </si>
  <si>
    <t>Total Economy</t>
  </si>
  <si>
    <t>Capital Shares</t>
  </si>
  <si>
    <t>Housing</t>
  </si>
  <si>
    <t>Self-employment</t>
  </si>
  <si>
    <t>compen-sation of employees</t>
  </si>
  <si>
    <t>Gross
Operating
Surplus</t>
  </si>
  <si>
    <t>Mixed Income</t>
  </si>
  <si>
    <t>Checks</t>
  </si>
  <si>
    <t>Notes</t>
  </si>
  <si>
    <t>gvago</t>
  </si>
  <si>
    <t>gsrgo</t>
  </si>
  <si>
    <t>gvaco</t>
  </si>
  <si>
    <t>gvmhn</t>
  </si>
  <si>
    <t>cshare</t>
  </si>
  <si>
    <t>cshare_gross</t>
  </si>
  <si>
    <t>cshare_corp</t>
  </si>
  <si>
    <t>chare_corp_gross</t>
  </si>
  <si>
    <t>check_sector</t>
  </si>
  <si>
    <t>check_total</t>
  </si>
  <si>
    <t>manually typed from pdf</t>
  </si>
  <si>
    <t>Net Mixed-
income and OS</t>
  </si>
  <si>
    <t>Total Economy Account 2018</t>
  </si>
  <si>
    <t>(Million of Saudi Riyals)</t>
  </si>
  <si>
    <t>Account</t>
  </si>
  <si>
    <t>Code</t>
  </si>
  <si>
    <t>Transaction</t>
  </si>
  <si>
    <t>Non-financial</t>
  </si>
  <si>
    <t>Financial</t>
  </si>
  <si>
    <t>Government</t>
  </si>
  <si>
    <t>Households</t>
  </si>
  <si>
    <t>Non-profit institutions serving households</t>
  </si>
  <si>
    <t>Rest of the world</t>
  </si>
  <si>
    <t>Total</t>
  </si>
  <si>
    <t>S.11</t>
  </si>
  <si>
    <t>S.12</t>
  </si>
  <si>
    <t>S.13</t>
  </si>
  <si>
    <t>S.14</t>
  </si>
  <si>
    <t>S.15</t>
  </si>
  <si>
    <t>S.1</t>
  </si>
  <si>
    <t>S.2</t>
  </si>
  <si>
    <t>S</t>
  </si>
  <si>
    <t xml:space="preserve">Debtor 
( Uses )  </t>
  </si>
  <si>
    <t>Creditor 
(  Resources  )</t>
  </si>
  <si>
    <t>External Account of Goods and Services</t>
  </si>
  <si>
    <t>P.6</t>
  </si>
  <si>
    <t>Exports of goods and services</t>
  </si>
  <si>
    <t>P.7</t>
  </si>
  <si>
    <t>Imports of goods and services</t>
  </si>
  <si>
    <t>Corporate capital share</t>
  </si>
  <si>
    <r>
      <t xml:space="preserve">Account </t>
    </r>
    <r>
      <rPr>
        <b/>
        <sz val="10"/>
        <color rgb="FF0070C0"/>
        <rFont val="Bell MT"/>
        <family val="1"/>
      </rPr>
      <t>I</t>
    </r>
    <r>
      <rPr>
        <b/>
        <sz val="10"/>
        <color rgb="FF0070C0"/>
        <rFont val="Frutiger LT Arabic 55 Roman"/>
      </rPr>
      <t xml:space="preserve"> : Production account</t>
    </r>
  </si>
  <si>
    <t>P.1</t>
  </si>
  <si>
    <t>Output</t>
  </si>
  <si>
    <t>P.2</t>
  </si>
  <si>
    <t>Intermediate consumption</t>
  </si>
  <si>
    <t>D.21-D.31</t>
  </si>
  <si>
    <t>Taxes less subsidies on products</t>
  </si>
  <si>
    <t>B.1g</t>
  </si>
  <si>
    <t>Gross domestic product/
Value added, Gross</t>
  </si>
  <si>
    <t>P.51c</t>
  </si>
  <si>
    <t>Consumption of fixed capital</t>
  </si>
  <si>
    <t>B.1n</t>
  </si>
  <si>
    <t>Net domestic product/Value added, Net</t>
  </si>
  <si>
    <t>B.1*g</t>
  </si>
  <si>
    <t xml:space="preserve"> Gross Domestic Product </t>
  </si>
  <si>
    <t>B.11</t>
  </si>
  <si>
    <t>External balance of goods and services</t>
  </si>
  <si>
    <r>
      <t xml:space="preserve">Account </t>
    </r>
    <r>
      <rPr>
        <b/>
        <sz val="10"/>
        <color rgb="FF0070C0"/>
        <rFont val="Bell MT"/>
        <family val="1"/>
      </rPr>
      <t>II</t>
    </r>
    <r>
      <rPr>
        <b/>
        <sz val="10"/>
        <color rgb="FF0070C0"/>
        <rFont val="Frutiger LT Arabic 55 Roman"/>
      </rPr>
      <t>.1.1 : Generation of income account</t>
    </r>
  </si>
  <si>
    <t>Value added, Gross/Gross domestic product</t>
  </si>
  <si>
    <t>Net domestic product/
Value added, Net</t>
  </si>
  <si>
    <t>D.1</t>
  </si>
  <si>
    <t>D.11</t>
  </si>
  <si>
    <t>Wages and salaries</t>
  </si>
  <si>
    <t>D.12</t>
  </si>
  <si>
    <t>Employers social contributions</t>
  </si>
  <si>
    <t>D.2</t>
  </si>
  <si>
    <t xml:space="preserve">Taxes on production and imports </t>
  </si>
  <si>
    <t>D.21</t>
  </si>
  <si>
    <t>Taxes on products</t>
  </si>
  <si>
    <t>D.29</t>
  </si>
  <si>
    <t xml:space="preserve">Other taxes on production </t>
  </si>
  <si>
    <t>D.3</t>
  </si>
  <si>
    <t>Subsidies</t>
  </si>
  <si>
    <t>D.31</t>
  </si>
  <si>
    <t>Subsidies on products</t>
  </si>
  <si>
    <t>D.39</t>
  </si>
  <si>
    <t>Other subsidies on production</t>
  </si>
  <si>
    <t>B.2g</t>
  </si>
  <si>
    <t>Operating surplus, Gross</t>
  </si>
  <si>
    <t>B.2n</t>
  </si>
  <si>
    <t>Operating surplus, Net</t>
  </si>
  <si>
    <t>B.3g</t>
  </si>
  <si>
    <t>Mixed incom, Gross</t>
  </si>
  <si>
    <t>B.3n</t>
  </si>
  <si>
    <t>Mixed incom, Net</t>
  </si>
  <si>
    <r>
      <t xml:space="preserve">Account </t>
    </r>
    <r>
      <rPr>
        <b/>
        <sz val="10"/>
        <color theme="8" tint="-0.249977111117893"/>
        <rFont val="Bell MT"/>
        <family val="1"/>
      </rPr>
      <t>II</t>
    </r>
    <r>
      <rPr>
        <b/>
        <sz val="10"/>
        <color theme="8" tint="-0.249977111117893"/>
        <rFont val="Frutiger LT Arabic 55 Roman"/>
      </rPr>
      <t>.1.2 : Allocation of primary income account</t>
    </r>
  </si>
  <si>
    <t>D.4</t>
  </si>
  <si>
    <t>Property income</t>
  </si>
  <si>
    <t>D.41</t>
  </si>
  <si>
    <t>Interest</t>
  </si>
  <si>
    <t>D.42</t>
  </si>
  <si>
    <t>Distributed income of corporations</t>
  </si>
  <si>
    <t>D.43</t>
  </si>
  <si>
    <t>Reinvested earnings on foreign direct investment</t>
  </si>
  <si>
    <t>D.44</t>
  </si>
  <si>
    <t>Investment income disbursements</t>
  </si>
  <si>
    <t>D.45</t>
  </si>
  <si>
    <t>Rent</t>
  </si>
  <si>
    <t>B.5g</t>
  </si>
  <si>
    <t>Balance of primary incomes, Gross</t>
  </si>
  <si>
    <t>B.5n</t>
  </si>
  <si>
    <t>Balance of primary incomes, Net</t>
  </si>
  <si>
    <r>
      <t xml:space="preserve">Account </t>
    </r>
    <r>
      <rPr>
        <b/>
        <sz val="10"/>
        <color theme="8" tint="-0.249977111117893"/>
        <rFont val="Bell MT"/>
        <family val="1"/>
      </rPr>
      <t>II</t>
    </r>
    <r>
      <rPr>
        <b/>
        <sz val="10"/>
        <color theme="8" tint="-0.249977111117893"/>
        <rFont val="Frutiger LT Arabic 55 Roman"/>
      </rPr>
      <t>.2 : Secondary distribution of income account</t>
    </r>
  </si>
  <si>
    <t>D.5</t>
  </si>
  <si>
    <t>Current taxes on income, wealth, etc</t>
  </si>
  <si>
    <t>D.51</t>
  </si>
  <si>
    <t>Taxes on income</t>
  </si>
  <si>
    <t>D.59</t>
  </si>
  <si>
    <t>Other current taxes</t>
  </si>
  <si>
    <t>D.61</t>
  </si>
  <si>
    <t>Net social contributions</t>
  </si>
  <si>
    <t>D.62</t>
  </si>
  <si>
    <t>Social benefits other than social transfers in kind</t>
  </si>
  <si>
    <t>D.7</t>
  </si>
  <si>
    <t>Other current transfers</t>
  </si>
  <si>
    <t>D.71</t>
  </si>
  <si>
    <t>Net non-life insurance premiums</t>
  </si>
  <si>
    <t>D.72</t>
  </si>
  <si>
    <t>Non-life insurance claims</t>
  </si>
  <si>
    <t>D.73</t>
  </si>
  <si>
    <t>Current transfers within general government</t>
  </si>
  <si>
    <t>D.74</t>
  </si>
  <si>
    <t>Current international cooperation</t>
  </si>
  <si>
    <t>D.75</t>
  </si>
  <si>
    <t>Miscellaneous current transfers</t>
  </si>
  <si>
    <t>B.6g</t>
  </si>
  <si>
    <t>Disposable income, Gross</t>
  </si>
  <si>
    <t>B.6n</t>
  </si>
  <si>
    <t>Disposable Income, Net</t>
  </si>
  <si>
    <r>
      <t xml:space="preserve">Account </t>
    </r>
    <r>
      <rPr>
        <b/>
        <sz val="10"/>
        <color theme="8" tint="-0.249977111117893"/>
        <rFont val="Bell MT"/>
        <family val="1"/>
      </rPr>
      <t>II</t>
    </r>
    <r>
      <rPr>
        <b/>
        <sz val="10"/>
        <color theme="8" tint="-0.249977111117893"/>
        <rFont val="Frutiger LT Arabic 55 Roman"/>
      </rPr>
      <t>.3 : Redistribution of income in kind account</t>
    </r>
  </si>
  <si>
    <t>D.63</t>
  </si>
  <si>
    <t>Social transfers in kind</t>
  </si>
  <si>
    <t>B.7g</t>
  </si>
  <si>
    <t>Adjusted disposable income, Gross</t>
  </si>
  <si>
    <t>B.7n</t>
  </si>
  <si>
    <t>Adjusted disposable income, Net</t>
  </si>
  <si>
    <r>
      <t xml:space="preserve">Account </t>
    </r>
    <r>
      <rPr>
        <b/>
        <sz val="10"/>
        <color theme="8" tint="-0.249977111117893"/>
        <rFont val="Bell MT"/>
        <family val="1"/>
      </rPr>
      <t>II</t>
    </r>
    <r>
      <rPr>
        <b/>
        <sz val="10"/>
        <color theme="8" tint="-0.249977111117893"/>
        <rFont val="Frutiger LT Arabic 55 Roman"/>
      </rPr>
      <t>.4.1 : Use of Disposable income account</t>
    </r>
  </si>
  <si>
    <t>P.3</t>
  </si>
  <si>
    <t>Final consumption expenditure</t>
  </si>
  <si>
    <t>P.31</t>
  </si>
  <si>
    <t>Individual consumption expenditure</t>
  </si>
  <si>
    <t>P.32</t>
  </si>
  <si>
    <t>Collective consumption expenditure</t>
  </si>
  <si>
    <t>D.8</t>
  </si>
  <si>
    <t>Adjustment for the change in net equity of households on pension funds</t>
  </si>
  <si>
    <t>B.8g</t>
  </si>
  <si>
    <t>Saving, Gross</t>
  </si>
  <si>
    <t>B.8n</t>
  </si>
  <si>
    <t>Saving, Net</t>
  </si>
  <si>
    <t>B.12</t>
  </si>
  <si>
    <t>Current external balance</t>
  </si>
  <si>
    <r>
      <t xml:space="preserve">Account </t>
    </r>
    <r>
      <rPr>
        <b/>
        <sz val="10"/>
        <color theme="8" tint="-0.249977111117893"/>
        <rFont val="Bell MT"/>
        <family val="1"/>
      </rPr>
      <t>II</t>
    </r>
    <r>
      <rPr>
        <b/>
        <sz val="10"/>
        <color theme="8" tint="-0.249977111117893"/>
        <rFont val="Frutiger LT Arabic 55 Roman"/>
      </rPr>
      <t>.4.2 : Use of adjusted Disposable income account</t>
    </r>
  </si>
  <si>
    <t>P.4</t>
  </si>
  <si>
    <t>Actual final consumption</t>
  </si>
  <si>
    <t>P.41</t>
  </si>
  <si>
    <t>Actual individual consumption</t>
  </si>
  <si>
    <t>P.42</t>
  </si>
  <si>
    <t>Actual collective consumption</t>
  </si>
  <si>
    <t xml:space="preserve"> Change in Assests</t>
  </si>
  <si>
    <t>Change in Liabilities</t>
  </si>
  <si>
    <r>
      <t xml:space="preserve"> Account </t>
    </r>
    <r>
      <rPr>
        <b/>
        <sz val="10"/>
        <color theme="8" tint="-0.249977111117893"/>
        <rFont val="Bell MT"/>
        <family val="1"/>
      </rPr>
      <t>III</t>
    </r>
    <r>
      <rPr>
        <b/>
        <sz val="10"/>
        <color theme="8" tint="-0.249977111117893"/>
        <rFont val="Frutiger LT Arabic 55 Roman"/>
      </rPr>
      <t>.1 :Capital account</t>
    </r>
  </si>
  <si>
    <t>P5</t>
  </si>
  <si>
    <t>Gross Capital Formation</t>
  </si>
  <si>
    <t>P.51g</t>
  </si>
  <si>
    <t>Gross fixed capital formation</t>
  </si>
  <si>
    <t xml:space="preserve"> -P.51c</t>
  </si>
  <si>
    <t>P.52</t>
  </si>
  <si>
    <t>Changes in inventories</t>
  </si>
  <si>
    <t>P.53</t>
  </si>
  <si>
    <t>Acquisitions less disposals of valuables</t>
  </si>
  <si>
    <t>NP</t>
  </si>
  <si>
    <t>Acquisitions less disposals of non-produced non-financial assets</t>
  </si>
  <si>
    <t>D.9r</t>
  </si>
  <si>
    <t>Capital transfers, Receivable</t>
  </si>
  <si>
    <t>D.9p</t>
  </si>
  <si>
    <t>Capital transfers, Payable</t>
  </si>
  <si>
    <t>B.9</t>
  </si>
  <si>
    <t>Net lending(+) /Net borrowing(-)</t>
  </si>
  <si>
    <t>B.10.1</t>
  </si>
  <si>
    <t>Changes in net worth due to saving and capital transfers</t>
  </si>
  <si>
    <r>
      <t xml:space="preserve"> Account </t>
    </r>
    <r>
      <rPr>
        <b/>
        <sz val="10"/>
        <color theme="8" tint="-0.249977111117893"/>
        <rFont val="Bell MT"/>
        <family val="1"/>
      </rPr>
      <t>IV</t>
    </r>
    <r>
      <rPr>
        <b/>
        <sz val="10"/>
        <color theme="8" tint="-0.249977111117893"/>
        <rFont val="Frutiger LT Arabic 55 Roman"/>
      </rPr>
      <t>.5 : financial account</t>
    </r>
  </si>
  <si>
    <t>F1</t>
  </si>
  <si>
    <t>Cash Gold and Special Drawing Rights</t>
  </si>
  <si>
    <t>F2</t>
  </si>
  <si>
    <t>Currency and deposits</t>
  </si>
  <si>
    <t>F3</t>
  </si>
  <si>
    <t>Debt securities</t>
  </si>
  <si>
    <t>F4</t>
  </si>
  <si>
    <t>Loans</t>
  </si>
  <si>
    <t>F5</t>
  </si>
  <si>
    <t>Equity and investment fund shares</t>
  </si>
  <si>
    <t>F6-F7</t>
  </si>
  <si>
    <t xml:space="preserve">Insurance, pension and standardized guarantee schemes and Financial products and options on employee stock </t>
  </si>
  <si>
    <t>F8</t>
  </si>
  <si>
    <t>Other accounts receivable and payable</t>
  </si>
  <si>
    <t>Total change in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</si>
</sst>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k_n_-;\-* #,##0.00\ _k_n_-;_-* &quot;-&quot;??\ _k_n_-;_-@_-"/>
    <numFmt numFmtId="165" formatCode="_-* #,##0.00\ _€_-;\-* #,##0.00\ _€_-;_-* &quot;-&quot;??\ _€_-;_-@_-"/>
    <numFmt numFmtId="166" formatCode="&quot;$&quot;#,##0_);\(&quot;$&quot;#,##0\)"/>
    <numFmt numFmtId="167" formatCode="_(&quot;$&quot;* #,##0.00_);_(&quot;$&quot;* \(#,##0.00\);_(&quot;$&quot;* &quot;-&quot;??_);_(@_)"/>
    <numFmt numFmtId="168" formatCode="#,##0.0"/>
    <numFmt numFmtId="169" formatCode="#,##0.000"/>
    <numFmt numFmtId="170" formatCode="\$#,##0\ ;\(\$#,##0\)"/>
    <numFmt numFmtId="171" formatCode="General_)"/>
    <numFmt numFmtId="172" formatCode="#,##0.00__;\-#,##0.00__;#,##0.00__;@__"/>
    <numFmt numFmtId="173" formatCode="_ * #,##0.00_ ;_ * \-#,##0.00_ ;_ * &quot;-&quot;??_ ;_ @_ "/>
    <numFmt numFmtId="174" formatCode="_ * #,##0.00_)\ _€_ ;_ * \(#,##0.00\)\ _€_ ;_ * &quot;-&quot;??_)\ _€_ ;_ @_ "/>
    <numFmt numFmtId="175" formatCode="_-* #,##0\ _k_r_-;\-* #,##0\ _k_r_-;_-* &quot;-&quot;\ _k_r_-;_-@_-"/>
    <numFmt numFmtId="176" formatCode="_-* #,##0\ &quot;kr&quot;_-;\-* #,##0\ &quot;kr&quot;_-;_-* &quot;-&quot;\ &quot;kr&quot;_-;_-@_-"/>
    <numFmt numFmtId="177" formatCode="_-* #,##0.00_р_._-;\-* #,##0.00_р_._-;_-* \-??_р_._-;_-@_-"/>
    <numFmt numFmtId="178" formatCode="0.0%"/>
  </numFmts>
  <fonts count="9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2"/>
      <color indexed="12"/>
      <name val="Calibri"/>
      <family val="2"/>
    </font>
    <font>
      <sz val="12"/>
      <color indexed="8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color indexed="24"/>
      <name val="Arial"/>
      <family val="2"/>
    </font>
    <font>
      <b/>
      <sz val="8"/>
      <color indexed="24"/>
      <name val="Times New Roman"/>
      <family val="1"/>
    </font>
    <font>
      <sz val="8"/>
      <color indexed="24"/>
      <name val="Times New Roman"/>
      <family val="1"/>
    </font>
    <font>
      <sz val="7"/>
      <name val="Helv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sz val="9"/>
      <color indexed="9"/>
      <name val="Times"/>
      <family val="1"/>
    </font>
    <font>
      <b/>
      <sz val="11"/>
      <color indexed="52"/>
      <name val="Calibri"/>
      <family val="2"/>
    </font>
    <font>
      <sz val="9"/>
      <color indexed="8"/>
      <name val="Times"/>
      <family val="1"/>
    </font>
    <font>
      <sz val="8"/>
      <name val="Helvetica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9"/>
      <name val="Times New Roman"/>
      <family val="1"/>
    </font>
    <font>
      <sz val="10"/>
      <color indexed="8"/>
      <name val="Times"/>
      <family val="1"/>
    </font>
    <font>
      <sz val="9"/>
      <name val="Times"/>
      <family val="1"/>
    </font>
    <font>
      <sz val="12"/>
      <name val="Arial CE"/>
    </font>
    <font>
      <sz val="11"/>
      <color indexed="10"/>
      <name val="Calibri"/>
      <family val="2"/>
    </font>
    <font>
      <sz val="10"/>
      <name val="Times"/>
      <family val="1"/>
    </font>
    <font>
      <sz val="10"/>
      <name val="Arial Cyr"/>
      <family val="2"/>
    </font>
    <font>
      <b/>
      <sz val="11"/>
      <name val="Gentle Sans"/>
    </font>
    <font>
      <sz val="10"/>
      <name val="Times New Roman"/>
      <family val="1"/>
    </font>
    <font>
      <b/>
      <i/>
      <sz val="12"/>
      <name val="Gentle Sans"/>
    </font>
    <font>
      <sz val="10"/>
      <name val="Helv"/>
    </font>
    <font>
      <u/>
      <sz val="12"/>
      <color indexed="12"/>
      <name val="Times New Roman"/>
      <family val="1"/>
      <charset val="238"/>
    </font>
    <font>
      <sz val="10"/>
      <name val="Courier"/>
      <family val="1"/>
      <charset val="238"/>
    </font>
    <font>
      <i/>
      <sz val="12"/>
      <name val="Gentle Sans"/>
    </font>
    <font>
      <sz val="9"/>
      <name val="Gentle Sans"/>
    </font>
    <font>
      <sz val="9"/>
      <name val="Gentle Sans Light"/>
    </font>
    <font>
      <sz val="10"/>
      <name val="Gentle Sans"/>
    </font>
    <font>
      <sz val="12"/>
      <color indexed="8"/>
      <name val="Times New Roman"/>
      <family val="2"/>
    </font>
    <font>
      <sz val="10"/>
      <color indexed="8"/>
      <name val="Arial Cyr"/>
      <family val="2"/>
    </font>
    <font>
      <sz val="11"/>
      <color theme="1"/>
      <name val="Aptos Narrow"/>
      <family val="2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Aptos Narrow"/>
      <family val="3"/>
      <charset val="134"/>
      <scheme val="minor"/>
    </font>
    <font>
      <sz val="10"/>
      <name val="Arial (Arabic)"/>
      <family val="2"/>
      <charset val="178"/>
    </font>
    <font>
      <b/>
      <sz val="12"/>
      <name val="Sakkal Majalla"/>
      <charset val="178"/>
    </font>
    <font>
      <sz val="12"/>
      <name val="Sakkal Majalla"/>
      <charset val="178"/>
    </font>
    <font>
      <b/>
      <sz val="14"/>
      <name val="Arial (Arabic)"/>
      <family val="2"/>
      <charset val="178"/>
    </font>
    <font>
      <sz val="14"/>
      <name val="Arial (Arabic)"/>
      <family val="2"/>
      <charset val="178"/>
    </font>
    <font>
      <sz val="11"/>
      <color theme="1"/>
      <name val="Aptos Narrow"/>
      <family val="2"/>
      <charset val="178"/>
      <scheme val="minor"/>
    </font>
    <font>
      <sz val="16"/>
      <color theme="8" tint="-0.249977111117893"/>
      <name val="Frutiger LT Arabic 55 Roman"/>
    </font>
    <font>
      <sz val="18"/>
      <name val="Arial (Arabic)"/>
      <family val="2"/>
      <charset val="178"/>
    </font>
    <font>
      <sz val="10"/>
      <color theme="0" tint="-0.34998626667073579"/>
      <name val="Frutiger LT Arabic 55 Roman"/>
    </font>
    <font>
      <sz val="10"/>
      <color theme="0"/>
      <name val="Frutiger LT Arabic 55 Roman"/>
    </font>
    <font>
      <sz val="11"/>
      <color theme="0"/>
      <name val="Frutiger LT Arabic 55 Roman"/>
    </font>
    <font>
      <b/>
      <sz val="10"/>
      <name val="Frutiger LT Arabic 55 Roman"/>
    </font>
    <font>
      <sz val="10"/>
      <name val="Frutiger LT Arabic 55 Roman"/>
    </font>
    <font>
      <sz val="10"/>
      <color rgb="FF0070C0"/>
      <name val="Frutiger LT Arabic 55 Roman"/>
    </font>
    <font>
      <b/>
      <sz val="10"/>
      <color rgb="FF0070C0"/>
      <name val="Frutiger LT Arabic 55 Roman"/>
    </font>
    <font>
      <sz val="10"/>
      <color theme="8" tint="-0.249977111117893"/>
      <name val="Frutiger LT Arabic 55 Roman"/>
    </font>
    <font>
      <b/>
      <sz val="10"/>
      <color rgb="FF0070C0"/>
      <name val="Bell MT"/>
      <family val="1"/>
    </font>
    <font>
      <b/>
      <sz val="10"/>
      <color theme="8" tint="-0.249977111117893"/>
      <name val="Frutiger LT Arabic 55 Roman"/>
    </font>
    <font>
      <b/>
      <sz val="10"/>
      <color theme="8" tint="-0.249977111117893"/>
      <name val="Bell MT"/>
      <family val="1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54A3D4"/>
        <bgColor indexed="64"/>
      </patternFill>
    </fill>
    <fill>
      <patternFill patternType="solid">
        <fgColor rgb="FF6FB2DB"/>
        <bgColor indexed="63"/>
      </patternFill>
    </fill>
    <fill>
      <patternFill patternType="solid">
        <fgColor rgb="FF54A3D4"/>
        <bgColor indexed="63"/>
      </patternFill>
    </fill>
    <fill>
      <patternFill patternType="solid">
        <fgColor rgb="FFA0CDE8"/>
        <bgColor indexed="63"/>
      </patternFill>
    </fill>
    <fill>
      <patternFill patternType="solid">
        <fgColor rgb="FFB2D6EC"/>
        <bgColor indexed="64"/>
      </patternFill>
    </fill>
    <fill>
      <patternFill patternType="solid">
        <fgColor rgb="FFE4F0F8"/>
        <bgColor indexed="64"/>
      </patternFill>
    </fill>
    <fill>
      <patternFill patternType="solid">
        <fgColor rgb="FFF0F2F6"/>
        <bgColor indexed="64"/>
      </patternFill>
    </fill>
    <fill>
      <patternFill patternType="solid">
        <fgColor rgb="FFFF0000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8393B3"/>
      </right>
      <top style="thin">
        <color rgb="FF8393B3"/>
      </top>
      <bottom/>
      <diagonal/>
    </border>
    <border>
      <left style="thin">
        <color rgb="FF8393B3"/>
      </left>
      <right/>
      <top style="thin">
        <color rgb="FF8393B3"/>
      </top>
      <bottom/>
      <diagonal/>
    </border>
    <border>
      <left style="thin">
        <color rgb="FF0452A0"/>
      </left>
      <right/>
      <top/>
      <bottom/>
      <diagonal/>
    </border>
    <border>
      <left/>
      <right style="thin">
        <color rgb="FF0452A0"/>
      </right>
      <top/>
      <bottom/>
      <diagonal/>
    </border>
    <border>
      <left style="thin">
        <color theme="8" tint="0.59999389629810485"/>
      </left>
      <right/>
      <top/>
      <bottom/>
      <diagonal/>
    </border>
    <border>
      <left/>
      <right style="thin">
        <color rgb="FF8393B3"/>
      </right>
      <top/>
      <bottom/>
      <diagonal/>
    </border>
    <border>
      <left style="thin">
        <color rgb="FF8393B3"/>
      </left>
      <right/>
      <top/>
      <bottom/>
      <diagonal/>
    </border>
    <border>
      <left style="thin">
        <color rgb="FF0452A0"/>
      </left>
      <right/>
      <top/>
      <bottom style="thin">
        <color rgb="FF62ABD8"/>
      </bottom>
      <diagonal/>
    </border>
    <border>
      <left/>
      <right style="thin">
        <color rgb="FF0452A0"/>
      </right>
      <top/>
      <bottom style="thin">
        <color rgb="FF62ABD8"/>
      </bottom>
      <diagonal/>
    </border>
    <border>
      <left style="thin">
        <color theme="8" tint="0.59999389629810485"/>
      </left>
      <right/>
      <top/>
      <bottom style="thin">
        <color rgb="FF62ABD8"/>
      </bottom>
      <diagonal/>
    </border>
    <border>
      <left/>
      <right/>
      <top/>
      <bottom style="thin">
        <color rgb="FF62ABD8"/>
      </bottom>
      <diagonal/>
    </border>
    <border>
      <left/>
      <right style="thin">
        <color rgb="FF8393B3"/>
      </right>
      <top/>
      <bottom style="thin">
        <color rgb="FF8393B3"/>
      </bottom>
      <diagonal/>
    </border>
    <border>
      <left style="thin">
        <color rgb="FF8393B3"/>
      </left>
      <right/>
      <top/>
      <bottom style="thin">
        <color rgb="FF8393B3"/>
      </bottom>
      <diagonal/>
    </border>
    <border>
      <left style="thin">
        <color rgb="FF0452A0"/>
      </left>
      <right/>
      <top style="thin">
        <color rgb="FF62ABD8"/>
      </top>
      <bottom style="medium">
        <color theme="4" tint="0.59999389629810485"/>
      </bottom>
      <diagonal/>
    </border>
    <border>
      <left style="thin">
        <color theme="0" tint="-0.249977111117893"/>
      </left>
      <right style="thin">
        <color rgb="FF0452A0"/>
      </right>
      <top style="thin">
        <color rgb="FF62ABD8"/>
      </top>
      <bottom style="medium">
        <color theme="4" tint="0.59999389629810485"/>
      </bottom>
      <diagonal/>
    </border>
    <border>
      <left style="thin">
        <color rgb="FF0452A0"/>
      </left>
      <right style="thin">
        <color theme="0" tint="-0.249977111117893"/>
      </right>
      <top style="thin">
        <color rgb="FF62ABD8"/>
      </top>
      <bottom style="medium">
        <color theme="4" tint="0.59999389629810485"/>
      </bottom>
      <diagonal/>
    </border>
    <border>
      <left/>
      <right style="thin">
        <color rgb="FF0452A0"/>
      </right>
      <top style="thin">
        <color rgb="FF62ABD8"/>
      </top>
      <bottom style="medium">
        <color theme="4" tint="0.59999389629810485"/>
      </bottom>
      <diagonal/>
    </border>
    <border>
      <left style="thin">
        <color rgb="FF8393B3"/>
      </left>
      <right style="thin">
        <color rgb="FF8393B3"/>
      </right>
      <top style="thin">
        <color rgb="FF8393B3"/>
      </top>
      <bottom style="thin">
        <color theme="2" tint="-0.249977111117893"/>
      </bottom>
      <diagonal/>
    </border>
    <border>
      <left style="thin">
        <color theme="4" tint="0.59999389629810485"/>
      </left>
      <right/>
      <top/>
      <bottom/>
      <diagonal/>
    </border>
    <border>
      <left style="thin">
        <color rgb="FF8393B3"/>
      </left>
      <right style="thin">
        <color rgb="FF8393B3"/>
      </right>
      <top style="thin">
        <color rgb="FF8393B3"/>
      </top>
      <bottom style="thin">
        <color rgb="FF8393B3"/>
      </bottom>
      <diagonal/>
    </border>
    <border>
      <left style="thin">
        <color rgb="FF8393B3"/>
      </left>
      <right/>
      <top style="thin">
        <color rgb="FF8393B3"/>
      </top>
      <bottom style="thin">
        <color rgb="FF8393B3"/>
      </bottom>
      <diagonal/>
    </border>
    <border>
      <left style="thin">
        <color rgb="FF0452A0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rgb="FF0452A0"/>
      </right>
      <top/>
      <bottom/>
      <diagonal/>
    </border>
    <border>
      <left style="thin">
        <color rgb="FF8393B3"/>
      </left>
      <right style="thin">
        <color rgb="FF8393B3"/>
      </right>
      <top/>
      <bottom/>
      <diagonal/>
    </border>
    <border>
      <left style="thin">
        <color rgb="FF8393B3"/>
      </left>
      <right style="thin">
        <color rgb="FF8393B3"/>
      </right>
      <top/>
      <bottom style="thin">
        <color rgb="FF62ABD8"/>
      </bottom>
      <diagonal/>
    </border>
    <border>
      <left/>
      <right style="thin">
        <color rgb="FF8393B3"/>
      </right>
      <top/>
      <bottom style="thin">
        <color rgb="FF0452A0"/>
      </bottom>
      <diagonal/>
    </border>
    <border>
      <left style="thin">
        <color rgb="FF8393B3"/>
      </left>
      <right style="thin">
        <color rgb="FF8393B3"/>
      </right>
      <top style="thin">
        <color rgb="FF8393B3"/>
      </top>
      <bottom style="thin">
        <color rgb="FF0452A0"/>
      </bottom>
      <diagonal/>
    </border>
    <border>
      <left style="thin">
        <color rgb="FF8393B3"/>
      </left>
      <right/>
      <top style="thin">
        <color rgb="FF8393B3"/>
      </top>
      <bottom style="thin">
        <color rgb="FF0452A0"/>
      </bottom>
      <diagonal/>
    </border>
    <border>
      <left style="thin">
        <color rgb="FF0452A0"/>
      </left>
      <right style="thin">
        <color theme="8" tint="0.59999389629810485"/>
      </right>
      <top/>
      <bottom style="thin">
        <color rgb="FF0452A0"/>
      </bottom>
      <diagonal/>
    </border>
    <border>
      <left style="thin">
        <color theme="8" tint="0.59999389629810485"/>
      </left>
      <right style="thin">
        <color rgb="FF0452A0"/>
      </right>
      <top/>
      <bottom style="thin">
        <color rgb="FF0452A0"/>
      </bottom>
      <diagonal/>
    </border>
    <border>
      <left style="thin">
        <color rgb="FF8393B3"/>
      </left>
      <right style="thin">
        <color rgb="FF8393B3"/>
      </right>
      <top style="thin">
        <color rgb="FF62ABD8"/>
      </top>
      <bottom style="thin">
        <color rgb="FF0452A0"/>
      </bottom>
      <diagonal/>
    </border>
    <border>
      <left style="thin">
        <color rgb="FF8393B3"/>
      </left>
      <right style="thin">
        <color rgb="FF8393B3"/>
      </right>
      <top/>
      <bottom style="thin">
        <color rgb="FF8393B3"/>
      </bottom>
      <diagonal/>
    </border>
    <border>
      <left style="thin">
        <color rgb="FF8393B3"/>
      </left>
      <right style="thin">
        <color rgb="FF8393B3"/>
      </right>
      <top style="thin">
        <color rgb="FF62ABD8"/>
      </top>
      <bottom style="thin">
        <color rgb="FF62ABD8"/>
      </bottom>
      <diagonal/>
    </border>
    <border>
      <left style="thin">
        <color rgb="FF8393B3"/>
      </left>
      <right style="thin">
        <color rgb="FF8393B3"/>
      </right>
      <top style="thin">
        <color rgb="FF8393B3"/>
      </top>
      <bottom/>
      <diagonal/>
    </border>
    <border>
      <left style="thin">
        <color rgb="FF8393B3"/>
      </left>
      <right style="thin">
        <color rgb="FF8393B3"/>
      </right>
      <top style="thin">
        <color rgb="FF62ABD8"/>
      </top>
      <bottom/>
      <diagonal/>
    </border>
    <border>
      <left/>
      <right style="thin">
        <color rgb="FF8393B3"/>
      </right>
      <top/>
      <bottom style="thin">
        <color theme="8" tint="-0.249977111117893"/>
      </bottom>
      <diagonal/>
    </border>
    <border>
      <left style="thin">
        <color rgb="FF8393B3"/>
      </left>
      <right style="thin">
        <color rgb="FF8393B3"/>
      </right>
      <top style="thin">
        <color rgb="FF8393B3"/>
      </top>
      <bottom style="thin">
        <color theme="8" tint="-0.249977111117893"/>
      </bottom>
      <diagonal/>
    </border>
    <border>
      <left style="thin">
        <color rgb="FF8393B3"/>
      </left>
      <right/>
      <top style="thin">
        <color rgb="FF8393B3"/>
      </top>
      <bottom style="thin">
        <color theme="8" tint="-0.249977111117893"/>
      </bottom>
      <diagonal/>
    </border>
    <border>
      <left style="thin">
        <color rgb="FF0452A0"/>
      </left>
      <right style="thin">
        <color theme="8" tint="0.59999389629810485"/>
      </right>
      <top/>
      <bottom style="thin">
        <color theme="8" tint="-0.249977111117893"/>
      </bottom>
      <diagonal/>
    </border>
    <border>
      <left style="thin">
        <color theme="8" tint="0.59999389629810485"/>
      </left>
      <right style="thin">
        <color rgb="FF0452A0"/>
      </right>
      <top/>
      <bottom style="thin">
        <color theme="8" tint="-0.249977111117893"/>
      </bottom>
      <diagonal/>
    </border>
    <border>
      <left style="thin">
        <color rgb="FF8393B3"/>
      </left>
      <right style="thin">
        <color rgb="FF8393B3"/>
      </right>
      <top/>
      <bottom style="thin">
        <color theme="8" tint="-0.249977111117893"/>
      </bottom>
      <diagonal/>
    </border>
    <border>
      <left style="thin">
        <color rgb="FF8393B3"/>
      </left>
      <right style="thin">
        <color rgb="FF8393B3"/>
      </right>
      <top style="thin">
        <color rgb="FF62ABD8"/>
      </top>
      <bottom style="thin">
        <color theme="8" tint="-0.249977111117893"/>
      </bottom>
      <diagonal/>
    </border>
    <border>
      <left/>
      <right style="thin">
        <color rgb="FF8393B3"/>
      </right>
      <top style="thin">
        <color theme="8" tint="-0.249977111117893"/>
      </top>
      <bottom/>
      <diagonal/>
    </border>
    <border>
      <left style="thin">
        <color rgb="FF8393B3"/>
      </left>
      <right style="thin">
        <color rgb="FF8393B3"/>
      </right>
      <top style="thin">
        <color theme="8" tint="-0.249977111117893"/>
      </top>
      <bottom style="thin">
        <color rgb="FF8393B3"/>
      </bottom>
      <diagonal/>
    </border>
    <border>
      <left style="thin">
        <color rgb="FF8393B3"/>
      </left>
      <right/>
      <top style="thin">
        <color theme="8" tint="-0.249977111117893"/>
      </top>
      <bottom style="thin">
        <color rgb="FF8393B3"/>
      </bottom>
      <diagonal/>
    </border>
    <border>
      <left style="thin">
        <color rgb="FF0452A0"/>
      </left>
      <right style="thin">
        <color theme="8" tint="0.59999389629810485"/>
      </right>
      <top style="thin">
        <color theme="8" tint="-0.249977111117893"/>
      </top>
      <bottom/>
      <diagonal/>
    </border>
    <border>
      <left style="thin">
        <color theme="8" tint="0.59999389629810485"/>
      </left>
      <right style="thin">
        <color rgb="FF0452A0"/>
      </right>
      <top style="thin">
        <color theme="8" tint="-0.249977111117893"/>
      </top>
      <bottom/>
      <diagonal/>
    </border>
    <border>
      <left style="thin">
        <color rgb="FF8393B3"/>
      </left>
      <right style="thin">
        <color rgb="FF8393B3"/>
      </right>
      <top style="thin">
        <color theme="8" tint="-0.249977111117893"/>
      </top>
      <bottom style="thin">
        <color rgb="FF62ABD8"/>
      </bottom>
      <diagonal/>
    </border>
    <border>
      <left style="thin">
        <color rgb="FF8393B3"/>
      </left>
      <right style="thin">
        <color rgb="FF8393B3"/>
      </right>
      <top style="thin">
        <color rgb="FF8393B3"/>
      </top>
      <bottom style="medium">
        <color rgb="FF8393B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452A0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0" tint="-0.249977111117893"/>
      </left>
      <right style="thin">
        <color rgb="FF0452A0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8393B3"/>
      </left>
      <right style="thin">
        <color rgb="FF8393B3"/>
      </right>
      <top style="thin">
        <color rgb="FFAED0EC"/>
      </top>
      <bottom style="thin">
        <color rgb="FF62ABD8"/>
      </bottom>
      <diagonal/>
    </border>
    <border>
      <left style="thin">
        <color rgb="FF8393B3"/>
      </left>
      <right style="thin">
        <color rgb="FF8393B3"/>
      </right>
      <top style="thin">
        <color rgb="FF8393B3"/>
      </top>
      <bottom style="thin">
        <color rgb="FF62ABD8"/>
      </bottom>
      <diagonal/>
    </border>
    <border>
      <left style="thin">
        <color rgb="FF8393B3"/>
      </left>
      <right/>
      <top style="thin">
        <color rgb="FF8393B3"/>
      </top>
      <bottom style="thin">
        <color rgb="FF62ABD8"/>
      </bottom>
      <diagonal/>
    </border>
  </borders>
  <cellStyleXfs count="13820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5" fillId="0" borderId="0"/>
    <xf numFmtId="165" fontId="25" fillId="0" borderId="0" applyFont="0" applyFill="0" applyBorder="0" applyAlignment="0" applyProtection="0"/>
    <xf numFmtId="9" fontId="25" fillId="0" borderId="0"/>
    <xf numFmtId="44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  <xf numFmtId="2" fontId="25" fillId="0" borderId="0"/>
    <xf numFmtId="0" fontId="2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35" borderId="0" applyNumberFormat="0" applyBorder="0" applyAlignment="0" applyProtection="0"/>
    <xf numFmtId="0" fontId="35" fillId="38" borderId="20" applyNumberFormat="0" applyAlignment="0" applyProtection="0"/>
    <xf numFmtId="0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" fontId="30" fillId="0" borderId="0" applyFont="0" applyFill="0" applyBorder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170" fontId="30" fillId="0" borderId="0" applyFont="0" applyFill="0" applyBorder="0" applyAlignment="0" applyProtection="0"/>
    <xf numFmtId="0" fontId="40" fillId="37" borderId="0" applyNumberFormat="0" applyBorder="0" applyAlignment="0" applyProtection="0"/>
    <xf numFmtId="0" fontId="19" fillId="0" borderId="0"/>
    <xf numFmtId="0" fontId="23" fillId="34" borderId="24" applyNumberFormat="0" applyFont="0" applyAlignment="0" applyProtection="0"/>
    <xf numFmtId="0" fontId="41" fillId="36" borderId="25" applyNumberFormat="0" applyAlignment="0" applyProtection="0"/>
    <xf numFmtId="9" fontId="2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3" fillId="0" borderId="0"/>
    <xf numFmtId="0" fontId="33" fillId="0" borderId="13">
      <alignment horizontal="center"/>
    </xf>
    <xf numFmtId="0" fontId="42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43" fillId="39" borderId="0" applyNumberFormat="0" applyBorder="0" applyAlignment="0" applyProtection="0"/>
    <xf numFmtId="0" fontId="43" fillId="35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34" fillId="35" borderId="0" applyNumberFormat="0" applyBorder="0" applyAlignment="0" applyProtection="0"/>
    <xf numFmtId="0" fontId="45" fillId="40" borderId="0" applyNumberFormat="0" applyBorder="0" applyAlignment="0" applyProtection="0"/>
    <xf numFmtId="171" fontId="46" fillId="0" borderId="0">
      <alignment vertical="top"/>
    </xf>
    <xf numFmtId="0" fontId="47" fillId="36" borderId="26" applyNumberFormat="0" applyAlignment="0" applyProtection="0"/>
    <xf numFmtId="0" fontId="35" fillId="38" borderId="20" applyNumberFormat="0" applyAlignment="0" applyProtection="0"/>
    <xf numFmtId="165" fontId="23" fillId="0" borderId="0" applyFont="0" applyFill="0" applyBorder="0" applyAlignment="0" applyProtection="0"/>
    <xf numFmtId="3" fontId="48" fillId="0" borderId="0" applyFill="0" applyBorder="0">
      <alignment horizontal="right" vertical="top"/>
    </xf>
    <xf numFmtId="169" fontId="48" fillId="0" borderId="0" applyFill="0" applyBorder="0">
      <alignment horizontal="right" vertical="top"/>
    </xf>
    <xf numFmtId="3" fontId="48" fillId="0" borderId="0" applyFill="0" applyBorder="0">
      <alignment horizontal="right" vertical="top"/>
    </xf>
    <xf numFmtId="168" fontId="46" fillId="0" borderId="0" applyFont="0" applyFill="0" applyBorder="0">
      <alignment horizontal="right" vertical="top"/>
    </xf>
    <xf numFmtId="172" fontId="48" fillId="0" borderId="0" applyFont="0" applyFill="0" applyBorder="0" applyAlignment="0" applyProtection="0">
      <alignment horizontal="right" vertical="top"/>
    </xf>
    <xf numFmtId="169" fontId="48" fillId="0" borderId="0">
      <alignment horizontal="right" vertical="top"/>
    </xf>
    <xf numFmtId="3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73" fontId="4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2" fontId="23" fillId="0" borderId="0" applyFont="0" applyFill="0" applyBorder="0" applyAlignment="0" applyProtection="0"/>
    <xf numFmtId="0" fontId="45" fillId="40" borderId="0" applyNumberFormat="0" applyBorder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50" fillId="43" borderId="26" applyNumberFormat="0" applyAlignment="0" applyProtection="0"/>
    <xf numFmtId="0" fontId="51" fillId="0" borderId="27" applyNumberFormat="0" applyFill="0" applyAlignment="0" applyProtection="0"/>
    <xf numFmtId="174" fontId="29" fillId="0" borderId="0" applyFont="0" applyFill="0" applyBorder="0" applyAlignment="0" applyProtection="0"/>
    <xf numFmtId="0" fontId="40" fillId="37" borderId="0" applyNumberFormat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1" fillId="0" borderId="0"/>
    <xf numFmtId="0" fontId="52" fillId="0" borderId="19" applyNumberFormat="0" applyFill="0" applyAlignment="0" applyProtection="0"/>
    <xf numFmtId="1" fontId="46" fillId="0" borderId="0">
      <alignment vertical="top" wrapText="1"/>
    </xf>
    <xf numFmtId="1" fontId="53" fillId="0" borderId="0" applyFill="0" applyBorder="0" applyProtection="0"/>
    <xf numFmtId="1" fontId="52" fillId="0" borderId="0" applyFont="0" applyFill="0" applyBorder="0" applyProtection="0">
      <alignment vertical="center"/>
    </xf>
    <xf numFmtId="1" fontId="54" fillId="0" borderId="0">
      <alignment horizontal="right" vertical="top"/>
    </xf>
    <xf numFmtId="0" fontId="55" fillId="0" borderId="0"/>
    <xf numFmtId="1" fontId="48" fillId="0" borderId="0" applyNumberFormat="0" applyFill="0" applyBorder="0">
      <alignment vertical="top"/>
    </xf>
    <xf numFmtId="0" fontId="23" fillId="34" borderId="24" applyNumberFormat="0" applyFont="0" applyAlignment="0" applyProtection="0"/>
    <xf numFmtId="0" fontId="41" fillId="36" borderId="25" applyNumberFormat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2" fontId="23" fillId="0" borderId="0" applyFont="0" applyFill="0" applyBorder="0" applyProtection="0">
      <alignment horizontal="right"/>
    </xf>
    <xf numFmtId="2" fontId="23" fillId="0" borderId="0" applyFont="0" applyFill="0" applyBorder="0" applyProtection="0">
      <alignment horizontal="right"/>
    </xf>
    <xf numFmtId="49" fontId="48" fillId="0" borderId="0" applyFill="0" applyBorder="0" applyAlignment="0" applyProtection="0">
      <alignment vertical="top"/>
    </xf>
    <xf numFmtId="0" fontId="42" fillId="0" borderId="0" applyNumberFormat="0" applyFill="0" applyBorder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" fontId="57" fillId="0" borderId="0">
      <alignment vertical="top" wrapText="1"/>
    </xf>
    <xf numFmtId="0" fontId="1" fillId="0" borderId="0"/>
    <xf numFmtId="0" fontId="19" fillId="0" borderId="0"/>
    <xf numFmtId="9" fontId="19" fillId="0" borderId="0" applyFont="0" applyFill="0" applyBorder="0" applyAlignment="0" applyProtection="0"/>
    <xf numFmtId="0" fontId="59" fillId="0" borderId="0">
      <alignment horizontal="right"/>
    </xf>
    <xf numFmtId="41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0" fontId="61" fillId="0" borderId="0"/>
    <xf numFmtId="0" fontId="62" fillId="53" borderId="0" applyNumberFormat="0" applyFont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64" fillId="0" borderId="0"/>
    <xf numFmtId="0" fontId="23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65" fillId="0" borderId="0"/>
    <xf numFmtId="0" fontId="66" fillId="0" borderId="0"/>
    <xf numFmtId="0" fontId="67" fillId="0" borderId="0"/>
    <xf numFmtId="0" fontId="61" fillId="0" borderId="0"/>
    <xf numFmtId="0" fontId="68" fillId="0" borderId="0"/>
    <xf numFmtId="0" fontId="66" fillId="0" borderId="0"/>
    <xf numFmtId="0" fontId="67" fillId="0" borderId="0"/>
    <xf numFmtId="175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8" fillId="0" borderId="0"/>
    <xf numFmtId="0" fontId="43" fillId="0" borderId="0"/>
    <xf numFmtId="0" fontId="62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3" fillId="0" borderId="0"/>
    <xf numFmtId="0" fontId="69" fillId="0" borderId="0"/>
    <xf numFmtId="0" fontId="69" fillId="0" borderId="0"/>
    <xf numFmtId="0" fontId="69" fillId="0" borderId="0"/>
    <xf numFmtId="0" fontId="58" fillId="0" borderId="0"/>
    <xf numFmtId="0" fontId="58" fillId="0" borderId="0"/>
    <xf numFmtId="0" fontId="69" fillId="0" borderId="0"/>
    <xf numFmtId="0" fontId="70" fillId="0" borderId="0"/>
    <xf numFmtId="0" fontId="43" fillId="0" borderId="0"/>
    <xf numFmtId="0" fontId="43" fillId="0" borderId="0"/>
    <xf numFmtId="0" fontId="69" fillId="0" borderId="0"/>
    <xf numFmtId="0" fontId="43" fillId="0" borderId="0"/>
    <xf numFmtId="177" fontId="58" fillId="0" borderId="0" applyFill="0" applyBorder="0" applyAlignment="0" applyProtection="0"/>
    <xf numFmtId="0" fontId="58" fillId="0" borderId="0"/>
    <xf numFmtId="0" fontId="58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60" fillId="0" borderId="0"/>
    <xf numFmtId="9" fontId="19" fillId="0" borderId="0" applyFont="0" applyFill="0" applyBorder="0" applyAlignment="0" applyProtection="0"/>
    <xf numFmtId="0" fontId="43" fillId="0" borderId="0"/>
    <xf numFmtId="0" fontId="26" fillId="0" borderId="0" applyNumberForma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9" fillId="0" borderId="0"/>
    <xf numFmtId="0" fontId="71" fillId="0" borderId="0">
      <alignment vertical="center"/>
    </xf>
    <xf numFmtId="0" fontId="23" fillId="0" borderId="0"/>
    <xf numFmtId="0" fontId="29" fillId="0" borderId="0"/>
    <xf numFmtId="9" fontId="29" fillId="0" borderId="0" applyFont="0" applyFill="0" applyBorder="0" applyAlignment="0" applyProtection="0"/>
    <xf numFmtId="0" fontId="72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173" fontId="7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80" fillId="0" borderId="0"/>
    <xf numFmtId="0" fontId="80" fillId="0" borderId="0"/>
    <xf numFmtId="9" fontId="80" fillId="0" borderId="0" applyFont="0" applyFill="0" applyBorder="0" applyAlignment="0" applyProtection="0"/>
    <xf numFmtId="0" fontId="80" fillId="0" borderId="0"/>
  </cellStyleXfs>
  <cellXfs count="17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6" fillId="0" borderId="0" xfId="0" applyFont="1"/>
    <xf numFmtId="9" fontId="0" fillId="0" borderId="11" xfId="1" applyFont="1" applyBorder="1"/>
    <xf numFmtId="9" fontId="0" fillId="0" borderId="0" xfId="1" applyFont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9" fontId="0" fillId="0" borderId="0" xfId="0" applyNumberFormat="1"/>
    <xf numFmtId="0" fontId="0" fillId="0" borderId="0" xfId="1" applyNumberFormat="1" applyFont="1"/>
    <xf numFmtId="0" fontId="19" fillId="0" borderId="0" xfId="44"/>
    <xf numFmtId="9" fontId="19" fillId="0" borderId="0" xfId="1" applyFont="1"/>
    <xf numFmtId="0" fontId="20" fillId="0" borderId="0" xfId="44" applyFont="1"/>
    <xf numFmtId="0" fontId="0" fillId="0" borderId="13" xfId="0" applyBorder="1"/>
    <xf numFmtId="0" fontId="18" fillId="0" borderId="0" xfId="43"/>
    <xf numFmtId="0" fontId="16" fillId="0" borderId="13" xfId="0" applyFont="1" applyBorder="1"/>
    <xf numFmtId="9" fontId="0" fillId="52" borderId="0" xfId="1" applyFont="1" applyFill="1"/>
    <xf numFmtId="178" fontId="0" fillId="0" borderId="0" xfId="0" applyNumberFormat="1"/>
    <xf numFmtId="0" fontId="23" fillId="0" borderId="28" xfId="0" applyFont="1" applyBorder="1" applyAlignment="1">
      <alignment wrapText="1"/>
    </xf>
    <xf numFmtId="0" fontId="23" fillId="0" borderId="28" xfId="0" applyFont="1" applyBorder="1" applyAlignment="1">
      <alignment horizontal="left" vertical="center" wrapText="1"/>
    </xf>
    <xf numFmtId="0" fontId="0" fillId="0" borderId="32" xfId="0" applyBorder="1"/>
    <xf numFmtId="0" fontId="0" fillId="0" borderId="18" xfId="0" applyBorder="1"/>
    <xf numFmtId="0" fontId="0" fillId="0" borderId="33" xfId="0" applyBorder="1"/>
    <xf numFmtId="0" fontId="23" fillId="0" borderId="17" xfId="0" applyFont="1" applyBorder="1" applyAlignment="1">
      <alignment wrapText="1"/>
    </xf>
    <xf numFmtId="0" fontId="23" fillId="0" borderId="0" xfId="0" applyFont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3" fillId="0" borderId="0" xfId="0" applyFont="1"/>
    <xf numFmtId="0" fontId="0" fillId="0" borderId="17" xfId="0" applyBorder="1"/>
    <xf numFmtId="9" fontId="0" fillId="0" borderId="15" xfId="1" applyFont="1" applyBorder="1"/>
    <xf numFmtId="9" fontId="0" fillId="0" borderId="16" xfId="1" applyFont="1" applyBorder="1"/>
    <xf numFmtId="9" fontId="0" fillId="0" borderId="0" xfId="1" applyFont="1" applyBorder="1"/>
    <xf numFmtId="9" fontId="0" fillId="0" borderId="14" xfId="1" applyFont="1" applyFill="1" applyBorder="1"/>
    <xf numFmtId="9" fontId="0" fillId="0" borderId="15" xfId="1" applyFont="1" applyFill="1" applyBorder="1"/>
    <xf numFmtId="9" fontId="0" fillId="0" borderId="16" xfId="1" applyFont="1" applyFill="1" applyBorder="1"/>
    <xf numFmtId="0" fontId="23" fillId="0" borderId="31" xfId="0" applyFont="1" applyBorder="1"/>
    <xf numFmtId="0" fontId="0" fillId="0" borderId="29" xfId="0" applyBorder="1"/>
    <xf numFmtId="0" fontId="23" fillId="0" borderId="28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8" xfId="0" applyFont="1" applyBorder="1"/>
    <xf numFmtId="0" fontId="24" fillId="0" borderId="29" xfId="0" applyFont="1" applyBorder="1"/>
    <xf numFmtId="9" fontId="23" fillId="0" borderId="14" xfId="1" applyFont="1" applyFill="1" applyBorder="1"/>
    <xf numFmtId="9" fontId="23" fillId="0" borderId="15" xfId="1" applyFont="1" applyFill="1" applyBorder="1"/>
    <xf numFmtId="9" fontId="0" fillId="0" borderId="17" xfId="0" applyNumberForma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9" fontId="0" fillId="0" borderId="18" xfId="0" applyNumberFormat="1" applyBorder="1"/>
    <xf numFmtId="178" fontId="0" fillId="0" borderId="18" xfId="0" applyNumberFormat="1" applyBorder="1"/>
    <xf numFmtId="178" fontId="0" fillId="0" borderId="17" xfId="0" applyNumberFormat="1" applyBorder="1"/>
    <xf numFmtId="0" fontId="0" fillId="54" borderId="0" xfId="0" applyFill="1"/>
    <xf numFmtId="0" fontId="23" fillId="54" borderId="0" xfId="0" applyFont="1" applyFill="1"/>
    <xf numFmtId="10" fontId="0" fillId="0" borderId="0" xfId="0" applyNumberFormat="1"/>
    <xf numFmtId="0" fontId="75" fillId="0" borderId="0" xfId="1917" applyFont="1" applyAlignment="1">
      <alignment vertical="center" readingOrder="1"/>
    </xf>
    <xf numFmtId="0" fontId="76" fillId="0" borderId="0" xfId="1917" applyFont="1" applyAlignment="1">
      <alignment vertical="center" readingOrder="1"/>
    </xf>
    <xf numFmtId="0" fontId="77" fillId="0" borderId="0" xfId="1917" applyFont="1" applyAlignment="1">
      <alignment horizontal="left" vertical="center" wrapText="1" readingOrder="1"/>
    </xf>
    <xf numFmtId="0" fontId="78" fillId="0" borderId="0" xfId="1917" applyFont="1" applyAlignment="1">
      <alignment vertical="center" readingOrder="1"/>
    </xf>
    <xf numFmtId="0" fontId="79" fillId="0" borderId="0" xfId="1917" applyFont="1" applyAlignment="1">
      <alignment vertical="center" readingOrder="1"/>
    </xf>
    <xf numFmtId="0" fontId="78" fillId="55" borderId="0" xfId="1917" applyFont="1" applyFill="1" applyAlignment="1">
      <alignment vertical="center" readingOrder="1"/>
    </xf>
    <xf numFmtId="0" fontId="79" fillId="55" borderId="0" xfId="1917" applyFont="1" applyFill="1" applyAlignment="1">
      <alignment horizontal="center" vertical="center" readingOrder="1"/>
    </xf>
    <xf numFmtId="0" fontId="81" fillId="0" borderId="0" xfId="13816" applyFont="1" applyAlignment="1">
      <alignment horizontal="center" vertical="center" wrapText="1" readingOrder="1"/>
    </xf>
    <xf numFmtId="0" fontId="81" fillId="0" borderId="0" xfId="13816" applyFont="1" applyAlignment="1">
      <alignment wrapText="1" readingOrder="1"/>
    </xf>
    <xf numFmtId="0" fontId="82" fillId="0" borderId="0" xfId="1917" applyFont="1" applyAlignment="1">
      <alignment vertical="top" readingOrder="1"/>
    </xf>
    <xf numFmtId="0" fontId="83" fillId="0" borderId="0" xfId="13816" applyFont="1" applyAlignment="1">
      <alignment vertical="center"/>
    </xf>
    <xf numFmtId="0" fontId="86" fillId="55" borderId="0" xfId="1917" applyFont="1" applyFill="1" applyAlignment="1">
      <alignment horizontal="center" vertical="center" readingOrder="1"/>
    </xf>
    <xf numFmtId="0" fontId="87" fillId="55" borderId="0" xfId="1917" applyFont="1" applyFill="1" applyAlignment="1">
      <alignment vertical="center" readingOrder="1"/>
    </xf>
    <xf numFmtId="0" fontId="88" fillId="59" borderId="52" xfId="1917" applyFont="1" applyFill="1" applyBorder="1" applyAlignment="1">
      <alignment horizontal="center" vertical="center" wrapText="1" readingOrder="1"/>
    </xf>
    <xf numFmtId="0" fontId="88" fillId="59" borderId="53" xfId="1917" applyFont="1" applyFill="1" applyBorder="1" applyAlignment="1">
      <alignment horizontal="center" vertical="center" wrapText="1" readingOrder="1"/>
    </xf>
    <xf numFmtId="0" fontId="88" fillId="59" borderId="54" xfId="1917" applyFont="1" applyFill="1" applyBorder="1" applyAlignment="1">
      <alignment horizontal="center" vertical="center" wrapText="1" readingOrder="1"/>
    </xf>
    <xf numFmtId="0" fontId="88" fillId="59" borderId="55" xfId="1917" applyFont="1" applyFill="1" applyBorder="1" applyAlignment="1">
      <alignment horizontal="center" vertical="center" wrapText="1" readingOrder="1"/>
    </xf>
    <xf numFmtId="3" fontId="84" fillId="56" borderId="56" xfId="1917" applyNumberFormat="1" applyFont="1" applyFill="1" applyBorder="1" applyAlignment="1">
      <alignment horizontal="center" vertical="center" wrapText="1" readingOrder="1"/>
    </xf>
    <xf numFmtId="0" fontId="86" fillId="55" borderId="57" xfId="1917" applyFont="1" applyFill="1" applyBorder="1" applyAlignment="1">
      <alignment vertical="center" readingOrder="1"/>
    </xf>
    <xf numFmtId="0" fontId="86" fillId="55" borderId="0" xfId="1917" applyFont="1" applyFill="1" applyAlignment="1">
      <alignment vertical="center" readingOrder="1"/>
    </xf>
    <xf numFmtId="3" fontId="84" fillId="56" borderId="58" xfId="1917" applyNumberFormat="1" applyFont="1" applyFill="1" applyBorder="1" applyAlignment="1">
      <alignment horizontal="center" vertical="center" readingOrder="1"/>
    </xf>
    <xf numFmtId="3" fontId="84" fillId="56" borderId="59" xfId="1917" applyNumberFormat="1" applyFont="1" applyFill="1" applyBorder="1" applyAlignment="1">
      <alignment horizontal="left" vertical="center" wrapText="1" readingOrder="1"/>
    </xf>
    <xf numFmtId="3" fontId="90" fillId="61" borderId="60" xfId="13817" quotePrefix="1" applyNumberFormat="1" applyFont="1" applyFill="1" applyBorder="1" applyAlignment="1">
      <alignment vertical="center" readingOrder="1"/>
    </xf>
    <xf numFmtId="3" fontId="90" fillId="61" borderId="61" xfId="13817" quotePrefix="1" applyNumberFormat="1" applyFont="1" applyFill="1" applyBorder="1" applyAlignment="1">
      <alignment vertical="center" readingOrder="1"/>
    </xf>
    <xf numFmtId="3" fontId="84" fillId="56" borderId="62" xfId="1917" applyNumberFormat="1" applyFont="1" applyFill="1" applyBorder="1" applyAlignment="1">
      <alignment vertical="center" readingOrder="1"/>
    </xf>
    <xf numFmtId="3" fontId="84" fillId="56" borderId="63" xfId="1917" applyNumberFormat="1" applyFont="1" applyFill="1" applyBorder="1" applyAlignment="1">
      <alignment vertical="center" readingOrder="1"/>
    </xf>
    <xf numFmtId="3" fontId="87" fillId="54" borderId="0" xfId="1917" applyNumberFormat="1" applyFont="1" applyFill="1" applyAlignment="1">
      <alignment vertical="center" readingOrder="1"/>
    </xf>
    <xf numFmtId="0" fontId="87" fillId="54" borderId="0" xfId="1917" applyFont="1" applyFill="1" applyAlignment="1">
      <alignment vertical="center" readingOrder="1"/>
    </xf>
    <xf numFmtId="0" fontId="87" fillId="0" borderId="0" xfId="1917" applyFont="1" applyAlignment="1">
      <alignment vertical="center" readingOrder="1"/>
    </xf>
    <xf numFmtId="3" fontId="84" fillId="56" borderId="65" xfId="1917" applyNumberFormat="1" applyFont="1" applyFill="1" applyBorder="1" applyAlignment="1">
      <alignment horizontal="center" vertical="center" readingOrder="1"/>
    </xf>
    <xf numFmtId="3" fontId="84" fillId="56" borderId="66" xfId="1917" applyNumberFormat="1" applyFont="1" applyFill="1" applyBorder="1" applyAlignment="1">
      <alignment horizontal="left" vertical="center" wrapText="1" readingOrder="1"/>
    </xf>
    <xf numFmtId="3" fontId="90" fillId="62" borderId="67" xfId="13817" quotePrefix="1" applyNumberFormat="1" applyFont="1" applyFill="1" applyBorder="1" applyAlignment="1">
      <alignment vertical="center" readingOrder="1"/>
    </xf>
    <xf numFmtId="3" fontId="90" fillId="62" borderId="68" xfId="13817" quotePrefix="1" applyNumberFormat="1" applyFont="1" applyFill="1" applyBorder="1" applyAlignment="1">
      <alignment vertical="center" readingOrder="1"/>
    </xf>
    <xf numFmtId="3" fontId="84" fillId="56" borderId="69" xfId="1917" applyNumberFormat="1" applyFont="1" applyFill="1" applyBorder="1" applyAlignment="1">
      <alignment vertical="center" readingOrder="1"/>
    </xf>
    <xf numFmtId="3" fontId="84" fillId="56" borderId="70" xfId="1917" applyNumberFormat="1" applyFont="1" applyFill="1" applyBorder="1" applyAlignment="1">
      <alignment horizontal="center" vertical="center" readingOrder="1"/>
    </xf>
    <xf numFmtId="3" fontId="84" fillId="56" borderId="51" xfId="1917" applyNumberFormat="1" applyFont="1" applyFill="1" applyBorder="1" applyAlignment="1">
      <alignment horizontal="left" vertical="center" wrapText="1" readingOrder="1"/>
    </xf>
    <xf numFmtId="3" fontId="90" fillId="62" borderId="60" xfId="13817" quotePrefix="1" applyNumberFormat="1" applyFont="1" applyFill="1" applyBorder="1" applyAlignment="1">
      <alignment vertical="center" readingOrder="1"/>
    </xf>
    <xf numFmtId="3" fontId="90" fillId="62" borderId="61" xfId="13817" quotePrefix="1" applyNumberFormat="1" applyFont="1" applyFill="1" applyBorder="1" applyAlignment="1">
      <alignment vertical="center" readingOrder="1"/>
    </xf>
    <xf numFmtId="3" fontId="84" fillId="56" borderId="71" xfId="1917" applyNumberFormat="1" applyFont="1" applyFill="1" applyBorder="1" applyAlignment="1">
      <alignment vertical="center" readingOrder="1"/>
    </xf>
    <xf numFmtId="3" fontId="84" fillId="56" borderId="59" xfId="1917" applyNumberFormat="1" applyFont="1" applyFill="1" applyBorder="1" applyAlignment="1">
      <alignment horizontal="left" vertical="center" readingOrder="1"/>
    </xf>
    <xf numFmtId="3" fontId="87" fillId="0" borderId="0" xfId="1917" applyNumberFormat="1" applyFont="1" applyAlignment="1">
      <alignment vertical="center" readingOrder="1"/>
    </xf>
    <xf numFmtId="3" fontId="84" fillId="58" borderId="63" xfId="1917" applyNumberFormat="1" applyFont="1" applyFill="1" applyBorder="1" applyAlignment="1">
      <alignment vertical="center" readingOrder="1"/>
    </xf>
    <xf numFmtId="3" fontId="84" fillId="56" borderId="72" xfId="1917" applyNumberFormat="1" applyFont="1" applyFill="1" applyBorder="1" applyAlignment="1">
      <alignment horizontal="center" vertical="center" readingOrder="1"/>
    </xf>
    <xf numFmtId="3" fontId="84" fillId="56" borderId="40" xfId="1917" applyNumberFormat="1" applyFont="1" applyFill="1" applyBorder="1" applyAlignment="1">
      <alignment horizontal="left" vertical="center" wrapText="1" readingOrder="1"/>
    </xf>
    <xf numFmtId="3" fontId="84" fillId="56" borderId="73" xfId="1917" applyNumberFormat="1" applyFont="1" applyFill="1" applyBorder="1" applyAlignment="1">
      <alignment vertical="center" readingOrder="1"/>
    </xf>
    <xf numFmtId="3" fontId="84" fillId="58" borderId="62" xfId="1917" applyNumberFormat="1" applyFont="1" applyFill="1" applyBorder="1" applyAlignment="1">
      <alignment vertical="center" readingOrder="1"/>
    </xf>
    <xf numFmtId="3" fontId="84" fillId="56" borderId="75" xfId="1917" applyNumberFormat="1" applyFont="1" applyFill="1" applyBorder="1" applyAlignment="1">
      <alignment horizontal="center" vertical="center" readingOrder="1"/>
    </xf>
    <xf numFmtId="3" fontId="84" fillId="56" borderId="76" xfId="1917" applyNumberFormat="1" applyFont="1" applyFill="1" applyBorder="1" applyAlignment="1">
      <alignment horizontal="left" vertical="center" wrapText="1" readingOrder="1"/>
    </xf>
    <xf numFmtId="3" fontId="90" fillId="61" borderId="77" xfId="13817" quotePrefix="1" applyNumberFormat="1" applyFont="1" applyFill="1" applyBorder="1" applyAlignment="1">
      <alignment vertical="center" readingOrder="1"/>
    </xf>
    <xf numFmtId="3" fontId="90" fillId="61" borderId="78" xfId="13817" quotePrefix="1" applyNumberFormat="1" applyFont="1" applyFill="1" applyBorder="1" applyAlignment="1">
      <alignment vertical="center" readingOrder="1"/>
    </xf>
    <xf numFmtId="3" fontId="84" fillId="58" borderId="79" xfId="1917" applyNumberFormat="1" applyFont="1" applyFill="1" applyBorder="1" applyAlignment="1">
      <alignment vertical="center" readingOrder="1"/>
    </xf>
    <xf numFmtId="3" fontId="84" fillId="56" borderId="80" xfId="1917" applyNumberFormat="1" applyFont="1" applyFill="1" applyBorder="1" applyAlignment="1">
      <alignment vertical="center" readingOrder="1"/>
    </xf>
    <xf numFmtId="3" fontId="84" fillId="56" borderId="82" xfId="1917" applyNumberFormat="1" applyFont="1" applyFill="1" applyBorder="1" applyAlignment="1">
      <alignment horizontal="center" vertical="center" readingOrder="1"/>
    </xf>
    <xf numFmtId="3" fontId="84" fillId="56" borderId="83" xfId="1917" applyNumberFormat="1" applyFont="1" applyFill="1" applyBorder="1" applyAlignment="1">
      <alignment horizontal="left" vertical="center" wrapText="1" readingOrder="1"/>
    </xf>
    <xf numFmtId="3" fontId="90" fillId="62" borderId="84" xfId="13817" quotePrefix="1" applyNumberFormat="1" applyFont="1" applyFill="1" applyBorder="1" applyAlignment="1">
      <alignment vertical="center" readingOrder="1"/>
    </xf>
    <xf numFmtId="3" fontId="90" fillId="62" borderId="85" xfId="13817" quotePrefix="1" applyNumberFormat="1" applyFont="1" applyFill="1" applyBorder="1" applyAlignment="1">
      <alignment vertical="center" readingOrder="1"/>
    </xf>
    <xf numFmtId="3" fontId="84" fillId="56" borderId="86" xfId="1917" applyNumberFormat="1" applyFont="1" applyFill="1" applyBorder="1" applyAlignment="1">
      <alignment vertical="center" readingOrder="1"/>
    </xf>
    <xf numFmtId="9" fontId="87" fillId="0" borderId="0" xfId="13818" applyFont="1" applyAlignment="1">
      <alignment vertical="center" readingOrder="1"/>
    </xf>
    <xf numFmtId="3" fontId="84" fillId="56" borderId="79" xfId="1917" applyNumberFormat="1" applyFont="1" applyFill="1" applyBorder="1" applyAlignment="1">
      <alignment vertical="center" readingOrder="1"/>
    </xf>
    <xf numFmtId="3" fontId="84" fillId="56" borderId="58" xfId="1917" applyNumberFormat="1" applyFont="1" applyFill="1" applyBorder="1" applyAlignment="1">
      <alignment horizontal="center" vertical="center" wrapText="1" readingOrder="1"/>
    </xf>
    <xf numFmtId="3" fontId="84" fillId="56" borderId="87" xfId="1917" applyNumberFormat="1" applyFont="1" applyFill="1" applyBorder="1" applyAlignment="1">
      <alignment horizontal="center" vertical="center" wrapText="1" readingOrder="1"/>
    </xf>
    <xf numFmtId="3" fontId="84" fillId="56" borderId="75" xfId="1917" applyNumberFormat="1" applyFont="1" applyFill="1" applyBorder="1" applyAlignment="1">
      <alignment horizontal="center" vertical="center" wrapText="1" readingOrder="1"/>
    </xf>
    <xf numFmtId="3" fontId="90" fillId="62" borderId="77" xfId="13817" quotePrefix="1" applyNumberFormat="1" applyFont="1" applyFill="1" applyBorder="1" applyAlignment="1">
      <alignment vertical="center" readingOrder="1"/>
    </xf>
    <xf numFmtId="3" fontId="90" fillId="62" borderId="78" xfId="13817" quotePrefix="1" applyNumberFormat="1" applyFont="1" applyFill="1" applyBorder="1" applyAlignment="1">
      <alignment vertical="center" readingOrder="1"/>
    </xf>
    <xf numFmtId="3" fontId="90" fillId="61" borderId="84" xfId="13817" quotePrefix="1" applyNumberFormat="1" applyFont="1" applyFill="1" applyBorder="1" applyAlignment="1">
      <alignment vertical="center" readingOrder="1"/>
    </xf>
    <xf numFmtId="3" fontId="90" fillId="61" borderId="85" xfId="13817" quotePrefix="1" applyNumberFormat="1" applyFont="1" applyFill="1" applyBorder="1" applyAlignment="1">
      <alignment vertical="center" readingOrder="1"/>
    </xf>
    <xf numFmtId="3" fontId="84" fillId="58" borderId="86" xfId="1917" applyNumberFormat="1" applyFont="1" applyFill="1" applyBorder="1" applyAlignment="1">
      <alignment vertical="center" readingOrder="1"/>
    </xf>
    <xf numFmtId="0" fontId="88" fillId="59" borderId="88" xfId="1917" applyFont="1" applyFill="1" applyBorder="1" applyAlignment="1">
      <alignment horizontal="center" vertical="center" wrapText="1" readingOrder="1"/>
    </xf>
    <xf numFmtId="0" fontId="88" fillId="59" borderId="89" xfId="1917" applyFont="1" applyFill="1" applyBorder="1" applyAlignment="1">
      <alignment horizontal="center" vertical="center" wrapText="1" readingOrder="1"/>
    </xf>
    <xf numFmtId="0" fontId="88" fillId="59" borderId="90" xfId="1917" applyFont="1" applyFill="1" applyBorder="1" applyAlignment="1">
      <alignment horizontal="center" vertical="center" wrapText="1" readingOrder="1"/>
    </xf>
    <xf numFmtId="0" fontId="84" fillId="58" borderId="88" xfId="1917" applyFont="1" applyFill="1" applyBorder="1" applyAlignment="1">
      <alignment horizontal="center" vertical="center" wrapText="1" readingOrder="1"/>
    </xf>
    <xf numFmtId="3" fontId="84" fillId="56" borderId="44" xfId="1917" applyNumberFormat="1" applyFont="1" applyFill="1" applyBorder="1" applyAlignment="1">
      <alignment vertical="center" readingOrder="1"/>
    </xf>
    <xf numFmtId="3" fontId="84" fillId="58" borderId="44" xfId="1917" applyNumberFormat="1" applyFont="1" applyFill="1" applyBorder="1" applyAlignment="1">
      <alignment vertical="center" readingOrder="1"/>
    </xf>
    <xf numFmtId="3" fontId="84" fillId="56" borderId="91" xfId="1917" applyNumberFormat="1" applyFont="1" applyFill="1" applyBorder="1" applyAlignment="1">
      <alignment vertical="center" readingOrder="1"/>
    </xf>
    <xf numFmtId="3" fontId="84" fillId="56" borderId="92" xfId="1917" applyNumberFormat="1" applyFont="1" applyFill="1" applyBorder="1" applyAlignment="1">
      <alignment horizontal="center" vertical="center" readingOrder="1"/>
    </xf>
    <xf numFmtId="3" fontId="84" fillId="56" borderId="93" xfId="1917" applyNumberFormat="1" applyFont="1" applyFill="1" applyBorder="1" applyAlignment="1">
      <alignment horizontal="left" vertical="center" wrapText="1" readingOrder="1"/>
    </xf>
    <xf numFmtId="3" fontId="90" fillId="61" borderId="60" xfId="13819" quotePrefix="1" applyNumberFormat="1" applyFont="1" applyFill="1" applyBorder="1" applyAlignment="1">
      <alignment vertical="center" readingOrder="1"/>
    </xf>
    <xf numFmtId="3" fontId="90" fillId="61" borderId="61" xfId="13819" quotePrefix="1" applyNumberFormat="1" applyFont="1" applyFill="1" applyBorder="1" applyAlignment="1">
      <alignment vertical="center" readingOrder="1"/>
    </xf>
    <xf numFmtId="3" fontId="78" fillId="0" borderId="0" xfId="1917" applyNumberFormat="1" applyFont="1" applyAlignment="1">
      <alignment vertical="center" readingOrder="1"/>
    </xf>
    <xf numFmtId="9" fontId="0" fillId="0" borderId="17" xfId="1" applyFont="1" applyBorder="1"/>
    <xf numFmtId="9" fontId="0" fillId="0" borderId="18" xfId="1" applyFont="1" applyBorder="1"/>
    <xf numFmtId="3" fontId="84" fillId="63" borderId="71" xfId="1917" applyNumberFormat="1" applyFont="1" applyFill="1" applyBorder="1" applyAlignment="1">
      <alignment vertical="center" readingOrder="1"/>
    </xf>
    <xf numFmtId="10" fontId="0" fillId="0" borderId="11" xfId="1" applyNumberFormat="1" applyFont="1" applyBorder="1"/>
    <xf numFmtId="178" fontId="0" fillId="0" borderId="18" xfId="1" applyNumberFormat="1" applyFont="1" applyBorder="1"/>
    <xf numFmtId="9" fontId="14" fillId="0" borderId="0" xfId="0" applyNumberFormat="1" applyFont="1"/>
    <xf numFmtId="0" fontId="23" fillId="0" borderId="31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3" fontId="92" fillId="60" borderId="81" xfId="1917" applyNumberFormat="1" applyFont="1" applyFill="1" applyBorder="1" applyAlignment="1">
      <alignment horizontal="center" vertical="center" wrapText="1" readingOrder="1"/>
    </xf>
    <xf numFmtId="3" fontId="92" fillId="60" borderId="44" xfId="1917" applyNumberFormat="1" applyFont="1" applyFill="1" applyBorder="1" applyAlignment="1">
      <alignment horizontal="center" vertical="center" wrapText="1" readingOrder="1"/>
    </xf>
    <xf numFmtId="3" fontId="92" fillId="60" borderId="74" xfId="1917" applyNumberFormat="1" applyFont="1" applyFill="1" applyBorder="1" applyAlignment="1">
      <alignment horizontal="center" vertical="center" wrapText="1" readingOrder="1"/>
    </xf>
    <xf numFmtId="0" fontId="89" fillId="60" borderId="44" xfId="1917" applyFont="1" applyFill="1" applyBorder="1" applyAlignment="1">
      <alignment horizontal="center" vertical="center" wrapText="1" readingOrder="1"/>
    </xf>
    <xf numFmtId="0" fontId="89" fillId="60" borderId="64" xfId="1917" applyFont="1" applyFill="1" applyBorder="1" applyAlignment="1">
      <alignment horizontal="center" vertical="center" wrapText="1" readingOrder="1"/>
    </xf>
    <xf numFmtId="0" fontId="89" fillId="60" borderId="74" xfId="1917" applyFont="1" applyFill="1" applyBorder="1" applyAlignment="1">
      <alignment horizontal="center" vertical="center" wrapText="1" readingOrder="1"/>
    </xf>
    <xf numFmtId="3" fontId="89" fillId="60" borderId="81" xfId="1917" applyNumberFormat="1" applyFont="1" applyFill="1" applyBorder="1" applyAlignment="1">
      <alignment horizontal="center" vertical="center" wrapText="1" readingOrder="1"/>
    </xf>
    <xf numFmtId="3" fontId="89" fillId="60" borderId="44" xfId="1917" applyNumberFormat="1" applyFont="1" applyFill="1" applyBorder="1" applyAlignment="1">
      <alignment horizontal="center" vertical="center" wrapText="1" readingOrder="1"/>
    </xf>
    <xf numFmtId="3" fontId="89" fillId="60" borderId="74" xfId="1917" applyNumberFormat="1" applyFont="1" applyFill="1" applyBorder="1" applyAlignment="1">
      <alignment horizontal="center" vertical="center" wrapText="1" readingOrder="1"/>
    </xf>
    <xf numFmtId="0" fontId="85" fillId="57" borderId="46" xfId="1917" applyFont="1" applyFill="1" applyBorder="1" applyAlignment="1">
      <alignment horizontal="center" vertical="center" readingOrder="1"/>
    </xf>
    <xf numFmtId="0" fontId="85" fillId="57" borderId="47" xfId="1917" applyFont="1" applyFill="1" applyBorder="1" applyAlignment="1">
      <alignment horizontal="center" vertical="center" readingOrder="1"/>
    </xf>
    <xf numFmtId="0" fontId="85" fillId="58" borderId="48" xfId="1917" applyFont="1" applyFill="1" applyBorder="1" applyAlignment="1">
      <alignment horizontal="center" vertical="center" readingOrder="1"/>
    </xf>
    <xf numFmtId="0" fontId="85" fillId="58" borderId="49" xfId="1917" applyFont="1" applyFill="1" applyBorder="1" applyAlignment="1">
      <alignment horizontal="center" vertical="center" readingOrder="1"/>
    </xf>
    <xf numFmtId="0" fontId="81" fillId="0" borderId="0" xfId="13816" applyFont="1" applyAlignment="1">
      <alignment horizontal="center" vertical="center" wrapText="1" readingOrder="1"/>
    </xf>
    <xf numFmtId="3" fontId="84" fillId="56" borderId="39" xfId="1917" applyNumberFormat="1" applyFont="1" applyFill="1" applyBorder="1" applyAlignment="1">
      <alignment horizontal="center" vertical="center" wrapText="1" readingOrder="1"/>
    </xf>
    <xf numFmtId="3" fontId="84" fillId="56" borderId="44" xfId="1917" applyNumberFormat="1" applyFont="1" applyFill="1" applyBorder="1" applyAlignment="1">
      <alignment horizontal="center" vertical="center" readingOrder="1"/>
    </xf>
    <xf numFmtId="3" fontId="84" fillId="56" borderId="50" xfId="1917" applyNumberFormat="1" applyFont="1" applyFill="1" applyBorder="1" applyAlignment="1">
      <alignment horizontal="center" vertical="center" readingOrder="1"/>
    </xf>
    <xf numFmtId="3" fontId="85" fillId="56" borderId="39" xfId="1917" applyNumberFormat="1" applyFont="1" applyFill="1" applyBorder="1" applyAlignment="1">
      <alignment horizontal="center" vertical="center" wrapText="1" readingOrder="1"/>
    </xf>
    <xf numFmtId="3" fontId="85" fillId="56" borderId="44" xfId="1917" applyNumberFormat="1" applyFont="1" applyFill="1" applyBorder="1" applyAlignment="1">
      <alignment horizontal="center" vertical="center" readingOrder="1"/>
    </xf>
    <xf numFmtId="3" fontId="85" fillId="56" borderId="50" xfId="1917" applyNumberFormat="1" applyFont="1" applyFill="1" applyBorder="1" applyAlignment="1">
      <alignment horizontal="center" vertical="center" readingOrder="1"/>
    </xf>
    <xf numFmtId="3" fontId="85" fillId="56" borderId="40" xfId="1917" applyNumberFormat="1" applyFont="1" applyFill="1" applyBorder="1" applyAlignment="1">
      <alignment horizontal="center" vertical="center" wrapText="1" readingOrder="1"/>
    </xf>
    <xf numFmtId="3" fontId="85" fillId="56" borderId="45" xfId="1917" applyNumberFormat="1" applyFont="1" applyFill="1" applyBorder="1" applyAlignment="1">
      <alignment horizontal="center" vertical="center" wrapText="1" readingOrder="1"/>
    </xf>
    <xf numFmtId="3" fontId="85" fillId="56" borderId="51" xfId="1917" applyNumberFormat="1" applyFont="1" applyFill="1" applyBorder="1" applyAlignment="1">
      <alignment horizontal="center" vertical="center" wrapText="1" readingOrder="1"/>
    </xf>
    <xf numFmtId="0" fontId="85" fillId="57" borderId="41" xfId="1917" applyFont="1" applyFill="1" applyBorder="1" applyAlignment="1">
      <alignment horizontal="center" vertical="center" wrapText="1" readingOrder="1"/>
    </xf>
    <xf numFmtId="0" fontId="85" fillId="57" borderId="42" xfId="1917" applyFont="1" applyFill="1" applyBorder="1" applyAlignment="1">
      <alignment horizontal="center" vertical="center" wrapText="1" readingOrder="1"/>
    </xf>
    <xf numFmtId="0" fontId="85" fillId="58" borderId="43" xfId="1917" applyFont="1" applyFill="1" applyBorder="1" applyAlignment="1">
      <alignment horizontal="center" vertical="center" wrapText="1" readingOrder="1"/>
    </xf>
    <xf numFmtId="0" fontId="85" fillId="58" borderId="0" xfId="1917" applyFont="1" applyFill="1" applyAlignment="1">
      <alignment horizontal="center" vertical="center" wrapText="1" readingOrder="1"/>
    </xf>
  </cellXfs>
  <cellStyles count="13820">
    <cellStyle name="20% - Accent1" xfId="20" builtinId="30" customBuiltin="1"/>
    <cellStyle name="20% - Accent1 2" xfId="13644" xr:uid="{A1182DC2-333B-4FB8-B749-A1610338E8D7}"/>
    <cellStyle name="20% - Accent2" xfId="24" builtinId="34" customBuiltin="1"/>
    <cellStyle name="20% - Accent2 2" xfId="13645" xr:uid="{F5AE8E64-528B-41AE-B2CC-6F221F9431EF}"/>
    <cellStyle name="20% - Accent3" xfId="28" builtinId="38" customBuiltin="1"/>
    <cellStyle name="20% - Accent3 2" xfId="13646" xr:uid="{E41908DA-A3B9-4CCE-B760-C66159846685}"/>
    <cellStyle name="20% - Accent4" xfId="32" builtinId="42" customBuiltin="1"/>
    <cellStyle name="20% - Accent4 2" xfId="13647" xr:uid="{420BA6BB-F8FA-4231-BB41-95C6F0BDB36B}"/>
    <cellStyle name="20% - Accent5" xfId="36" builtinId="46" customBuiltin="1"/>
    <cellStyle name="20% - Accent5 2" xfId="13648" xr:uid="{05186423-5FC7-4019-AF6B-D256C343E711}"/>
    <cellStyle name="20% - Accent6" xfId="40" builtinId="50" customBuiltin="1"/>
    <cellStyle name="20% - Accent6 2" xfId="13649" xr:uid="{27138CC2-4E2F-4175-95F6-AE170D6633BB}"/>
    <cellStyle name="40% - Accent1" xfId="21" builtinId="31" customBuiltin="1"/>
    <cellStyle name="40% - Accent1 2" xfId="13650" xr:uid="{A6B44E5A-DC97-46E9-9055-FE99CFC1BACD}"/>
    <cellStyle name="40% - Accent2" xfId="25" builtinId="35" customBuiltin="1"/>
    <cellStyle name="40% - Accent2 2" xfId="13651" xr:uid="{96B78ADE-33C0-41A3-860F-760854F5B408}"/>
    <cellStyle name="40% - Accent3" xfId="29" builtinId="39" customBuiltin="1"/>
    <cellStyle name="40% - Accent3 2" xfId="13652" xr:uid="{C00603AE-15C7-42EB-8BCA-C8386D35911F}"/>
    <cellStyle name="40% - Accent4" xfId="33" builtinId="43" customBuiltin="1"/>
    <cellStyle name="40% - Accent4 2" xfId="13653" xr:uid="{79500737-76AF-4178-B676-0B88ED4CD5F6}"/>
    <cellStyle name="40% - Accent5" xfId="37" builtinId="47" customBuiltin="1"/>
    <cellStyle name="40% - Accent5 2" xfId="13654" xr:uid="{D5529D86-47ED-469E-9090-CE088FE2571E}"/>
    <cellStyle name="40% - Accent6" xfId="41" builtinId="51" customBuiltin="1"/>
    <cellStyle name="40% - Accent6 2" xfId="13655" xr:uid="{29F213D4-6344-452E-984A-35162106BF6B}"/>
    <cellStyle name="60% - Accent1" xfId="22" builtinId="32" customBuiltin="1"/>
    <cellStyle name="60% - Accent1 2" xfId="13656" xr:uid="{259BF508-1F3C-4D57-BFCA-5681D5B81ED8}"/>
    <cellStyle name="60% - Accent2" xfId="26" builtinId="36" customBuiltin="1"/>
    <cellStyle name="60% - Accent2 2" xfId="13657" xr:uid="{8228C2C8-5807-413C-B519-E2EB93183F6D}"/>
    <cellStyle name="60% - Accent3" xfId="30" builtinId="40" customBuiltin="1"/>
    <cellStyle name="60% - Accent3 2" xfId="13658" xr:uid="{648EB8E8-0A69-48BE-89B6-49EF3FAC7601}"/>
    <cellStyle name="60% - Accent4" xfId="34" builtinId="44" customBuiltin="1"/>
    <cellStyle name="60% - Accent4 2" xfId="13659" xr:uid="{B7099825-D162-481E-87D3-94D4D5E228C5}"/>
    <cellStyle name="60% - Accent5" xfId="38" builtinId="48" customBuiltin="1"/>
    <cellStyle name="60% - Accent5 2" xfId="13660" xr:uid="{F29E30E1-BF52-45D2-BC7E-8A5E207327A1}"/>
    <cellStyle name="60% - Accent6" xfId="42" builtinId="52" customBuiltin="1"/>
    <cellStyle name="60% - Accent6 2" xfId="13661" xr:uid="{4CFE1AD5-B3E3-4370-9FE5-B0A37425FFB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Årtal" xfId="13730" xr:uid="{E36E43EA-C747-4D15-8259-551B8D8941FB}"/>
    <cellStyle name="Bad" xfId="8" builtinId="27" customBuiltin="1"/>
    <cellStyle name="Bad 2" xfId="13621" xr:uid="{4592456C-AB8D-4848-B1BE-3F5B0FE84975}"/>
    <cellStyle name="Bad 3" xfId="13662" xr:uid="{B2A5C66F-14B2-4A93-BC2C-6AF93029BE20}"/>
    <cellStyle name="Bon" xfId="13663" xr:uid="{33638C42-9E5A-4906-9F77-D76C742793F9}"/>
    <cellStyle name="caché" xfId="13664" xr:uid="{B72B5A2A-1343-4325-AF71-F6E13B8ECBF5}"/>
    <cellStyle name="Calculation" xfId="12" builtinId="22" customBuiltin="1"/>
    <cellStyle name="Calculation 2" xfId="13665" xr:uid="{9DF0966C-9C57-4BCF-B2D3-351511DD0DE7}"/>
    <cellStyle name="Check Cell" xfId="14" builtinId="23" customBuiltin="1"/>
    <cellStyle name="Check Cell 2" xfId="13622" xr:uid="{1AAF1CA7-6962-4767-838C-B92F27749626}"/>
    <cellStyle name="Check Cell 3" xfId="13666" xr:uid="{23896B49-5DD6-41D7-93C6-CF5DD4C33C24}"/>
    <cellStyle name="Comma [0] 2" xfId="13731" xr:uid="{39D364A1-E0DE-4E4B-89F5-8D29C2F00A69}"/>
    <cellStyle name="Comma [0] 3" xfId="13732" xr:uid="{A7602D5D-1EF0-4A3B-BDFF-065EF3ABCE19}"/>
    <cellStyle name="Comma 10" xfId="13797" xr:uid="{C724C2FE-59F9-4BBF-B343-526F3129E814}"/>
    <cellStyle name="Comma 11" xfId="13801" xr:uid="{BBEE0C7F-F8AD-4844-9C7C-8E1FD692A99E}"/>
    <cellStyle name="Comma 12" xfId="13799" xr:uid="{864A7C03-5727-46FB-9156-E9CC4FD6D60A}"/>
    <cellStyle name="Comma 2" xfId="13667" xr:uid="{A5091C4C-13AE-46B8-A529-6E88BCF4D1BC}"/>
    <cellStyle name="Comma 3" xfId="13733" xr:uid="{430EB7FA-5FE1-4614-8F40-47FBA1E7359F}"/>
    <cellStyle name="Comma 4" xfId="13734" xr:uid="{C0A3C975-90E3-4D2E-ABC0-D8CBB07D51AF}"/>
    <cellStyle name="Comma 5" xfId="13790" xr:uid="{3AA2D194-9112-4D5E-9FE9-DA44957A48B6}"/>
    <cellStyle name="Comma 6" xfId="46" xr:uid="{4BC9982A-AEAD-4D8B-B69D-018AED41BC4E}"/>
    <cellStyle name="Comma 7" xfId="13796" xr:uid="{9094F67D-6CE9-42C3-B9AB-C44E37EF25E6}"/>
    <cellStyle name="Comma 8" xfId="13798" xr:uid="{11EA5D0E-9654-4048-A090-4198CF667C0C}"/>
    <cellStyle name="Comma 9" xfId="13800" xr:uid="{1E3BF3CE-B092-4C98-B81E-9656302D6441}"/>
    <cellStyle name="Comma(0)" xfId="13668" xr:uid="{7EF7B5A3-4263-4642-ADE1-E3E574C81D5F}"/>
    <cellStyle name="Comma(3)" xfId="13669" xr:uid="{9FF461D3-B2C3-44B4-A419-CCFA3D53FDDE}"/>
    <cellStyle name="Comma[0]" xfId="13670" xr:uid="{E1346538-2F30-4640-B5F3-B448E5FD9A8F}"/>
    <cellStyle name="Comma[1]" xfId="13671" xr:uid="{3A42879F-D5A3-493B-8E8B-ACF18AD17F4A}"/>
    <cellStyle name="Comma[2]__" xfId="13672" xr:uid="{CC07D8A4-DC49-4E2A-8E67-23A966C3C86A}"/>
    <cellStyle name="Comma[3]" xfId="13673" xr:uid="{1DBDAFB3-1173-4A1A-8C32-60F0FFFFAEFB}"/>
    <cellStyle name="Comma0" xfId="13674" xr:uid="{12E67D9A-4935-43C4-BED1-2B07CF7FDC33}"/>
    <cellStyle name="Currency 2" xfId="48" xr:uid="{5C637C9A-66BF-4C8C-BCE9-4305D18A827A}"/>
    <cellStyle name="Currency 3" xfId="13735" xr:uid="{C7ECDAA2-350B-4A90-87EB-1ECCDA55AD90}"/>
    <cellStyle name="Currency0" xfId="13675" xr:uid="{DAE68B37-5BDE-4D31-A659-C8FEDA688294}"/>
    <cellStyle name="Date" xfId="13623" xr:uid="{D317D385-F3A0-4A2D-85AE-11E78F174F7D}"/>
    <cellStyle name="Dezimal_03-09-03" xfId="13676" xr:uid="{207D7C84-AC24-49C9-81F2-23E8E5E186E9}"/>
    <cellStyle name="En-tête 1" xfId="13624" xr:uid="{467D29E7-1F9E-40ED-B639-38C1D15E0C00}"/>
    <cellStyle name="En-tête 2" xfId="13625" xr:uid="{2678F378-159C-4BFE-AD63-072C6882921D}"/>
    <cellStyle name="Explanatory Text" xfId="17" builtinId="53" customBuiltin="1"/>
    <cellStyle name="Explanatory Text 2" xfId="13626" xr:uid="{034F457A-E607-439A-B334-C71532906AFD}"/>
    <cellStyle name="Explanatory Text 3" xfId="13677" xr:uid="{AF1DA42F-8483-44D9-95CE-9EB31076563C}"/>
    <cellStyle name="Fetrubrik" xfId="13736" xr:uid="{14699FFE-6EDC-4C31-A668-3B466254BC14}"/>
    <cellStyle name="Financier0" xfId="13627" xr:uid="{83850CC7-2527-4430-A9B0-AE57E907FCBB}"/>
    <cellStyle name="Fixed" xfId="13678" xr:uid="{58763A64-8F94-4CA9-8335-DE38C6977BB6}"/>
    <cellStyle name="Good" xfId="7" builtinId="26" customBuiltin="1"/>
    <cellStyle name="Good 2" xfId="13679" xr:uid="{05BC7BE8-5BA2-4080-BE79-E888A75F2C8D}"/>
    <cellStyle name="Gul" xfId="13737" xr:uid="{5FF33E8C-E510-412B-833E-819FA0DFCA6E}"/>
    <cellStyle name="Heading 1" xfId="3" builtinId="16" customBuiltin="1"/>
    <cellStyle name="Heading 1 2" xfId="13628" xr:uid="{7A910395-B11D-4382-9473-69F6447ED786}"/>
    <cellStyle name="Heading 1 3" xfId="13680" xr:uid="{CD7FE3F9-4FA2-4CD6-8765-86D1A6389C22}"/>
    <cellStyle name="Heading 2" xfId="4" builtinId="17" customBuiltin="1"/>
    <cellStyle name="Heading 2 2" xfId="13629" xr:uid="{4A07D6CF-9F25-45C8-B403-D148454B9135}"/>
    <cellStyle name="Heading 2 3" xfId="13681" xr:uid="{1CA42FFD-7DEE-4951-82DD-9EDD283CFBAF}"/>
    <cellStyle name="Heading 3" xfId="5" builtinId="18" customBuiltin="1"/>
    <cellStyle name="Heading 3 2" xfId="13630" xr:uid="{27FC9524-4609-4A6F-9C17-1C505E699403}"/>
    <cellStyle name="Heading 3 3" xfId="13682" xr:uid="{F3A5A835-7C8E-499B-A97A-776DEB19E4B3}"/>
    <cellStyle name="Heading 4" xfId="6" builtinId="19" customBuiltin="1"/>
    <cellStyle name="Heading 4 2" xfId="13631" xr:uid="{FA5C0727-FB6B-4BDC-A1FA-B7E8681C07D3}"/>
    <cellStyle name="Heading 4 3" xfId="13683" xr:uid="{06467A3F-DBC3-4E11-9596-114F80377D2A}"/>
    <cellStyle name="Hyperlink" xfId="43" builtinId="8"/>
    <cellStyle name="Hyperlink 2" xfId="13738" xr:uid="{588CFF82-F63D-4D24-A4A2-1C6D46266C40}"/>
    <cellStyle name="Hyperlink 2 2" xfId="13815" xr:uid="{10B8ADD4-82F5-44C5-9737-1A9854CE2110}"/>
    <cellStyle name="Hyperlink 3" xfId="13787" xr:uid="{154375F6-BC89-4A00-B30F-1A4878551887}"/>
    <cellStyle name="Hyperlink 4" xfId="13578" xr:uid="{AB75B9A0-B3FC-4325-9725-B20F404D0D09}"/>
    <cellStyle name="Input" xfId="10" builtinId="20" customBuiltin="1"/>
    <cellStyle name="Input 2" xfId="13684" xr:uid="{C7C35F04-C3BE-4EB2-8010-FEA6AB2EF3F1}"/>
    <cellStyle name="Lien hypertexte 2" xfId="49" xr:uid="{7B73A411-423C-4A4D-B900-DB4998ED346A}"/>
    <cellStyle name="Linked Cell" xfId="13" builtinId="24" customBuiltin="1"/>
    <cellStyle name="Linked Cell 2" xfId="13685" xr:uid="{CCC60B69-C86C-4811-A717-E9BD1F5EE846}"/>
    <cellStyle name="Milliers 2" xfId="13686" xr:uid="{10D8A6AA-CBF5-4A71-9E79-843A0D9F60E5}"/>
    <cellStyle name="Monétaire0" xfId="13632" xr:uid="{D2B83497-56B8-4F86-AF94-E053D4C33C29}"/>
    <cellStyle name="Motif" xfId="50" xr:uid="{B48B331B-9EB4-4762-B843-89A9E8521DE9}"/>
    <cellStyle name="Neutral" xfId="9" builtinId="28" customBuiltin="1"/>
    <cellStyle name="Neutral 2" xfId="13633" xr:uid="{E1F702C6-A57A-467F-A5D3-F7C86B61CF8F}"/>
    <cellStyle name="Neutral 3" xfId="13687" xr:uid="{C0D03269-D3F9-42CB-B28A-650787CEC5F4}"/>
    <cellStyle name="Normaali_Eduskuntavaalit" xfId="13688" xr:uid="{CB931883-5C9B-4625-AC3F-FA890D211986}"/>
    <cellStyle name="Normal" xfId="0" builtinId="0"/>
    <cellStyle name="Normal 10" xfId="13689" xr:uid="{00AD18C2-8EB0-4BFD-8CC2-461DA4B274F8}"/>
    <cellStyle name="Normal 10 10" xfId="51" xr:uid="{841CDD1E-74E2-4D80-B1A7-B61BC516DE24}"/>
    <cellStyle name="Normal 10 11" xfId="52" xr:uid="{CD855E9B-ADE7-4FAB-A2A5-89C5C8AB36E7}"/>
    <cellStyle name="Normal 10 12" xfId="53" xr:uid="{C1322988-078B-40E7-847B-2D5ABE535451}"/>
    <cellStyle name="Normal 10 13" xfId="54" xr:uid="{8FFE05BF-C877-4483-B21E-70B4F3B6E787}"/>
    <cellStyle name="Normal 10 14" xfId="55" xr:uid="{BBC4916F-725B-46DC-B3EC-72E24F9C9CDE}"/>
    <cellStyle name="Normal 10 15" xfId="56" xr:uid="{1A3894E1-8C90-454F-9119-59A6E9D1ECA1}"/>
    <cellStyle name="Normal 10 16" xfId="57" xr:uid="{C7F2F356-D8B2-4AE7-995D-C7C34464DE7E}"/>
    <cellStyle name="Normal 10 17" xfId="58" xr:uid="{6D792322-B24C-40B7-84B2-19306D977DB5}"/>
    <cellStyle name="Normal 10 18" xfId="59" xr:uid="{B7B6854F-87FF-4BAB-90E2-83C0BF708E11}"/>
    <cellStyle name="Normal 10 19" xfId="60" xr:uid="{E9ED99DC-9D41-4EE1-BF36-D4D7B8041CB8}"/>
    <cellStyle name="Normal 10 2" xfId="61" xr:uid="{6547DDBA-A70D-4D67-AF79-20DB8250A47F}"/>
    <cellStyle name="Normal 10 20" xfId="62" xr:uid="{1010A7F1-D147-462A-9B66-8EF183E85BAA}"/>
    <cellStyle name="Normal 10 21" xfId="63" xr:uid="{30B3A987-1228-4165-8AC5-23DD79AF1172}"/>
    <cellStyle name="Normal 10 22" xfId="64" xr:uid="{AB101CE5-AC37-4C1A-8A30-C7DDD0F3578B}"/>
    <cellStyle name="Normal 10 23" xfId="65" xr:uid="{262E8510-9D40-4CB5-B91D-99BA77B6167A}"/>
    <cellStyle name="Normal 10 24" xfId="66" xr:uid="{AF5A9664-7FD1-44D4-9476-FF4AA2B00E63}"/>
    <cellStyle name="Normal 10 25" xfId="67" xr:uid="{599CA105-71EB-4925-9CE4-7DD309D041EF}"/>
    <cellStyle name="Normal 10 26" xfId="68" xr:uid="{5E9BD242-6990-4854-8E1B-47090E7952A3}"/>
    <cellStyle name="Normal 10 27" xfId="69" xr:uid="{5D258E11-74EC-462F-88E8-FC6A0D5E7857}"/>
    <cellStyle name="Normal 10 28" xfId="70" xr:uid="{4F27FFAA-022F-4A78-A6B4-0A88BC85AA40}"/>
    <cellStyle name="Normal 10 29" xfId="71" xr:uid="{23F5AF6B-E37A-4A17-A568-2EA585EFBC56}"/>
    <cellStyle name="Normal 10 3" xfId="72" xr:uid="{1ABF0BCB-9192-4671-B9D3-E72BEF0C690F}"/>
    <cellStyle name="Normal 10 30" xfId="73" xr:uid="{F626A58E-4DE0-4BF4-8A1E-A9315B2C08E2}"/>
    <cellStyle name="Normal 10 31" xfId="74" xr:uid="{3A675E42-5F25-4800-A21F-C8FDBA5A3B3E}"/>
    <cellStyle name="Normal 10 32" xfId="75" xr:uid="{2094F409-8319-4246-A2C1-05E3A864E65C}"/>
    <cellStyle name="Normal 10 33" xfId="76" xr:uid="{C6FB0466-805F-401E-ACC4-77616787CD3A}"/>
    <cellStyle name="Normal 10 34" xfId="77" xr:uid="{E177A398-137B-49A7-A76E-A624A49ED4E4}"/>
    <cellStyle name="Normal 10 35" xfId="78" xr:uid="{53FA2CDF-CA4E-4CFB-B4BA-0F0C25691947}"/>
    <cellStyle name="Normal 10 36" xfId="79" xr:uid="{16C0C311-CB2F-4726-A571-A5D11DD84FD1}"/>
    <cellStyle name="Normal 10 37" xfId="80" xr:uid="{5C7D0DEF-DBF2-4074-A1EE-938A4DA0C0CB}"/>
    <cellStyle name="Normal 10 38" xfId="81" xr:uid="{F8789D21-D002-412A-A416-0C8A9361DF64}"/>
    <cellStyle name="Normal 10 39" xfId="82" xr:uid="{D939E4EE-8386-407F-A1C1-F6F94A903C8E}"/>
    <cellStyle name="Normal 10 4" xfId="83" xr:uid="{9FE5E898-952F-4EA1-B037-6E75A898C2F3}"/>
    <cellStyle name="Normal 10 5" xfId="84" xr:uid="{EF752A6C-CC21-4F72-94F5-6A37A9FCE940}"/>
    <cellStyle name="Normal 10 6" xfId="85" xr:uid="{D88C063A-BEAA-445C-B4AD-43BF8A7FB297}"/>
    <cellStyle name="Normal 10 7" xfId="86" xr:uid="{153FDEDA-283C-4B4D-8FE1-0790259430F3}"/>
    <cellStyle name="Normal 10 8" xfId="87" xr:uid="{90C89F31-8F2E-4A36-ACF7-04A0612AC146}"/>
    <cellStyle name="Normal 10 9" xfId="88" xr:uid="{6C7A4754-65BF-4C58-B264-428276431EC5}"/>
    <cellStyle name="Normal 11" xfId="89" xr:uid="{51334DBD-357A-4988-B6DB-BF43F96D2834}"/>
    <cellStyle name="Normal 11 10" xfId="90" xr:uid="{F0571D66-1715-4D9A-AD9B-564F66E5406B}"/>
    <cellStyle name="Normal 11 11" xfId="91" xr:uid="{E233D4BE-8B15-4650-B367-9B14C82D104C}"/>
    <cellStyle name="Normal 11 12" xfId="92" xr:uid="{428B13F2-062D-4C59-909F-781A69FDD743}"/>
    <cellStyle name="Normal 11 13" xfId="93" xr:uid="{879F7248-B701-491E-B64F-2F36324CA4B8}"/>
    <cellStyle name="Normal 11 14" xfId="94" xr:uid="{9127431D-C45B-404E-B1DD-B575C74E100E}"/>
    <cellStyle name="Normal 11 15" xfId="95" xr:uid="{49B1F776-EB0F-44F4-B98E-5F2FD60CBC6C}"/>
    <cellStyle name="Normal 11 16" xfId="96" xr:uid="{BB3C793A-06C0-4701-8FDE-7E85C8A23DD0}"/>
    <cellStyle name="Normal 11 17" xfId="97" xr:uid="{28013679-51BC-42BC-AFB7-7EC7B67299E6}"/>
    <cellStyle name="Normal 11 18" xfId="98" xr:uid="{845D6D57-ADE5-4F80-8B67-A39A0BA90198}"/>
    <cellStyle name="Normal 11 19" xfId="99" xr:uid="{7A8D43E8-C03E-42C4-8DB1-160431A15C5A}"/>
    <cellStyle name="Normal 11 2" xfId="100" xr:uid="{5EA65EAE-C22B-4334-8B82-4D2B2A3F417D}"/>
    <cellStyle name="Normal 11 2 2" xfId="13806" xr:uid="{6AFE0322-5FF0-45A4-8C91-0F52BB758176}"/>
    <cellStyle name="Normal 11 20" xfId="101" xr:uid="{73AB84F0-29AA-4BB5-BFEB-91AA4A0D039B}"/>
    <cellStyle name="Normal 11 21" xfId="102" xr:uid="{736D3DD4-5E4E-452D-8B4A-0165FB73780A}"/>
    <cellStyle name="Normal 11 22" xfId="103" xr:uid="{92051E3D-0A7B-4A22-ABB3-962E845EE375}"/>
    <cellStyle name="Normal 11 23" xfId="104" xr:uid="{8A0F21E2-1D05-4EA0-972D-10094707F4AE}"/>
    <cellStyle name="Normal 11 24" xfId="105" xr:uid="{B271FBDA-CB04-4340-8F82-AADE011788E1}"/>
    <cellStyle name="Normal 11 25" xfId="106" xr:uid="{3494D023-56CC-408B-9705-484F6025DD38}"/>
    <cellStyle name="Normal 11 26" xfId="107" xr:uid="{5FA52C00-7531-417A-B807-FA6D5C4C99B9}"/>
    <cellStyle name="Normal 11 27" xfId="108" xr:uid="{347D1A93-3971-45AA-AAE1-C61D15E14A10}"/>
    <cellStyle name="Normal 11 28" xfId="109" xr:uid="{503B7754-EF42-4BF6-AADE-5CE14493806B}"/>
    <cellStyle name="Normal 11 29" xfId="110" xr:uid="{4F2221F1-50A1-440C-9BD5-861C9203009E}"/>
    <cellStyle name="Normal 11 3" xfId="111" xr:uid="{C5A39A11-9472-4D95-A62E-8FFD59E8BABF}"/>
    <cellStyle name="Normal 11 30" xfId="112" xr:uid="{0CDD035A-10E3-4E97-A6B8-67B6264D1E7D}"/>
    <cellStyle name="Normal 11 31" xfId="113" xr:uid="{6C6EC856-E869-4585-9575-5ED92BCA9CFD}"/>
    <cellStyle name="Normal 11 32" xfId="114" xr:uid="{63176FBB-EC2D-4D38-B4A9-E43412A60EB4}"/>
    <cellStyle name="Normal 11 33" xfId="115" xr:uid="{3667B30B-89AB-4EB8-A7E3-8BB666B25206}"/>
    <cellStyle name="Normal 11 34" xfId="116" xr:uid="{6AA8FF32-02E3-4188-8778-1D9F8C589A8C}"/>
    <cellStyle name="Normal 11 35" xfId="117" xr:uid="{28F74630-23DE-4F13-8D95-68BD25863EAE}"/>
    <cellStyle name="Normal 11 36" xfId="118" xr:uid="{A3450AEF-D4C7-47A5-BF32-3CD825058A1F}"/>
    <cellStyle name="Normal 11 37" xfId="119" xr:uid="{3B6AF0A9-1F72-4EA8-90CE-13D3EF242900}"/>
    <cellStyle name="Normal 11 38" xfId="120" xr:uid="{9D52A2DC-D5F3-418E-A771-04E8507EF9BA}"/>
    <cellStyle name="Normal 11 39" xfId="121" xr:uid="{22BD3775-D2C2-4D69-AFAC-4CECD2C5BF42}"/>
    <cellStyle name="Normal 11 4" xfId="122" xr:uid="{F504332E-6631-4ECD-B753-D5C3272BCACF}"/>
    <cellStyle name="Normal 11 40" xfId="123" xr:uid="{4A400E92-58F8-458F-88D5-92398A788612}"/>
    <cellStyle name="Normal 11 41" xfId="124" xr:uid="{A6BAA2E1-168C-433B-B321-C5C9F67D52B0}"/>
    <cellStyle name="Normal 11 42" xfId="125" xr:uid="{4372522C-8A07-493E-8229-1CBE99A98D0D}"/>
    <cellStyle name="Normal 11 43" xfId="126" xr:uid="{94AA1230-44F3-45BE-972A-641BC3273BA0}"/>
    <cellStyle name="Normal 11 44" xfId="13587" xr:uid="{88111ED4-0FF7-4764-A358-7040F820B819}"/>
    <cellStyle name="Normal 11 45" xfId="13803" xr:uid="{A2F8F243-3C32-4666-9B4E-D85739BCAB15}"/>
    <cellStyle name="Normal 11 5" xfId="127" xr:uid="{D48540B4-5891-491F-B5E0-0DC72D0EAC11}"/>
    <cellStyle name="Normal 11 6" xfId="128" xr:uid="{14088CEA-4E0D-49A7-8C23-BC91B0864F31}"/>
    <cellStyle name="Normal 11 7" xfId="129" xr:uid="{2E74613C-A64B-40A4-95D6-3FE3B45AB5CA}"/>
    <cellStyle name="Normal 11 8" xfId="130" xr:uid="{219A6F3B-1D7E-429A-8B69-B4F8FD0DD5E8}"/>
    <cellStyle name="Normal 11 9" xfId="131" xr:uid="{B0DE77CC-D732-4619-8A24-55DA1117BF01}"/>
    <cellStyle name="Normal 12" xfId="13690" xr:uid="{438C99B0-2D34-4B80-AB7C-DF2A818C6985}"/>
    <cellStyle name="Normal 12 2" xfId="13691" xr:uid="{E860BF46-1189-4D7B-AE85-1D898D0BC6D9}"/>
    <cellStyle name="Normal 13" xfId="13727" xr:uid="{67A939FB-1998-4BF3-8634-24B0F890F8B1}"/>
    <cellStyle name="Normal 13 2" xfId="132" xr:uid="{EAAD1A0D-A6D4-4260-B384-BCD73195257D}"/>
    <cellStyle name="Normal 13 3" xfId="133" xr:uid="{D448651D-6A29-4AEF-A0D8-7FD557447540}"/>
    <cellStyle name="Normal 14" xfId="134" xr:uid="{26E660C7-6295-43E1-9B54-0DEAB6CA81B3}"/>
    <cellStyle name="Normal 14 10" xfId="135" xr:uid="{0B89BE39-725B-4B71-9455-E4EE98E59B6D}"/>
    <cellStyle name="Normal 14 11" xfId="136" xr:uid="{C91A84BE-7C7F-4F56-9394-F89CCA868AE8}"/>
    <cellStyle name="Normal 14 12" xfId="137" xr:uid="{1450E4CF-6913-44A7-BF4F-2908873DA7DC}"/>
    <cellStyle name="Normal 14 13" xfId="138" xr:uid="{9BF1F907-5142-449E-B41B-F5B1505312AA}"/>
    <cellStyle name="Normal 14 14" xfId="139" xr:uid="{EC0B7C32-FF40-46BD-9AFC-8A38A4F5A17B}"/>
    <cellStyle name="Normal 14 14 10" xfId="140" xr:uid="{7CD8B6A0-99C7-40C0-8414-13F8C49902C9}"/>
    <cellStyle name="Normal 14 14 10 2" xfId="141" xr:uid="{95AD934D-E011-4EFF-8F3A-9479B39359CE}"/>
    <cellStyle name="Normal 14 14 10 2 2" xfId="142" xr:uid="{BAAD1335-7D63-4180-90B5-186D100DD168}"/>
    <cellStyle name="Normal 14 14 10 2 2 2" xfId="143" xr:uid="{0DAA4404-A8D4-41F0-A30C-2A64CD371F93}"/>
    <cellStyle name="Normal 14 14 10 2 2 3" xfId="144" xr:uid="{0CBDDDF8-4D6B-4326-B17A-BB5AF5020EE5}"/>
    <cellStyle name="Normal 14 14 10 2 2 4" xfId="145" xr:uid="{B0D46811-F203-4D96-8FEE-F00DAC1FBFE2}"/>
    <cellStyle name="Normal 14 14 10 2 2 5" xfId="146" xr:uid="{050C9CE3-A813-4785-A5DD-8D3EDB01755B}"/>
    <cellStyle name="Normal 14 14 10 2 2 6" xfId="147" xr:uid="{75FC5D26-964E-4AD3-AEAA-8FA460A5F358}"/>
    <cellStyle name="Normal 14 14 10 2 2 7" xfId="148" xr:uid="{E563E902-8982-43FD-90EA-D88F03152957}"/>
    <cellStyle name="Normal 14 14 10 2 2 8" xfId="149" xr:uid="{B2E3E88D-7CAA-4239-B97B-056195A3DCF5}"/>
    <cellStyle name="Normal 14 14 10 2 3" xfId="150" xr:uid="{F9C8F831-70C4-4AEB-9935-B40796FB03ED}"/>
    <cellStyle name="Normal 14 14 10 2 4" xfId="151" xr:uid="{F477C09B-A058-4EE2-AC6A-1CACC88BE8C6}"/>
    <cellStyle name="Normal 14 14 10 2 5" xfId="152" xr:uid="{FDEC722B-C50B-4A2C-9B9F-FA0500DCBA31}"/>
    <cellStyle name="Normal 14 14 10 2 6" xfId="153" xr:uid="{21A2B157-7046-41FD-9804-74CBE1AB1093}"/>
    <cellStyle name="Normal 14 14 10 2 7" xfId="154" xr:uid="{B304C154-0662-4E93-B1AD-20CE97E91A28}"/>
    <cellStyle name="Normal 14 14 10 2 8" xfId="155" xr:uid="{D2390AC8-251E-4119-A8EB-7F6F70DDC2BB}"/>
    <cellStyle name="Normal 14 14 10 3" xfId="156" xr:uid="{465BBD00-7B42-4EA2-9A7D-E6CFD22E5C14}"/>
    <cellStyle name="Normal 14 14 10 4" xfId="157" xr:uid="{49223C33-1C3F-4D3C-AD22-27F68E476EC7}"/>
    <cellStyle name="Normal 14 14 10 5" xfId="158" xr:uid="{BC991E01-C426-44E2-9A3F-BF566B220F11}"/>
    <cellStyle name="Normal 14 14 10 6" xfId="159" xr:uid="{1B63ED51-0DCD-4164-8281-1EC7F4C41F31}"/>
    <cellStyle name="Normal 14 14 10 7" xfId="160" xr:uid="{A4ECFE83-CB99-4583-B952-797BCC586999}"/>
    <cellStyle name="Normal 14 14 10 8" xfId="161" xr:uid="{0D4B260B-900D-4E94-8D7A-6D9AA16BDFEA}"/>
    <cellStyle name="Normal 14 14 10 9" xfId="162" xr:uid="{1C017C85-BF60-400A-B0D2-9B8BB10E1089}"/>
    <cellStyle name="Normal 14 14 11" xfId="163" xr:uid="{A5671123-1611-46FB-B18E-D58F9A16B1BB}"/>
    <cellStyle name="Normal 14 14 11 2" xfId="164" xr:uid="{A13267C3-9680-4AB0-9BD7-32655B6CB0FA}"/>
    <cellStyle name="Normal 14 14 11 3" xfId="165" xr:uid="{304C8888-5691-42BB-B478-371541936B0C}"/>
    <cellStyle name="Normal 14 14 11 4" xfId="166" xr:uid="{82568A79-EE48-4E67-96CB-248D576F9D1C}"/>
    <cellStyle name="Normal 14 14 11 5" xfId="167" xr:uid="{F23BB5BA-C185-4F8A-861E-4A02FFB64B5F}"/>
    <cellStyle name="Normal 14 14 11 6" xfId="168" xr:uid="{7C01F031-E53A-4CBE-B561-EDDD79F7E183}"/>
    <cellStyle name="Normal 14 14 11 7" xfId="169" xr:uid="{9F26BD4B-D773-4131-95EA-10E4C43F6449}"/>
    <cellStyle name="Normal 14 14 11 8" xfId="170" xr:uid="{11633939-983F-401F-AA07-E3D74D2F689A}"/>
    <cellStyle name="Normal 14 14 12" xfId="171" xr:uid="{5817CA32-B9B0-46DE-8DCC-906D16E1EE8D}"/>
    <cellStyle name="Normal 14 14 13" xfId="172" xr:uid="{7AA76C2A-8A98-440B-984A-67CF9E6BD4A1}"/>
    <cellStyle name="Normal 14 14 14" xfId="173" xr:uid="{3D7140CA-938D-4763-8A4B-91C289153FA0}"/>
    <cellStyle name="Normal 14 14 15" xfId="174" xr:uid="{5DD193F5-8EC2-4383-9AA4-166243CF443E}"/>
    <cellStyle name="Normal 14 14 16" xfId="175" xr:uid="{5C5FA582-F1C4-40A5-92FC-CC6845E13ECE}"/>
    <cellStyle name="Normal 14 14 17" xfId="176" xr:uid="{9610E685-EE6B-4434-A65E-3B4709631F90}"/>
    <cellStyle name="Normal 14 14 2" xfId="177" xr:uid="{B7227887-DEF6-45DA-AABB-315ADE5836DC}"/>
    <cellStyle name="Normal 14 14 2 10" xfId="178" xr:uid="{60C091E8-3EA0-47CC-BD74-F4118EB8455A}"/>
    <cellStyle name="Normal 14 14 2 10 2" xfId="179" xr:uid="{4483F56C-D459-4C84-90F9-4A414B421447}"/>
    <cellStyle name="Normal 14 14 2 10 2 2" xfId="180" xr:uid="{831FAD2C-B402-4630-A6EB-136F0D1BC3B6}"/>
    <cellStyle name="Normal 14 14 2 10 2 2 2" xfId="181" xr:uid="{18D93D50-EBE5-43E4-8570-C4B904436FEB}"/>
    <cellStyle name="Normal 14 14 2 10 2 2 3" xfId="182" xr:uid="{04C2E7BC-F35F-4D0F-BB22-B778D38CA485}"/>
    <cellStyle name="Normal 14 14 2 10 2 2 4" xfId="183" xr:uid="{7C858C2F-36C1-4590-AC60-BD6FFBE92AC4}"/>
    <cellStyle name="Normal 14 14 2 10 2 2 5" xfId="184" xr:uid="{B5414644-A02A-49C1-A0EC-D0F8E6E69C4F}"/>
    <cellStyle name="Normal 14 14 2 10 2 2 6" xfId="185" xr:uid="{580D837E-E19D-48FC-AA09-D664735D563C}"/>
    <cellStyle name="Normal 14 14 2 10 2 2 7" xfId="186" xr:uid="{879FA3BB-2F83-4009-8CB6-492D90539B17}"/>
    <cellStyle name="Normal 14 14 2 10 2 2 8" xfId="187" xr:uid="{F57731F6-57C7-4DC0-AC03-D735E322C812}"/>
    <cellStyle name="Normal 14 14 2 10 2 3" xfId="188" xr:uid="{A279DF69-F3DE-4887-9A2B-64A01E1E5C95}"/>
    <cellStyle name="Normal 14 14 2 10 2 4" xfId="189" xr:uid="{46456F12-DE4E-468C-9374-3C8ED9F5595A}"/>
    <cellStyle name="Normal 14 14 2 10 2 5" xfId="190" xr:uid="{F675DC43-A9D7-45F1-8C0B-C67549B039DD}"/>
    <cellStyle name="Normal 14 14 2 10 2 6" xfId="191" xr:uid="{09325985-9D5C-497E-BFBD-FA262641BB41}"/>
    <cellStyle name="Normal 14 14 2 10 2 7" xfId="192" xr:uid="{E661ADB4-1269-4AF9-AF13-79C4F4E24593}"/>
    <cellStyle name="Normal 14 14 2 10 2 8" xfId="193" xr:uid="{DC822DCA-CF4B-4D38-9E2F-AE7710C3CD17}"/>
    <cellStyle name="Normal 14 14 2 10 3" xfId="194" xr:uid="{4DD44BAC-F144-4CE3-ABF4-94E57E35DEFE}"/>
    <cellStyle name="Normal 14 14 2 10 4" xfId="195" xr:uid="{A87A2430-0A95-408E-A4BF-D1C216D1D22F}"/>
    <cellStyle name="Normal 14 14 2 10 5" xfId="196" xr:uid="{C6BC367F-BA88-4476-AD0E-3E79C61DC1FF}"/>
    <cellStyle name="Normal 14 14 2 10 6" xfId="197" xr:uid="{6F103E22-359D-4FFC-82C4-84D6BE325A2F}"/>
    <cellStyle name="Normal 14 14 2 10 7" xfId="198" xr:uid="{7A0B79BA-9C73-45C0-82AE-ABBD1860D49F}"/>
    <cellStyle name="Normal 14 14 2 10 8" xfId="199" xr:uid="{4091FC52-B42B-4E49-8F6B-A1DBCC2AB406}"/>
    <cellStyle name="Normal 14 14 2 10 9" xfId="200" xr:uid="{5331730B-F42F-4917-9B82-C69E927699F1}"/>
    <cellStyle name="Normal 14 14 2 11" xfId="201" xr:uid="{616D827E-42B2-41D6-B832-C58360D79909}"/>
    <cellStyle name="Normal 14 14 2 11 2" xfId="202" xr:uid="{480B379E-06CE-4097-96D2-994B98AF02C9}"/>
    <cellStyle name="Normal 14 14 2 11 3" xfId="203" xr:uid="{B55AE9A2-4295-4338-AC4A-D058600E35E4}"/>
    <cellStyle name="Normal 14 14 2 11 4" xfId="204" xr:uid="{A0493DE7-4A07-4555-9164-8A3503F3B280}"/>
    <cellStyle name="Normal 14 14 2 11 5" xfId="205" xr:uid="{BC82F647-9EC2-4E41-B225-6A8B1B598BBB}"/>
    <cellStyle name="Normal 14 14 2 11 6" xfId="206" xr:uid="{50B69E5C-B4DC-4DEA-BB81-EDC651758812}"/>
    <cellStyle name="Normal 14 14 2 11 7" xfId="207" xr:uid="{F33B6755-7F2A-4299-BD8F-DC3E54799D0D}"/>
    <cellStyle name="Normal 14 14 2 11 8" xfId="208" xr:uid="{CB74DD3D-4B03-4F75-AC40-660F9C7CA556}"/>
    <cellStyle name="Normal 14 14 2 12" xfId="209" xr:uid="{A617CDB5-CA78-486B-B050-96707436A4EF}"/>
    <cellStyle name="Normal 14 14 2 13" xfId="210" xr:uid="{DA3E8DB6-0395-4251-9BCD-F05CB3154035}"/>
    <cellStyle name="Normal 14 14 2 14" xfId="211" xr:uid="{9A685053-E10C-4A5D-AE97-AB4E0D38937D}"/>
    <cellStyle name="Normal 14 14 2 15" xfId="212" xr:uid="{954D4EC9-F305-4F2A-9036-229DB9AA7842}"/>
    <cellStyle name="Normal 14 14 2 16" xfId="213" xr:uid="{2C00BFBF-D575-47C8-839B-99A1E1E40278}"/>
    <cellStyle name="Normal 14 14 2 17" xfId="214" xr:uid="{03B558F2-3D9A-4A28-B7E2-B3B27EF84DB9}"/>
    <cellStyle name="Normal 14 14 2 2" xfId="215" xr:uid="{3EC71A2B-F9B4-47EE-8B4F-5DF76428988F}"/>
    <cellStyle name="Normal 14 14 2 2 10" xfId="216" xr:uid="{81630A5B-E4AF-4E42-92A1-1A9047D1B7CC}"/>
    <cellStyle name="Normal 14 14 2 2 2" xfId="217" xr:uid="{2774B276-73FE-44F2-A418-7F7C91150CAB}"/>
    <cellStyle name="Normal 14 14 2 2 2 2" xfId="218" xr:uid="{3A6FA2E6-99FE-4384-8E5C-D7B88E1D585B}"/>
    <cellStyle name="Normal 14 14 2 2 2 2 2" xfId="219" xr:uid="{59AC6250-968F-435D-8D44-37593F92C008}"/>
    <cellStyle name="Normal 14 14 2 2 2 2 2 2" xfId="220" xr:uid="{E7BF48C5-796A-4E9C-82F1-692AAF765EE7}"/>
    <cellStyle name="Normal 14 14 2 2 2 2 2 3" xfId="221" xr:uid="{A28CC2FB-1677-40E9-AEAC-3EF623481F35}"/>
    <cellStyle name="Normal 14 14 2 2 2 2 2 4" xfId="222" xr:uid="{98D017A0-7C6A-413B-8950-8DC51D13701A}"/>
    <cellStyle name="Normal 14 14 2 2 2 2 2 5" xfId="223" xr:uid="{FA4B8595-D9B6-4887-B49F-36226FA84775}"/>
    <cellStyle name="Normal 14 14 2 2 2 2 2 6" xfId="224" xr:uid="{13AB045E-DF7C-414C-B180-55375F1C1C3C}"/>
    <cellStyle name="Normal 14 14 2 2 2 2 2 7" xfId="225" xr:uid="{7B26F01F-552C-4D25-9A24-45FC546B7962}"/>
    <cellStyle name="Normal 14 14 2 2 2 2 2 8" xfId="226" xr:uid="{4AF07592-785C-4EC7-8772-DE01E346E92C}"/>
    <cellStyle name="Normal 14 14 2 2 2 2 3" xfId="227" xr:uid="{AD4C9113-026A-4290-9F08-98474C4A94AF}"/>
    <cellStyle name="Normal 14 14 2 2 2 2 4" xfId="228" xr:uid="{D056CDC4-359D-4D23-8D9F-714DA9A59F41}"/>
    <cellStyle name="Normal 14 14 2 2 2 2 5" xfId="229" xr:uid="{008EF32B-02EF-43F7-9394-A3F77EBE1001}"/>
    <cellStyle name="Normal 14 14 2 2 2 2 6" xfId="230" xr:uid="{2524CED1-BB36-4EB0-9B6C-F981AD2EBD0C}"/>
    <cellStyle name="Normal 14 14 2 2 2 2 7" xfId="231" xr:uid="{F54B34D9-4EBA-4C43-8747-5FA22B70BB88}"/>
    <cellStyle name="Normal 14 14 2 2 2 2 8" xfId="232" xr:uid="{4FAF9A04-3CDC-489A-BB17-F5AFDC1E071B}"/>
    <cellStyle name="Normal 14 14 2 2 2 3" xfId="233" xr:uid="{74CFFAA1-C326-45B1-AB22-9BCF715B100D}"/>
    <cellStyle name="Normal 14 14 2 2 2 4" xfId="234" xr:uid="{0B4CC6E0-8731-4677-A7F7-6F4AC2467FBD}"/>
    <cellStyle name="Normal 14 14 2 2 2 5" xfId="235" xr:uid="{484141BA-6ACF-4573-BF6D-DAAEFA8E92A3}"/>
    <cellStyle name="Normal 14 14 2 2 2 6" xfId="236" xr:uid="{8867F3C5-1F5A-4290-842A-74B9ED0EF405}"/>
    <cellStyle name="Normal 14 14 2 2 2 7" xfId="237" xr:uid="{0DC03977-8922-40AC-BA19-D209F41E89F8}"/>
    <cellStyle name="Normal 14 14 2 2 2 8" xfId="238" xr:uid="{E46A57B2-4F65-4D8D-9885-77DB7E63037B}"/>
    <cellStyle name="Normal 14 14 2 2 2 9" xfId="239" xr:uid="{44F3D421-DB34-4570-B00C-94A1484892A1}"/>
    <cellStyle name="Normal 14 14 2 2 3" xfId="240" xr:uid="{0C5E0B9B-C165-4506-8D31-9174F8E53604}"/>
    <cellStyle name="Normal 14 14 2 2 4" xfId="241" xr:uid="{C9E70474-070E-419C-8845-F8115ED021E4}"/>
    <cellStyle name="Normal 14 14 2 2 4 2" xfId="242" xr:uid="{6FEF80F1-6568-4C1F-8AC1-31FC7F91A2A1}"/>
    <cellStyle name="Normal 14 14 2 2 4 3" xfId="243" xr:uid="{26132F99-7C37-4AF0-A3FE-763250520DD9}"/>
    <cellStyle name="Normal 14 14 2 2 4 4" xfId="244" xr:uid="{7A69A275-98DA-4E06-84B5-E61988BB2E1F}"/>
    <cellStyle name="Normal 14 14 2 2 4 5" xfId="245" xr:uid="{18546267-8350-4668-9E77-3997287C09DA}"/>
    <cellStyle name="Normal 14 14 2 2 4 6" xfId="246" xr:uid="{D22C63FB-25B1-4745-B408-4CE82D35E86F}"/>
    <cellStyle name="Normal 14 14 2 2 4 7" xfId="247" xr:uid="{09B20C29-9396-4FDD-928F-784D97075699}"/>
    <cellStyle name="Normal 14 14 2 2 4 8" xfId="248" xr:uid="{81386F84-C58C-4DDB-876A-5D9AE4B44054}"/>
    <cellStyle name="Normal 14 14 2 2 5" xfId="249" xr:uid="{08CB889C-E4CD-4DC7-A2E3-A58D5B3C9388}"/>
    <cellStyle name="Normal 14 14 2 2 6" xfId="250" xr:uid="{72E6B482-DB2F-4367-8B1B-16FC9486116A}"/>
    <cellStyle name="Normal 14 14 2 2 7" xfId="251" xr:uid="{36B42385-CA57-4D29-8956-576DB8D89619}"/>
    <cellStyle name="Normal 14 14 2 2 8" xfId="252" xr:uid="{723B816D-F91F-4192-A6D4-D47238837537}"/>
    <cellStyle name="Normal 14 14 2 2 9" xfId="253" xr:uid="{D21EEE11-BACA-41E5-818A-068777361FE3}"/>
    <cellStyle name="Normal 14 14 2 3" xfId="254" xr:uid="{A3F308E7-7C21-454A-B463-934D55D4A982}"/>
    <cellStyle name="Normal 14 14 2 4" xfId="255" xr:uid="{ABE1788E-96F7-40C4-8E3F-88A4E299F6F1}"/>
    <cellStyle name="Normal 14 14 2 5" xfId="256" xr:uid="{877034D6-8643-4655-8E30-799517CFD6CF}"/>
    <cellStyle name="Normal 14 14 2 6" xfId="257" xr:uid="{59472B7E-852F-4685-A628-3C8DAE759703}"/>
    <cellStyle name="Normal 14 14 2 7" xfId="258" xr:uid="{90FBA438-B65C-4C04-B5C9-C59C502AD494}"/>
    <cellStyle name="Normal 14 14 2 8" xfId="259" xr:uid="{E583581A-2AE5-42C5-9D41-5BE2EA39067E}"/>
    <cellStyle name="Normal 14 14 2 9" xfId="260" xr:uid="{5E92FF03-4CA5-4410-8655-11366B47B807}"/>
    <cellStyle name="Normal 14 14 3" xfId="261" xr:uid="{5E1F1E58-A4C8-417E-839B-877BC045ECD5}"/>
    <cellStyle name="Normal 14 14 3 10" xfId="262" xr:uid="{721A238B-7FF8-4A4F-9AEA-CC34FF213D87}"/>
    <cellStyle name="Normal 14 14 3 2" xfId="263" xr:uid="{322B85FA-8536-43B3-AD9D-F4D5638D5914}"/>
    <cellStyle name="Normal 14 14 3 2 2" xfId="264" xr:uid="{D6D0D012-FDFB-48DF-BF2E-4524DD80EC7B}"/>
    <cellStyle name="Normal 14 14 3 2 2 2" xfId="265" xr:uid="{0D176A9F-F4F1-434D-A7CF-3160F631CAB4}"/>
    <cellStyle name="Normal 14 14 3 2 2 2 2" xfId="266" xr:uid="{530995A9-C89C-4D0B-8E53-142EA12C15B1}"/>
    <cellStyle name="Normal 14 14 3 2 2 2 3" xfId="267" xr:uid="{B5255F32-7155-4EF7-8BD7-559246B0BD17}"/>
    <cellStyle name="Normal 14 14 3 2 2 2 4" xfId="268" xr:uid="{58DDC9C4-53D7-4A5A-BE59-250AD59EBD4C}"/>
    <cellStyle name="Normal 14 14 3 2 2 2 5" xfId="269" xr:uid="{D07C3BE1-0BFB-4B3D-9402-5C4E82AAD1A9}"/>
    <cellStyle name="Normal 14 14 3 2 2 2 6" xfId="270" xr:uid="{3059D5BA-F1F5-424A-8DB7-60155128D75A}"/>
    <cellStyle name="Normal 14 14 3 2 2 2 7" xfId="271" xr:uid="{187128CB-9186-45EB-8DC9-4A3ADB371FB8}"/>
    <cellStyle name="Normal 14 14 3 2 2 2 8" xfId="272" xr:uid="{B9D94663-CC45-4CDE-A701-634579E2E6A2}"/>
    <cellStyle name="Normal 14 14 3 2 2 3" xfId="273" xr:uid="{5CA54446-EB2C-4948-B8F1-B62DAFB0331E}"/>
    <cellStyle name="Normal 14 14 3 2 2 4" xfId="274" xr:uid="{07BD2F2F-E366-49B5-9FC6-C9E4CDF15BBC}"/>
    <cellStyle name="Normal 14 14 3 2 2 5" xfId="275" xr:uid="{20B9E877-F4F5-4C05-BBC6-9086119AE38F}"/>
    <cellStyle name="Normal 14 14 3 2 2 6" xfId="276" xr:uid="{F9967BD7-6D58-4197-A778-0E7AF627D1CC}"/>
    <cellStyle name="Normal 14 14 3 2 2 7" xfId="277" xr:uid="{D1BA2FC4-CAB3-47CC-940B-22A13CDF362D}"/>
    <cellStyle name="Normal 14 14 3 2 2 8" xfId="278" xr:uid="{B90FE759-7E96-4891-B8CA-764D6BA538C9}"/>
    <cellStyle name="Normal 14 14 3 2 3" xfId="279" xr:uid="{9DB95039-9FF0-43D9-9955-4D1D397962B3}"/>
    <cellStyle name="Normal 14 14 3 2 4" xfId="280" xr:uid="{A98C1E23-A0EB-40BC-8B70-9AF129BFF921}"/>
    <cellStyle name="Normal 14 14 3 2 5" xfId="281" xr:uid="{DFAEF201-83E8-4397-A493-13DD6123A0B6}"/>
    <cellStyle name="Normal 14 14 3 2 6" xfId="282" xr:uid="{4828830C-A24D-4C88-9499-E967E10E0CD8}"/>
    <cellStyle name="Normal 14 14 3 2 7" xfId="283" xr:uid="{CE892AD0-6AA2-475F-8686-C32914F1AC28}"/>
    <cellStyle name="Normal 14 14 3 2 8" xfId="284" xr:uid="{31C9B018-C0A0-4131-BD23-5F20D6E65942}"/>
    <cellStyle name="Normal 14 14 3 2 9" xfId="285" xr:uid="{B21BD855-211C-4B97-9F65-E597D22ED9C9}"/>
    <cellStyle name="Normal 14 14 3 3" xfId="286" xr:uid="{717503EC-8314-42BF-9F97-07BEC856ACBC}"/>
    <cellStyle name="Normal 14 14 3 4" xfId="287" xr:uid="{BEF9ACB0-BC3B-487C-8885-EE279FA1D709}"/>
    <cellStyle name="Normal 14 14 3 4 2" xfId="288" xr:uid="{A6D9A7FE-C3F8-4C33-BC26-19FAFAEE88DF}"/>
    <cellStyle name="Normal 14 14 3 4 3" xfId="289" xr:uid="{C9339080-0B6C-492A-BAD3-FE07594AB0F8}"/>
    <cellStyle name="Normal 14 14 3 4 4" xfId="290" xr:uid="{A042FADC-7934-4FE3-9D6D-6D5FCED3F094}"/>
    <cellStyle name="Normal 14 14 3 4 5" xfId="291" xr:uid="{F02421F7-EFAC-412D-84AB-D1B392733736}"/>
    <cellStyle name="Normal 14 14 3 4 6" xfId="292" xr:uid="{06DF8985-F25D-4B8D-83E6-F0E58ADF0231}"/>
    <cellStyle name="Normal 14 14 3 4 7" xfId="293" xr:uid="{5384A243-1FCD-40B1-9F40-4987C7CCC6C6}"/>
    <cellStyle name="Normal 14 14 3 4 8" xfId="294" xr:uid="{B6187000-8AEB-4A73-80E5-9FC8FCCAF633}"/>
    <cellStyle name="Normal 14 14 3 5" xfId="295" xr:uid="{4CBF9F22-07D7-43B9-A683-1AC0B69A659D}"/>
    <cellStyle name="Normal 14 14 3 6" xfId="296" xr:uid="{632524D7-DC59-44FF-A451-40E7800F3165}"/>
    <cellStyle name="Normal 14 14 3 7" xfId="297" xr:uid="{A38EEB1D-8946-4855-88E0-985558EAC70C}"/>
    <cellStyle name="Normal 14 14 3 8" xfId="298" xr:uid="{2B9569D7-D8DA-4B26-83C2-C8C36B85AF9E}"/>
    <cellStyle name="Normal 14 14 3 9" xfId="299" xr:uid="{C64C28C1-EBCB-44BA-A33E-86C8D052A92A}"/>
    <cellStyle name="Normal 14 14 4" xfId="300" xr:uid="{4633E503-FEA2-4C4F-B2E6-FDA86DBD409A}"/>
    <cellStyle name="Normal 14 14 5" xfId="301" xr:uid="{D897B620-7D10-4302-8F45-D802D8B21A43}"/>
    <cellStyle name="Normal 14 14 6" xfId="302" xr:uid="{AE01D396-D583-4904-81E6-835E3FCE7EBC}"/>
    <cellStyle name="Normal 14 14 7" xfId="303" xr:uid="{C2CF591D-B676-4EFA-90AE-BF60A5A54AA6}"/>
    <cellStyle name="Normal 14 14 8" xfId="304" xr:uid="{9C4110C5-179D-4C61-B185-8EF77E8707CB}"/>
    <cellStyle name="Normal 14 14 9" xfId="305" xr:uid="{B278ED21-6455-44E9-82AD-3DAE290B1247}"/>
    <cellStyle name="Normal 14 15" xfId="306" xr:uid="{C518C36D-F72A-40EE-A436-A85B146D7D87}"/>
    <cellStyle name="Normal 14 16" xfId="307" xr:uid="{D627674A-CFE7-4494-A0B3-7E662A3067A5}"/>
    <cellStyle name="Normal 14 17" xfId="308" xr:uid="{E4F21379-4635-414F-A523-BCDA3F4DFCB2}"/>
    <cellStyle name="Normal 14 18" xfId="309" xr:uid="{0CD7A5BE-A97E-4043-8D11-B53B04D6D0D1}"/>
    <cellStyle name="Normal 14 19" xfId="310" xr:uid="{7F7C5280-7D49-4152-B78E-37B413ADA8ED}"/>
    <cellStyle name="Normal 14 19 10" xfId="311" xr:uid="{05B59DB4-E18A-4E32-8635-7987F3A8C96C}"/>
    <cellStyle name="Normal 14 19 2" xfId="312" xr:uid="{A2B0DB43-118F-4732-85C9-D7C438EF5490}"/>
    <cellStyle name="Normal 14 19 2 2" xfId="313" xr:uid="{D0EFA45E-2A5A-4901-81B4-503D72E6907C}"/>
    <cellStyle name="Normal 14 19 2 2 2" xfId="314" xr:uid="{206FFC69-6555-4641-809A-E377455069DB}"/>
    <cellStyle name="Normal 14 19 2 2 2 2" xfId="315" xr:uid="{7C565D49-E86B-4B83-A897-6D375F9E6298}"/>
    <cellStyle name="Normal 14 19 2 2 2 3" xfId="316" xr:uid="{9EA643FF-4CD2-4639-8C50-D54BC99C5671}"/>
    <cellStyle name="Normal 14 19 2 2 2 4" xfId="317" xr:uid="{051CEA3B-D3E4-4768-809C-D4A18A845490}"/>
    <cellStyle name="Normal 14 19 2 2 2 5" xfId="318" xr:uid="{F9008A2F-B1C7-451E-AEFD-DC0A85091DB3}"/>
    <cellStyle name="Normal 14 19 2 2 2 6" xfId="319" xr:uid="{D774DFA6-21C9-476B-814E-26EFC1F95EBF}"/>
    <cellStyle name="Normal 14 19 2 2 2 7" xfId="320" xr:uid="{B42261DD-C090-46C8-9E01-193D3F667680}"/>
    <cellStyle name="Normal 14 19 2 2 2 8" xfId="321" xr:uid="{03FA3633-2356-49DB-A63E-DC71987A455E}"/>
    <cellStyle name="Normal 14 19 2 2 3" xfId="322" xr:uid="{A66DA03B-ACFA-4641-B3D7-30C478593F85}"/>
    <cellStyle name="Normal 14 19 2 2 4" xfId="323" xr:uid="{51C4DA2A-6CED-4308-ADEE-4317CE6BB282}"/>
    <cellStyle name="Normal 14 19 2 2 5" xfId="324" xr:uid="{9D9F476C-C83A-40B8-9F4A-0B0C0CB85CC0}"/>
    <cellStyle name="Normal 14 19 2 2 6" xfId="325" xr:uid="{F77CC03D-A1FE-4733-A383-5D3F31CF7F57}"/>
    <cellStyle name="Normal 14 19 2 2 7" xfId="326" xr:uid="{49873BBC-0656-4F43-8FE2-A09AA28C261B}"/>
    <cellStyle name="Normal 14 19 2 2 8" xfId="327" xr:uid="{385D523C-5CC3-42A0-B28A-45772E4CF303}"/>
    <cellStyle name="Normal 14 19 2 3" xfId="328" xr:uid="{6E3089E3-9534-4DA2-A79B-88DB696A8C83}"/>
    <cellStyle name="Normal 14 19 2 4" xfId="329" xr:uid="{B6166F74-6273-4413-A47A-488F856041D3}"/>
    <cellStyle name="Normal 14 19 2 5" xfId="330" xr:uid="{5A2A1D3E-6866-4CCB-A45D-C8BC403E767E}"/>
    <cellStyle name="Normal 14 19 2 6" xfId="331" xr:uid="{597D04C1-5983-49D7-817B-169E576652E7}"/>
    <cellStyle name="Normal 14 19 2 7" xfId="332" xr:uid="{C329D617-C973-4676-B520-1213E5AE927A}"/>
    <cellStyle name="Normal 14 19 2 8" xfId="333" xr:uid="{6CD4AB12-526D-49A7-BF8A-6D91E8A66F9C}"/>
    <cellStyle name="Normal 14 19 2 9" xfId="334" xr:uid="{E444CA84-BE71-4B82-9FA9-14FBDE352894}"/>
    <cellStyle name="Normal 14 19 3" xfId="335" xr:uid="{ADAF4416-DC9D-4856-BF63-14B54BA5FCB9}"/>
    <cellStyle name="Normal 14 19 4" xfId="336" xr:uid="{47746894-47BD-4F51-8DA9-CCC4E3E38485}"/>
    <cellStyle name="Normal 14 19 4 2" xfId="337" xr:uid="{44DACB5E-0A2D-47DC-B7F8-AE4904E30855}"/>
    <cellStyle name="Normal 14 19 4 3" xfId="338" xr:uid="{0062F036-6413-453B-84BE-718A257D242C}"/>
    <cellStyle name="Normal 14 19 4 4" xfId="339" xr:uid="{6F0E43B6-5D6B-42FE-9BF4-2DE7DD9A68CD}"/>
    <cellStyle name="Normal 14 19 4 5" xfId="340" xr:uid="{436BBC91-0AB9-4AAF-A917-75A6344CC492}"/>
    <cellStyle name="Normal 14 19 4 6" xfId="341" xr:uid="{6546A485-5318-4E87-B77B-18033FBE69A6}"/>
    <cellStyle name="Normal 14 19 4 7" xfId="342" xr:uid="{B296D976-0214-49E2-94AE-C2613DD2483B}"/>
    <cellStyle name="Normal 14 19 4 8" xfId="343" xr:uid="{54C2F12D-5AA6-4A86-925A-E483CFB72095}"/>
    <cellStyle name="Normal 14 19 5" xfId="344" xr:uid="{5DDAB1CD-1F5D-4739-A2B6-98610AC5621C}"/>
    <cellStyle name="Normal 14 19 6" xfId="345" xr:uid="{46A791D9-8335-4B18-887C-EE57FD7CCD6F}"/>
    <cellStyle name="Normal 14 19 7" xfId="346" xr:uid="{F46017FB-6B09-4BD0-83C5-2C4BC95297FE}"/>
    <cellStyle name="Normal 14 19 8" xfId="347" xr:uid="{A233FD1E-E7CC-4CAE-BF13-72087F1EB7BC}"/>
    <cellStyle name="Normal 14 19 9" xfId="348" xr:uid="{3A8F04D1-3A61-4BB0-BCB6-73F26B09D532}"/>
    <cellStyle name="Normal 14 2" xfId="349" xr:uid="{C49835C7-F5C1-40EA-86DD-9E8A8C53B3C2}"/>
    <cellStyle name="Normal 14 2 10" xfId="350" xr:uid="{4D69621A-C128-4F70-949C-76E19A6EB898}"/>
    <cellStyle name="Normal 14 2 11" xfId="351" xr:uid="{81203CB5-6075-491C-9909-848AF8C172D7}"/>
    <cellStyle name="Normal 14 2 12" xfId="352" xr:uid="{61C7A7B0-1082-4DE1-93A8-C06FD73F645A}"/>
    <cellStyle name="Normal 14 2 13" xfId="353" xr:uid="{52EBB984-59FC-4D67-83AC-672BB0F1B3FF}"/>
    <cellStyle name="Normal 14 2 14" xfId="354" xr:uid="{36609641-5A32-4AF4-891E-EA097433CA82}"/>
    <cellStyle name="Normal 14 2 15" xfId="355" xr:uid="{9F471B9E-1891-449A-9903-7483366F8FA6}"/>
    <cellStyle name="Normal 14 2 15 2" xfId="356" xr:uid="{2540445B-B073-4376-8EFB-38A1BAA6644C}"/>
    <cellStyle name="Normal 14 2 15 2 2" xfId="357" xr:uid="{F6431C12-388D-43B2-8C79-5FA575BAE0FC}"/>
    <cellStyle name="Normal 14 2 15 2 2 2" xfId="358" xr:uid="{483DEA2C-9256-4D56-B436-71287B9AA37E}"/>
    <cellStyle name="Normal 14 2 15 2 2 3" xfId="359" xr:uid="{B683F8BE-F2C2-4E45-8DA9-4C81771464F6}"/>
    <cellStyle name="Normal 14 2 15 2 2 4" xfId="360" xr:uid="{7B2F0D2E-FBC8-4EA0-93BA-132D206AF5CE}"/>
    <cellStyle name="Normal 14 2 15 2 2 5" xfId="361" xr:uid="{369FB238-768F-4F3B-95F8-E541E0B7481D}"/>
    <cellStyle name="Normal 14 2 15 2 2 6" xfId="362" xr:uid="{09AEBB0A-741A-4DC9-A5F0-613A0865F4B2}"/>
    <cellStyle name="Normal 14 2 15 2 2 7" xfId="363" xr:uid="{8149F23E-7F27-426C-A11B-6986F5839DBB}"/>
    <cellStyle name="Normal 14 2 15 2 2 8" xfId="364" xr:uid="{0F52497C-D442-4AAC-973D-6E5F29836786}"/>
    <cellStyle name="Normal 14 2 15 2 3" xfId="365" xr:uid="{1349A3CB-12E2-409D-B66C-3AFAF27254B5}"/>
    <cellStyle name="Normal 14 2 15 2 4" xfId="366" xr:uid="{2CE5EB9F-7AA3-4853-A555-61219A6D5A96}"/>
    <cellStyle name="Normal 14 2 15 2 5" xfId="367" xr:uid="{CDA6BC88-8D39-4167-B677-89B6895671AC}"/>
    <cellStyle name="Normal 14 2 15 2 6" xfId="368" xr:uid="{B68B6BF9-50BB-4873-814D-85F68A2AFBEE}"/>
    <cellStyle name="Normal 14 2 15 2 7" xfId="369" xr:uid="{8D5D6EC7-874C-4440-A6EF-417FFBDA77E5}"/>
    <cellStyle name="Normal 14 2 15 2 8" xfId="370" xr:uid="{CF9F76D0-D377-45C2-B62E-E9998B897AF4}"/>
    <cellStyle name="Normal 14 2 15 3" xfId="371" xr:uid="{D05DA08E-9079-4194-968D-0DB5F0A2DE62}"/>
    <cellStyle name="Normal 14 2 15 4" xfId="372" xr:uid="{465DFE2C-8CAD-4F57-AD4C-8B98A97F4EF2}"/>
    <cellStyle name="Normal 14 2 15 5" xfId="373" xr:uid="{4C5B6CDE-C050-406A-925E-38A01D572A94}"/>
    <cellStyle name="Normal 14 2 15 6" xfId="374" xr:uid="{896DC176-9596-49D4-9205-69C71B966CA6}"/>
    <cellStyle name="Normal 14 2 15 7" xfId="375" xr:uid="{D6F96CFA-257F-4FC2-AF9D-1F05E2080A88}"/>
    <cellStyle name="Normal 14 2 15 8" xfId="376" xr:uid="{B58DE521-63F5-4068-9F6B-FE22F8DFC722}"/>
    <cellStyle name="Normal 14 2 15 9" xfId="377" xr:uid="{721A43FB-8949-4F03-B13F-3AABAC92E570}"/>
    <cellStyle name="Normal 14 2 16" xfId="378" xr:uid="{65845677-2C6E-4DF1-B07E-2D58BE18F115}"/>
    <cellStyle name="Normal 14 2 16 2" xfId="379" xr:uid="{F15C5F0E-57E6-41A8-83B8-CAB9D927894D}"/>
    <cellStyle name="Normal 14 2 16 3" xfId="380" xr:uid="{CB58F574-3703-480A-A4A7-3A09C20FC91B}"/>
    <cellStyle name="Normal 14 2 16 4" xfId="381" xr:uid="{B16B68E5-486A-4220-AD1A-783DD9F019C7}"/>
    <cellStyle name="Normal 14 2 16 5" xfId="382" xr:uid="{1D0A6DB4-3580-4D4C-8EFD-329E8B8901C0}"/>
    <cellStyle name="Normal 14 2 16 6" xfId="383" xr:uid="{0FCFCBFC-834B-4F89-B378-BA4F0F38C586}"/>
    <cellStyle name="Normal 14 2 16 7" xfId="384" xr:uid="{60C8246C-1109-4D43-877B-0CB7FA018ACC}"/>
    <cellStyle name="Normal 14 2 16 8" xfId="385" xr:uid="{A9079AEA-5E15-43E1-ACE8-4B84AD6C6E79}"/>
    <cellStyle name="Normal 14 2 17" xfId="386" xr:uid="{2522444C-4A86-49AA-80D9-CF50E1099618}"/>
    <cellStyle name="Normal 14 2 18" xfId="387" xr:uid="{1A34A0E1-8DE5-4EEB-84C5-9E2583B86ED4}"/>
    <cellStyle name="Normal 14 2 19" xfId="388" xr:uid="{99DB5871-9809-4C4B-BE5A-E5D958A8DAB7}"/>
    <cellStyle name="Normal 14 2 2" xfId="389" xr:uid="{8141E82B-80A9-4811-B31A-516849218203}"/>
    <cellStyle name="Normal 14 2 2 10" xfId="390" xr:uid="{9AD46B42-A43B-4430-AFEC-B82A9D5F069F}"/>
    <cellStyle name="Normal 14 2 2 11" xfId="391" xr:uid="{75180CA2-17EF-40B7-92FB-D1C71BA88B97}"/>
    <cellStyle name="Normal 14 2 2 12" xfId="392" xr:uid="{21D372A5-0496-492A-9651-CB7671B4C2AE}"/>
    <cellStyle name="Normal 14 2 2 13" xfId="393" xr:uid="{B63EC1F1-CBA9-45F0-9770-3987991B039E}"/>
    <cellStyle name="Normal 14 2 2 14" xfId="394" xr:uid="{A845F0CB-2FFC-4E57-B8F0-85E85B714740}"/>
    <cellStyle name="Normal 14 2 2 15" xfId="395" xr:uid="{D835537A-83E8-4A35-B536-27CAC330EEC0}"/>
    <cellStyle name="Normal 14 2 2 15 2" xfId="396" xr:uid="{53BF9C2A-2044-40F3-8E88-2F4F2FA0C347}"/>
    <cellStyle name="Normal 14 2 2 15 2 2" xfId="397" xr:uid="{6BBB789C-CC81-40AB-89B7-38D5C6583378}"/>
    <cellStyle name="Normal 14 2 2 15 2 2 2" xfId="398" xr:uid="{B15EA875-96BB-4222-9F8D-BC8A3894EF86}"/>
    <cellStyle name="Normal 14 2 2 15 2 2 3" xfId="399" xr:uid="{8AE9BFA0-0F02-47C2-9D90-6AAE41CF91E4}"/>
    <cellStyle name="Normal 14 2 2 15 2 2 4" xfId="400" xr:uid="{EB690A49-E5DA-4038-B4B5-9203A1783E92}"/>
    <cellStyle name="Normal 14 2 2 15 2 2 5" xfId="401" xr:uid="{59AC0607-446D-4D5A-8D0D-744B15E49C6F}"/>
    <cellStyle name="Normal 14 2 2 15 2 2 6" xfId="402" xr:uid="{19F67675-F25B-42F8-81B8-F51B390B0DD5}"/>
    <cellStyle name="Normal 14 2 2 15 2 2 7" xfId="403" xr:uid="{852AC35E-CFA8-4264-A3A3-34DAD4342133}"/>
    <cellStyle name="Normal 14 2 2 15 2 2 8" xfId="404" xr:uid="{828817CB-414B-472E-A1C8-43239E2A5163}"/>
    <cellStyle name="Normal 14 2 2 15 2 3" xfId="405" xr:uid="{6B30C68A-AB8D-4864-A2BF-09AE66D2BFEA}"/>
    <cellStyle name="Normal 14 2 2 15 2 4" xfId="406" xr:uid="{766A8111-FD37-4EA1-AFB9-F67DAD5D5FBB}"/>
    <cellStyle name="Normal 14 2 2 15 2 5" xfId="407" xr:uid="{DED2204E-F891-4F8F-A3E8-130FBFE468D3}"/>
    <cellStyle name="Normal 14 2 2 15 2 6" xfId="408" xr:uid="{DF49977C-6058-48EC-82DA-81D61AB7C611}"/>
    <cellStyle name="Normal 14 2 2 15 2 7" xfId="409" xr:uid="{EAA3DDC8-EDFB-48CB-8D44-402E504E1545}"/>
    <cellStyle name="Normal 14 2 2 15 2 8" xfId="410" xr:uid="{0B3B2A99-29BB-4C51-ABAF-CE13D531159E}"/>
    <cellStyle name="Normal 14 2 2 15 3" xfId="411" xr:uid="{3A1912E9-984F-4F61-9DC3-FA174288E835}"/>
    <cellStyle name="Normal 14 2 2 15 4" xfId="412" xr:uid="{3AABE0D0-1700-4759-8EE1-F42E8606BACC}"/>
    <cellStyle name="Normal 14 2 2 15 5" xfId="413" xr:uid="{E6C907F7-FA4E-4D83-80A4-127CDCE11A03}"/>
    <cellStyle name="Normal 14 2 2 15 6" xfId="414" xr:uid="{1CE97C7B-7C9A-4A4F-A583-1E8EEFEC9D93}"/>
    <cellStyle name="Normal 14 2 2 15 7" xfId="415" xr:uid="{9E79921F-03C6-4C21-B4A0-86962358ED80}"/>
    <cellStyle name="Normal 14 2 2 15 8" xfId="416" xr:uid="{8057E7EE-1A85-4D03-B2DC-122E62C88C53}"/>
    <cellStyle name="Normal 14 2 2 15 9" xfId="417" xr:uid="{7DD3B4AE-CCD9-4CF6-8379-C212C7E0A0CB}"/>
    <cellStyle name="Normal 14 2 2 16" xfId="418" xr:uid="{E1A465BA-058B-4060-BBAC-BE51FD64BF08}"/>
    <cellStyle name="Normal 14 2 2 16 2" xfId="419" xr:uid="{F8D4F442-ADCC-473D-A2CA-0D90C05DAFEE}"/>
    <cellStyle name="Normal 14 2 2 16 3" xfId="420" xr:uid="{E923EEF6-E260-4ECB-8D6F-EB140ECC7573}"/>
    <cellStyle name="Normal 14 2 2 16 4" xfId="421" xr:uid="{E18D72B6-A277-4D42-BF33-39DB594113A8}"/>
    <cellStyle name="Normal 14 2 2 16 5" xfId="422" xr:uid="{431691F0-6007-4A7F-BAED-8445A6E22483}"/>
    <cellStyle name="Normal 14 2 2 16 6" xfId="423" xr:uid="{A17A9A91-07F9-4012-9D6F-698DA1C07735}"/>
    <cellStyle name="Normal 14 2 2 16 7" xfId="424" xr:uid="{B3703D7E-27D7-413C-BF64-EB43831993AD}"/>
    <cellStyle name="Normal 14 2 2 16 8" xfId="425" xr:uid="{C6CC885C-227F-4310-BBFE-FC12F32F7CC4}"/>
    <cellStyle name="Normal 14 2 2 17" xfId="426" xr:uid="{BDC3E1FB-8E66-43C4-9962-753417E19E05}"/>
    <cellStyle name="Normal 14 2 2 18" xfId="427" xr:uid="{52A65AC5-A567-4B44-981E-A7AB5E1FE799}"/>
    <cellStyle name="Normal 14 2 2 19" xfId="428" xr:uid="{41A662B9-E560-44A3-B99E-E28E41230B73}"/>
    <cellStyle name="Normal 14 2 2 2" xfId="429" xr:uid="{9BD6EF46-8153-4B12-8A14-D904617D9EAF}"/>
    <cellStyle name="Normal 14 2 2 2 10" xfId="430" xr:uid="{D934AB71-3401-4616-B377-6E91913082CD}"/>
    <cellStyle name="Normal 14 2 2 2 10 2" xfId="431" xr:uid="{0724D449-41B6-410C-A455-1BC6D80BE215}"/>
    <cellStyle name="Normal 14 2 2 2 10 2 2" xfId="432" xr:uid="{C9DFBC55-D2D4-47B5-BAA6-2E2491A5BBF4}"/>
    <cellStyle name="Normal 14 2 2 2 10 2 2 2" xfId="433" xr:uid="{B4F955AE-C551-4091-8E11-8F07606E66B5}"/>
    <cellStyle name="Normal 14 2 2 2 10 2 2 3" xfId="434" xr:uid="{EBF026CC-ED11-44FE-8F6F-1C9D876DE979}"/>
    <cellStyle name="Normal 14 2 2 2 10 2 2 4" xfId="435" xr:uid="{A4A06C63-02D6-4099-8C8B-BA34271CB585}"/>
    <cellStyle name="Normal 14 2 2 2 10 2 2 5" xfId="436" xr:uid="{F687F0F6-9C7C-497A-A652-8041E268560C}"/>
    <cellStyle name="Normal 14 2 2 2 10 2 2 6" xfId="437" xr:uid="{147E6F9E-814E-4972-987A-2358EB00714F}"/>
    <cellStyle name="Normal 14 2 2 2 10 2 2 7" xfId="438" xr:uid="{39EFF5B9-CD11-49BC-BCA3-582F848D9313}"/>
    <cellStyle name="Normal 14 2 2 2 10 2 2 8" xfId="439" xr:uid="{C87874AE-901E-4652-83D7-E69EDECAD8EA}"/>
    <cellStyle name="Normal 14 2 2 2 10 2 3" xfId="440" xr:uid="{4ED57572-D4E4-4A8E-BD59-FF0A8DBF2915}"/>
    <cellStyle name="Normal 14 2 2 2 10 2 4" xfId="441" xr:uid="{4FE3D013-B301-41F8-A08A-37C4AA9B27C6}"/>
    <cellStyle name="Normal 14 2 2 2 10 2 5" xfId="442" xr:uid="{51220754-4B33-4603-BCA4-3A8765AD754C}"/>
    <cellStyle name="Normal 14 2 2 2 10 2 6" xfId="443" xr:uid="{CF2023DB-E625-470C-B823-ECC5FAAD9562}"/>
    <cellStyle name="Normal 14 2 2 2 10 2 7" xfId="444" xr:uid="{9C48B0CA-9541-47D9-8A8C-67AF154A3DB1}"/>
    <cellStyle name="Normal 14 2 2 2 10 2 8" xfId="445" xr:uid="{EE7F140C-3B4E-4345-B9DD-34FA94DE1AD8}"/>
    <cellStyle name="Normal 14 2 2 2 10 3" xfId="446" xr:uid="{A76D0613-8D5B-4C40-B698-37BA4054F4BD}"/>
    <cellStyle name="Normal 14 2 2 2 10 4" xfId="447" xr:uid="{079862C2-7995-4D47-9A3E-C8A5287F15BE}"/>
    <cellStyle name="Normal 14 2 2 2 10 5" xfId="448" xr:uid="{6E8FBD37-C726-4B5B-BAD7-E6691528A974}"/>
    <cellStyle name="Normal 14 2 2 2 10 6" xfId="449" xr:uid="{436C30C9-DD87-4D8D-A1E9-661CB1A4F82F}"/>
    <cellStyle name="Normal 14 2 2 2 10 7" xfId="450" xr:uid="{6EDDE2BB-82EB-4C83-82E9-22FA7E40947C}"/>
    <cellStyle name="Normal 14 2 2 2 10 8" xfId="451" xr:uid="{08E863EF-7510-4AD9-B5FF-B4EA49717521}"/>
    <cellStyle name="Normal 14 2 2 2 10 9" xfId="452" xr:uid="{A8D2CFB7-7B6D-40AA-859F-3ECB09E313C7}"/>
    <cellStyle name="Normal 14 2 2 2 11" xfId="453" xr:uid="{238D69BB-85AA-4A86-A2EF-A61E50E075FD}"/>
    <cellStyle name="Normal 14 2 2 2 11 2" xfId="454" xr:uid="{D070A00E-A54B-4340-AFAF-2AEAFAE77A85}"/>
    <cellStyle name="Normal 14 2 2 2 11 3" xfId="455" xr:uid="{818A1BDC-28B7-41D4-8C42-4740ACF86415}"/>
    <cellStyle name="Normal 14 2 2 2 11 4" xfId="456" xr:uid="{DA4093EE-70A7-41A7-8559-F9F718CF950D}"/>
    <cellStyle name="Normal 14 2 2 2 11 5" xfId="457" xr:uid="{7BCA8C54-B06B-4496-B331-E9299978CE70}"/>
    <cellStyle name="Normal 14 2 2 2 11 6" xfId="458" xr:uid="{430E0639-FFB4-4EB0-92FD-A692F0DBABA8}"/>
    <cellStyle name="Normal 14 2 2 2 11 7" xfId="459" xr:uid="{53004B2C-55F3-4FF0-B42B-DD08B6753B4D}"/>
    <cellStyle name="Normal 14 2 2 2 11 8" xfId="460" xr:uid="{247F29E1-B6FE-4FAF-9E64-BD32210247D3}"/>
    <cellStyle name="Normal 14 2 2 2 12" xfId="461" xr:uid="{B4B3BD13-6A31-41E5-8B4C-912BC9DA16C0}"/>
    <cellStyle name="Normal 14 2 2 2 13" xfId="462" xr:uid="{01926DBF-FFD0-4A7C-A23A-29A381254944}"/>
    <cellStyle name="Normal 14 2 2 2 14" xfId="463" xr:uid="{F326C932-CDB3-42DA-A73B-A62525AAF77B}"/>
    <cellStyle name="Normal 14 2 2 2 15" xfId="464" xr:uid="{1C8AFB54-3E88-4E73-B7D8-7B454A2C3001}"/>
    <cellStyle name="Normal 14 2 2 2 16" xfId="465" xr:uid="{5869CDC2-A0C0-4FF7-9703-15952DB515E2}"/>
    <cellStyle name="Normal 14 2 2 2 17" xfId="466" xr:uid="{89D72FF9-F7CC-4191-B85F-E3BFE651359F}"/>
    <cellStyle name="Normal 14 2 2 2 2" xfId="467" xr:uid="{7B022D22-56CC-4A63-8C7B-57601392C4F7}"/>
    <cellStyle name="Normal 14 2 2 2 2 10" xfId="468" xr:uid="{71A56003-6258-4FE5-9B3B-8B085EE81A92}"/>
    <cellStyle name="Normal 14 2 2 2 2 10 2" xfId="469" xr:uid="{6B4037C2-9FFF-4C9D-B896-7008230B73FC}"/>
    <cellStyle name="Normal 14 2 2 2 2 10 2 2" xfId="470" xr:uid="{CC77AC44-75EA-4E0B-8E2F-3331BCC676B5}"/>
    <cellStyle name="Normal 14 2 2 2 2 10 2 2 2" xfId="471" xr:uid="{7EA24606-5EED-4848-BE2C-69C2F8336B5E}"/>
    <cellStyle name="Normal 14 2 2 2 2 10 2 2 3" xfId="472" xr:uid="{2AF3521B-1AE1-442D-A75C-4F2AA9B3F287}"/>
    <cellStyle name="Normal 14 2 2 2 2 10 2 2 4" xfId="473" xr:uid="{B3CE27FC-1B69-4A09-8B16-A3BD3F203104}"/>
    <cellStyle name="Normal 14 2 2 2 2 10 2 2 5" xfId="474" xr:uid="{7BCD2EFF-0654-472C-8F40-D5C2D23CF2BF}"/>
    <cellStyle name="Normal 14 2 2 2 2 10 2 2 6" xfId="475" xr:uid="{EA8747AD-63F3-4D48-B03F-BFBE913D8F23}"/>
    <cellStyle name="Normal 14 2 2 2 2 10 2 2 7" xfId="476" xr:uid="{0ACE3562-3531-48A6-B385-6C41C6820D60}"/>
    <cellStyle name="Normal 14 2 2 2 2 10 2 2 8" xfId="477" xr:uid="{205EEDA7-E1AF-41E5-9062-901F2262E0D7}"/>
    <cellStyle name="Normal 14 2 2 2 2 10 2 3" xfId="478" xr:uid="{6D26AB82-E05B-418D-BF1F-13B9E3579DED}"/>
    <cellStyle name="Normal 14 2 2 2 2 10 2 4" xfId="479" xr:uid="{308EB017-EDDB-4114-86C3-CD2461911319}"/>
    <cellStyle name="Normal 14 2 2 2 2 10 2 5" xfId="480" xr:uid="{257EE925-3B22-4B70-B9E9-A8957D759B48}"/>
    <cellStyle name="Normal 14 2 2 2 2 10 2 6" xfId="481" xr:uid="{FB7B5847-C389-4B13-B93C-17358BCDD5CB}"/>
    <cellStyle name="Normal 14 2 2 2 2 10 2 7" xfId="482" xr:uid="{B37B4100-C3BA-4047-87BE-746B30B5EF31}"/>
    <cellStyle name="Normal 14 2 2 2 2 10 2 8" xfId="483" xr:uid="{E65A40F9-51D9-45D7-AFBF-AE74C56FD832}"/>
    <cellStyle name="Normal 14 2 2 2 2 10 3" xfId="484" xr:uid="{644ED1F9-A2CE-4E6A-9023-6F4194FDE8FE}"/>
    <cellStyle name="Normal 14 2 2 2 2 10 4" xfId="485" xr:uid="{3E167B89-A5A7-40B8-A010-9A7B39C5C991}"/>
    <cellStyle name="Normal 14 2 2 2 2 10 5" xfId="486" xr:uid="{AC7EBF6D-3F6D-4F2A-B8E4-AEAE25F1E3AC}"/>
    <cellStyle name="Normal 14 2 2 2 2 10 6" xfId="487" xr:uid="{6BDFC1E0-2B0E-4123-89AA-B53A289CCB06}"/>
    <cellStyle name="Normal 14 2 2 2 2 10 7" xfId="488" xr:uid="{9A171D4B-8CF7-4E76-8605-97FC0491581B}"/>
    <cellStyle name="Normal 14 2 2 2 2 10 8" xfId="489" xr:uid="{142B5FDE-478C-427A-821C-728AB0A33382}"/>
    <cellStyle name="Normal 14 2 2 2 2 10 9" xfId="490" xr:uid="{5FE702E5-FAE6-443A-99B9-05CC6F9DA7F2}"/>
    <cellStyle name="Normal 14 2 2 2 2 11" xfId="491" xr:uid="{41264711-BCF4-49E0-81DE-274BD6C4A6AB}"/>
    <cellStyle name="Normal 14 2 2 2 2 11 2" xfId="492" xr:uid="{FDD20C98-6CCA-45C8-BB98-34BB9F228C07}"/>
    <cellStyle name="Normal 14 2 2 2 2 11 3" xfId="493" xr:uid="{20A06A53-4623-4D05-94E9-94A79C783C47}"/>
    <cellStyle name="Normal 14 2 2 2 2 11 4" xfId="494" xr:uid="{13182744-925D-4049-AF3E-18FF506451EA}"/>
    <cellStyle name="Normal 14 2 2 2 2 11 5" xfId="495" xr:uid="{D5CA6B91-D6FC-4EAF-AA44-2EC76FE4B7BF}"/>
    <cellStyle name="Normal 14 2 2 2 2 11 6" xfId="496" xr:uid="{AC47F8D2-F434-4C02-BD9C-C0741A2805C3}"/>
    <cellStyle name="Normal 14 2 2 2 2 11 7" xfId="497" xr:uid="{A8ABD554-B508-49B6-9A87-E335132C4BB0}"/>
    <cellStyle name="Normal 14 2 2 2 2 11 8" xfId="498" xr:uid="{30139947-E2ED-4C56-A28F-8909B79740D1}"/>
    <cellStyle name="Normal 14 2 2 2 2 12" xfId="499" xr:uid="{04EC4AB5-166C-4897-9091-80BC8679ADCE}"/>
    <cellStyle name="Normal 14 2 2 2 2 13" xfId="500" xr:uid="{F0980D79-9EB3-44B0-8879-E5B97C988BE1}"/>
    <cellStyle name="Normal 14 2 2 2 2 14" xfId="501" xr:uid="{1AEF6F5E-9609-4484-8192-45E9D4F6C67F}"/>
    <cellStyle name="Normal 14 2 2 2 2 15" xfId="502" xr:uid="{AFEF2841-7D60-4120-A2AF-F7C97B1DE9E9}"/>
    <cellStyle name="Normal 14 2 2 2 2 16" xfId="503" xr:uid="{AFB0F4E0-DE81-4D4F-BBFC-E6CE053A86CC}"/>
    <cellStyle name="Normal 14 2 2 2 2 17" xfId="504" xr:uid="{A8EECF6F-98FA-4CEA-B842-2D7A32EBD465}"/>
    <cellStyle name="Normal 14 2 2 2 2 2" xfId="505" xr:uid="{4AC421F1-419C-41FF-B594-37FD4FA2699C}"/>
    <cellStyle name="Normal 14 2 2 2 2 2 10" xfId="506" xr:uid="{F6017EE1-391F-470C-BDA8-393089743CD5}"/>
    <cellStyle name="Normal 14 2 2 2 2 2 2" xfId="507" xr:uid="{1D1170F2-D107-491E-AB72-AE897EC5DF53}"/>
    <cellStyle name="Normal 14 2 2 2 2 2 2 2" xfId="508" xr:uid="{DD36442D-F53A-4AA0-BCC4-227114E0E24D}"/>
    <cellStyle name="Normal 14 2 2 2 2 2 2 2 2" xfId="509" xr:uid="{F4A7FBF5-F739-4E1D-918F-3FD7240116BF}"/>
    <cellStyle name="Normal 14 2 2 2 2 2 2 2 2 2" xfId="510" xr:uid="{4431865C-6369-4824-9879-594532FD0EEE}"/>
    <cellStyle name="Normal 14 2 2 2 2 2 2 2 2 3" xfId="511" xr:uid="{436258A3-683D-4C64-9210-AB79C1A50B33}"/>
    <cellStyle name="Normal 14 2 2 2 2 2 2 2 2 4" xfId="512" xr:uid="{AC002251-C22D-4D1E-A1A4-5AC050281BED}"/>
    <cellStyle name="Normal 14 2 2 2 2 2 2 2 2 5" xfId="513" xr:uid="{6E5ED372-47D2-47BD-BE50-B2397C552694}"/>
    <cellStyle name="Normal 14 2 2 2 2 2 2 2 2 6" xfId="514" xr:uid="{1E34C915-0CFA-460B-A96A-567B38626CDB}"/>
    <cellStyle name="Normal 14 2 2 2 2 2 2 2 2 7" xfId="515" xr:uid="{8CAD8523-A4B9-46AC-B5D7-AC951097EC70}"/>
    <cellStyle name="Normal 14 2 2 2 2 2 2 2 2 8" xfId="516" xr:uid="{EAE26666-2376-405B-A32D-EEB2677F4703}"/>
    <cellStyle name="Normal 14 2 2 2 2 2 2 2 3" xfId="517" xr:uid="{010D2DE4-86C1-4901-933A-C1FFADD93BEC}"/>
    <cellStyle name="Normal 14 2 2 2 2 2 2 2 4" xfId="518" xr:uid="{6FC84884-0BD4-4D75-8D7A-AB52AA3915B4}"/>
    <cellStyle name="Normal 14 2 2 2 2 2 2 2 5" xfId="519" xr:uid="{2347DF83-AB41-483F-B668-503FAE289C74}"/>
    <cellStyle name="Normal 14 2 2 2 2 2 2 2 6" xfId="520" xr:uid="{132D6B52-1675-4D32-8799-1A0FF9B58817}"/>
    <cellStyle name="Normal 14 2 2 2 2 2 2 2 7" xfId="521" xr:uid="{C837B7F7-70CE-4643-9B73-CB7BE38C8684}"/>
    <cellStyle name="Normal 14 2 2 2 2 2 2 2 8" xfId="522" xr:uid="{97B75A71-E791-416D-9FC3-C9D869F00B7E}"/>
    <cellStyle name="Normal 14 2 2 2 2 2 2 3" xfId="523" xr:uid="{0E98B4A1-17AE-448C-825C-D0500107B186}"/>
    <cellStyle name="Normal 14 2 2 2 2 2 2 4" xfId="524" xr:uid="{FBAF48FE-F05B-4892-AE7F-4CB765F2D6B4}"/>
    <cellStyle name="Normal 14 2 2 2 2 2 2 5" xfId="525" xr:uid="{53325077-93E9-488D-9320-B61837F205D9}"/>
    <cellStyle name="Normal 14 2 2 2 2 2 2 6" xfId="526" xr:uid="{6A26FC16-A8CD-4134-B993-D1B13D997BB4}"/>
    <cellStyle name="Normal 14 2 2 2 2 2 2 7" xfId="527" xr:uid="{D9B5F598-C779-4571-90E7-68DD876F9141}"/>
    <cellStyle name="Normal 14 2 2 2 2 2 2 8" xfId="528" xr:uid="{6DDEC2DA-94A9-4CCE-8E5E-58B1FFCBC415}"/>
    <cellStyle name="Normal 14 2 2 2 2 2 2 9" xfId="529" xr:uid="{BEF91E14-C5F7-4CA3-A9C3-AF1CC78B393D}"/>
    <cellStyle name="Normal 14 2 2 2 2 2 3" xfId="530" xr:uid="{BD248F79-29B1-46AF-81B1-2B0EB36C7260}"/>
    <cellStyle name="Normal 14 2 2 2 2 2 4" xfId="531" xr:uid="{4F7F951F-B162-4A25-8050-1D5D353A99D3}"/>
    <cellStyle name="Normal 14 2 2 2 2 2 4 2" xfId="532" xr:uid="{4E032717-7008-41AE-85C5-4D3E999127F5}"/>
    <cellStyle name="Normal 14 2 2 2 2 2 4 3" xfId="533" xr:uid="{17E80A6E-09AB-4872-A32F-0BD199EF25F8}"/>
    <cellStyle name="Normal 14 2 2 2 2 2 4 4" xfId="534" xr:uid="{824B4CF0-2C53-44BD-8A2D-05E95FD34238}"/>
    <cellStyle name="Normal 14 2 2 2 2 2 4 5" xfId="535" xr:uid="{AA7878F2-DD27-4CEA-9AEF-AE3FE98F466F}"/>
    <cellStyle name="Normal 14 2 2 2 2 2 4 6" xfId="536" xr:uid="{44314028-C3F3-4DA7-B07C-C853A9AB0127}"/>
    <cellStyle name="Normal 14 2 2 2 2 2 4 7" xfId="537" xr:uid="{A8D1D1EE-C7CD-4260-B025-729988D4F984}"/>
    <cellStyle name="Normal 14 2 2 2 2 2 4 8" xfId="538" xr:uid="{B7990124-9AD4-4EE1-956C-0BE6680EB807}"/>
    <cellStyle name="Normal 14 2 2 2 2 2 5" xfId="539" xr:uid="{C1EF65AB-77B2-4E03-B851-7DF628037652}"/>
    <cellStyle name="Normal 14 2 2 2 2 2 6" xfId="540" xr:uid="{3BE2AD71-D7B9-4D6E-9A7A-A12FBB902A02}"/>
    <cellStyle name="Normal 14 2 2 2 2 2 7" xfId="541" xr:uid="{64BF9BDF-8D66-4C7C-93E5-0907D10342F9}"/>
    <cellStyle name="Normal 14 2 2 2 2 2 8" xfId="542" xr:uid="{4617161B-31E6-4BE3-A1D9-AFE1716322E2}"/>
    <cellStyle name="Normal 14 2 2 2 2 2 9" xfId="543" xr:uid="{19FBC64D-3B97-4AEF-A328-A717956B7990}"/>
    <cellStyle name="Normal 14 2 2 2 2 3" xfId="544" xr:uid="{45E6DCD8-DEFB-4BD5-8795-2C0C19010251}"/>
    <cellStyle name="Normal 14 2 2 2 2 4" xfId="545" xr:uid="{64F4C54B-53E5-42C8-8C75-CDE7870ADFBC}"/>
    <cellStyle name="Normal 14 2 2 2 2 5" xfId="546" xr:uid="{6B3CA4DB-2D8B-4B05-9002-91A547AC772D}"/>
    <cellStyle name="Normal 14 2 2 2 2 6" xfId="547" xr:uid="{9F454E83-1C68-4E5C-B654-7C6D3109C64D}"/>
    <cellStyle name="Normal 14 2 2 2 2 7" xfId="548" xr:uid="{0792C2E4-7C00-4571-9E43-291AE497EC9F}"/>
    <cellStyle name="Normal 14 2 2 2 2 8" xfId="549" xr:uid="{A1A2A2E9-02A0-4191-A3F0-0D3DC79C5044}"/>
    <cellStyle name="Normal 14 2 2 2 2 9" xfId="550" xr:uid="{7FDA9F87-4997-4808-A0EC-6BDE0BD815C3}"/>
    <cellStyle name="Normal 14 2 2 2 3" xfId="551" xr:uid="{B76535A5-3198-4166-AD1B-66F3B524F8BB}"/>
    <cellStyle name="Normal 14 2 2 2 3 10" xfId="552" xr:uid="{A8889EBA-632A-47B2-9CBC-7B946DCDFA5D}"/>
    <cellStyle name="Normal 14 2 2 2 3 2" xfId="553" xr:uid="{60C3A3C8-CBCB-42EA-A90C-DDC413E5323B}"/>
    <cellStyle name="Normal 14 2 2 2 3 2 2" xfId="554" xr:uid="{BAB10439-BD6D-4418-9A5B-8DE14A200239}"/>
    <cellStyle name="Normal 14 2 2 2 3 2 2 2" xfId="555" xr:uid="{EC2E5A91-739B-4DFE-9842-CD4534353D34}"/>
    <cellStyle name="Normal 14 2 2 2 3 2 2 2 2" xfId="556" xr:uid="{C50C35E6-5A7E-467D-8F14-34D914899B1F}"/>
    <cellStyle name="Normal 14 2 2 2 3 2 2 2 3" xfId="557" xr:uid="{F4CD36B6-BA69-4BE6-B0AD-6BF3FA10163E}"/>
    <cellStyle name="Normal 14 2 2 2 3 2 2 2 4" xfId="558" xr:uid="{8BBB193B-7515-4EE2-9B82-BFA2477B2E1D}"/>
    <cellStyle name="Normal 14 2 2 2 3 2 2 2 5" xfId="559" xr:uid="{483D7EB7-7A94-4801-8DD6-0833B531D9D9}"/>
    <cellStyle name="Normal 14 2 2 2 3 2 2 2 6" xfId="560" xr:uid="{5B0E678D-8D9D-4B06-8E3D-B7C462244EE5}"/>
    <cellStyle name="Normal 14 2 2 2 3 2 2 2 7" xfId="561" xr:uid="{0B7B4845-74B3-4401-9F8D-669781DF01D7}"/>
    <cellStyle name="Normal 14 2 2 2 3 2 2 2 8" xfId="562" xr:uid="{B92939E0-9CCC-48F6-87F2-D5628637CEB6}"/>
    <cellStyle name="Normal 14 2 2 2 3 2 2 3" xfId="563" xr:uid="{3F18BE7D-26A0-4CFE-B1CF-7EE94D1D067F}"/>
    <cellStyle name="Normal 14 2 2 2 3 2 2 4" xfId="564" xr:uid="{A970C394-3479-476A-BC0D-1910EAB42D91}"/>
    <cellStyle name="Normal 14 2 2 2 3 2 2 5" xfId="565" xr:uid="{094EAFE0-A700-47D1-83CF-CC98FBB91922}"/>
    <cellStyle name="Normal 14 2 2 2 3 2 2 6" xfId="566" xr:uid="{AA7E565C-80C5-4700-9539-3F743A4D35AC}"/>
    <cellStyle name="Normal 14 2 2 2 3 2 2 7" xfId="567" xr:uid="{A00231A2-C6C5-4A30-AC30-D4172B1B828C}"/>
    <cellStyle name="Normal 14 2 2 2 3 2 2 8" xfId="568" xr:uid="{D961C03B-8345-439B-B38A-3CD11D8E38C4}"/>
    <cellStyle name="Normal 14 2 2 2 3 2 3" xfId="569" xr:uid="{4309C892-8910-4D3E-A21E-A5FCAA846A9C}"/>
    <cellStyle name="Normal 14 2 2 2 3 2 4" xfId="570" xr:uid="{5C720A83-48B5-4665-82A6-2C6CF16DF67A}"/>
    <cellStyle name="Normal 14 2 2 2 3 2 5" xfId="571" xr:uid="{151834B2-9338-4357-8BF1-9F1DF2269DC1}"/>
    <cellStyle name="Normal 14 2 2 2 3 2 6" xfId="572" xr:uid="{82623AC9-2CE7-4A57-976B-7CA2079F8589}"/>
    <cellStyle name="Normal 14 2 2 2 3 2 7" xfId="573" xr:uid="{BA7F1356-3CA3-42D3-8D55-EEA72CAC2FFE}"/>
    <cellStyle name="Normal 14 2 2 2 3 2 8" xfId="574" xr:uid="{D54C2E10-CDED-4978-8262-5E465D8EDAC2}"/>
    <cellStyle name="Normal 14 2 2 2 3 2 9" xfId="575" xr:uid="{95F8662D-ED22-4DE8-932D-0714B81613ED}"/>
    <cellStyle name="Normal 14 2 2 2 3 3" xfId="576" xr:uid="{4A5CAA48-0169-4317-BF2A-03284AA566FD}"/>
    <cellStyle name="Normal 14 2 2 2 3 4" xfId="577" xr:uid="{A93E8657-EA60-4F1A-B652-A9AB4824FB68}"/>
    <cellStyle name="Normal 14 2 2 2 3 4 2" xfId="578" xr:uid="{3259503B-3F0F-4F64-8E5F-353561AE48CD}"/>
    <cellStyle name="Normal 14 2 2 2 3 4 3" xfId="579" xr:uid="{6ED99FA8-146F-4896-BE56-24826DA0617F}"/>
    <cellStyle name="Normal 14 2 2 2 3 4 4" xfId="580" xr:uid="{4D4193CC-3B86-4931-8125-BEBEBB6D7074}"/>
    <cellStyle name="Normal 14 2 2 2 3 4 5" xfId="581" xr:uid="{64E9789D-3932-4AAB-8B3A-68B8E7D7C952}"/>
    <cellStyle name="Normal 14 2 2 2 3 4 6" xfId="582" xr:uid="{1F36F145-733A-48C8-ADAE-F229085BC998}"/>
    <cellStyle name="Normal 14 2 2 2 3 4 7" xfId="583" xr:uid="{D7E2948C-AF8E-481E-8547-770EFB647724}"/>
    <cellStyle name="Normal 14 2 2 2 3 4 8" xfId="584" xr:uid="{3A3ECA16-A098-401B-8899-870E17D49B49}"/>
    <cellStyle name="Normal 14 2 2 2 3 5" xfId="585" xr:uid="{EEF10F30-F9D0-4DA8-AEE6-041CF5B58E99}"/>
    <cellStyle name="Normal 14 2 2 2 3 6" xfId="586" xr:uid="{FB0A6FCD-99E3-42F9-AAF9-1D1301431375}"/>
    <cellStyle name="Normal 14 2 2 2 3 7" xfId="587" xr:uid="{E21901C2-9785-4A7A-A812-52F5715ADB8B}"/>
    <cellStyle name="Normal 14 2 2 2 3 8" xfId="588" xr:uid="{A391FAC9-6E5C-4C31-ABBC-02BFEA3A51CB}"/>
    <cellStyle name="Normal 14 2 2 2 3 9" xfId="589" xr:uid="{4994D809-2F9F-48E7-8893-0B214BC78E80}"/>
    <cellStyle name="Normal 14 2 2 2 4" xfId="590" xr:uid="{DBF02AF5-B250-4706-8E25-8E9DEED9E6EC}"/>
    <cellStyle name="Normal 14 2 2 2 5" xfId="591" xr:uid="{58E351E0-E0C7-4BF2-900D-191DB0C04367}"/>
    <cellStyle name="Normal 14 2 2 2 6" xfId="592" xr:uid="{151DF30F-80AF-41A0-9279-4A100D3E903F}"/>
    <cellStyle name="Normal 14 2 2 2 7" xfId="593" xr:uid="{E8E921F9-B1D2-4B9A-AEA2-26D3A3E761D6}"/>
    <cellStyle name="Normal 14 2 2 2 8" xfId="594" xr:uid="{8E1C482E-C357-47C3-9197-9689A8B91AB6}"/>
    <cellStyle name="Normal 14 2 2 2 9" xfId="595" xr:uid="{8A4D604A-0C25-42E9-AC45-5442E4B82C0B}"/>
    <cellStyle name="Normal 14 2 2 20" xfId="596" xr:uid="{E36C3FC8-31D0-4304-BE93-031E48551CAA}"/>
    <cellStyle name="Normal 14 2 2 21" xfId="597" xr:uid="{BF9B944A-8DFD-47A1-85CE-95FA4C57D14F}"/>
    <cellStyle name="Normal 14 2 2 22" xfId="598" xr:uid="{79CDEF89-48F2-47DF-ACD1-83FD39D24071}"/>
    <cellStyle name="Normal 14 2 2 3" xfId="599" xr:uid="{ED312DFC-17A3-4C0D-8946-5336587A367E}"/>
    <cellStyle name="Normal 14 2 2 4" xfId="600" xr:uid="{AF314F78-A867-499B-BC4C-7C009E71519F}"/>
    <cellStyle name="Normal 14 2 2 5" xfId="601" xr:uid="{E5880C50-B4F9-4C06-BB51-0FB340E19151}"/>
    <cellStyle name="Normal 14 2 2 6" xfId="602" xr:uid="{0F0DA01E-4669-48D4-BE02-F81589DB04D7}"/>
    <cellStyle name="Normal 14 2 2 7" xfId="603" xr:uid="{FEE9B348-75B2-42C9-AE37-BC5F6471A26E}"/>
    <cellStyle name="Normal 14 2 2 7 10" xfId="604" xr:uid="{AF5DC1B3-A8DA-48E8-8AB1-7D6165C0B932}"/>
    <cellStyle name="Normal 14 2 2 7 2" xfId="605" xr:uid="{8F4BD86F-8591-4DC2-90BA-5B1AE202E64F}"/>
    <cellStyle name="Normal 14 2 2 7 2 2" xfId="606" xr:uid="{BCBA38E6-AF77-46EC-96A7-E5A0ED208478}"/>
    <cellStyle name="Normal 14 2 2 7 2 2 2" xfId="607" xr:uid="{7971284F-08FE-4FB3-BCA4-DA0AB0C5D638}"/>
    <cellStyle name="Normal 14 2 2 7 2 2 2 2" xfId="608" xr:uid="{C2A4A814-5B82-49D8-BF65-BADC87937352}"/>
    <cellStyle name="Normal 14 2 2 7 2 2 2 3" xfId="609" xr:uid="{4C96A75F-963C-4CD1-9821-B1963A07F6BB}"/>
    <cellStyle name="Normal 14 2 2 7 2 2 2 4" xfId="610" xr:uid="{2FAA4F8A-A737-4F5E-AD94-B2293E364F87}"/>
    <cellStyle name="Normal 14 2 2 7 2 2 2 5" xfId="611" xr:uid="{81622316-F9A6-4753-A09E-38EACE8DA986}"/>
    <cellStyle name="Normal 14 2 2 7 2 2 2 6" xfId="612" xr:uid="{A7571FE9-478C-40ED-B058-512C760BBA70}"/>
    <cellStyle name="Normal 14 2 2 7 2 2 2 7" xfId="613" xr:uid="{5852DBAF-EC55-4590-BB14-AE7C590AA0FF}"/>
    <cellStyle name="Normal 14 2 2 7 2 2 2 8" xfId="614" xr:uid="{7FD9DEB8-D595-40F2-A22C-8A9E01F52820}"/>
    <cellStyle name="Normal 14 2 2 7 2 2 3" xfId="615" xr:uid="{3AC3F264-3E14-41DD-BE70-28F9E5C567B0}"/>
    <cellStyle name="Normal 14 2 2 7 2 2 4" xfId="616" xr:uid="{D6608139-6161-406D-A85C-CE4BD130F2BE}"/>
    <cellStyle name="Normal 14 2 2 7 2 2 5" xfId="617" xr:uid="{57B01D9F-5228-44DF-BCDF-C5F3862DDD53}"/>
    <cellStyle name="Normal 14 2 2 7 2 2 6" xfId="618" xr:uid="{1E8F4D68-3F00-491B-97BD-99E7105CD9E9}"/>
    <cellStyle name="Normal 14 2 2 7 2 2 7" xfId="619" xr:uid="{66DAC8B1-886B-44FA-B6E6-A6B003CCA2F0}"/>
    <cellStyle name="Normal 14 2 2 7 2 2 8" xfId="620" xr:uid="{D3D3358A-47A2-4E5E-BD4B-57FBA771A5CE}"/>
    <cellStyle name="Normal 14 2 2 7 2 3" xfId="621" xr:uid="{2E34096A-E1E8-4231-9E24-652ADD11FF53}"/>
    <cellStyle name="Normal 14 2 2 7 2 4" xfId="622" xr:uid="{CA1A07F6-42E0-4647-B8B4-2F734F4EF5EF}"/>
    <cellStyle name="Normal 14 2 2 7 2 5" xfId="623" xr:uid="{910D6796-F0BA-49EE-8131-CDCBF6A91718}"/>
    <cellStyle name="Normal 14 2 2 7 2 6" xfId="624" xr:uid="{79E7B75A-151E-4DF1-8D29-D8F78B13CCB3}"/>
    <cellStyle name="Normal 14 2 2 7 2 7" xfId="625" xr:uid="{F3CD22C1-C52E-4DAE-94DF-D8FBD9EF4F0B}"/>
    <cellStyle name="Normal 14 2 2 7 2 8" xfId="626" xr:uid="{7B3BD441-405F-4E12-AD15-4648449F4E8F}"/>
    <cellStyle name="Normal 14 2 2 7 2 9" xfId="627" xr:uid="{1891E074-914C-4BA0-AA5C-393016C987A6}"/>
    <cellStyle name="Normal 14 2 2 7 3" xfId="628" xr:uid="{00F89B84-3916-4223-9C7A-A9ACA981EBDB}"/>
    <cellStyle name="Normal 14 2 2 7 4" xfId="629" xr:uid="{0626AF8B-0940-4A4A-9AF3-C47A0E2A0FE8}"/>
    <cellStyle name="Normal 14 2 2 7 4 2" xfId="630" xr:uid="{3C8B81EC-F80C-4F80-A64A-7F4629A78768}"/>
    <cellStyle name="Normal 14 2 2 7 4 3" xfId="631" xr:uid="{7BC00DB4-1EEE-41F8-A722-5925104C4389}"/>
    <cellStyle name="Normal 14 2 2 7 4 4" xfId="632" xr:uid="{E78B1900-8E4F-4571-8982-04F4EC0FAE26}"/>
    <cellStyle name="Normal 14 2 2 7 4 5" xfId="633" xr:uid="{4BAC7280-5B79-4CFE-B8CA-82FB76BF786E}"/>
    <cellStyle name="Normal 14 2 2 7 4 6" xfId="634" xr:uid="{3C0C43C6-0DDF-4FDE-99DD-7753C736C867}"/>
    <cellStyle name="Normal 14 2 2 7 4 7" xfId="635" xr:uid="{4021BEE5-F9FB-4D2A-A777-CA63646E186E}"/>
    <cellStyle name="Normal 14 2 2 7 4 8" xfId="636" xr:uid="{6F12D401-925B-466A-BF2C-14A60B76869D}"/>
    <cellStyle name="Normal 14 2 2 7 5" xfId="637" xr:uid="{6106E913-A87E-4502-B2E7-5001794B5940}"/>
    <cellStyle name="Normal 14 2 2 7 6" xfId="638" xr:uid="{6EF9B85B-6DB4-4720-809D-7B9D3A298C3C}"/>
    <cellStyle name="Normal 14 2 2 7 7" xfId="639" xr:uid="{37E163AE-0F8F-4C31-BC5A-84482CBAE32B}"/>
    <cellStyle name="Normal 14 2 2 7 8" xfId="640" xr:uid="{117CFB41-6953-4E80-BF72-22735BAB17C0}"/>
    <cellStyle name="Normal 14 2 2 7 9" xfId="641" xr:uid="{35848408-35EC-41AA-8F9D-5E7FCC1E2A75}"/>
    <cellStyle name="Normal 14 2 2 8" xfId="642" xr:uid="{2B7C4D44-8963-4C45-8D01-8E969D4F59BF}"/>
    <cellStyle name="Normal 14 2 2 9" xfId="643" xr:uid="{DC6A70A3-2B9C-47DD-A394-DF37D5C58D83}"/>
    <cellStyle name="Normal 14 2 20" xfId="644" xr:uid="{9B828E50-240C-45EC-A4F4-10DAF9DF4179}"/>
    <cellStyle name="Normal 14 2 21" xfId="645" xr:uid="{F1994A4D-6129-4D2B-89B3-7C6446388F1E}"/>
    <cellStyle name="Normal 14 2 22" xfId="646" xr:uid="{6B394923-D923-4FF2-8B8F-42E6616DFE88}"/>
    <cellStyle name="Normal 14 2 3" xfId="647" xr:uid="{1874BBAE-68D7-453D-A281-27FC9714BFA1}"/>
    <cellStyle name="Normal 14 2 3 10" xfId="648" xr:uid="{EE5C8F11-1B92-4409-AFDA-EEA5EED3DCD6}"/>
    <cellStyle name="Normal 14 2 3 10 2" xfId="649" xr:uid="{163EDC13-C6A3-4831-9D3C-9C41BE139532}"/>
    <cellStyle name="Normal 14 2 3 10 2 2" xfId="650" xr:uid="{0FAEEF78-568D-4243-A67A-16E65A5121E1}"/>
    <cellStyle name="Normal 14 2 3 10 2 2 2" xfId="651" xr:uid="{92B95519-4109-4EC5-AC3A-02269E40EE44}"/>
    <cellStyle name="Normal 14 2 3 10 2 2 3" xfId="652" xr:uid="{6A276AF2-4280-48B9-A112-1F5897C4293F}"/>
    <cellStyle name="Normal 14 2 3 10 2 2 4" xfId="653" xr:uid="{88FE79DB-AA5C-485C-9951-3164B0D740F1}"/>
    <cellStyle name="Normal 14 2 3 10 2 2 5" xfId="654" xr:uid="{38397848-B75F-4268-ADC3-A92359BA63F1}"/>
    <cellStyle name="Normal 14 2 3 10 2 2 6" xfId="655" xr:uid="{B3FC4754-7BF1-436B-A732-96022CD25A52}"/>
    <cellStyle name="Normal 14 2 3 10 2 2 7" xfId="656" xr:uid="{A35261CD-3BC4-430C-8413-43FF1D162C33}"/>
    <cellStyle name="Normal 14 2 3 10 2 2 8" xfId="657" xr:uid="{F441A35A-0824-45F7-9360-7674143EBEDC}"/>
    <cellStyle name="Normal 14 2 3 10 2 3" xfId="658" xr:uid="{FC43BFB7-519A-4954-88E7-724CB96CB82B}"/>
    <cellStyle name="Normal 14 2 3 10 2 4" xfId="659" xr:uid="{66DF714A-A6F3-4B29-8FB6-49DA0F281CA0}"/>
    <cellStyle name="Normal 14 2 3 10 2 5" xfId="660" xr:uid="{5DEBD4CE-DD26-4FBA-BC40-A3A3CE6EAF79}"/>
    <cellStyle name="Normal 14 2 3 10 2 6" xfId="661" xr:uid="{3BFDBF00-3952-46EE-A5B9-DF385D89F5C7}"/>
    <cellStyle name="Normal 14 2 3 10 2 7" xfId="662" xr:uid="{DB5431B3-3860-48AE-A3FE-F62FCCD8360D}"/>
    <cellStyle name="Normal 14 2 3 10 2 8" xfId="663" xr:uid="{F896A4C4-828F-4A02-A3FB-AAA211C1FA12}"/>
    <cellStyle name="Normal 14 2 3 10 3" xfId="664" xr:uid="{F244007E-F442-490D-BBF5-3E3856368E5D}"/>
    <cellStyle name="Normal 14 2 3 10 4" xfId="665" xr:uid="{08B0DB73-D20C-447C-BE6F-494A498DA655}"/>
    <cellStyle name="Normal 14 2 3 10 5" xfId="666" xr:uid="{7E8D27A0-3E7E-4384-B08E-8090323F43F1}"/>
    <cellStyle name="Normal 14 2 3 10 6" xfId="667" xr:uid="{03253531-E391-4238-9725-7E409F1685A1}"/>
    <cellStyle name="Normal 14 2 3 10 7" xfId="668" xr:uid="{863C0443-0288-4DBE-BB5A-4FBC87CFBB66}"/>
    <cellStyle name="Normal 14 2 3 10 8" xfId="669" xr:uid="{7AAAFB45-7B75-4AA4-A9AC-EFB076357AA6}"/>
    <cellStyle name="Normal 14 2 3 10 9" xfId="670" xr:uid="{9E718367-2693-47D6-AABC-26DA5A2572DC}"/>
    <cellStyle name="Normal 14 2 3 11" xfId="671" xr:uid="{FD7805D2-DCD9-4923-8494-82F653058844}"/>
    <cellStyle name="Normal 14 2 3 11 2" xfId="672" xr:uid="{DD135776-17D4-4BBF-8908-5EF6F85348FA}"/>
    <cellStyle name="Normal 14 2 3 11 3" xfId="673" xr:uid="{6AAD73D9-4B0A-4C87-8AA7-8D3CD3F299BF}"/>
    <cellStyle name="Normal 14 2 3 11 4" xfId="674" xr:uid="{13676A00-63EB-41EC-938D-759AFC60CED1}"/>
    <cellStyle name="Normal 14 2 3 11 5" xfId="675" xr:uid="{43F87AEF-6786-40A8-8C22-AED4E1734437}"/>
    <cellStyle name="Normal 14 2 3 11 6" xfId="676" xr:uid="{FD8394CB-97C2-4FAF-AC88-2E17F1CE0CC3}"/>
    <cellStyle name="Normal 14 2 3 11 7" xfId="677" xr:uid="{E67B0B07-F255-45B5-9468-36635F9BFA6B}"/>
    <cellStyle name="Normal 14 2 3 11 8" xfId="678" xr:uid="{7B065E4E-8935-48CC-AA27-835B6E4E27A7}"/>
    <cellStyle name="Normal 14 2 3 12" xfId="679" xr:uid="{CF52D65E-8471-4FB5-93EE-B4C0996E08F1}"/>
    <cellStyle name="Normal 14 2 3 13" xfId="680" xr:uid="{F2FA7E67-5EE0-4494-B6C4-2BE83BB1AB57}"/>
    <cellStyle name="Normal 14 2 3 14" xfId="681" xr:uid="{77EBE066-2F2D-40C0-A02F-31A48418CA2A}"/>
    <cellStyle name="Normal 14 2 3 15" xfId="682" xr:uid="{FA127BC8-4DEE-4590-A0C2-515F0C705581}"/>
    <cellStyle name="Normal 14 2 3 16" xfId="683" xr:uid="{6B305602-A765-49E3-8CA0-19F100C7E851}"/>
    <cellStyle name="Normal 14 2 3 17" xfId="684" xr:uid="{E3A832CB-6DA7-42C7-B1BB-3BEE2BA1E585}"/>
    <cellStyle name="Normal 14 2 3 2" xfId="685" xr:uid="{EEA1B0B2-7734-4C1E-86D3-A1A7A72A9D24}"/>
    <cellStyle name="Normal 14 2 3 2 10" xfId="686" xr:uid="{AC59AF34-E3EC-4009-871A-FF64C8B672DF}"/>
    <cellStyle name="Normal 14 2 3 2 10 2" xfId="687" xr:uid="{E2BAE582-BC62-4555-9506-DBB333C7A67B}"/>
    <cellStyle name="Normal 14 2 3 2 10 2 2" xfId="688" xr:uid="{B88C0BCD-B679-4007-843A-850D2E18060C}"/>
    <cellStyle name="Normal 14 2 3 2 10 2 2 2" xfId="689" xr:uid="{60C616BA-9A48-466D-9DE8-BA97442077FF}"/>
    <cellStyle name="Normal 14 2 3 2 10 2 2 3" xfId="690" xr:uid="{11EBCB19-AEAA-4B53-B62B-FD35F6BC0E2A}"/>
    <cellStyle name="Normal 14 2 3 2 10 2 2 4" xfId="691" xr:uid="{77C0A18B-4A5A-4DD7-87B3-824A30A8EA55}"/>
    <cellStyle name="Normal 14 2 3 2 10 2 2 5" xfId="692" xr:uid="{003BBC3C-D8AA-40A2-9FF1-549D370EE137}"/>
    <cellStyle name="Normal 14 2 3 2 10 2 2 6" xfId="693" xr:uid="{C07601D2-8A97-4EE0-B6F6-C0DB98C0F311}"/>
    <cellStyle name="Normal 14 2 3 2 10 2 2 7" xfId="694" xr:uid="{0846D135-09FC-417F-8C9A-C2F55435D7C4}"/>
    <cellStyle name="Normal 14 2 3 2 10 2 2 8" xfId="695" xr:uid="{15E7E56A-26CA-457F-984D-61BA68702872}"/>
    <cellStyle name="Normal 14 2 3 2 10 2 3" xfId="696" xr:uid="{FF7C9529-49AE-443E-B038-079F1841B1DF}"/>
    <cellStyle name="Normal 14 2 3 2 10 2 4" xfId="697" xr:uid="{DFA19B35-2724-4EAB-BDF2-FF083A9AD954}"/>
    <cellStyle name="Normal 14 2 3 2 10 2 5" xfId="698" xr:uid="{09BEFD42-9A6F-4572-B982-45CA8AF915A4}"/>
    <cellStyle name="Normal 14 2 3 2 10 2 6" xfId="699" xr:uid="{7B5B28EB-A657-4A20-8301-13F73B781E76}"/>
    <cellStyle name="Normal 14 2 3 2 10 2 7" xfId="700" xr:uid="{4EFE84AA-A876-43E8-AFD5-CF156971865C}"/>
    <cellStyle name="Normal 14 2 3 2 10 2 8" xfId="701" xr:uid="{FCF3E853-11DD-4968-B0CE-2C18AF8FB762}"/>
    <cellStyle name="Normal 14 2 3 2 10 3" xfId="702" xr:uid="{FF56B34B-FDE1-4119-B7B0-DDAC6606B5C9}"/>
    <cellStyle name="Normal 14 2 3 2 10 4" xfId="703" xr:uid="{825B76FF-360D-4333-B59F-CC6410DE119C}"/>
    <cellStyle name="Normal 14 2 3 2 10 5" xfId="704" xr:uid="{E872A5F0-122A-4BF6-ADD3-C1B9AB0D3EC7}"/>
    <cellStyle name="Normal 14 2 3 2 10 6" xfId="705" xr:uid="{955D1376-441A-44B3-9A0D-14047C168FBA}"/>
    <cellStyle name="Normal 14 2 3 2 10 7" xfId="706" xr:uid="{0F3548F5-FF04-466D-B68E-8DF155039B2B}"/>
    <cellStyle name="Normal 14 2 3 2 10 8" xfId="707" xr:uid="{047C2B49-A6A4-4483-8066-70FAD11843B0}"/>
    <cellStyle name="Normal 14 2 3 2 10 9" xfId="708" xr:uid="{F6C0A64A-6D29-4356-A981-10A314746DF1}"/>
    <cellStyle name="Normal 14 2 3 2 11" xfId="709" xr:uid="{D470E386-BF16-451E-AB5F-BA52B2CA58A1}"/>
    <cellStyle name="Normal 14 2 3 2 11 2" xfId="710" xr:uid="{6B8CA83F-658C-4998-9721-727BAF2FC24E}"/>
    <cellStyle name="Normal 14 2 3 2 11 3" xfId="711" xr:uid="{5A7ADC82-C1E3-44D7-8203-6A11EF7EDCA3}"/>
    <cellStyle name="Normal 14 2 3 2 11 4" xfId="712" xr:uid="{F4429421-EFB6-4680-A235-49DBA90A3EB2}"/>
    <cellStyle name="Normal 14 2 3 2 11 5" xfId="713" xr:uid="{4FF507DA-895F-4296-9E02-4C898A754179}"/>
    <cellStyle name="Normal 14 2 3 2 11 6" xfId="714" xr:uid="{FC036774-3ED8-4FB6-9867-DDE894B1A056}"/>
    <cellStyle name="Normal 14 2 3 2 11 7" xfId="715" xr:uid="{3E3494BC-02C9-45BC-96A5-F6EDB3B35CEA}"/>
    <cellStyle name="Normal 14 2 3 2 11 8" xfId="716" xr:uid="{353FB39C-C2B7-4A5F-898C-9E7539220FF3}"/>
    <cellStyle name="Normal 14 2 3 2 12" xfId="717" xr:uid="{299D8026-18E9-45AF-9F5F-A6C63C0D42AF}"/>
    <cellStyle name="Normal 14 2 3 2 13" xfId="718" xr:uid="{C2512795-1E94-4EED-AAF8-19975D9846EC}"/>
    <cellStyle name="Normal 14 2 3 2 14" xfId="719" xr:uid="{8D790717-A5EB-4B37-ABA9-61F712C2A515}"/>
    <cellStyle name="Normal 14 2 3 2 15" xfId="720" xr:uid="{179D651C-7DF1-4E48-B307-F4D8B3DB8493}"/>
    <cellStyle name="Normal 14 2 3 2 16" xfId="721" xr:uid="{52997A3E-8DE1-423A-8C0F-538C39A9667F}"/>
    <cellStyle name="Normal 14 2 3 2 17" xfId="722" xr:uid="{5A4EB452-D356-4EC9-9C91-2E89CCC40036}"/>
    <cellStyle name="Normal 14 2 3 2 2" xfId="723" xr:uid="{8F9BB32E-B9BA-4625-AD4F-F0A3C34672C1}"/>
    <cellStyle name="Normal 14 2 3 2 2 10" xfId="724" xr:uid="{FF574657-2B01-4EE1-8657-406D7279F5FB}"/>
    <cellStyle name="Normal 14 2 3 2 2 2" xfId="725" xr:uid="{D6CE3EB5-2B1B-4A5E-8631-1BE01DB485D1}"/>
    <cellStyle name="Normal 14 2 3 2 2 2 2" xfId="726" xr:uid="{D4580A4B-A6E3-4B7D-A109-12274B41413E}"/>
    <cellStyle name="Normal 14 2 3 2 2 2 2 2" xfId="727" xr:uid="{490E41C6-44DD-4501-9457-6CC1C4AD63AA}"/>
    <cellStyle name="Normal 14 2 3 2 2 2 2 2 2" xfId="728" xr:uid="{E0A1F3CA-DD21-4571-86F4-4DB2669E2870}"/>
    <cellStyle name="Normal 14 2 3 2 2 2 2 2 3" xfId="729" xr:uid="{9DBF4B84-8FA9-4F0E-9727-2BB0E5D0624C}"/>
    <cellStyle name="Normal 14 2 3 2 2 2 2 2 4" xfId="730" xr:uid="{24495EEF-73ED-424D-A677-7A84CC8EA691}"/>
    <cellStyle name="Normal 14 2 3 2 2 2 2 2 5" xfId="731" xr:uid="{D4B19714-0BEB-477E-A7D5-B983DEEE065A}"/>
    <cellStyle name="Normal 14 2 3 2 2 2 2 2 6" xfId="732" xr:uid="{BB265D30-01AF-4DB7-9856-AC7A890F1C46}"/>
    <cellStyle name="Normal 14 2 3 2 2 2 2 2 7" xfId="733" xr:uid="{BCCC71E8-6BFC-45C7-B6EC-037C9428FEC2}"/>
    <cellStyle name="Normal 14 2 3 2 2 2 2 2 8" xfId="734" xr:uid="{1078BD23-54B4-4D57-BC78-C7F16DF0B695}"/>
    <cellStyle name="Normal 14 2 3 2 2 2 2 3" xfId="735" xr:uid="{7CB13184-0612-4C5E-9A83-771B137ED582}"/>
    <cellStyle name="Normal 14 2 3 2 2 2 2 4" xfId="736" xr:uid="{389C20C8-2AE6-4A98-AFDF-188AF3FD02E1}"/>
    <cellStyle name="Normal 14 2 3 2 2 2 2 5" xfId="737" xr:uid="{46A73486-315B-4025-A151-6D394F935998}"/>
    <cellStyle name="Normal 14 2 3 2 2 2 2 6" xfId="738" xr:uid="{C89329AF-B5AE-4844-8BFB-09303156B549}"/>
    <cellStyle name="Normal 14 2 3 2 2 2 2 7" xfId="739" xr:uid="{FDFC2F5E-4106-4468-A996-862199EEC405}"/>
    <cellStyle name="Normal 14 2 3 2 2 2 2 8" xfId="740" xr:uid="{B10BE90A-D739-4B96-BA23-4F9190557596}"/>
    <cellStyle name="Normal 14 2 3 2 2 2 3" xfId="741" xr:uid="{6EC81075-44D2-4CBD-A4CF-67CE519324B6}"/>
    <cellStyle name="Normal 14 2 3 2 2 2 4" xfId="742" xr:uid="{CE4FFE0F-92B5-42C6-B537-5B5CE18A405A}"/>
    <cellStyle name="Normal 14 2 3 2 2 2 5" xfId="743" xr:uid="{75685E11-F6A1-4424-88C5-724AE92C5BA9}"/>
    <cellStyle name="Normal 14 2 3 2 2 2 6" xfId="744" xr:uid="{B78112F5-B41F-47B2-9473-3ED4B293CB00}"/>
    <cellStyle name="Normal 14 2 3 2 2 2 7" xfId="745" xr:uid="{57C2707E-E3CC-4BB0-8914-B29953CECE8A}"/>
    <cellStyle name="Normal 14 2 3 2 2 2 8" xfId="746" xr:uid="{EA5AD3F2-5DD6-4D0D-B1ED-85E813DE73F0}"/>
    <cellStyle name="Normal 14 2 3 2 2 2 9" xfId="747" xr:uid="{721D6568-4A88-43F5-A00B-C04CC0CA71CF}"/>
    <cellStyle name="Normal 14 2 3 2 2 3" xfId="748" xr:uid="{CC3D9023-E134-4A7A-8ED8-8A486879D60A}"/>
    <cellStyle name="Normal 14 2 3 2 2 4" xfId="749" xr:uid="{323696E7-A77D-49B9-94F3-3FBC63718E32}"/>
    <cellStyle name="Normal 14 2 3 2 2 4 2" xfId="750" xr:uid="{785B7D71-78BB-4CF9-8AEC-EB8BA900CBF3}"/>
    <cellStyle name="Normal 14 2 3 2 2 4 3" xfId="751" xr:uid="{C40773A0-136F-4AE2-AD9C-09CB4E7EDDBC}"/>
    <cellStyle name="Normal 14 2 3 2 2 4 4" xfId="752" xr:uid="{0E6AAFD3-43D9-4DAE-9636-009D5FCD1500}"/>
    <cellStyle name="Normal 14 2 3 2 2 4 5" xfId="753" xr:uid="{E1FA3934-B35B-454B-A990-B9E1D0F48CEF}"/>
    <cellStyle name="Normal 14 2 3 2 2 4 6" xfId="754" xr:uid="{71616B6D-9A10-44F9-A8CD-506A71227156}"/>
    <cellStyle name="Normal 14 2 3 2 2 4 7" xfId="755" xr:uid="{EE4050EE-3587-411C-980A-3E13FCD5E5CD}"/>
    <cellStyle name="Normal 14 2 3 2 2 4 8" xfId="756" xr:uid="{3792B63D-0DB7-4203-ACBC-CADCB9C519B1}"/>
    <cellStyle name="Normal 14 2 3 2 2 5" xfId="757" xr:uid="{035D5EDC-D0DF-43D6-B2A8-6BFBDDEAC564}"/>
    <cellStyle name="Normal 14 2 3 2 2 6" xfId="758" xr:uid="{0F1ACB95-DBCB-4351-8391-2806FA2EB70C}"/>
    <cellStyle name="Normal 14 2 3 2 2 7" xfId="759" xr:uid="{A0F4E8A6-400E-481D-996E-E2947B7CE849}"/>
    <cellStyle name="Normal 14 2 3 2 2 8" xfId="760" xr:uid="{CDE7D22E-6B1E-4DF0-B0FA-2BEDD1226389}"/>
    <cellStyle name="Normal 14 2 3 2 2 9" xfId="761" xr:uid="{12F7B570-C5D4-4452-8824-D60C5CA8F8D5}"/>
    <cellStyle name="Normal 14 2 3 2 3" xfId="762" xr:uid="{B279F9C1-93B2-4072-A088-7C7EABE2F804}"/>
    <cellStyle name="Normal 14 2 3 2 4" xfId="763" xr:uid="{32CDD920-188D-499A-85A7-8629FFE1C61C}"/>
    <cellStyle name="Normal 14 2 3 2 5" xfId="764" xr:uid="{0963DE92-0323-45BF-AAC9-FEC47E8B76D9}"/>
    <cellStyle name="Normal 14 2 3 2 6" xfId="765" xr:uid="{73266BE0-2AC1-4D6B-891A-E7FEE612ADC2}"/>
    <cellStyle name="Normal 14 2 3 2 7" xfId="766" xr:uid="{CC416E6B-0AFA-4B45-A245-E960ABF41022}"/>
    <cellStyle name="Normal 14 2 3 2 8" xfId="767" xr:uid="{CFA32B5D-E41F-4B91-B1B3-10D578DA97F6}"/>
    <cellStyle name="Normal 14 2 3 2 9" xfId="768" xr:uid="{14A412F7-3312-4D15-9656-242AA21E92A1}"/>
    <cellStyle name="Normal 14 2 3 3" xfId="769" xr:uid="{97CEE967-5523-4BB0-9879-B81808789AB7}"/>
    <cellStyle name="Normal 14 2 3 3 10" xfId="770" xr:uid="{9285326E-430F-420A-B453-D7B52622629D}"/>
    <cellStyle name="Normal 14 2 3 3 2" xfId="771" xr:uid="{D13EA18F-344D-4D1E-A53A-5C9EF51C9A67}"/>
    <cellStyle name="Normal 14 2 3 3 2 2" xfId="772" xr:uid="{CC7283E5-A44F-4103-8109-F8AB79802A34}"/>
    <cellStyle name="Normal 14 2 3 3 2 2 2" xfId="773" xr:uid="{A16B906A-ED46-4CCC-8636-40A47C1284DE}"/>
    <cellStyle name="Normal 14 2 3 3 2 2 2 2" xfId="774" xr:uid="{7D37F8A6-7189-474C-90D4-6124A245DA2A}"/>
    <cellStyle name="Normal 14 2 3 3 2 2 2 3" xfId="775" xr:uid="{E940BD8A-154E-422F-97BF-FF90842D1855}"/>
    <cellStyle name="Normal 14 2 3 3 2 2 2 4" xfId="776" xr:uid="{D1CC3883-CAE3-4A7F-82EE-E68664ED1CB3}"/>
    <cellStyle name="Normal 14 2 3 3 2 2 2 5" xfId="777" xr:uid="{89A1A327-F74B-4ADA-B0D7-32795384D19D}"/>
    <cellStyle name="Normal 14 2 3 3 2 2 2 6" xfId="778" xr:uid="{5327D7CC-4E70-4690-8200-34984B8D7554}"/>
    <cellStyle name="Normal 14 2 3 3 2 2 2 7" xfId="779" xr:uid="{C93E120D-431F-441E-8AAC-121D7F7CFBB3}"/>
    <cellStyle name="Normal 14 2 3 3 2 2 2 8" xfId="780" xr:uid="{9E2B401E-31ED-4904-A567-F62C6E01C742}"/>
    <cellStyle name="Normal 14 2 3 3 2 2 3" xfId="781" xr:uid="{874E6979-988D-496E-B26A-33F1F0763D91}"/>
    <cellStyle name="Normal 14 2 3 3 2 2 4" xfId="782" xr:uid="{3596B846-0C2D-46B2-947A-92A184908578}"/>
    <cellStyle name="Normal 14 2 3 3 2 2 5" xfId="783" xr:uid="{12F3D0AF-69DE-41A6-B997-C5D8588F3232}"/>
    <cellStyle name="Normal 14 2 3 3 2 2 6" xfId="784" xr:uid="{A5D8E757-4CEE-413B-9D9F-14F68FE93851}"/>
    <cellStyle name="Normal 14 2 3 3 2 2 7" xfId="785" xr:uid="{AF9C85FE-DBA5-4906-9895-24E0A02F4E38}"/>
    <cellStyle name="Normal 14 2 3 3 2 2 8" xfId="786" xr:uid="{FA3E2BE2-5B99-40C8-AB89-3612695FBFDA}"/>
    <cellStyle name="Normal 14 2 3 3 2 3" xfId="787" xr:uid="{59A25BF3-3A11-4769-8C24-B8EFBE31A783}"/>
    <cellStyle name="Normal 14 2 3 3 2 4" xfId="788" xr:uid="{004E660F-B056-48C1-B6C6-79326D391AC6}"/>
    <cellStyle name="Normal 14 2 3 3 2 5" xfId="789" xr:uid="{A1267C49-B3A8-4CA9-9D78-D08295CC0B16}"/>
    <cellStyle name="Normal 14 2 3 3 2 6" xfId="790" xr:uid="{099476C3-3745-42BB-A782-7B3CED5DFD3C}"/>
    <cellStyle name="Normal 14 2 3 3 2 7" xfId="791" xr:uid="{033A6F47-1CFB-4686-A18A-B94DA69ABF23}"/>
    <cellStyle name="Normal 14 2 3 3 2 8" xfId="792" xr:uid="{53998397-DD0A-4F46-B6CC-589406FBC903}"/>
    <cellStyle name="Normal 14 2 3 3 2 9" xfId="793" xr:uid="{7D028492-2EC5-4DA7-A471-F95FA7754335}"/>
    <cellStyle name="Normal 14 2 3 3 3" xfId="794" xr:uid="{3DB721CD-5AA5-49C1-B09F-B7A64931A6AC}"/>
    <cellStyle name="Normal 14 2 3 3 4" xfId="795" xr:uid="{EF0CAEE5-94FF-4706-85A1-8BA06F0706A0}"/>
    <cellStyle name="Normal 14 2 3 3 4 2" xfId="796" xr:uid="{8AB8CDA7-7FB1-42CD-93EE-D33344B3CD3E}"/>
    <cellStyle name="Normal 14 2 3 3 4 3" xfId="797" xr:uid="{DCE6375C-2724-405A-B68C-3B37C06B6EC0}"/>
    <cellStyle name="Normal 14 2 3 3 4 4" xfId="798" xr:uid="{76086B04-CDB7-4A07-A0B4-57317597BB0C}"/>
    <cellStyle name="Normal 14 2 3 3 4 5" xfId="799" xr:uid="{7074C467-FB78-4691-A91A-F6419DEC5115}"/>
    <cellStyle name="Normal 14 2 3 3 4 6" xfId="800" xr:uid="{E2F57AF7-2377-45FE-BD09-D0745512AC59}"/>
    <cellStyle name="Normal 14 2 3 3 4 7" xfId="801" xr:uid="{6CE0CCAB-550A-402C-90BF-E22966DB0B27}"/>
    <cellStyle name="Normal 14 2 3 3 4 8" xfId="802" xr:uid="{61E83DB8-22BC-48A4-BD68-E0E2758F2A75}"/>
    <cellStyle name="Normal 14 2 3 3 5" xfId="803" xr:uid="{8AC49B4B-C2BF-4555-88D9-93AF78304319}"/>
    <cellStyle name="Normal 14 2 3 3 6" xfId="804" xr:uid="{A242A78C-366D-459E-95EE-14F3BEE6A5CC}"/>
    <cellStyle name="Normal 14 2 3 3 7" xfId="805" xr:uid="{DBC814AB-DBFD-4888-81B9-1E7E032F70AA}"/>
    <cellStyle name="Normal 14 2 3 3 8" xfId="806" xr:uid="{3EC53E29-2637-4329-B110-0D0BAEBCB25D}"/>
    <cellStyle name="Normal 14 2 3 3 9" xfId="807" xr:uid="{0FC7412D-340D-4FF6-8F96-F6D695F1946A}"/>
    <cellStyle name="Normal 14 2 3 4" xfId="808" xr:uid="{2139C7DD-41BD-4FE3-B6B2-AABB9CD83A48}"/>
    <cellStyle name="Normal 14 2 3 5" xfId="809" xr:uid="{6F30A5A1-8A96-415A-9AC5-5DC571FA9979}"/>
    <cellStyle name="Normal 14 2 3 6" xfId="810" xr:uid="{F9F683DD-1D9F-497F-88B8-A4DD2EFE52E5}"/>
    <cellStyle name="Normal 14 2 3 7" xfId="811" xr:uid="{D05EF073-0ED9-4DEB-AB69-6F1FC87491FE}"/>
    <cellStyle name="Normal 14 2 3 8" xfId="812" xr:uid="{B56DA1DA-6351-4B19-904D-D56BBBF02314}"/>
    <cellStyle name="Normal 14 2 3 9" xfId="813" xr:uid="{DA9A73EA-C466-4A16-8D82-C30B53F39CA5}"/>
    <cellStyle name="Normal 14 2 4" xfId="814" xr:uid="{2F568D5D-EAB0-46FC-844F-7EEF2970ECA2}"/>
    <cellStyle name="Normal 14 2 5" xfId="815" xr:uid="{BAB96B37-BBF2-4B1F-B5FB-8B0915581028}"/>
    <cellStyle name="Normal 14 2 6" xfId="816" xr:uid="{04207602-E15D-4DDC-B51C-2CC5DCF9562E}"/>
    <cellStyle name="Normal 14 2 7" xfId="817" xr:uid="{FF1D6034-C199-446D-A5DA-9B1FEE3FC1A8}"/>
    <cellStyle name="Normal 14 2 7 10" xfId="818" xr:uid="{093671AD-8E8E-4D02-9B74-966D35F382AE}"/>
    <cellStyle name="Normal 14 2 7 2" xfId="819" xr:uid="{13EB9FD7-AA02-4E34-866C-0C1C7FEC69D8}"/>
    <cellStyle name="Normal 14 2 7 2 2" xfId="820" xr:uid="{2E965BF9-D261-462C-AB87-789D8E824D3A}"/>
    <cellStyle name="Normal 14 2 7 2 2 2" xfId="821" xr:uid="{619C16D6-D51A-4747-A2FE-AABEAA8BB1B2}"/>
    <cellStyle name="Normal 14 2 7 2 2 2 2" xfId="822" xr:uid="{E8EF6325-595E-48FA-9B10-94ED2966EB0A}"/>
    <cellStyle name="Normal 14 2 7 2 2 2 3" xfId="823" xr:uid="{E52D9E16-B218-4261-9C1B-8B39DB0EBCA4}"/>
    <cellStyle name="Normal 14 2 7 2 2 2 4" xfId="824" xr:uid="{114FC454-BE23-4DE9-8E0A-E6BE6D97E223}"/>
    <cellStyle name="Normal 14 2 7 2 2 2 5" xfId="825" xr:uid="{0E1010F0-0EED-43F0-BE40-0F97EC8AF63B}"/>
    <cellStyle name="Normal 14 2 7 2 2 2 6" xfId="826" xr:uid="{7CF32962-8F03-452B-B17C-A1DF1CFAF83E}"/>
    <cellStyle name="Normal 14 2 7 2 2 2 7" xfId="827" xr:uid="{EEB3F655-9655-4C16-852C-E3D2DF3A88B8}"/>
    <cellStyle name="Normal 14 2 7 2 2 2 8" xfId="828" xr:uid="{958FB101-4090-426E-AE1E-497080ACF2AE}"/>
    <cellStyle name="Normal 14 2 7 2 2 3" xfId="829" xr:uid="{FE6E3182-E7B5-4014-8B15-680D52DB04F1}"/>
    <cellStyle name="Normal 14 2 7 2 2 4" xfId="830" xr:uid="{F27A8660-269E-4453-BCD3-5C0AE7DFFEE5}"/>
    <cellStyle name="Normal 14 2 7 2 2 5" xfId="831" xr:uid="{5B767731-A977-4A04-B7E0-946714446D4B}"/>
    <cellStyle name="Normal 14 2 7 2 2 6" xfId="832" xr:uid="{4A08193A-57A8-4A40-93ED-83063311B43E}"/>
    <cellStyle name="Normal 14 2 7 2 2 7" xfId="833" xr:uid="{624B473E-695F-480F-A0A5-23B5C4F26164}"/>
    <cellStyle name="Normal 14 2 7 2 2 8" xfId="834" xr:uid="{08DE7A71-DC8D-45B0-B47F-F69ABCB659A7}"/>
    <cellStyle name="Normal 14 2 7 2 3" xfId="835" xr:uid="{5F5AAA24-D7E0-4626-A90B-08610A5B2D18}"/>
    <cellStyle name="Normal 14 2 7 2 4" xfId="836" xr:uid="{EBA64DB6-3963-44DB-B9D3-A4FD74C262A3}"/>
    <cellStyle name="Normal 14 2 7 2 5" xfId="837" xr:uid="{F43816DD-04D0-4D4C-B193-35EAFE1D7F89}"/>
    <cellStyle name="Normal 14 2 7 2 6" xfId="838" xr:uid="{A834E4BC-69CD-405A-89E9-08006589E988}"/>
    <cellStyle name="Normal 14 2 7 2 7" xfId="839" xr:uid="{50FF254B-A973-4C3B-9C12-DC09AD66BF80}"/>
    <cellStyle name="Normal 14 2 7 2 8" xfId="840" xr:uid="{1FFA6D7B-5495-4A6D-B4ED-FDB65A379B97}"/>
    <cellStyle name="Normal 14 2 7 2 9" xfId="841" xr:uid="{F248C447-9955-454F-9D11-B1258B186B2F}"/>
    <cellStyle name="Normal 14 2 7 3" xfId="842" xr:uid="{E4C155F8-B42C-4A83-8F73-1863BB37B582}"/>
    <cellStyle name="Normal 14 2 7 4" xfId="843" xr:uid="{74C472F4-B6FC-4004-89B4-ACB515EFCDCE}"/>
    <cellStyle name="Normal 14 2 7 4 2" xfId="844" xr:uid="{7F4E6431-967C-4172-90F1-BC22409BEF30}"/>
    <cellStyle name="Normal 14 2 7 4 3" xfId="845" xr:uid="{A413FE90-B100-40A4-8160-CED18E174FD5}"/>
    <cellStyle name="Normal 14 2 7 4 4" xfId="846" xr:uid="{6A51E621-57C8-45C0-BC7C-5B8FBE41E557}"/>
    <cellStyle name="Normal 14 2 7 4 5" xfId="847" xr:uid="{79C3974F-47F8-4793-AE1F-FDC73347FD32}"/>
    <cellStyle name="Normal 14 2 7 4 6" xfId="848" xr:uid="{2CC63EAC-EC13-4B3D-B588-F8A73C57D8AF}"/>
    <cellStyle name="Normal 14 2 7 4 7" xfId="849" xr:uid="{7BD7B744-59A5-41DC-BC78-8147AD5D3759}"/>
    <cellStyle name="Normal 14 2 7 4 8" xfId="850" xr:uid="{CD93CED4-4973-458C-9BB1-8501D37C37AF}"/>
    <cellStyle name="Normal 14 2 7 5" xfId="851" xr:uid="{1A54869C-F299-4210-95D0-655C9A1979D1}"/>
    <cellStyle name="Normal 14 2 7 6" xfId="852" xr:uid="{DFB8D2F0-3D5B-431B-B717-9ABDF29A7611}"/>
    <cellStyle name="Normal 14 2 7 7" xfId="853" xr:uid="{5120F738-5F12-452F-A1E1-D526A52040CE}"/>
    <cellStyle name="Normal 14 2 7 8" xfId="854" xr:uid="{C1D030DA-42F0-4523-8904-F7A70A94A957}"/>
    <cellStyle name="Normal 14 2 7 9" xfId="855" xr:uid="{2C45A266-9145-4985-A4AF-34F0C0E786B1}"/>
    <cellStyle name="Normal 14 2 8" xfId="856" xr:uid="{F531D722-F17F-4784-B118-58216E90A590}"/>
    <cellStyle name="Normal 14 2 9" xfId="857" xr:uid="{65E5B297-88D7-420B-8757-4B10425C5369}"/>
    <cellStyle name="Normal 14 20" xfId="858" xr:uid="{114BC130-21A6-4A31-8102-F9F71F902CD7}"/>
    <cellStyle name="Normal 14 21" xfId="859" xr:uid="{0DEE1040-1558-4835-97C1-6DFDB0A32F76}"/>
    <cellStyle name="Normal 14 22" xfId="860" xr:uid="{41064B1D-BC40-492E-82CA-D88B319D4727}"/>
    <cellStyle name="Normal 14 23" xfId="861" xr:uid="{0CE80696-F756-4CA6-92A3-5A52B2A7A49E}"/>
    <cellStyle name="Normal 14 24" xfId="862" xr:uid="{C919323A-0C01-4D2A-97FB-3887FD09B1EE}"/>
    <cellStyle name="Normal 14 25" xfId="863" xr:uid="{B34A10C7-1E27-4AC2-B8C3-3053E29DB12D}"/>
    <cellStyle name="Normal 14 26" xfId="864" xr:uid="{3EC80B02-23F9-4210-BC77-8EC6EEBF0246}"/>
    <cellStyle name="Normal 14 27" xfId="865" xr:uid="{F1FDDDFE-8D6E-4D83-A5CC-316C057F8C70}"/>
    <cellStyle name="Normal 14 27 2" xfId="866" xr:uid="{534EE74F-10AF-4C99-B289-9A3FEBDD33FF}"/>
    <cellStyle name="Normal 14 27 2 2" xfId="867" xr:uid="{FF8E7A95-5ED5-4A18-B1B3-A960E5ADFDCE}"/>
    <cellStyle name="Normal 14 27 2 2 2" xfId="868" xr:uid="{1023959E-B20F-41E1-8914-93BC6AF1128A}"/>
    <cellStyle name="Normal 14 27 2 2 3" xfId="869" xr:uid="{05D27D81-9885-4897-A9ED-F9E39EE3218E}"/>
    <cellStyle name="Normal 14 27 2 2 4" xfId="870" xr:uid="{E937B927-5008-4D88-A3B6-B2314A95490F}"/>
    <cellStyle name="Normal 14 27 2 2 5" xfId="871" xr:uid="{145E4045-23E0-40C2-BF0E-499CCFAC2766}"/>
    <cellStyle name="Normal 14 27 2 2 6" xfId="872" xr:uid="{7F07D7C5-03AC-4078-932B-D693C42C21DD}"/>
    <cellStyle name="Normal 14 27 2 2 7" xfId="873" xr:uid="{3357A2E3-5135-4ADF-8FD7-195FA14A1E38}"/>
    <cellStyle name="Normal 14 27 2 2 8" xfId="874" xr:uid="{4449DC70-D4D1-46C7-AC30-02ABAE1FBF77}"/>
    <cellStyle name="Normal 14 27 2 3" xfId="875" xr:uid="{A5EC24CB-1D77-4261-9C9F-10EA6120AD4B}"/>
    <cellStyle name="Normal 14 27 2 4" xfId="876" xr:uid="{35D9B9DB-1FDD-4A15-BB8C-6331C4DC41B2}"/>
    <cellStyle name="Normal 14 27 2 5" xfId="877" xr:uid="{7CBDD71A-3F8E-4D64-9205-54B1C422B9C2}"/>
    <cellStyle name="Normal 14 27 2 6" xfId="878" xr:uid="{F5C97CB5-8608-438B-83DE-54471FA17597}"/>
    <cellStyle name="Normal 14 27 2 7" xfId="879" xr:uid="{105CD09B-C3DE-4EFE-9C4D-07897B284F2F}"/>
    <cellStyle name="Normal 14 27 2 8" xfId="880" xr:uid="{C53F644A-E7E1-413B-B3AD-2FEBFE718189}"/>
    <cellStyle name="Normal 14 27 3" xfId="881" xr:uid="{982A4A98-14F1-4028-9B66-FF238D212E91}"/>
    <cellStyle name="Normal 14 27 4" xfId="882" xr:uid="{8904A556-DC73-40A7-95B9-976A1DC89E67}"/>
    <cellStyle name="Normal 14 27 5" xfId="883" xr:uid="{B5F99708-9785-4663-AD02-B60BB21F0227}"/>
    <cellStyle name="Normal 14 27 6" xfId="884" xr:uid="{00EE45DE-69F8-4D6D-A649-AAF11C64D992}"/>
    <cellStyle name="Normal 14 27 7" xfId="885" xr:uid="{4E093BC9-D25D-4907-9643-90287EB9B7B2}"/>
    <cellStyle name="Normal 14 27 8" xfId="886" xr:uid="{53DB4E71-EB95-4007-8105-C26440BCC0AC}"/>
    <cellStyle name="Normal 14 27 9" xfId="887" xr:uid="{8EB69EFA-F9FF-4AD0-890D-10A341655D18}"/>
    <cellStyle name="Normal 14 28" xfId="888" xr:uid="{447042FB-CED1-44D8-B65A-F7BE68785398}"/>
    <cellStyle name="Normal 14 28 2" xfId="889" xr:uid="{F342F4B7-3D8C-4D84-A73D-8069E3AC6355}"/>
    <cellStyle name="Normal 14 28 3" xfId="890" xr:uid="{C12D4CD8-4FCC-4EB5-BE74-DD76AF861D45}"/>
    <cellStyle name="Normal 14 28 4" xfId="891" xr:uid="{9E332DD9-DA78-4471-9178-0157FE1518B0}"/>
    <cellStyle name="Normal 14 28 5" xfId="892" xr:uid="{ECB5C8A1-8D27-4589-A34B-A9EF6DB00A33}"/>
    <cellStyle name="Normal 14 28 6" xfId="893" xr:uid="{C96B7CA4-C862-448A-9534-EBF877E96722}"/>
    <cellStyle name="Normal 14 28 7" xfId="894" xr:uid="{8E4A36C3-2538-45BA-93D5-6C1C00C874CA}"/>
    <cellStyle name="Normal 14 28 8" xfId="895" xr:uid="{24D067D5-8450-41D5-859E-073B7606F1C1}"/>
    <cellStyle name="Normal 14 29" xfId="896" xr:uid="{63327C3D-F04F-4EEE-9F42-C79E6814D599}"/>
    <cellStyle name="Normal 14 3" xfId="897" xr:uid="{5F1EF81C-C2EB-47E6-8ED0-C5AB446F8C27}"/>
    <cellStyle name="Normal 14 30" xfId="898" xr:uid="{00ACE6CB-DBE6-43F1-A000-302D66B0B5A6}"/>
    <cellStyle name="Normal 14 31" xfId="899" xr:uid="{039A918D-EA25-4AB4-A228-BE1BA20E90A0}"/>
    <cellStyle name="Normal 14 32" xfId="900" xr:uid="{53F397F0-71DD-42B7-A4C1-510388C30294}"/>
    <cellStyle name="Normal 14 33" xfId="901" xr:uid="{D5E5D8A3-FEBD-4870-8038-B28E125F6579}"/>
    <cellStyle name="Normal 14 34" xfId="902" xr:uid="{F9307ECF-54A2-4F2A-9855-6E8D308EF268}"/>
    <cellStyle name="Normal 14 35" xfId="13588" xr:uid="{9E8C9BE8-605B-4A15-944B-FDD727EFE129}"/>
    <cellStyle name="Normal 14 4" xfId="903" xr:uid="{E78CFF0C-88D4-4839-9735-A880A465F229}"/>
    <cellStyle name="Normal 14 5" xfId="904" xr:uid="{14AB8154-DB8C-4BD9-9158-C5825D583160}"/>
    <cellStyle name="Normal 14 6" xfId="905" xr:uid="{8AFD8EEE-0D1C-45DD-8E7E-3227A88784CD}"/>
    <cellStyle name="Normal 14 7" xfId="906" xr:uid="{F4F982EC-7AD9-486C-A498-A11CFBD02EEA}"/>
    <cellStyle name="Normal 14 8" xfId="907" xr:uid="{4AC35DC0-3E7A-4874-8FF7-99C8CF1BF2C1}"/>
    <cellStyle name="Normal 14 9" xfId="908" xr:uid="{104DA8DC-6741-49FF-8A0A-7861220353B7}"/>
    <cellStyle name="Normal 15" xfId="13728" xr:uid="{876CC2D6-E7D2-47FB-BA81-4AD620323C7F}"/>
    <cellStyle name="Normal 15 10" xfId="909" xr:uid="{A3C1C438-DDF8-4B98-8D7C-EB232E208036}"/>
    <cellStyle name="Normal 15 11" xfId="910" xr:uid="{F5A3632A-1A36-4148-9B0C-8E7F6488C3F8}"/>
    <cellStyle name="Normal 15 2" xfId="911" xr:uid="{B7619043-E5CA-4473-B266-2637062389CB}"/>
    <cellStyle name="Normal 15 3" xfId="912" xr:uid="{3FDA4927-D8EF-45D8-8EA3-C6A862CF29C1}"/>
    <cellStyle name="Normal 15 4" xfId="913" xr:uid="{0F7597E7-6F17-4D72-88D9-5972878202E4}"/>
    <cellStyle name="Normal 15 5" xfId="914" xr:uid="{9D78F1F2-65DA-49C3-AD5B-DED11C283AD1}"/>
    <cellStyle name="Normal 15 6" xfId="915" xr:uid="{9C6F6736-7AE7-4C29-ADEF-FDFC5A7E2C33}"/>
    <cellStyle name="Normal 15 7" xfId="916" xr:uid="{540A5753-2D1B-4BBE-A2F4-E72370C27BCA}"/>
    <cellStyle name="Normal 15 8" xfId="917" xr:uid="{074A58BD-5817-4DBE-8316-5999E4CF0EAB}"/>
    <cellStyle name="Normal 15 9" xfId="918" xr:uid="{B520DBFF-3141-447F-8588-6F759927BAB6}"/>
    <cellStyle name="Normal 16" xfId="919" xr:uid="{ED025699-2D1A-4F1D-89A5-7E444E679A50}"/>
    <cellStyle name="Normal 16 10" xfId="13779" xr:uid="{821AB499-99B0-4DAA-90C0-EAA7107D77D9}"/>
    <cellStyle name="Normal 16 2" xfId="920" xr:uid="{570904FE-0C44-4323-AA57-4E59193D0376}"/>
    <cellStyle name="Normal 16 2 10" xfId="921" xr:uid="{B93B1159-7CAC-4574-9DB4-0E070D68F9E4}"/>
    <cellStyle name="Normal 16 2 11" xfId="922" xr:uid="{91FA6CB1-8B2B-4F03-8AFD-5F6D600B2F06}"/>
    <cellStyle name="Normal 16 2 12" xfId="923" xr:uid="{528E2EB1-7774-4C41-82D9-2A747B35949E}"/>
    <cellStyle name="Normal 16 2 13" xfId="924" xr:uid="{84CCAE3A-6330-4615-AED9-B2A3B73E2F40}"/>
    <cellStyle name="Normal 16 2 14" xfId="925" xr:uid="{A9803679-D319-4880-9525-9B98ACBB5985}"/>
    <cellStyle name="Normal 16 2 15" xfId="926" xr:uid="{4DB31106-9474-48FD-874E-100649A57806}"/>
    <cellStyle name="Normal 16 2 15 2" xfId="927" xr:uid="{3ED55300-D9D0-42A2-99FF-E807FB8F244F}"/>
    <cellStyle name="Normal 16 2 15 2 2" xfId="928" xr:uid="{823FB805-6430-4AF2-BFF1-2CD1862021D9}"/>
    <cellStyle name="Normal 16 2 15 2 2 2" xfId="929" xr:uid="{676B8B1D-B20B-42B3-8E16-93FF5B388DA6}"/>
    <cellStyle name="Normal 16 2 15 2 2 3" xfId="930" xr:uid="{074D0CE2-5531-4B6C-8DE9-A379D86E591E}"/>
    <cellStyle name="Normal 16 2 15 2 2 4" xfId="931" xr:uid="{334AFEE8-8F33-4512-A729-8C8DB3D31201}"/>
    <cellStyle name="Normal 16 2 15 2 2 5" xfId="932" xr:uid="{DB53C0FC-3915-48DE-9872-19C679FD4C73}"/>
    <cellStyle name="Normal 16 2 15 2 2 6" xfId="933" xr:uid="{55DB9751-E2CB-41A3-ADDD-84FC28CFC2F6}"/>
    <cellStyle name="Normal 16 2 15 2 2 7" xfId="934" xr:uid="{DEF9F51E-D528-4B8F-AF44-D1EC0F0829E3}"/>
    <cellStyle name="Normal 16 2 15 2 2 8" xfId="935" xr:uid="{8E0B857A-E81C-4C7D-A6DC-CED210CBDDAA}"/>
    <cellStyle name="Normal 16 2 15 2 3" xfId="936" xr:uid="{57103144-2AE4-4271-9D91-858205D8FAC5}"/>
    <cellStyle name="Normal 16 2 15 2 4" xfId="937" xr:uid="{74019396-A094-4C5F-B93E-D2701755F1DD}"/>
    <cellStyle name="Normal 16 2 15 2 5" xfId="938" xr:uid="{399E12E5-9B73-400E-B12F-4EA042BB51D5}"/>
    <cellStyle name="Normal 16 2 15 2 6" xfId="939" xr:uid="{636DFC15-50B0-4C85-BAB7-83ABFD82AA4A}"/>
    <cellStyle name="Normal 16 2 15 2 7" xfId="940" xr:uid="{38EDE5A3-97B4-4A14-B88B-A3521D33B35D}"/>
    <cellStyle name="Normal 16 2 15 2 8" xfId="941" xr:uid="{84F80A71-0E8E-414A-A7BC-03600715CCB0}"/>
    <cellStyle name="Normal 16 2 15 3" xfId="942" xr:uid="{20DF8D1D-0CAF-4D89-836F-D118A553106F}"/>
    <cellStyle name="Normal 16 2 15 4" xfId="943" xr:uid="{40DB61D6-4E2C-435C-9CEE-2E5B64563AB6}"/>
    <cellStyle name="Normal 16 2 15 5" xfId="944" xr:uid="{17E1EBD5-CA81-4881-9F86-4F0E7B2675E3}"/>
    <cellStyle name="Normal 16 2 15 6" xfId="945" xr:uid="{E5075C8E-210F-40BF-9EA1-EE133F892484}"/>
    <cellStyle name="Normal 16 2 15 7" xfId="946" xr:uid="{3997DAFD-9CBB-4AA9-8094-51CD131E3317}"/>
    <cellStyle name="Normal 16 2 15 8" xfId="947" xr:uid="{AAD00F80-A075-467E-B3C9-05C8762A6A29}"/>
    <cellStyle name="Normal 16 2 15 9" xfId="948" xr:uid="{DE2E6586-752B-4A64-B879-EF7C101F2F26}"/>
    <cellStyle name="Normal 16 2 16" xfId="949" xr:uid="{0F7ECAE4-0857-455A-A79F-3864A5424D1C}"/>
    <cellStyle name="Normal 16 2 16 2" xfId="950" xr:uid="{38A9A598-E119-4869-9783-B14EE5341244}"/>
    <cellStyle name="Normal 16 2 16 3" xfId="951" xr:uid="{46DFB5EA-3B0C-48FF-AD42-BFE51626F34A}"/>
    <cellStyle name="Normal 16 2 16 4" xfId="952" xr:uid="{3F893EE5-C037-4224-AA82-EA30805AAB0B}"/>
    <cellStyle name="Normal 16 2 16 5" xfId="953" xr:uid="{331AB097-070C-4935-B9F2-E1F6EDF81C8E}"/>
    <cellStyle name="Normal 16 2 16 6" xfId="954" xr:uid="{03394BED-6482-4EB1-B271-C79EF86E2CB0}"/>
    <cellStyle name="Normal 16 2 16 7" xfId="955" xr:uid="{20673869-2316-4CEA-936E-6FC1CF71A28C}"/>
    <cellStyle name="Normal 16 2 16 8" xfId="956" xr:uid="{06C9EC26-4259-4251-9D20-7F568C9F8770}"/>
    <cellStyle name="Normal 16 2 17" xfId="957" xr:uid="{A88DB257-2CB1-4435-AD50-987A8D8260B6}"/>
    <cellStyle name="Normal 16 2 18" xfId="958" xr:uid="{E0137900-9062-4E7E-98E7-FA56F4A55560}"/>
    <cellStyle name="Normal 16 2 19" xfId="959" xr:uid="{A30D6B4E-DFD8-4A94-A355-DD1C3D9F0CE5}"/>
    <cellStyle name="Normal 16 2 2" xfId="960" xr:uid="{C774D006-E489-4486-A0E9-AE1C4E2C416D}"/>
    <cellStyle name="Normal 16 2 2 10" xfId="961" xr:uid="{06A02D5C-3820-4D93-AD2C-B33B644D6D87}"/>
    <cellStyle name="Normal 16 2 2 10 2" xfId="962" xr:uid="{4692F5D0-BD67-46AC-B0CA-D33702247F88}"/>
    <cellStyle name="Normal 16 2 2 10 2 2" xfId="963" xr:uid="{4E18C113-3675-43EC-B3CC-8C301B638123}"/>
    <cellStyle name="Normal 16 2 2 10 2 2 2" xfId="964" xr:uid="{06CFD2FF-62FA-4F95-BCBE-7609BB1BAEAB}"/>
    <cellStyle name="Normal 16 2 2 10 2 2 3" xfId="965" xr:uid="{B386F19D-3302-458F-B006-D241DEED1BB5}"/>
    <cellStyle name="Normal 16 2 2 10 2 2 4" xfId="966" xr:uid="{F71207C8-F159-4F87-AEDF-B39543A1A04B}"/>
    <cellStyle name="Normal 16 2 2 10 2 2 5" xfId="967" xr:uid="{AC3B55F9-0B91-4847-AAC2-B0FBD3C38F7A}"/>
    <cellStyle name="Normal 16 2 2 10 2 2 6" xfId="968" xr:uid="{25742966-4818-4574-A8E7-0E54250EA413}"/>
    <cellStyle name="Normal 16 2 2 10 2 2 7" xfId="969" xr:uid="{CB22EFBF-04FF-41B4-8F3B-A092E8B1BBC3}"/>
    <cellStyle name="Normal 16 2 2 10 2 2 8" xfId="970" xr:uid="{40B90044-93BB-4ED6-A7FE-4E670B7D8783}"/>
    <cellStyle name="Normal 16 2 2 10 2 3" xfId="971" xr:uid="{7DE32713-F17B-4100-B68C-A38BD3BD5412}"/>
    <cellStyle name="Normal 16 2 2 10 2 4" xfId="972" xr:uid="{D24D9640-0FD7-403E-9AE2-2CEA3D3A9C11}"/>
    <cellStyle name="Normal 16 2 2 10 2 5" xfId="973" xr:uid="{88BEB9E7-C6E4-4212-8AAA-D906BD9D800A}"/>
    <cellStyle name="Normal 16 2 2 10 2 6" xfId="974" xr:uid="{41309EA9-DEA0-4035-AC24-680C637D3CDF}"/>
    <cellStyle name="Normal 16 2 2 10 2 7" xfId="975" xr:uid="{85146842-1F18-45E0-8CBF-6CFD1EF77890}"/>
    <cellStyle name="Normal 16 2 2 10 2 8" xfId="976" xr:uid="{CFD31B96-9AB4-426D-A4FF-DDFB81F1D9CD}"/>
    <cellStyle name="Normal 16 2 2 10 3" xfId="977" xr:uid="{8081CCB2-9B61-4568-B52D-88B487A580BE}"/>
    <cellStyle name="Normal 16 2 2 10 4" xfId="978" xr:uid="{3C312721-97E5-48FA-9457-A6D586CCBB65}"/>
    <cellStyle name="Normal 16 2 2 10 5" xfId="979" xr:uid="{94F46373-DA13-4157-9199-D471A50A4FAB}"/>
    <cellStyle name="Normal 16 2 2 10 6" xfId="980" xr:uid="{29F79C96-F94C-4B84-A4DF-28289992FC16}"/>
    <cellStyle name="Normal 16 2 2 10 7" xfId="981" xr:uid="{75612653-71DB-4F9A-899F-B38373228A79}"/>
    <cellStyle name="Normal 16 2 2 10 8" xfId="982" xr:uid="{524359E1-2880-4483-86E2-C159A5C28C5D}"/>
    <cellStyle name="Normal 16 2 2 10 9" xfId="983" xr:uid="{E9090991-AE5F-492C-912E-7D46E410F5BD}"/>
    <cellStyle name="Normal 16 2 2 11" xfId="984" xr:uid="{D998ABBF-D521-4382-B46D-6678386A5DFE}"/>
    <cellStyle name="Normal 16 2 2 11 2" xfId="985" xr:uid="{6B282FC1-1824-4A52-9724-844B5E6C04A8}"/>
    <cellStyle name="Normal 16 2 2 11 3" xfId="986" xr:uid="{F31424DE-22AC-4AC7-BAF8-DDB123ACC8BB}"/>
    <cellStyle name="Normal 16 2 2 11 4" xfId="987" xr:uid="{88838925-1B23-42E1-ABBA-04FA2F034F35}"/>
    <cellStyle name="Normal 16 2 2 11 5" xfId="988" xr:uid="{CE86B4D1-1CE0-482F-B719-D3E987D18ADC}"/>
    <cellStyle name="Normal 16 2 2 11 6" xfId="989" xr:uid="{0AEA1ED1-7B37-4C5B-A387-F73872E8747C}"/>
    <cellStyle name="Normal 16 2 2 11 7" xfId="990" xr:uid="{0A209B60-5901-4C30-941E-4B52DCBE686B}"/>
    <cellStyle name="Normal 16 2 2 11 8" xfId="991" xr:uid="{1A103BF0-125E-4AE9-8714-67313DC6D88B}"/>
    <cellStyle name="Normal 16 2 2 12" xfId="992" xr:uid="{B8F2AFFB-D89A-4EF9-B819-329EF5366828}"/>
    <cellStyle name="Normal 16 2 2 13" xfId="993" xr:uid="{B3A7B3E8-CDE1-4364-8CA4-B7475E53EAB2}"/>
    <cellStyle name="Normal 16 2 2 14" xfId="994" xr:uid="{BF4AEC44-C8E1-4E6E-9902-4BD5882CEF6C}"/>
    <cellStyle name="Normal 16 2 2 15" xfId="995" xr:uid="{5688CC30-2D9D-492F-A40F-AF9A89B69E37}"/>
    <cellStyle name="Normal 16 2 2 16" xfId="996" xr:uid="{F9B0B009-FA04-4EF9-ABFB-E8B9CC2CF258}"/>
    <cellStyle name="Normal 16 2 2 17" xfId="997" xr:uid="{40D4B154-E141-4D1C-A1E5-DDEC50518945}"/>
    <cellStyle name="Normal 16 2 2 2" xfId="998" xr:uid="{FD859242-6289-4809-BACA-B70A61084DFE}"/>
    <cellStyle name="Normal 16 2 2 2 10" xfId="999" xr:uid="{48B8FD62-B971-4269-95BF-0DA69F2EFB12}"/>
    <cellStyle name="Normal 16 2 2 2 10 2" xfId="1000" xr:uid="{EEC5FAEB-5127-47DA-93D6-D97B368049CF}"/>
    <cellStyle name="Normal 16 2 2 2 10 2 2" xfId="1001" xr:uid="{06563BA1-C201-4FD1-A3F0-9E16A99FCFC2}"/>
    <cellStyle name="Normal 16 2 2 2 10 2 2 2" xfId="1002" xr:uid="{A4EB9224-C39E-4440-85F3-D9FE4F645796}"/>
    <cellStyle name="Normal 16 2 2 2 10 2 2 3" xfId="1003" xr:uid="{EDA6DC79-3146-4C21-BAE7-3BE1A9FD1B9E}"/>
    <cellStyle name="Normal 16 2 2 2 10 2 2 4" xfId="1004" xr:uid="{F91F91C9-A987-4383-B081-7CC687160137}"/>
    <cellStyle name="Normal 16 2 2 2 10 2 2 5" xfId="1005" xr:uid="{231DA1A8-B309-481C-9D79-3D53AB0EDAA3}"/>
    <cellStyle name="Normal 16 2 2 2 10 2 2 6" xfId="1006" xr:uid="{85CE4675-395F-4965-BE2F-B30C56972566}"/>
    <cellStyle name="Normal 16 2 2 2 10 2 2 7" xfId="1007" xr:uid="{22C1C465-3E64-4A17-BE8B-C2978F515EBF}"/>
    <cellStyle name="Normal 16 2 2 2 10 2 2 8" xfId="1008" xr:uid="{152D0A81-F05D-468A-9289-8A063EB0A1EC}"/>
    <cellStyle name="Normal 16 2 2 2 10 2 3" xfId="1009" xr:uid="{17577976-B02B-49AE-A533-658555488F96}"/>
    <cellStyle name="Normal 16 2 2 2 10 2 4" xfId="1010" xr:uid="{403FA90B-F05D-49E5-96EF-C841F4025A25}"/>
    <cellStyle name="Normal 16 2 2 2 10 2 5" xfId="1011" xr:uid="{82FDF516-2AF7-48E7-8AA2-7592F07D6E76}"/>
    <cellStyle name="Normal 16 2 2 2 10 2 6" xfId="1012" xr:uid="{B69B54C6-20C6-4403-9601-93974CC9C3CB}"/>
    <cellStyle name="Normal 16 2 2 2 10 2 7" xfId="1013" xr:uid="{9300FCB8-DB88-4BA9-B55D-104835F651A2}"/>
    <cellStyle name="Normal 16 2 2 2 10 2 8" xfId="1014" xr:uid="{9B3FEB54-84BE-4658-9B6F-FDB2DD1088CC}"/>
    <cellStyle name="Normal 16 2 2 2 10 3" xfId="1015" xr:uid="{9EAB3EA1-123B-4796-ABAB-90BFA497FF38}"/>
    <cellStyle name="Normal 16 2 2 2 10 4" xfId="1016" xr:uid="{396B2AC8-D18A-45FA-B701-260E2E1DD209}"/>
    <cellStyle name="Normal 16 2 2 2 10 5" xfId="1017" xr:uid="{3825BC7D-4C5E-4ECC-BAE1-7B13AF33E255}"/>
    <cellStyle name="Normal 16 2 2 2 10 6" xfId="1018" xr:uid="{A9C13EA2-E59B-4D5E-BAF2-6D0554E54DD1}"/>
    <cellStyle name="Normal 16 2 2 2 10 7" xfId="1019" xr:uid="{8EB896A1-FDAC-4E5C-BB8D-65E2F920D1F0}"/>
    <cellStyle name="Normal 16 2 2 2 10 8" xfId="1020" xr:uid="{6EC136D6-86F3-466A-A9DC-1E2F4A1578FA}"/>
    <cellStyle name="Normal 16 2 2 2 10 9" xfId="1021" xr:uid="{3404B900-53DC-4BD7-96E2-41417E0593F0}"/>
    <cellStyle name="Normal 16 2 2 2 11" xfId="1022" xr:uid="{F13A5421-50CE-4892-AFF3-0350C737FF1C}"/>
    <cellStyle name="Normal 16 2 2 2 11 2" xfId="1023" xr:uid="{7912159C-3E03-4A76-A931-78A5ED622CAC}"/>
    <cellStyle name="Normal 16 2 2 2 11 3" xfId="1024" xr:uid="{C4DA6F95-3413-406B-8768-F1519EFFD2EC}"/>
    <cellStyle name="Normal 16 2 2 2 11 4" xfId="1025" xr:uid="{EADC5DD4-7492-4D4A-B0A2-523CC816AF54}"/>
    <cellStyle name="Normal 16 2 2 2 11 5" xfId="1026" xr:uid="{C3E72DD5-CF5D-4D19-B7FE-26E733207990}"/>
    <cellStyle name="Normal 16 2 2 2 11 6" xfId="1027" xr:uid="{103A889F-E99C-4F3D-8F1B-05E925563AD6}"/>
    <cellStyle name="Normal 16 2 2 2 11 7" xfId="1028" xr:uid="{CD72392E-E559-4A41-A14F-49E81BCBC76A}"/>
    <cellStyle name="Normal 16 2 2 2 11 8" xfId="1029" xr:uid="{A2147B54-3548-4C05-9C70-8767D1810CD2}"/>
    <cellStyle name="Normal 16 2 2 2 12" xfId="1030" xr:uid="{7656EC6A-87F6-4003-96DE-074C05272D28}"/>
    <cellStyle name="Normal 16 2 2 2 13" xfId="1031" xr:uid="{DD772036-6134-4ABD-BFAC-79AC674CAD59}"/>
    <cellStyle name="Normal 16 2 2 2 14" xfId="1032" xr:uid="{34A9715B-EF5D-4978-85FB-F0FF7BAFAF6D}"/>
    <cellStyle name="Normal 16 2 2 2 15" xfId="1033" xr:uid="{55B0B897-C166-426B-9E01-06D459606A93}"/>
    <cellStyle name="Normal 16 2 2 2 16" xfId="1034" xr:uid="{44DD22B2-A3B9-45A0-B32E-CFA6ABC1FEC2}"/>
    <cellStyle name="Normal 16 2 2 2 17" xfId="1035" xr:uid="{FD0ECEBB-0FA2-4A05-97BB-AACF89352AE3}"/>
    <cellStyle name="Normal 16 2 2 2 2" xfId="1036" xr:uid="{4A5735E5-2840-4B8B-B021-E75A5466A9BB}"/>
    <cellStyle name="Normal 16 2 2 2 2 10" xfId="1037" xr:uid="{1556FC60-47B4-41CC-8CB8-482B9DD51EDD}"/>
    <cellStyle name="Normal 16 2 2 2 2 2" xfId="1038" xr:uid="{7578E02B-9D96-4CF4-919D-F27D43F0DEF2}"/>
    <cellStyle name="Normal 16 2 2 2 2 2 2" xfId="1039" xr:uid="{EABFA2F8-ADEF-4073-BB10-A4BFA898765B}"/>
    <cellStyle name="Normal 16 2 2 2 2 2 2 2" xfId="1040" xr:uid="{E80CE17D-A068-4E4E-9AE4-F353742F9629}"/>
    <cellStyle name="Normal 16 2 2 2 2 2 2 2 2" xfId="1041" xr:uid="{B3FE1563-333B-4C39-B5CC-83D16A016AFE}"/>
    <cellStyle name="Normal 16 2 2 2 2 2 2 2 3" xfId="1042" xr:uid="{5AC81861-C91E-4DA1-80A9-8427FE1D4374}"/>
    <cellStyle name="Normal 16 2 2 2 2 2 2 2 4" xfId="1043" xr:uid="{58A93EB2-CBD7-49C2-BB4F-AB3D6221CC50}"/>
    <cellStyle name="Normal 16 2 2 2 2 2 2 2 5" xfId="1044" xr:uid="{BF662DF3-4F6A-44E1-AFE9-4826CAAEB2A1}"/>
    <cellStyle name="Normal 16 2 2 2 2 2 2 2 6" xfId="1045" xr:uid="{13EA341A-282C-4846-B7CE-74A8BD65B7B8}"/>
    <cellStyle name="Normal 16 2 2 2 2 2 2 2 7" xfId="1046" xr:uid="{912FFA54-3B49-4F14-8574-784F72745FA4}"/>
    <cellStyle name="Normal 16 2 2 2 2 2 2 2 8" xfId="1047" xr:uid="{9CE825BF-9A60-4E8F-8048-ADB030BE8B40}"/>
    <cellStyle name="Normal 16 2 2 2 2 2 2 3" xfId="1048" xr:uid="{76F7D480-A580-400C-B1FC-17CAB9BB5FE5}"/>
    <cellStyle name="Normal 16 2 2 2 2 2 2 4" xfId="1049" xr:uid="{28D2B68F-D0F0-4418-81B6-53A5A8D5F94D}"/>
    <cellStyle name="Normal 16 2 2 2 2 2 2 5" xfId="1050" xr:uid="{EF5C120E-B921-4BAF-AB6A-0F51BA20A559}"/>
    <cellStyle name="Normal 16 2 2 2 2 2 2 6" xfId="1051" xr:uid="{8ADEB77B-A097-475E-97DC-ABDE43A0AC70}"/>
    <cellStyle name="Normal 16 2 2 2 2 2 2 7" xfId="1052" xr:uid="{7115D64E-7A40-4CB1-8D2C-53CE3BE73BF2}"/>
    <cellStyle name="Normal 16 2 2 2 2 2 2 8" xfId="1053" xr:uid="{23CF47CB-BA70-4994-90FC-06F48A7EF287}"/>
    <cellStyle name="Normal 16 2 2 2 2 2 3" xfId="1054" xr:uid="{92488EA1-A5AD-4445-AB90-49F5A4710FDD}"/>
    <cellStyle name="Normal 16 2 2 2 2 2 4" xfId="1055" xr:uid="{3705460E-D001-4FF0-BBF8-5F9F36794BE9}"/>
    <cellStyle name="Normal 16 2 2 2 2 2 5" xfId="1056" xr:uid="{14C006F2-0320-4930-A795-B57AC068B6AA}"/>
    <cellStyle name="Normal 16 2 2 2 2 2 6" xfId="1057" xr:uid="{80CEEC1F-C441-4D9E-8823-CAAAE215BA89}"/>
    <cellStyle name="Normal 16 2 2 2 2 2 7" xfId="1058" xr:uid="{A7D1AD7B-CD6D-4ECD-B810-16692A5F3BC0}"/>
    <cellStyle name="Normal 16 2 2 2 2 2 8" xfId="1059" xr:uid="{336AC79F-428A-4C23-951A-CE197530C921}"/>
    <cellStyle name="Normal 16 2 2 2 2 2 9" xfId="1060" xr:uid="{AC9E3F8B-73E8-4C02-A187-CBC3AEF686C8}"/>
    <cellStyle name="Normal 16 2 2 2 2 3" xfId="1061" xr:uid="{FE9D64EB-2F71-48BA-AB23-36499B855418}"/>
    <cellStyle name="Normal 16 2 2 2 2 4" xfId="1062" xr:uid="{80E2D2AA-AE8E-4C78-83C8-26F19397B042}"/>
    <cellStyle name="Normal 16 2 2 2 2 4 2" xfId="1063" xr:uid="{25C73056-46DE-47B4-A2FE-A98C7D500466}"/>
    <cellStyle name="Normal 16 2 2 2 2 4 3" xfId="1064" xr:uid="{9BD3C995-0913-4357-AD11-9D54C60806BF}"/>
    <cellStyle name="Normal 16 2 2 2 2 4 4" xfId="1065" xr:uid="{F63A05E9-647A-4FAA-BD08-A698048B36A6}"/>
    <cellStyle name="Normal 16 2 2 2 2 4 5" xfId="1066" xr:uid="{BB635413-05A8-4051-B3C8-A5A710DFC2CC}"/>
    <cellStyle name="Normal 16 2 2 2 2 4 6" xfId="1067" xr:uid="{666D8149-9A8A-47C4-9BC8-D88923FF1DA0}"/>
    <cellStyle name="Normal 16 2 2 2 2 4 7" xfId="1068" xr:uid="{CA04899A-438E-442F-BC5F-C7C360611302}"/>
    <cellStyle name="Normal 16 2 2 2 2 4 8" xfId="1069" xr:uid="{B1BB3959-251A-40A1-A06C-1DC7D71D6DB8}"/>
    <cellStyle name="Normal 16 2 2 2 2 5" xfId="1070" xr:uid="{9269BD33-2A26-4A63-8C0C-670F6BE484FC}"/>
    <cellStyle name="Normal 16 2 2 2 2 6" xfId="1071" xr:uid="{F997356B-645A-40E3-A207-B97267569665}"/>
    <cellStyle name="Normal 16 2 2 2 2 7" xfId="1072" xr:uid="{7F941189-6DF2-4052-A136-1B38962493F6}"/>
    <cellStyle name="Normal 16 2 2 2 2 8" xfId="1073" xr:uid="{07C74733-2E65-4EBC-9DBE-91FB339B3BCF}"/>
    <cellStyle name="Normal 16 2 2 2 2 9" xfId="1074" xr:uid="{7C909B94-71AC-4DF7-B73C-79D29062D79E}"/>
    <cellStyle name="Normal 16 2 2 2 3" xfId="1075" xr:uid="{5C717AA4-0ED1-4B0A-B76C-6811ECDED473}"/>
    <cellStyle name="Normal 16 2 2 2 4" xfId="1076" xr:uid="{0F23AA55-0863-4933-A93C-AB04DDB018C1}"/>
    <cellStyle name="Normal 16 2 2 2 5" xfId="1077" xr:uid="{AA234344-5699-43DF-88D2-6E689F6A0B22}"/>
    <cellStyle name="Normal 16 2 2 2 6" xfId="1078" xr:uid="{2B870E45-B8E0-45C0-9140-4172AF979D2C}"/>
    <cellStyle name="Normal 16 2 2 2 7" xfId="1079" xr:uid="{98B80342-CFA9-4BC0-A1D1-738D59C9CFE8}"/>
    <cellStyle name="Normal 16 2 2 2 8" xfId="1080" xr:uid="{64804DCC-750D-4593-A032-FAE750FC71B5}"/>
    <cellStyle name="Normal 16 2 2 2 9" xfId="1081" xr:uid="{67941CBD-452B-49F5-AC74-A6277E632D91}"/>
    <cellStyle name="Normal 16 2 2 3" xfId="1082" xr:uid="{ED2F0D14-A318-40F7-A458-3D02980D3E63}"/>
    <cellStyle name="Normal 16 2 2 3 10" xfId="1083" xr:uid="{BDE293AA-6DBC-48D7-B704-1FCFCC287E0F}"/>
    <cellStyle name="Normal 16 2 2 3 2" xfId="1084" xr:uid="{E8245E46-B4E1-46DC-97CC-EF29BE8F1AF3}"/>
    <cellStyle name="Normal 16 2 2 3 2 2" xfId="1085" xr:uid="{96905627-85CB-4DE7-AFEE-4E7694C274EF}"/>
    <cellStyle name="Normal 16 2 2 3 2 2 2" xfId="1086" xr:uid="{6C385907-1044-4420-B2FC-2542E9062559}"/>
    <cellStyle name="Normal 16 2 2 3 2 2 2 2" xfId="1087" xr:uid="{6CDD964D-6640-44A5-9E5D-0636AED1B552}"/>
    <cellStyle name="Normal 16 2 2 3 2 2 2 3" xfId="1088" xr:uid="{ACF8907D-61EB-44A4-A4CC-A74B667AAA74}"/>
    <cellStyle name="Normal 16 2 2 3 2 2 2 4" xfId="1089" xr:uid="{6430D997-EF78-4D0F-8127-9594C16C604C}"/>
    <cellStyle name="Normal 16 2 2 3 2 2 2 5" xfId="1090" xr:uid="{B341BE0D-5899-4486-8A23-9BF83676C52D}"/>
    <cellStyle name="Normal 16 2 2 3 2 2 2 6" xfId="1091" xr:uid="{5E022B71-06A1-41A9-B91F-BF095AB327B9}"/>
    <cellStyle name="Normal 16 2 2 3 2 2 2 7" xfId="1092" xr:uid="{DB7EAAC5-FB91-4A88-BE1B-80E6E07EDE88}"/>
    <cellStyle name="Normal 16 2 2 3 2 2 2 8" xfId="1093" xr:uid="{77E52CFB-1F26-48A0-A380-2195BD64FC76}"/>
    <cellStyle name="Normal 16 2 2 3 2 2 3" xfId="1094" xr:uid="{1BBF6B42-9B3A-4DC9-AEEB-AD6F63E6C427}"/>
    <cellStyle name="Normal 16 2 2 3 2 2 4" xfId="1095" xr:uid="{5093EE68-B561-4804-849A-480DBAD118CD}"/>
    <cellStyle name="Normal 16 2 2 3 2 2 5" xfId="1096" xr:uid="{E37856D7-35D5-4859-AFD0-F3C4CF77C2AA}"/>
    <cellStyle name="Normal 16 2 2 3 2 2 6" xfId="1097" xr:uid="{B5D541EE-D021-4A1B-8BF0-3416FEE38FC5}"/>
    <cellStyle name="Normal 16 2 2 3 2 2 7" xfId="1098" xr:uid="{3CC6F9CE-DF16-47D7-B0A1-02648CC746ED}"/>
    <cellStyle name="Normal 16 2 2 3 2 2 8" xfId="1099" xr:uid="{68A4A7AE-8D63-46BB-9153-7FB5A900F372}"/>
    <cellStyle name="Normal 16 2 2 3 2 3" xfId="1100" xr:uid="{64139304-D5DF-4C8B-AFDD-B5074BA57397}"/>
    <cellStyle name="Normal 16 2 2 3 2 4" xfId="1101" xr:uid="{1FE836BB-7B8D-4A9B-9C3D-AF75BD239668}"/>
    <cellStyle name="Normal 16 2 2 3 2 5" xfId="1102" xr:uid="{7E3E40EA-34EF-4A78-BDD7-978BB251AB88}"/>
    <cellStyle name="Normal 16 2 2 3 2 6" xfId="1103" xr:uid="{300086C8-C110-49E9-ACF0-1448CB6E35F4}"/>
    <cellStyle name="Normal 16 2 2 3 2 7" xfId="1104" xr:uid="{65034D0A-D81A-422B-9FF1-F121F307682B}"/>
    <cellStyle name="Normal 16 2 2 3 2 8" xfId="1105" xr:uid="{98FA61B2-FA82-49E4-9003-FA53A69EFB7A}"/>
    <cellStyle name="Normal 16 2 2 3 2 9" xfId="1106" xr:uid="{4DDAC490-7D7C-40FA-BBD9-D2E9919B9560}"/>
    <cellStyle name="Normal 16 2 2 3 3" xfId="1107" xr:uid="{39C5FE8F-1320-4FEF-921C-3CB176B0E7A2}"/>
    <cellStyle name="Normal 16 2 2 3 4" xfId="1108" xr:uid="{D1445043-C703-4226-9167-8A91948D1630}"/>
    <cellStyle name="Normal 16 2 2 3 4 2" xfId="1109" xr:uid="{3E475A53-D0C0-4ED0-AB07-4032EA113D00}"/>
    <cellStyle name="Normal 16 2 2 3 4 3" xfId="1110" xr:uid="{62868A38-F5A7-4AF9-B4B6-2FA69C984E58}"/>
    <cellStyle name="Normal 16 2 2 3 4 4" xfId="1111" xr:uid="{FBC77891-27A9-49F2-B63D-9AD5DAD45E4A}"/>
    <cellStyle name="Normal 16 2 2 3 4 5" xfId="1112" xr:uid="{30C8CC30-6D5F-4CD8-ABE6-C43490C98E9C}"/>
    <cellStyle name="Normal 16 2 2 3 4 6" xfId="1113" xr:uid="{594C0C34-0AA6-4F29-BF41-334BBC1E6CD5}"/>
    <cellStyle name="Normal 16 2 2 3 4 7" xfId="1114" xr:uid="{DC767D56-ABE8-4193-8FC3-7C0DEEFCF788}"/>
    <cellStyle name="Normal 16 2 2 3 4 8" xfId="1115" xr:uid="{2F958A7C-C47F-463A-B8AD-B663DCB719A7}"/>
    <cellStyle name="Normal 16 2 2 3 5" xfId="1116" xr:uid="{A72F669C-AC49-453D-A20C-2CC0FE34F9ED}"/>
    <cellStyle name="Normal 16 2 2 3 6" xfId="1117" xr:uid="{663DD353-C62D-4D48-948B-654040591F91}"/>
    <cellStyle name="Normal 16 2 2 3 7" xfId="1118" xr:uid="{E5FEDF3D-80F5-427D-A7AE-52350AAFA581}"/>
    <cellStyle name="Normal 16 2 2 3 8" xfId="1119" xr:uid="{8A6752F6-A2A9-4034-A8F8-5B8698B07AE8}"/>
    <cellStyle name="Normal 16 2 2 3 9" xfId="1120" xr:uid="{5FEF02D3-47FC-4370-B8E6-B4038A18C943}"/>
    <cellStyle name="Normal 16 2 2 4" xfId="1121" xr:uid="{0F1CB35D-ED07-493A-AFD9-BFEE9EA6C7BF}"/>
    <cellStyle name="Normal 16 2 2 5" xfId="1122" xr:uid="{581A3517-AE64-467A-81C6-737184827161}"/>
    <cellStyle name="Normal 16 2 2 6" xfId="1123" xr:uid="{E867C81F-3AA0-4CE9-B071-E1D41C9CA5A7}"/>
    <cellStyle name="Normal 16 2 2 7" xfId="1124" xr:uid="{8CECF6F6-4541-4CA7-BED6-6106430D64DB}"/>
    <cellStyle name="Normal 16 2 2 8" xfId="1125" xr:uid="{CE20C3FB-5A29-4EEA-BFD1-DA04A28AB126}"/>
    <cellStyle name="Normal 16 2 2 9" xfId="1126" xr:uid="{53C4D3A4-6C34-4AE6-9404-8A19D1284724}"/>
    <cellStyle name="Normal 16 2 20" xfId="1127" xr:uid="{21B07031-6956-4589-8612-12DF5B536B81}"/>
    <cellStyle name="Normal 16 2 21" xfId="1128" xr:uid="{FF8089E7-DCFB-4337-BEF2-DB85EABA1255}"/>
    <cellStyle name="Normal 16 2 22" xfId="1129" xr:uid="{DF9B07DF-D03B-4EEB-A28C-E4B2BCE96F57}"/>
    <cellStyle name="Normal 16 2 3" xfId="1130" xr:uid="{1B1C4841-FA0E-4894-A686-753717374F27}"/>
    <cellStyle name="Normal 16 2 4" xfId="1131" xr:uid="{A89A7CDD-3622-409F-8663-36B9C727CB59}"/>
    <cellStyle name="Normal 16 2 5" xfId="1132" xr:uid="{E789D9E3-3FF8-435B-A30B-611A1C63525C}"/>
    <cellStyle name="Normal 16 2 6" xfId="1133" xr:uid="{36826D77-8CA1-4316-AE0F-FAA029D9B8EA}"/>
    <cellStyle name="Normal 16 2 7" xfId="1134" xr:uid="{9E241A2A-5F23-406C-9C1F-77E3374024BA}"/>
    <cellStyle name="Normal 16 2 7 10" xfId="1135" xr:uid="{36251A68-D8EB-48DA-AC32-C01E03353ACA}"/>
    <cellStyle name="Normal 16 2 7 2" xfId="1136" xr:uid="{F6B2648D-B29F-48E2-9303-2E1D09505AEE}"/>
    <cellStyle name="Normal 16 2 7 2 2" xfId="1137" xr:uid="{35E0DC97-6307-4709-82FC-EC432E5BED9F}"/>
    <cellStyle name="Normal 16 2 7 2 2 2" xfId="1138" xr:uid="{EF560158-88BC-4C86-B066-5EBDC8EED283}"/>
    <cellStyle name="Normal 16 2 7 2 2 2 2" xfId="1139" xr:uid="{132D65C7-C182-4D80-AF8D-CAD8BD547E3A}"/>
    <cellStyle name="Normal 16 2 7 2 2 2 3" xfId="1140" xr:uid="{6FF69EA5-AEAF-4580-B52D-9BFECE8036CD}"/>
    <cellStyle name="Normal 16 2 7 2 2 2 4" xfId="1141" xr:uid="{FBEBA977-5389-4A18-8B91-73A9BB1F0B5D}"/>
    <cellStyle name="Normal 16 2 7 2 2 2 5" xfId="1142" xr:uid="{F798DB5D-1E96-41C9-8837-AB4EF95B1EAD}"/>
    <cellStyle name="Normal 16 2 7 2 2 2 6" xfId="1143" xr:uid="{45DCC071-D414-4538-B696-C49300ADDF8A}"/>
    <cellStyle name="Normal 16 2 7 2 2 2 7" xfId="1144" xr:uid="{3021E2A3-D8E5-4CAA-B5C1-765634B967A4}"/>
    <cellStyle name="Normal 16 2 7 2 2 2 8" xfId="1145" xr:uid="{2F760C96-84BA-4A65-ABD5-BBA8425F89DC}"/>
    <cellStyle name="Normal 16 2 7 2 2 3" xfId="1146" xr:uid="{968AEAF2-3816-49EA-9E1F-0C024DE84F27}"/>
    <cellStyle name="Normal 16 2 7 2 2 4" xfId="1147" xr:uid="{8F8AE1F0-F418-4199-AF44-93C9F87651CD}"/>
    <cellStyle name="Normal 16 2 7 2 2 5" xfId="1148" xr:uid="{4F691C4B-F2CA-4A57-9246-901033EE01DB}"/>
    <cellStyle name="Normal 16 2 7 2 2 6" xfId="1149" xr:uid="{5080AEAB-7200-4CC6-9561-4F782492815E}"/>
    <cellStyle name="Normal 16 2 7 2 2 7" xfId="1150" xr:uid="{05EC7DC7-46F2-41F1-A704-C57FD736F1A2}"/>
    <cellStyle name="Normal 16 2 7 2 2 8" xfId="1151" xr:uid="{5A52CEDB-085E-46BD-8CDD-8B11A902D80E}"/>
    <cellStyle name="Normal 16 2 7 2 3" xfId="1152" xr:uid="{BC7898A5-51FD-4CD9-AD40-59E2EC2663FB}"/>
    <cellStyle name="Normal 16 2 7 2 4" xfId="1153" xr:uid="{72E9DB8A-9EAA-4BD7-8D78-3E9093A0EBC3}"/>
    <cellStyle name="Normal 16 2 7 2 5" xfId="1154" xr:uid="{A56902A1-3C35-47AA-BAD1-642FAF9FA602}"/>
    <cellStyle name="Normal 16 2 7 2 6" xfId="1155" xr:uid="{F7EE870B-F1C4-437E-A504-389171C4E1B2}"/>
    <cellStyle name="Normal 16 2 7 2 7" xfId="1156" xr:uid="{EA86EE3D-9C1D-4B86-98E5-D13C7AD273CE}"/>
    <cellStyle name="Normal 16 2 7 2 8" xfId="1157" xr:uid="{13D210D5-0443-4B04-8866-065F58693744}"/>
    <cellStyle name="Normal 16 2 7 2 9" xfId="1158" xr:uid="{C7476166-A0C0-45F5-A874-D723F9065C15}"/>
    <cellStyle name="Normal 16 2 7 3" xfId="1159" xr:uid="{3AAB3E12-249C-4E19-A64B-374F72CF55AB}"/>
    <cellStyle name="Normal 16 2 7 4" xfId="1160" xr:uid="{5502D409-E357-432B-8152-06F9EA9E2A4C}"/>
    <cellStyle name="Normal 16 2 7 4 2" xfId="1161" xr:uid="{24C92096-6ECA-4F0B-BBB8-717A9B373EE9}"/>
    <cellStyle name="Normal 16 2 7 4 3" xfId="1162" xr:uid="{E7004C35-57DE-4D1E-A8EB-8058CAC5B9D7}"/>
    <cellStyle name="Normal 16 2 7 4 4" xfId="1163" xr:uid="{9D1B6954-5EC0-4D94-84DD-0EE7EA39CF69}"/>
    <cellStyle name="Normal 16 2 7 4 5" xfId="1164" xr:uid="{867D15BD-C1E2-40FF-980B-D5A590F409C6}"/>
    <cellStyle name="Normal 16 2 7 4 6" xfId="1165" xr:uid="{2E97EF23-20F1-4DAF-937F-29912A1723A0}"/>
    <cellStyle name="Normal 16 2 7 4 7" xfId="1166" xr:uid="{61E1C914-EDBC-4E94-8C0F-A9E3A98FAD7F}"/>
    <cellStyle name="Normal 16 2 7 4 8" xfId="1167" xr:uid="{12518BE0-76CE-48B2-A655-68A0699743BA}"/>
    <cellStyle name="Normal 16 2 7 5" xfId="1168" xr:uid="{9444B5A1-997A-45FF-B003-C894202322EA}"/>
    <cellStyle name="Normal 16 2 7 6" xfId="1169" xr:uid="{C76BB503-6D28-4E9C-91C2-78E0F3041371}"/>
    <cellStyle name="Normal 16 2 7 7" xfId="1170" xr:uid="{6115335A-663D-4F40-B8FA-C079F63EB174}"/>
    <cellStyle name="Normal 16 2 7 8" xfId="1171" xr:uid="{87CD2CFC-BD39-4DAD-8463-7FE17D3DBA25}"/>
    <cellStyle name="Normal 16 2 7 9" xfId="1172" xr:uid="{1158FBD7-B969-4EB6-B81A-787D98860D32}"/>
    <cellStyle name="Normal 16 2 8" xfId="1173" xr:uid="{359ADDC9-AE5C-4DBA-B3E0-B7E85E0340D3}"/>
    <cellStyle name="Normal 16 2 9" xfId="1174" xr:uid="{2DCF2D13-C57C-4605-A1CB-69755AC4F4F8}"/>
    <cellStyle name="Normal 16 3" xfId="1175" xr:uid="{9A87115F-753A-4547-B2EB-6A797ECA7F4C}"/>
    <cellStyle name="Normal 16 3 10" xfId="1176" xr:uid="{B60C4F09-EC15-4E47-92ED-8DBD2013DBAF}"/>
    <cellStyle name="Normal 16 3 10 2" xfId="1177" xr:uid="{52F7689F-2798-4536-9EA2-25949E6D27D9}"/>
    <cellStyle name="Normal 16 3 10 2 2" xfId="1178" xr:uid="{ADE84C7E-A0BD-419B-BEEF-D13F99E8BD78}"/>
    <cellStyle name="Normal 16 3 10 2 2 2" xfId="1179" xr:uid="{5C105061-E6BD-4FC6-9D7D-83ECE3B3C3ED}"/>
    <cellStyle name="Normal 16 3 10 2 2 3" xfId="1180" xr:uid="{E842706B-D932-4EE4-AD01-FE3292D52305}"/>
    <cellStyle name="Normal 16 3 10 2 2 4" xfId="1181" xr:uid="{4A0766A2-0E6A-4227-AA30-05C2CB81AE6A}"/>
    <cellStyle name="Normal 16 3 10 2 2 5" xfId="1182" xr:uid="{E97EBB8B-89A9-4A43-A1C9-413053CFE4CE}"/>
    <cellStyle name="Normal 16 3 10 2 2 6" xfId="1183" xr:uid="{35F55BB1-6E9A-4B38-85D4-F717A466B2A7}"/>
    <cellStyle name="Normal 16 3 10 2 2 7" xfId="1184" xr:uid="{0FDCB282-CC31-4B25-A745-94BDA7339027}"/>
    <cellStyle name="Normal 16 3 10 2 2 8" xfId="1185" xr:uid="{DF8E975F-8E28-4078-AB46-555ADE8EA84E}"/>
    <cellStyle name="Normal 16 3 10 2 3" xfId="1186" xr:uid="{494BE967-5FE6-4477-BF63-4762F52D312D}"/>
    <cellStyle name="Normal 16 3 10 2 4" xfId="1187" xr:uid="{1E1C22AD-4CC8-43AD-994B-011E0EC9FAF8}"/>
    <cellStyle name="Normal 16 3 10 2 5" xfId="1188" xr:uid="{ACCC726C-575F-4D87-A6A5-6A286A1C792E}"/>
    <cellStyle name="Normal 16 3 10 2 6" xfId="1189" xr:uid="{F36E232C-54C5-46B5-9810-1A7790F7E448}"/>
    <cellStyle name="Normal 16 3 10 2 7" xfId="1190" xr:uid="{15943F8B-EB73-4A60-92C1-4AD33A296AAF}"/>
    <cellStyle name="Normal 16 3 10 2 8" xfId="1191" xr:uid="{58AABD94-8E06-46AE-8912-499051E9C43E}"/>
    <cellStyle name="Normal 16 3 10 3" xfId="1192" xr:uid="{1B2021D9-BF90-492C-9FFA-54C07B176B37}"/>
    <cellStyle name="Normal 16 3 10 4" xfId="1193" xr:uid="{BFF1BD6F-4FFA-4920-B5F9-75999772F105}"/>
    <cellStyle name="Normal 16 3 10 5" xfId="1194" xr:uid="{FE77EC2B-847F-4DAC-98DB-8EA226691A6A}"/>
    <cellStyle name="Normal 16 3 10 6" xfId="1195" xr:uid="{82488294-9041-4AD2-AEF3-C06FEFDCA15A}"/>
    <cellStyle name="Normal 16 3 10 7" xfId="1196" xr:uid="{EC313795-BE4E-4CBD-B7CE-2F3367B8E0CC}"/>
    <cellStyle name="Normal 16 3 10 8" xfId="1197" xr:uid="{E5322C65-4AFC-45AD-8720-F4CD1339B947}"/>
    <cellStyle name="Normal 16 3 10 9" xfId="1198" xr:uid="{7181332B-5888-49D9-9BA9-CD6C8F30032E}"/>
    <cellStyle name="Normal 16 3 11" xfId="1199" xr:uid="{C4348C84-3A73-4D78-9A58-D98DF10DCD20}"/>
    <cellStyle name="Normal 16 3 11 2" xfId="1200" xr:uid="{4F483D41-BFE5-42DB-89C5-230713654455}"/>
    <cellStyle name="Normal 16 3 11 3" xfId="1201" xr:uid="{AB514081-507E-4F32-98A2-944B2659EEB7}"/>
    <cellStyle name="Normal 16 3 11 4" xfId="1202" xr:uid="{92578BD2-D953-40C2-8778-97072A480E57}"/>
    <cellStyle name="Normal 16 3 11 5" xfId="1203" xr:uid="{AD3D183F-1C4C-4AA5-8F88-CE628A76757B}"/>
    <cellStyle name="Normal 16 3 11 6" xfId="1204" xr:uid="{BA5F0025-F6FD-43C0-9D43-9BF59885C8DB}"/>
    <cellStyle name="Normal 16 3 11 7" xfId="1205" xr:uid="{1DBCF97C-19D1-41E7-9259-F330EDFBD19C}"/>
    <cellStyle name="Normal 16 3 11 8" xfId="1206" xr:uid="{C443B251-03B3-4B9B-BCA2-8F696D528AC1}"/>
    <cellStyle name="Normal 16 3 12" xfId="1207" xr:uid="{9909AF20-AA31-4E34-9F93-928DB4341D3C}"/>
    <cellStyle name="Normal 16 3 13" xfId="1208" xr:uid="{975FDA28-C03C-46E2-9FA5-9D7B68BEEC1C}"/>
    <cellStyle name="Normal 16 3 14" xfId="1209" xr:uid="{61B96F39-4E23-4E47-B433-26E0AA421E1A}"/>
    <cellStyle name="Normal 16 3 15" xfId="1210" xr:uid="{2A4E1EF2-6399-4812-870A-E9A2BC9ED691}"/>
    <cellStyle name="Normal 16 3 16" xfId="1211" xr:uid="{71E54BAA-463A-4E60-898A-478E4F5101E8}"/>
    <cellStyle name="Normal 16 3 17" xfId="1212" xr:uid="{2076A9C9-9F23-419B-BBCB-DEE7269E92F0}"/>
    <cellStyle name="Normal 16 3 2" xfId="1213" xr:uid="{8AB06F89-4AF5-46DF-B782-131650DB3D6A}"/>
    <cellStyle name="Normal 16 3 2 10" xfId="1214" xr:uid="{D0583E9C-B99F-4836-8392-B187DA4D813B}"/>
    <cellStyle name="Normal 16 3 2 10 2" xfId="1215" xr:uid="{5B83D6B9-2858-42F8-9A47-694BEB493BD5}"/>
    <cellStyle name="Normal 16 3 2 10 2 2" xfId="1216" xr:uid="{748A1B6D-94DB-4DF0-B709-5E0CDA129B7C}"/>
    <cellStyle name="Normal 16 3 2 10 2 2 2" xfId="1217" xr:uid="{11268C66-95AB-46AB-93F5-A163E66AAD91}"/>
    <cellStyle name="Normal 16 3 2 10 2 2 3" xfId="1218" xr:uid="{F1D9B345-E849-4E42-B5A3-DF14B934CF20}"/>
    <cellStyle name="Normal 16 3 2 10 2 2 4" xfId="1219" xr:uid="{E183A95C-7509-4FBF-88D7-C4D2B7C027E3}"/>
    <cellStyle name="Normal 16 3 2 10 2 2 5" xfId="1220" xr:uid="{04F361B4-65A1-4CA2-8842-7AB68CB900E7}"/>
    <cellStyle name="Normal 16 3 2 10 2 2 6" xfId="1221" xr:uid="{DC17248C-CC72-477B-9976-C8A30C0FC5DB}"/>
    <cellStyle name="Normal 16 3 2 10 2 2 7" xfId="1222" xr:uid="{242B2911-8301-46EA-8D3F-50E4624BC533}"/>
    <cellStyle name="Normal 16 3 2 10 2 2 8" xfId="1223" xr:uid="{C41698AE-915C-4ED1-AD05-18707A1C1241}"/>
    <cellStyle name="Normal 16 3 2 10 2 3" xfId="1224" xr:uid="{860A55E4-1A83-4368-82CB-B6D25FBE4E38}"/>
    <cellStyle name="Normal 16 3 2 10 2 4" xfId="1225" xr:uid="{A679BACB-EE8F-41C0-8819-4B1961EA093B}"/>
    <cellStyle name="Normal 16 3 2 10 2 5" xfId="1226" xr:uid="{8CDE9411-CD50-45AE-B6E7-17A9113D4CAD}"/>
    <cellStyle name="Normal 16 3 2 10 2 6" xfId="1227" xr:uid="{F8E2EC6A-C0E4-446F-9829-FF965421625D}"/>
    <cellStyle name="Normal 16 3 2 10 2 7" xfId="1228" xr:uid="{2B75D703-2AE7-466A-BFD0-EB1EFA2C17B3}"/>
    <cellStyle name="Normal 16 3 2 10 2 8" xfId="1229" xr:uid="{E15522EB-881B-4102-933D-4BFC7D5F017D}"/>
    <cellStyle name="Normal 16 3 2 10 3" xfId="1230" xr:uid="{4D486E64-47AE-44DB-92A1-D58DB79373BB}"/>
    <cellStyle name="Normal 16 3 2 10 4" xfId="1231" xr:uid="{BE2F65F3-732C-4F19-806B-A5360B0B76EF}"/>
    <cellStyle name="Normal 16 3 2 10 5" xfId="1232" xr:uid="{FF06C48E-FF12-4759-A224-B04E26A02477}"/>
    <cellStyle name="Normal 16 3 2 10 6" xfId="1233" xr:uid="{122AB7C5-6734-4520-9F4B-ACF7A4A110F5}"/>
    <cellStyle name="Normal 16 3 2 10 7" xfId="1234" xr:uid="{AE0C0044-FF21-43EB-AB94-85B17BEC8A69}"/>
    <cellStyle name="Normal 16 3 2 10 8" xfId="1235" xr:uid="{63714F81-0068-438E-8F9C-B97EE4EF99D9}"/>
    <cellStyle name="Normal 16 3 2 10 9" xfId="1236" xr:uid="{3D519051-6423-41DC-BE8E-F12E1C62D830}"/>
    <cellStyle name="Normal 16 3 2 11" xfId="1237" xr:uid="{F18958BA-2211-4300-B295-BF1D6679FD10}"/>
    <cellStyle name="Normal 16 3 2 11 2" xfId="1238" xr:uid="{ADDC036E-4A44-4D88-BC67-67979A37E279}"/>
    <cellStyle name="Normal 16 3 2 11 3" xfId="1239" xr:uid="{3CA40201-18BD-4FAE-B4F9-6D99485C8CD5}"/>
    <cellStyle name="Normal 16 3 2 11 4" xfId="1240" xr:uid="{07BFEA6F-E92A-481C-A820-821B3A3ED4A0}"/>
    <cellStyle name="Normal 16 3 2 11 5" xfId="1241" xr:uid="{F4BDB5B9-4193-42FB-8FEE-13CEC48C86A7}"/>
    <cellStyle name="Normal 16 3 2 11 6" xfId="1242" xr:uid="{8E8B4CF9-0A56-4CF7-BD55-551256F7ECE8}"/>
    <cellStyle name="Normal 16 3 2 11 7" xfId="1243" xr:uid="{FB34D92A-1AB3-4935-920E-435A9F383B12}"/>
    <cellStyle name="Normal 16 3 2 11 8" xfId="1244" xr:uid="{6036837E-30AD-4AC6-9479-1A39C66D4C9C}"/>
    <cellStyle name="Normal 16 3 2 12" xfId="1245" xr:uid="{08551549-FB72-44C6-AF2F-69ED313AEB82}"/>
    <cellStyle name="Normal 16 3 2 13" xfId="1246" xr:uid="{859EF423-8862-4D2C-8346-B3BA0106CC71}"/>
    <cellStyle name="Normal 16 3 2 14" xfId="1247" xr:uid="{30FC994D-5361-42E4-A268-23DB9FA9033A}"/>
    <cellStyle name="Normal 16 3 2 15" xfId="1248" xr:uid="{DA2EA303-C8F9-4A0E-A9EF-BB66B7632D46}"/>
    <cellStyle name="Normal 16 3 2 16" xfId="1249" xr:uid="{4E50373B-4CED-41B5-A6CA-E745D7FA58F4}"/>
    <cellStyle name="Normal 16 3 2 17" xfId="1250" xr:uid="{DB2B3CF8-5F19-4C78-BCA5-511AB7F2F4AD}"/>
    <cellStyle name="Normal 16 3 2 2" xfId="1251" xr:uid="{DD676745-C0EB-4AED-97E8-141F449A0C45}"/>
    <cellStyle name="Normal 16 3 2 2 10" xfId="1252" xr:uid="{443F3975-C090-4686-B7B4-737BBB4F428D}"/>
    <cellStyle name="Normal 16 3 2 2 2" xfId="1253" xr:uid="{4D3D2F9A-B777-4CDC-9F5E-9591A1743021}"/>
    <cellStyle name="Normal 16 3 2 2 2 2" xfId="1254" xr:uid="{85790B1E-F5FC-48CA-83AF-AB4A340485CD}"/>
    <cellStyle name="Normal 16 3 2 2 2 2 2" xfId="1255" xr:uid="{B9DE16EE-3555-4C6B-BD6E-5EA00DEE03CA}"/>
    <cellStyle name="Normal 16 3 2 2 2 2 2 2" xfId="1256" xr:uid="{1ECB7FB2-5740-4D8E-922F-24CEBD194B28}"/>
    <cellStyle name="Normal 16 3 2 2 2 2 2 3" xfId="1257" xr:uid="{0904AE77-1D1D-4BF5-91E2-E12640FFB6C4}"/>
    <cellStyle name="Normal 16 3 2 2 2 2 2 4" xfId="1258" xr:uid="{B89007C9-36F4-4979-92C2-DAFFD7EAC2A6}"/>
    <cellStyle name="Normal 16 3 2 2 2 2 2 5" xfId="1259" xr:uid="{0B6F5F68-C825-4299-9FAA-1BA6AD51EC00}"/>
    <cellStyle name="Normal 16 3 2 2 2 2 2 6" xfId="1260" xr:uid="{C194C39B-1AA0-4893-9ACF-B1030090F048}"/>
    <cellStyle name="Normal 16 3 2 2 2 2 2 7" xfId="1261" xr:uid="{9D8A3DD8-4FAC-4ED8-984C-61A293A7029C}"/>
    <cellStyle name="Normal 16 3 2 2 2 2 2 8" xfId="1262" xr:uid="{3DFAD143-ED68-4008-A048-960288505F58}"/>
    <cellStyle name="Normal 16 3 2 2 2 2 3" xfId="1263" xr:uid="{C7F0BC17-293E-4508-BF68-F87499582EBC}"/>
    <cellStyle name="Normal 16 3 2 2 2 2 4" xfId="1264" xr:uid="{06C99ABE-9C75-41B9-94ED-74523E5B5C8A}"/>
    <cellStyle name="Normal 16 3 2 2 2 2 5" xfId="1265" xr:uid="{1B70FFC7-40C2-49A8-A672-1F54BEE597F2}"/>
    <cellStyle name="Normal 16 3 2 2 2 2 6" xfId="1266" xr:uid="{0AE2562A-8648-4F9F-8A5E-68C1B65B6ECD}"/>
    <cellStyle name="Normal 16 3 2 2 2 2 7" xfId="1267" xr:uid="{CDF04A3C-BCA6-47FC-A307-6D3F1750E43D}"/>
    <cellStyle name="Normal 16 3 2 2 2 2 8" xfId="1268" xr:uid="{A11DD92F-5425-4A2B-8FC6-A85FC9851C35}"/>
    <cellStyle name="Normal 16 3 2 2 2 3" xfId="1269" xr:uid="{B843F59F-9273-4A85-9558-5A62386ECDFA}"/>
    <cellStyle name="Normal 16 3 2 2 2 4" xfId="1270" xr:uid="{A04B45A8-AA40-4B6D-B513-AA9EFD68FE80}"/>
    <cellStyle name="Normal 16 3 2 2 2 5" xfId="1271" xr:uid="{5DDC5B69-6D0F-439D-BB90-9A07D9A48B07}"/>
    <cellStyle name="Normal 16 3 2 2 2 6" xfId="1272" xr:uid="{63D84773-264E-49E2-8C8D-502C39292A2C}"/>
    <cellStyle name="Normal 16 3 2 2 2 7" xfId="1273" xr:uid="{0E0672FC-829E-45E0-978F-88048BBAA309}"/>
    <cellStyle name="Normal 16 3 2 2 2 8" xfId="1274" xr:uid="{3EE2D516-88C8-4ACB-B5AC-04D043C1A0DB}"/>
    <cellStyle name="Normal 16 3 2 2 2 9" xfId="1275" xr:uid="{CF07F9F9-B752-4FAC-B5D4-9CE42480EA71}"/>
    <cellStyle name="Normal 16 3 2 2 3" xfId="1276" xr:uid="{BC868D68-A2BE-40D4-9D0B-E165F5659ADE}"/>
    <cellStyle name="Normal 16 3 2 2 4" xfId="1277" xr:uid="{6F1B9F10-9A30-408A-8E68-A0AFD0AC716F}"/>
    <cellStyle name="Normal 16 3 2 2 4 2" xfId="1278" xr:uid="{0E10C747-1209-4B3E-9F26-59EC3B1E0A93}"/>
    <cellStyle name="Normal 16 3 2 2 4 3" xfId="1279" xr:uid="{91E1D4D7-E8E4-407E-899A-07C84D449965}"/>
    <cellStyle name="Normal 16 3 2 2 4 4" xfId="1280" xr:uid="{A75A1CCA-4B20-4A6B-B13D-44424DB53047}"/>
    <cellStyle name="Normal 16 3 2 2 4 5" xfId="1281" xr:uid="{D7E764A1-8894-4EE8-83D4-8AEA86460209}"/>
    <cellStyle name="Normal 16 3 2 2 4 6" xfId="1282" xr:uid="{CB7388C6-294A-49B4-8FD1-ADF070C833C7}"/>
    <cellStyle name="Normal 16 3 2 2 4 7" xfId="1283" xr:uid="{BCFA9E92-1155-417E-B465-06120CA96DFE}"/>
    <cellStyle name="Normal 16 3 2 2 4 8" xfId="1284" xr:uid="{A665FF95-307A-42C7-A809-05F91E652F83}"/>
    <cellStyle name="Normal 16 3 2 2 5" xfId="1285" xr:uid="{08CF0BC3-DD07-4302-A03F-ABCE610E2D49}"/>
    <cellStyle name="Normal 16 3 2 2 6" xfId="1286" xr:uid="{03EA0F8D-ACD4-4E01-B0BF-F1CFC3303ABC}"/>
    <cellStyle name="Normal 16 3 2 2 7" xfId="1287" xr:uid="{64640DF0-99F6-49F4-9AB7-73BD595D3AAD}"/>
    <cellStyle name="Normal 16 3 2 2 8" xfId="1288" xr:uid="{02FF4C17-44C7-4046-9EFD-D5C5ED74A4CF}"/>
    <cellStyle name="Normal 16 3 2 2 9" xfId="1289" xr:uid="{54FFB9F0-DBEA-496B-B381-61AA410BD4DB}"/>
    <cellStyle name="Normal 16 3 2 3" xfId="1290" xr:uid="{E7279822-DF94-4FC6-A7BF-43AB4E4DB8D2}"/>
    <cellStyle name="Normal 16 3 2 4" xfId="1291" xr:uid="{C2DAFC38-19F2-43F3-BFF6-AA9F356AF000}"/>
    <cellStyle name="Normal 16 3 2 5" xfId="1292" xr:uid="{39BB1F09-313B-428A-A7E5-0DC4C5574D4A}"/>
    <cellStyle name="Normal 16 3 2 6" xfId="1293" xr:uid="{73F7BD5A-40C0-40B8-8D28-42FBF586314F}"/>
    <cellStyle name="Normal 16 3 2 7" xfId="1294" xr:uid="{66180E85-D965-4111-BFF7-326A3919FA47}"/>
    <cellStyle name="Normal 16 3 2 8" xfId="1295" xr:uid="{0B172F59-593B-4633-9D3A-4489B2B904F7}"/>
    <cellStyle name="Normal 16 3 2 9" xfId="1296" xr:uid="{B96CC1D7-2814-434F-807F-A0729ADFCAE2}"/>
    <cellStyle name="Normal 16 3 3" xfId="1297" xr:uid="{083CE425-4C2F-488E-A63E-082702DC4C1C}"/>
    <cellStyle name="Normal 16 3 3 10" xfId="1298" xr:uid="{3AC87AEE-4214-480F-8A96-6D95883E0613}"/>
    <cellStyle name="Normal 16 3 3 2" xfId="1299" xr:uid="{392A6676-2848-4879-AED7-0494917951CF}"/>
    <cellStyle name="Normal 16 3 3 2 2" xfId="1300" xr:uid="{5F5C027B-315A-4964-A043-D9554697DDBF}"/>
    <cellStyle name="Normal 16 3 3 2 2 2" xfId="1301" xr:uid="{E70B436D-F947-4A74-8884-1C151D178BAF}"/>
    <cellStyle name="Normal 16 3 3 2 2 2 2" xfId="1302" xr:uid="{A9A09684-4D27-4310-8613-F930F8829B53}"/>
    <cellStyle name="Normal 16 3 3 2 2 2 3" xfId="1303" xr:uid="{2C82F769-AF18-4D8E-B1E8-3CD9F7CCC588}"/>
    <cellStyle name="Normal 16 3 3 2 2 2 4" xfId="1304" xr:uid="{C5CA5939-7B85-4B91-91B4-CEF30503C5D0}"/>
    <cellStyle name="Normal 16 3 3 2 2 2 5" xfId="1305" xr:uid="{80098604-C196-4056-8460-F014E882122E}"/>
    <cellStyle name="Normal 16 3 3 2 2 2 6" xfId="1306" xr:uid="{F38B8984-D7CB-452A-B0CC-D60F335D436A}"/>
    <cellStyle name="Normal 16 3 3 2 2 2 7" xfId="1307" xr:uid="{D80B5690-910F-47AB-8F83-BB2A48FDCEC4}"/>
    <cellStyle name="Normal 16 3 3 2 2 2 8" xfId="1308" xr:uid="{0648980B-10F0-4AD5-AD85-BB3325CF4DC6}"/>
    <cellStyle name="Normal 16 3 3 2 2 3" xfId="1309" xr:uid="{D4AA7C94-56CC-48DA-B1EA-0A66FD38430E}"/>
    <cellStyle name="Normal 16 3 3 2 2 4" xfId="1310" xr:uid="{476D0861-F144-4432-BD91-91E45E499624}"/>
    <cellStyle name="Normal 16 3 3 2 2 5" xfId="1311" xr:uid="{2C019EEC-BB8C-4656-A65C-A78EB27C6138}"/>
    <cellStyle name="Normal 16 3 3 2 2 6" xfId="1312" xr:uid="{45598FBF-C534-45BF-BA5F-BD2EF82C7031}"/>
    <cellStyle name="Normal 16 3 3 2 2 7" xfId="1313" xr:uid="{27AD8C53-F5AC-4E3F-8629-4EAE7C11D80C}"/>
    <cellStyle name="Normal 16 3 3 2 2 8" xfId="1314" xr:uid="{309B0E3E-802C-4061-B353-22F04BF00408}"/>
    <cellStyle name="Normal 16 3 3 2 3" xfId="1315" xr:uid="{45AE202B-DFA1-4CA2-AAAD-63ABAA39E2D2}"/>
    <cellStyle name="Normal 16 3 3 2 4" xfId="1316" xr:uid="{E8F1474B-C13B-4C0C-9385-2BE9DE3F61AC}"/>
    <cellStyle name="Normal 16 3 3 2 5" xfId="1317" xr:uid="{FD9781F4-3723-4E7C-88F5-B88C2B166500}"/>
    <cellStyle name="Normal 16 3 3 2 6" xfId="1318" xr:uid="{3D84900B-5790-4EF9-9795-B4C8AB2391D2}"/>
    <cellStyle name="Normal 16 3 3 2 7" xfId="1319" xr:uid="{0273332E-FD7D-491E-839C-2D895CE8E386}"/>
    <cellStyle name="Normal 16 3 3 2 8" xfId="1320" xr:uid="{348A0A02-9B76-4CC7-A6D5-FFE21CF2C031}"/>
    <cellStyle name="Normal 16 3 3 2 9" xfId="1321" xr:uid="{02FF5721-5FDB-464B-BB3B-EF4429A8CEAB}"/>
    <cellStyle name="Normal 16 3 3 3" xfId="1322" xr:uid="{5B4868C2-5778-48DB-A046-E686605279CF}"/>
    <cellStyle name="Normal 16 3 3 4" xfId="1323" xr:uid="{051ED507-BFD2-4CE7-B0E9-58133A4DBBD9}"/>
    <cellStyle name="Normal 16 3 3 4 2" xfId="1324" xr:uid="{CA961BDD-DD83-41C0-9C2A-329F5BA036A8}"/>
    <cellStyle name="Normal 16 3 3 4 3" xfId="1325" xr:uid="{DE465503-6175-4B80-8E31-BC8C2A58204E}"/>
    <cellStyle name="Normal 16 3 3 4 4" xfId="1326" xr:uid="{5339C04F-4D23-4C4C-A9C7-477D864B16C4}"/>
    <cellStyle name="Normal 16 3 3 4 5" xfId="1327" xr:uid="{491DBF6D-4306-4A43-830B-DAE4347F59E4}"/>
    <cellStyle name="Normal 16 3 3 4 6" xfId="1328" xr:uid="{4C493AB6-353A-47B8-8A74-91B83DDAF890}"/>
    <cellStyle name="Normal 16 3 3 4 7" xfId="1329" xr:uid="{BD0ADAB3-36F8-48A4-8CE5-3F8C80899019}"/>
    <cellStyle name="Normal 16 3 3 4 8" xfId="1330" xr:uid="{D9A8DA92-91A7-4252-834A-FD2CBE8CA546}"/>
    <cellStyle name="Normal 16 3 3 5" xfId="1331" xr:uid="{3F9F7723-14BA-4129-92F8-ACD66D1DEC74}"/>
    <cellStyle name="Normal 16 3 3 6" xfId="1332" xr:uid="{CEDF2047-10A1-4629-A85B-BE0B7B2F447A}"/>
    <cellStyle name="Normal 16 3 3 7" xfId="1333" xr:uid="{44555176-E855-408E-8668-437EB5227421}"/>
    <cellStyle name="Normal 16 3 3 8" xfId="1334" xr:uid="{AB61B0F6-9668-4750-8502-12722F7E23F0}"/>
    <cellStyle name="Normal 16 3 3 9" xfId="1335" xr:uid="{48C935B8-B7E8-4D6A-A04E-5D4622DD81F2}"/>
    <cellStyle name="Normal 16 3 4" xfId="1336" xr:uid="{D294F7F9-E1E9-4781-AD2D-D943806D5437}"/>
    <cellStyle name="Normal 16 3 5" xfId="1337" xr:uid="{792EE6A7-BC12-44A5-8E0D-057FB6D31B72}"/>
    <cellStyle name="Normal 16 3 6" xfId="1338" xr:uid="{4917FD27-F675-4918-BF02-35D50B681E6E}"/>
    <cellStyle name="Normal 16 3 7" xfId="1339" xr:uid="{E768849C-A2C6-41BA-B1DB-3361D4E9E985}"/>
    <cellStyle name="Normal 16 3 8" xfId="1340" xr:uid="{1B9B79DD-0FE3-4899-AFE0-DFE2A6EE8C5D}"/>
    <cellStyle name="Normal 16 3 9" xfId="1341" xr:uid="{445EDC26-F01B-46AE-A9F0-CA030283D657}"/>
    <cellStyle name="Normal 16 4" xfId="1342" xr:uid="{BD4D5DD9-1451-4892-9A03-0F30C5798699}"/>
    <cellStyle name="Normal 16 5" xfId="1343" xr:uid="{C390E98B-33DC-45A3-B830-5A1595BE60A0}"/>
    <cellStyle name="Normal 16 6" xfId="1344" xr:uid="{5C3FA5CB-20A5-4A84-BF7E-7BB02D31495A}"/>
    <cellStyle name="Normal 16 7" xfId="1345" xr:uid="{CA8EBAAC-4632-423A-83BC-DF31B1285E6A}"/>
    <cellStyle name="Normal 16 8" xfId="1346" xr:uid="{E1311DEE-9C4A-438A-9CAD-478E23110CEB}"/>
    <cellStyle name="Normal 16 9" xfId="13608" xr:uid="{AB112F52-CFA1-4F63-AA12-35B82D98EFD1}"/>
    <cellStyle name="Normal 17" xfId="1347" xr:uid="{251BEB94-6327-411D-BBF6-0AF6601E8780}"/>
    <cellStyle name="Normal 17 10" xfId="1348" xr:uid="{76FE8DFC-D941-48B9-82F0-21723894DD1F}"/>
    <cellStyle name="Normal 17 11" xfId="1349" xr:uid="{32F7DCEB-0075-4051-8B0D-9FED00832116}"/>
    <cellStyle name="Normal 17 12" xfId="1350" xr:uid="{213A0770-23E6-42ED-AE18-9E4AD7F031AE}"/>
    <cellStyle name="Normal 17 13" xfId="1351" xr:uid="{3E32B568-84E1-455D-991D-8C0066873A23}"/>
    <cellStyle name="Normal 17 14" xfId="1352" xr:uid="{0BB532F9-FABD-49E0-AB3F-90049E4DB8DF}"/>
    <cellStyle name="Normal 17 15" xfId="1353" xr:uid="{2D7C277E-B851-42DA-999A-CF621724AB35}"/>
    <cellStyle name="Normal 17 16" xfId="1354" xr:uid="{9DCD61F1-4880-446D-AEA9-B27D46F0D169}"/>
    <cellStyle name="Normal 17 17" xfId="1355" xr:uid="{9EE38548-9501-451A-93AC-0A24F31B49BF}"/>
    <cellStyle name="Normal 17 18" xfId="1356" xr:uid="{FA3ED298-36B0-438A-A5F4-10850DB25278}"/>
    <cellStyle name="Normal 17 19" xfId="1357" xr:uid="{BDEAE8B3-FEED-4406-914C-AD78484DA39A}"/>
    <cellStyle name="Normal 17 2" xfId="1358" xr:uid="{9D4EDD70-FA54-4B92-B05A-08E1B5F6DF03}"/>
    <cellStyle name="Normal 17 20" xfId="1359" xr:uid="{05E584C4-F571-40F0-932C-41FE93F51E24}"/>
    <cellStyle name="Normal 17 21" xfId="1360" xr:uid="{A4F6CE59-05AC-44CF-B05E-A38929E22DE4}"/>
    <cellStyle name="Normal 17 22" xfId="1361" xr:uid="{175E67EA-070E-45B2-828C-221163A18885}"/>
    <cellStyle name="Normal 17 23" xfId="13609" xr:uid="{233D7FBA-B6B3-44EA-A978-8D24A10A2FAB}"/>
    <cellStyle name="Normal 17 3" xfId="1362" xr:uid="{76F8C013-6666-4DB6-97DE-82E4DC8AE5AE}"/>
    <cellStyle name="Normal 17 4" xfId="1363" xr:uid="{55C3BA4C-D728-446B-95FF-1E1DAD4B8CCF}"/>
    <cellStyle name="Normal 17 5" xfId="1364" xr:uid="{B20E04E2-7B95-472B-9CC1-7FAAF6414F0B}"/>
    <cellStyle name="Normal 17 6" xfId="1365" xr:uid="{6B209681-EB4C-47B7-A57A-E733B1472987}"/>
    <cellStyle name="Normal 17 7" xfId="1366" xr:uid="{B5CEEA3B-7182-4153-ABEA-51D79F1B2ABD}"/>
    <cellStyle name="Normal 17 8" xfId="1367" xr:uid="{F7BE7E71-1019-46DD-A6A7-A9E199E03976}"/>
    <cellStyle name="Normal 17 9" xfId="1368" xr:uid="{EA9DED09-38AD-4281-B650-E4811687B779}"/>
    <cellStyle name="Normal 18" xfId="1369" xr:uid="{764C3D16-AE54-4C10-BF23-535CC5AE33BC}"/>
    <cellStyle name="Normal 18 10" xfId="1370" xr:uid="{5196D936-DBC0-4509-AF70-B7EAAD123534}"/>
    <cellStyle name="Normal 18 11" xfId="1371" xr:uid="{36CF1E44-AFFC-41A7-81E8-C065F9C3E8C5}"/>
    <cellStyle name="Normal 18 12" xfId="1372" xr:uid="{A992019E-48AC-4E42-B6AC-81D7402F4491}"/>
    <cellStyle name="Normal 18 13" xfId="1373" xr:uid="{747D52BE-1C47-43F2-B646-99C2EDD40D27}"/>
    <cellStyle name="Normal 18 14" xfId="1374" xr:uid="{3D914515-670D-4B4C-802A-65123EC5BCA4}"/>
    <cellStyle name="Normal 18 15" xfId="1375" xr:uid="{54779816-18E4-4DD0-8E7B-9197298A9564}"/>
    <cellStyle name="Normal 18 16" xfId="1376" xr:uid="{9056979A-FF08-4E88-83D8-6CD7571E48BB}"/>
    <cellStyle name="Normal 18 17" xfId="1377" xr:uid="{7BE606D3-FFE2-47A6-B50A-EE8FB4F994BC}"/>
    <cellStyle name="Normal 18 18" xfId="1378" xr:uid="{0BBA4055-CBCF-4158-94B1-DF4674D75F55}"/>
    <cellStyle name="Normal 18 19" xfId="1379" xr:uid="{B68B87F5-88AD-4D4F-887E-E6EF64DF1CE7}"/>
    <cellStyle name="Normal 18 2" xfId="1380" xr:uid="{1E80ECC5-55B6-4DB2-9800-6FB2FC4AE66D}"/>
    <cellStyle name="Normal 18 20" xfId="1381" xr:uid="{17E3441D-64FC-49DB-AE2F-8E4060872118}"/>
    <cellStyle name="Normal 18 21" xfId="1382" xr:uid="{2CB1611A-4636-4429-B291-AD25686AA4EB}"/>
    <cellStyle name="Normal 18 22" xfId="1383" xr:uid="{13D58CEE-1D01-40DD-AF6F-613DBE0BD847}"/>
    <cellStyle name="Normal 18 23" xfId="13610" xr:uid="{3A6916E2-8711-4B99-A8B3-8A287DEEC57E}"/>
    <cellStyle name="Normal 18 3" xfId="1384" xr:uid="{54102DDA-1104-483B-940F-6957AFE155A1}"/>
    <cellStyle name="Normal 18 4" xfId="1385" xr:uid="{8D61B976-8748-4374-9B11-DB1C875A56E8}"/>
    <cellStyle name="Normal 18 5" xfId="1386" xr:uid="{99400D3D-E00D-4C05-9E56-ED6F4B373067}"/>
    <cellStyle name="Normal 18 6" xfId="1387" xr:uid="{B7813ED2-6562-4529-A32A-C5750346852C}"/>
    <cellStyle name="Normal 18 7" xfId="1388" xr:uid="{A61227FD-C178-49A6-9710-7E1083548F2A}"/>
    <cellStyle name="Normal 18 8" xfId="1389" xr:uid="{556E6709-4DF0-4D29-AFBE-F4B2601CC39A}"/>
    <cellStyle name="Normal 18 9" xfId="1390" xr:uid="{1F8ACC05-9914-4CDE-819B-AAE83808CA5C}"/>
    <cellStyle name="Normal 19" xfId="13760" xr:uid="{0CB39D8D-F8A5-41D4-B38C-77FDEEC78112}"/>
    <cellStyle name="Normal 19 2" xfId="1391" xr:uid="{97D18615-5D4B-4536-A23B-DF1A6D758E46}"/>
    <cellStyle name="Normal 19 3" xfId="1392" xr:uid="{C3462BE5-E5AB-48B1-956D-A3B727A1F2F1}"/>
    <cellStyle name="Normal 19 4" xfId="1393" xr:uid="{8F7999C2-6BD7-42FE-BC79-B79205C73FCE}"/>
    <cellStyle name="Normal 19 5" xfId="1394" xr:uid="{37E5B9F8-A7D1-46E3-9575-A825331AE2F2}"/>
    <cellStyle name="Normal 19 6" xfId="1395" xr:uid="{46C71D4D-3B4A-4E74-A3BF-E9867A9CD941}"/>
    <cellStyle name="Normal 19 7" xfId="1396" xr:uid="{71A3D49F-F228-45B5-82CC-208C8535E362}"/>
    <cellStyle name="Normal 19 8" xfId="1397" xr:uid="{98F2180B-2DC8-4E1F-9346-4E86DD117102}"/>
    <cellStyle name="Normal 2" xfId="44" xr:uid="{63A0176D-1126-463E-BB83-5831390E632C}"/>
    <cellStyle name="Normal 2 10" xfId="1399" xr:uid="{11F48FD0-972B-4E74-916D-80BEC401E0FF}"/>
    <cellStyle name="Normal 2 11" xfId="1400" xr:uid="{C5C5EC7E-50C5-45F7-9EC8-5FA63064CD18}"/>
    <cellStyle name="Normal 2 12" xfId="1401" xr:uid="{BF9FB0D3-BFF7-4062-B212-D5154A423A2D}"/>
    <cellStyle name="Normal 2 12 10" xfId="1402" xr:uid="{5C82F4B4-F2B3-4167-8F38-A632E4B63B81}"/>
    <cellStyle name="Normal 2 12 11" xfId="1403" xr:uid="{34FC15C0-D396-449F-8BC8-DD69A54B2852}"/>
    <cellStyle name="Normal 2 12 12" xfId="1404" xr:uid="{59B88623-0772-4182-821F-2DD7C876E4AF}"/>
    <cellStyle name="Normal 2 12 13" xfId="1405" xr:uid="{23ACD3F9-332C-4476-83AA-5F83F6BA77B9}"/>
    <cellStyle name="Normal 2 12 14" xfId="1406" xr:uid="{004C376D-18CB-4CBA-883B-250CE7837DE8}"/>
    <cellStyle name="Normal 2 12 15" xfId="1407" xr:uid="{5BEDFE21-EA67-4A86-91E9-308F2FD17328}"/>
    <cellStyle name="Normal 2 12 15 2" xfId="1408" xr:uid="{61727E85-5DA1-4BBF-943D-D4A04378B4BD}"/>
    <cellStyle name="Normal 2 12 15 2 2" xfId="1409" xr:uid="{E2E00EFD-5CD8-4C58-B688-718E9E43814B}"/>
    <cellStyle name="Normal 2 12 15 2 2 2" xfId="1410" xr:uid="{75676291-C5A7-4554-A705-CFE4E9CA698B}"/>
    <cellStyle name="Normal 2 12 15 2 2 3" xfId="1411" xr:uid="{1A271FB4-2740-4844-BA00-3CA7D5BCAD07}"/>
    <cellStyle name="Normal 2 12 15 2 2 4" xfId="1412" xr:uid="{8D625EB6-A603-4D00-880C-CACC76DBFDC5}"/>
    <cellStyle name="Normal 2 12 15 2 2 5" xfId="1413" xr:uid="{41F47733-A10F-4BE5-BE29-D1CBB764F2D3}"/>
    <cellStyle name="Normal 2 12 15 2 2 6" xfId="1414" xr:uid="{72D0DB13-4D4A-424C-83D7-8517A7232968}"/>
    <cellStyle name="Normal 2 12 15 2 2 7" xfId="1415" xr:uid="{1C5BB30E-1F51-4AE2-A4A5-CB39E3A87066}"/>
    <cellStyle name="Normal 2 12 15 2 2 8" xfId="1416" xr:uid="{506A155F-AF25-4CD5-81CE-E6C572FEEBF6}"/>
    <cellStyle name="Normal 2 12 15 2 3" xfId="1417" xr:uid="{2628EDA8-BFBF-4684-87C3-EA3B64D32CBC}"/>
    <cellStyle name="Normal 2 12 15 2 4" xfId="1418" xr:uid="{3F9BC14C-B8F3-4E68-BB69-F5391B339565}"/>
    <cellStyle name="Normal 2 12 15 2 5" xfId="1419" xr:uid="{F0A4E8D5-31D1-48A6-9F3B-B7533D2406F8}"/>
    <cellStyle name="Normal 2 12 15 2 6" xfId="1420" xr:uid="{1A4669DB-3ABA-4784-B161-60724CF43CFE}"/>
    <cellStyle name="Normal 2 12 15 2 7" xfId="1421" xr:uid="{149B857B-08E0-453B-8504-0876069ECE04}"/>
    <cellStyle name="Normal 2 12 15 2 8" xfId="1422" xr:uid="{A663FA3B-7410-4D7E-91B9-1E373C81EE32}"/>
    <cellStyle name="Normal 2 12 15 3" xfId="1423" xr:uid="{30F323A4-964A-4987-B16D-B9243322EC67}"/>
    <cellStyle name="Normal 2 12 15 4" xfId="1424" xr:uid="{B4D47EE0-90B2-4E15-ABEE-2F36BA8D4C44}"/>
    <cellStyle name="Normal 2 12 15 5" xfId="1425" xr:uid="{88273FBC-1509-4AA9-A5D7-C9D34496C375}"/>
    <cellStyle name="Normal 2 12 15 6" xfId="1426" xr:uid="{31E01FA6-B1F8-4716-8E9C-177AF82A4B08}"/>
    <cellStyle name="Normal 2 12 15 7" xfId="1427" xr:uid="{960A38EB-8D2B-4C2A-B4DF-2DF3C05A1BAC}"/>
    <cellStyle name="Normal 2 12 15 8" xfId="1428" xr:uid="{752E799C-64F0-4CCD-935C-E842AB7C2A0F}"/>
    <cellStyle name="Normal 2 12 15 9" xfId="1429" xr:uid="{3C99AE9E-9242-40E8-AC96-F00E1CE928FA}"/>
    <cellStyle name="Normal 2 12 16" xfId="1430" xr:uid="{CE1A8F07-FE09-433E-AF86-EE9E0CFB9BFC}"/>
    <cellStyle name="Normal 2 12 16 2" xfId="1431" xr:uid="{4085B15B-8C44-47EF-9CCA-1B8AC34D3D94}"/>
    <cellStyle name="Normal 2 12 16 3" xfId="1432" xr:uid="{B719AEDA-A65E-4182-BE68-CA93F9983E6B}"/>
    <cellStyle name="Normal 2 12 16 4" xfId="1433" xr:uid="{6DC18A59-4B78-43F8-A049-7A4ABD463067}"/>
    <cellStyle name="Normal 2 12 16 5" xfId="1434" xr:uid="{5D5949FC-6BA1-4A1F-B242-E82474B942F9}"/>
    <cellStyle name="Normal 2 12 16 6" xfId="1435" xr:uid="{35A7A3C4-60DC-4D2A-BAAB-ADF1DADD5A17}"/>
    <cellStyle name="Normal 2 12 16 7" xfId="1436" xr:uid="{A7280EAC-EBD7-42D4-A71D-C4E2535ECA9A}"/>
    <cellStyle name="Normal 2 12 16 8" xfId="1437" xr:uid="{65D54F22-119F-41DD-8EB3-0A55D177A4A3}"/>
    <cellStyle name="Normal 2 12 17" xfId="1438" xr:uid="{EBA294AA-BB64-409A-92A0-46C6C85CE0CD}"/>
    <cellStyle name="Normal 2 12 18" xfId="1439" xr:uid="{80F12800-3868-4F81-B566-F38A5B0B984B}"/>
    <cellStyle name="Normal 2 12 19" xfId="1440" xr:uid="{CB0EDB4B-1B06-44E8-8E7D-82F851E542EF}"/>
    <cellStyle name="Normal 2 12 2" xfId="1441" xr:uid="{042B53CB-D09F-4494-8C32-3ECB66560443}"/>
    <cellStyle name="Normal 2 12 2 10" xfId="1442" xr:uid="{E219439C-BA4F-4EDB-92BC-B560A4ED65FC}"/>
    <cellStyle name="Normal 2 12 2 11" xfId="1443" xr:uid="{E48E1C0A-A6AA-40C8-803A-9F66E2F593AF}"/>
    <cellStyle name="Normal 2 12 2 12" xfId="1444" xr:uid="{C39184F2-2793-4969-BC1F-03F3F1D2AEFE}"/>
    <cellStyle name="Normal 2 12 2 13" xfId="1445" xr:uid="{119192D4-7D9B-4234-884D-C0FAD1EE2305}"/>
    <cellStyle name="Normal 2 12 2 14" xfId="1446" xr:uid="{7D71DA69-6A3F-422B-9C51-8F8C547700A5}"/>
    <cellStyle name="Normal 2 12 2 15" xfId="1447" xr:uid="{1195CB8D-A6B1-43E7-9022-165D0493E995}"/>
    <cellStyle name="Normal 2 12 2 15 2" xfId="1448" xr:uid="{75A96465-DD06-4572-92AF-0B410674FDCB}"/>
    <cellStyle name="Normal 2 12 2 15 2 2" xfId="1449" xr:uid="{F036D769-788B-4A8B-855D-56AEF00006F7}"/>
    <cellStyle name="Normal 2 12 2 15 2 2 2" xfId="1450" xr:uid="{313366A8-E243-45D2-B7E5-E8F0C0E173E3}"/>
    <cellStyle name="Normal 2 12 2 15 2 2 3" xfId="1451" xr:uid="{83103FDD-CE35-4D1B-AC83-8D7A8D4642B6}"/>
    <cellStyle name="Normal 2 12 2 15 2 2 4" xfId="1452" xr:uid="{C095613D-7960-40A2-B3E9-46E38162C61F}"/>
    <cellStyle name="Normal 2 12 2 15 2 2 5" xfId="1453" xr:uid="{31F550CD-0A49-4B86-8DE9-C9C57B24838E}"/>
    <cellStyle name="Normal 2 12 2 15 2 2 6" xfId="1454" xr:uid="{495917DB-DD3C-4A30-8054-CDB8C4B20B52}"/>
    <cellStyle name="Normal 2 12 2 15 2 2 7" xfId="1455" xr:uid="{96F19539-C0B0-4CAA-95BA-0462D1EDC2AC}"/>
    <cellStyle name="Normal 2 12 2 15 2 2 8" xfId="1456" xr:uid="{E593069D-EA96-4132-A004-BF20A2396BDC}"/>
    <cellStyle name="Normal 2 12 2 15 2 3" xfId="1457" xr:uid="{1477DFFC-252D-4463-BEFE-6B105291A32C}"/>
    <cellStyle name="Normal 2 12 2 15 2 4" xfId="1458" xr:uid="{37E79ABA-800F-4F78-9842-5068319AFE5D}"/>
    <cellStyle name="Normal 2 12 2 15 2 5" xfId="1459" xr:uid="{4FC29CF3-EB42-4660-9DB3-817751C09222}"/>
    <cellStyle name="Normal 2 12 2 15 2 6" xfId="1460" xr:uid="{FB8393AA-03E8-490C-86D7-05CDC010B8A2}"/>
    <cellStyle name="Normal 2 12 2 15 2 7" xfId="1461" xr:uid="{0DD698F7-F126-4007-A56F-2D0EAFA66DE9}"/>
    <cellStyle name="Normal 2 12 2 15 2 8" xfId="1462" xr:uid="{D624525A-905A-4713-9467-4F5BA61064FC}"/>
    <cellStyle name="Normal 2 12 2 15 3" xfId="1463" xr:uid="{2277D429-E7FA-4AE4-AF22-18990A410650}"/>
    <cellStyle name="Normal 2 12 2 15 4" xfId="1464" xr:uid="{EF83CF4E-2733-4556-BA30-788650707C5D}"/>
    <cellStyle name="Normal 2 12 2 15 5" xfId="1465" xr:uid="{FCC465CD-F00B-45C0-BA5C-01F9F5B58F46}"/>
    <cellStyle name="Normal 2 12 2 15 6" xfId="1466" xr:uid="{D080ED10-42DD-415E-95D7-3F2D3949D480}"/>
    <cellStyle name="Normal 2 12 2 15 7" xfId="1467" xr:uid="{337D6DA5-20A5-4EDF-A868-DC7B0177BE8C}"/>
    <cellStyle name="Normal 2 12 2 15 8" xfId="1468" xr:uid="{0F109A3F-C7F2-42BF-B2E3-E482E2EC47FB}"/>
    <cellStyle name="Normal 2 12 2 15 9" xfId="1469" xr:uid="{B892CF40-6430-45B9-A603-F02049100F4D}"/>
    <cellStyle name="Normal 2 12 2 16" xfId="1470" xr:uid="{F51FDB63-F8C3-473B-8D67-D1C6605180D3}"/>
    <cellStyle name="Normal 2 12 2 16 2" xfId="1471" xr:uid="{BB502201-9DB6-4966-B625-CB011AA30F9F}"/>
    <cellStyle name="Normal 2 12 2 16 3" xfId="1472" xr:uid="{8FCFD0AD-45AA-4C0A-BD63-F8F576ED4773}"/>
    <cellStyle name="Normal 2 12 2 16 4" xfId="1473" xr:uid="{E53F88AD-460F-40E4-A3FC-088A028A8A2C}"/>
    <cellStyle name="Normal 2 12 2 16 5" xfId="1474" xr:uid="{B1563471-41E5-44BC-8CF7-193AC08B726D}"/>
    <cellStyle name="Normal 2 12 2 16 6" xfId="1475" xr:uid="{AEE4DFA5-6491-4B83-BF8C-74D4A64BEE18}"/>
    <cellStyle name="Normal 2 12 2 16 7" xfId="1476" xr:uid="{C27F93EE-1C4C-407E-8894-F76800E9B4F6}"/>
    <cellStyle name="Normal 2 12 2 16 8" xfId="1477" xr:uid="{93A87502-9A8E-46B9-8E21-3FE5AF5C3DFF}"/>
    <cellStyle name="Normal 2 12 2 17" xfId="1478" xr:uid="{8F1F8C1F-0C61-4CC2-872F-F0C917E6B0F9}"/>
    <cellStyle name="Normal 2 12 2 18" xfId="1479" xr:uid="{5B73E613-1465-41B8-B6C8-7409971795D3}"/>
    <cellStyle name="Normal 2 12 2 19" xfId="1480" xr:uid="{9D640490-7E52-4810-9EA5-0884A475DD7B}"/>
    <cellStyle name="Normal 2 12 2 2" xfId="1481" xr:uid="{5D24CA0D-5948-4ACE-901A-B84BC01602E1}"/>
    <cellStyle name="Normal 2 12 2 2 10" xfId="1482" xr:uid="{1DD415EB-2BDA-4FB4-B779-95A5FACC18EF}"/>
    <cellStyle name="Normal 2 12 2 2 10 2" xfId="1483" xr:uid="{88CAEDA1-D6BF-4D99-9A03-A27DA75562E4}"/>
    <cellStyle name="Normal 2 12 2 2 10 2 2" xfId="1484" xr:uid="{933D62DF-FD70-4E7E-9653-DEC91960E93D}"/>
    <cellStyle name="Normal 2 12 2 2 10 2 2 2" xfId="1485" xr:uid="{A5277D82-CFEB-4DB3-849F-949ECDE11CD3}"/>
    <cellStyle name="Normal 2 12 2 2 10 2 2 3" xfId="1486" xr:uid="{FDE5D7C0-5B32-4D76-A495-AE254F7A1BFE}"/>
    <cellStyle name="Normal 2 12 2 2 10 2 2 4" xfId="1487" xr:uid="{7F733000-7AE6-4197-B87D-6440E0143154}"/>
    <cellStyle name="Normal 2 12 2 2 10 2 2 5" xfId="1488" xr:uid="{7EAE1730-6573-4B9C-AD88-EF4C32B0AA26}"/>
    <cellStyle name="Normal 2 12 2 2 10 2 2 6" xfId="1489" xr:uid="{0059D329-2759-42AF-9E98-774CDB3A6304}"/>
    <cellStyle name="Normal 2 12 2 2 10 2 2 7" xfId="1490" xr:uid="{F1AA844F-C21F-474B-A183-7C1FAC65AF50}"/>
    <cellStyle name="Normal 2 12 2 2 10 2 2 8" xfId="1491" xr:uid="{A4388AAE-96AA-4436-ABBD-0BCEA4EF98EF}"/>
    <cellStyle name="Normal 2 12 2 2 10 2 3" xfId="1492" xr:uid="{D1B27476-A38A-41F5-9DA9-FB1EA204AD51}"/>
    <cellStyle name="Normal 2 12 2 2 10 2 4" xfId="1493" xr:uid="{C59C7847-8077-4088-AEA9-422493406B85}"/>
    <cellStyle name="Normal 2 12 2 2 10 2 5" xfId="1494" xr:uid="{0F8935F1-C14A-4AAA-A0F3-A9D60EC3099C}"/>
    <cellStyle name="Normal 2 12 2 2 10 2 6" xfId="1495" xr:uid="{BD9BBE78-B17B-4E9A-B20D-273862CE8A08}"/>
    <cellStyle name="Normal 2 12 2 2 10 2 7" xfId="1496" xr:uid="{A4D50D15-E957-493D-A0C9-FEA3D08B088F}"/>
    <cellStyle name="Normal 2 12 2 2 10 2 8" xfId="1497" xr:uid="{97706397-5AE4-4718-A3AF-A14969A71DB1}"/>
    <cellStyle name="Normal 2 12 2 2 10 3" xfId="1498" xr:uid="{1CED8E6E-F697-4DBF-BEFB-89016077CFAF}"/>
    <cellStyle name="Normal 2 12 2 2 10 4" xfId="1499" xr:uid="{FC4A01CC-5FFB-4767-A837-D4F9C0C76AE2}"/>
    <cellStyle name="Normal 2 12 2 2 10 5" xfId="1500" xr:uid="{DE68BC61-D753-448F-95E3-7E393D14D7C6}"/>
    <cellStyle name="Normal 2 12 2 2 10 6" xfId="1501" xr:uid="{B20E650F-AE18-4E57-B0D7-E8BF18B4FB72}"/>
    <cellStyle name="Normal 2 12 2 2 10 7" xfId="1502" xr:uid="{92858409-902D-4E4E-B38F-C94F030FCA66}"/>
    <cellStyle name="Normal 2 12 2 2 10 8" xfId="1503" xr:uid="{D9FA9DAA-8506-4D5E-ABEF-C366621BBA7E}"/>
    <cellStyle name="Normal 2 12 2 2 10 9" xfId="1504" xr:uid="{33319E95-142F-4017-87BF-BFCFDC14F2CD}"/>
    <cellStyle name="Normal 2 12 2 2 11" xfId="1505" xr:uid="{EA6F797F-9190-489C-BD47-3C19471C947D}"/>
    <cellStyle name="Normal 2 12 2 2 11 2" xfId="1506" xr:uid="{36ECE959-AE55-4A95-ABF7-03095E0FFAEE}"/>
    <cellStyle name="Normal 2 12 2 2 11 3" xfId="1507" xr:uid="{DC4578EA-93C8-435F-8629-4EAC408DA652}"/>
    <cellStyle name="Normal 2 12 2 2 11 4" xfId="1508" xr:uid="{E49BD2F0-CD81-481D-819A-390913517776}"/>
    <cellStyle name="Normal 2 12 2 2 11 5" xfId="1509" xr:uid="{E1BD275F-9A6B-41CD-B72B-778CA3667BCD}"/>
    <cellStyle name="Normal 2 12 2 2 11 6" xfId="1510" xr:uid="{4E082672-5EE6-42FD-B081-C8B0C3E37E33}"/>
    <cellStyle name="Normal 2 12 2 2 11 7" xfId="1511" xr:uid="{9399EA46-C302-4AE5-907F-EAD90612E6EE}"/>
    <cellStyle name="Normal 2 12 2 2 11 8" xfId="1512" xr:uid="{93EB9E59-CA41-4958-AC49-E93221422C2B}"/>
    <cellStyle name="Normal 2 12 2 2 12" xfId="1513" xr:uid="{32FDB643-4E06-4B41-9BAC-5F7989AFCDA3}"/>
    <cellStyle name="Normal 2 12 2 2 13" xfId="1514" xr:uid="{9604E07F-8DC5-428E-BDB5-EE5EC593D9A8}"/>
    <cellStyle name="Normal 2 12 2 2 14" xfId="1515" xr:uid="{CD29EC1F-AB72-4D58-9AC0-34DC4ACE6AE0}"/>
    <cellStyle name="Normal 2 12 2 2 15" xfId="1516" xr:uid="{E285ECE7-7E7B-4F82-B15F-4C55F08C876F}"/>
    <cellStyle name="Normal 2 12 2 2 16" xfId="1517" xr:uid="{B3A67E02-BE67-4C9F-8937-86BC8B204F61}"/>
    <cellStyle name="Normal 2 12 2 2 17" xfId="1518" xr:uid="{06A20D91-E465-47EF-81EE-5EE7222AB65E}"/>
    <cellStyle name="Normal 2 12 2 2 2" xfId="1519" xr:uid="{663A85BE-121A-4B2E-B2A8-B9024126B50A}"/>
    <cellStyle name="Normal 2 12 2 2 2 10" xfId="1520" xr:uid="{439DE51D-1F6E-44FB-B13B-F7AC4DAF1877}"/>
    <cellStyle name="Normal 2 12 2 2 2 10 2" xfId="1521" xr:uid="{247505F0-8FB0-4769-B586-2E85736ECB8D}"/>
    <cellStyle name="Normal 2 12 2 2 2 10 2 2" xfId="1522" xr:uid="{5733695F-03A8-45A1-9340-FA447DE05849}"/>
    <cellStyle name="Normal 2 12 2 2 2 10 2 2 2" xfId="1523" xr:uid="{842F99B4-5049-4084-94E9-069075C9B997}"/>
    <cellStyle name="Normal 2 12 2 2 2 10 2 2 3" xfId="1524" xr:uid="{02A9E8FC-080F-4D3D-9C9A-DFE0727A7BFD}"/>
    <cellStyle name="Normal 2 12 2 2 2 10 2 2 4" xfId="1525" xr:uid="{FF9A7B11-2BCB-4567-BE92-311EC3516A64}"/>
    <cellStyle name="Normal 2 12 2 2 2 10 2 2 5" xfId="1526" xr:uid="{17917768-C628-448A-8FAB-CB8044F2B7A6}"/>
    <cellStyle name="Normal 2 12 2 2 2 10 2 2 6" xfId="1527" xr:uid="{9D8E76BB-E5B7-440C-A980-BF9ED34BB4C1}"/>
    <cellStyle name="Normal 2 12 2 2 2 10 2 2 7" xfId="1528" xr:uid="{D8623C96-A076-4AF5-8564-B7DCB5344AAC}"/>
    <cellStyle name="Normal 2 12 2 2 2 10 2 2 8" xfId="1529" xr:uid="{EEAABB37-DAD1-4566-9DBE-2C5CA5F002DF}"/>
    <cellStyle name="Normal 2 12 2 2 2 10 2 3" xfId="1530" xr:uid="{55C1F45C-D4FE-4987-8696-CA51A623EDD5}"/>
    <cellStyle name="Normal 2 12 2 2 2 10 2 4" xfId="1531" xr:uid="{2853C338-7BB9-4961-8C68-EC8DAFD4C267}"/>
    <cellStyle name="Normal 2 12 2 2 2 10 2 5" xfId="1532" xr:uid="{602C3696-492E-48D1-8488-E90EE2F18DFD}"/>
    <cellStyle name="Normal 2 12 2 2 2 10 2 6" xfId="1533" xr:uid="{C92933A9-B7E6-469E-8964-03A9DF95344B}"/>
    <cellStyle name="Normal 2 12 2 2 2 10 2 7" xfId="1534" xr:uid="{3FE33654-A620-44DA-B6AE-665AD9B21E3C}"/>
    <cellStyle name="Normal 2 12 2 2 2 10 2 8" xfId="1535" xr:uid="{4DDDB89E-FF46-444D-97FE-3CACFF35BCDC}"/>
    <cellStyle name="Normal 2 12 2 2 2 10 3" xfId="1536" xr:uid="{AC98D3DF-353E-4E5D-BFEC-D78A469A7EAF}"/>
    <cellStyle name="Normal 2 12 2 2 2 10 4" xfId="1537" xr:uid="{D4BBDFB6-511C-4EAA-92A6-0713E18026BB}"/>
    <cellStyle name="Normal 2 12 2 2 2 10 5" xfId="1538" xr:uid="{8A92BD89-BD83-4871-9907-138F8431CCBB}"/>
    <cellStyle name="Normal 2 12 2 2 2 10 6" xfId="1539" xr:uid="{EA3A1F8B-AE85-420E-91E8-C1F523C0C850}"/>
    <cellStyle name="Normal 2 12 2 2 2 10 7" xfId="1540" xr:uid="{0EE0A1F8-6B3B-4A6B-BA8C-BC332C315276}"/>
    <cellStyle name="Normal 2 12 2 2 2 10 8" xfId="1541" xr:uid="{EEF886E6-1030-41F5-9C31-43F807AD8C0C}"/>
    <cellStyle name="Normal 2 12 2 2 2 10 9" xfId="1542" xr:uid="{60796801-568E-428C-9E62-E76D83D457DA}"/>
    <cellStyle name="Normal 2 12 2 2 2 11" xfId="1543" xr:uid="{5BB445F7-FAF1-461F-B2A2-26BADBA434DA}"/>
    <cellStyle name="Normal 2 12 2 2 2 11 2" xfId="1544" xr:uid="{E6681D6B-CAF7-42C4-B06A-556E6DF8985C}"/>
    <cellStyle name="Normal 2 12 2 2 2 11 3" xfId="1545" xr:uid="{A0F93350-542E-4181-91DA-6BC814D91FDE}"/>
    <cellStyle name="Normal 2 12 2 2 2 11 4" xfId="1546" xr:uid="{83F8DA2B-DECA-4405-943D-1FEC40D13871}"/>
    <cellStyle name="Normal 2 12 2 2 2 11 5" xfId="1547" xr:uid="{84352D4E-08C0-4480-A3E5-05EC0051E454}"/>
    <cellStyle name="Normal 2 12 2 2 2 11 6" xfId="1548" xr:uid="{29B4EF79-56BF-46BC-8CB1-DD2C8AE5D965}"/>
    <cellStyle name="Normal 2 12 2 2 2 11 7" xfId="1549" xr:uid="{2E7C0613-266B-4873-86D8-9D632BBDED0F}"/>
    <cellStyle name="Normal 2 12 2 2 2 11 8" xfId="1550" xr:uid="{953EEE68-D62B-4B4B-8FEE-BF643F1E558E}"/>
    <cellStyle name="Normal 2 12 2 2 2 12" xfId="1551" xr:uid="{0A2A77CC-0810-4D83-AEAD-ECFDE620A160}"/>
    <cellStyle name="Normal 2 12 2 2 2 13" xfId="1552" xr:uid="{E943765C-3718-4008-96DD-B69662EAA4C9}"/>
    <cellStyle name="Normal 2 12 2 2 2 14" xfId="1553" xr:uid="{A7024C20-F2B5-4730-9FEA-F3DB1D6238E0}"/>
    <cellStyle name="Normal 2 12 2 2 2 15" xfId="1554" xr:uid="{32FFBB3F-B646-4BD1-8B51-CBA1CCB34BE0}"/>
    <cellStyle name="Normal 2 12 2 2 2 16" xfId="1555" xr:uid="{E2803125-CBFE-4CC2-BF01-D614542E5D2C}"/>
    <cellStyle name="Normal 2 12 2 2 2 17" xfId="1556" xr:uid="{F0DED714-28CF-41DA-8FC7-DDFF28BB05AF}"/>
    <cellStyle name="Normal 2 12 2 2 2 2" xfId="1557" xr:uid="{6041B57F-14C7-4F1C-ABF4-6F8EF09682D5}"/>
    <cellStyle name="Normal 2 12 2 2 2 2 10" xfId="1558" xr:uid="{7ACC6D73-81CC-4611-8F95-2E933AD537A8}"/>
    <cellStyle name="Normal 2 12 2 2 2 2 2" xfId="1559" xr:uid="{59C393BF-398A-47F8-9C8C-097A48B66CA5}"/>
    <cellStyle name="Normal 2 12 2 2 2 2 2 2" xfId="1560" xr:uid="{00D0C849-5DAC-4A25-AF9B-3595A1DF37B8}"/>
    <cellStyle name="Normal 2 12 2 2 2 2 2 2 2" xfId="1561" xr:uid="{D541B1E1-EEAE-4ECE-B5B8-8DA1F1A00F61}"/>
    <cellStyle name="Normal 2 12 2 2 2 2 2 2 2 2" xfId="1562" xr:uid="{7008BD2D-69AF-4541-8318-36929B1A2A07}"/>
    <cellStyle name="Normal 2 12 2 2 2 2 2 2 2 3" xfId="1563" xr:uid="{7532B5C2-E8F2-450F-BB6D-85BD4E226059}"/>
    <cellStyle name="Normal 2 12 2 2 2 2 2 2 2 4" xfId="1564" xr:uid="{A1F77E80-E571-4ADC-A1D1-78FD4ADF2DED}"/>
    <cellStyle name="Normal 2 12 2 2 2 2 2 2 2 5" xfId="1565" xr:uid="{E38CF692-089D-403B-BB4D-446B803BCBA8}"/>
    <cellStyle name="Normal 2 12 2 2 2 2 2 2 2 6" xfId="1566" xr:uid="{180C4499-DAFB-4DD1-8702-3913C06154A0}"/>
    <cellStyle name="Normal 2 12 2 2 2 2 2 2 2 7" xfId="1567" xr:uid="{2A450B07-A83D-4F58-A356-CEB9F252F1C4}"/>
    <cellStyle name="Normal 2 12 2 2 2 2 2 2 2 8" xfId="1568" xr:uid="{D80E4566-0DD1-44D5-A5A3-F432EBFD3BBB}"/>
    <cellStyle name="Normal 2 12 2 2 2 2 2 2 3" xfId="1569" xr:uid="{06FDA475-5B13-4C97-A987-128C011F917B}"/>
    <cellStyle name="Normal 2 12 2 2 2 2 2 2 4" xfId="1570" xr:uid="{8EDA0CCD-61A1-4EE2-A208-CAC3AA946901}"/>
    <cellStyle name="Normal 2 12 2 2 2 2 2 2 5" xfId="1571" xr:uid="{3FA4BEFF-9F52-4977-AC88-CAE363D0F30E}"/>
    <cellStyle name="Normal 2 12 2 2 2 2 2 2 6" xfId="1572" xr:uid="{8F496FCB-B02C-4430-B6CD-77747483AC1D}"/>
    <cellStyle name="Normal 2 12 2 2 2 2 2 2 7" xfId="1573" xr:uid="{B7AE8883-27F3-43A8-B500-157789CBA555}"/>
    <cellStyle name="Normal 2 12 2 2 2 2 2 2 8" xfId="1574" xr:uid="{E224036A-3718-4E67-89B8-41B2217818EE}"/>
    <cellStyle name="Normal 2 12 2 2 2 2 2 3" xfId="1575" xr:uid="{D225932D-0BDC-4CFB-8E7D-802E54C586BC}"/>
    <cellStyle name="Normal 2 12 2 2 2 2 2 4" xfId="1576" xr:uid="{3E8B08C4-2758-41D5-9864-E9004471A3F4}"/>
    <cellStyle name="Normal 2 12 2 2 2 2 2 5" xfId="1577" xr:uid="{4DE5F8E2-E5C8-4A42-8B58-D105E791422F}"/>
    <cellStyle name="Normal 2 12 2 2 2 2 2 6" xfId="1578" xr:uid="{31765F24-66AB-4B9A-A808-2DFB38A44370}"/>
    <cellStyle name="Normal 2 12 2 2 2 2 2 7" xfId="1579" xr:uid="{D7D98914-B45F-4EF7-99BE-941E408DDD6E}"/>
    <cellStyle name="Normal 2 12 2 2 2 2 2 8" xfId="1580" xr:uid="{905CD875-D161-4D50-AB34-A03A90181C47}"/>
    <cellStyle name="Normal 2 12 2 2 2 2 2 9" xfId="1581" xr:uid="{45C4689E-ED44-42B5-8F58-2B1578567415}"/>
    <cellStyle name="Normal 2 12 2 2 2 2 3" xfId="1582" xr:uid="{12117AEB-934B-4410-AA52-47AF63537D81}"/>
    <cellStyle name="Normal 2 12 2 2 2 2 4" xfId="1583" xr:uid="{0A81E382-DCB8-4916-94D7-147580174734}"/>
    <cellStyle name="Normal 2 12 2 2 2 2 4 2" xfId="1584" xr:uid="{898D04CC-4C16-44C8-B67A-0B0575A42E19}"/>
    <cellStyle name="Normal 2 12 2 2 2 2 4 3" xfId="1585" xr:uid="{577FAA17-091C-46E1-B9C6-2285F58BF50E}"/>
    <cellStyle name="Normal 2 12 2 2 2 2 4 4" xfId="1586" xr:uid="{7B578D32-BC09-4823-9D45-C32DC6E2B5C1}"/>
    <cellStyle name="Normal 2 12 2 2 2 2 4 5" xfId="1587" xr:uid="{65E7F384-E9B7-4B0D-AE70-3FCD9B5BC747}"/>
    <cellStyle name="Normal 2 12 2 2 2 2 4 6" xfId="1588" xr:uid="{C8FE2650-11AD-493E-AE29-49DE7EE47A75}"/>
    <cellStyle name="Normal 2 12 2 2 2 2 4 7" xfId="1589" xr:uid="{ECDC052C-3C4B-4778-BF0E-DF5EAB8ABE01}"/>
    <cellStyle name="Normal 2 12 2 2 2 2 4 8" xfId="1590" xr:uid="{CE53099D-A8A0-4BE4-B6AF-65D6E7884AA9}"/>
    <cellStyle name="Normal 2 12 2 2 2 2 5" xfId="1591" xr:uid="{1F72281E-EED0-437E-A791-937FDD7A6CBA}"/>
    <cellStyle name="Normal 2 12 2 2 2 2 6" xfId="1592" xr:uid="{83FBC84C-B692-4046-B7B0-65138B32FF1B}"/>
    <cellStyle name="Normal 2 12 2 2 2 2 7" xfId="1593" xr:uid="{FE2ABCCD-0446-45E4-B304-A053CBDF32A8}"/>
    <cellStyle name="Normal 2 12 2 2 2 2 8" xfId="1594" xr:uid="{32B57A2B-3CE0-47EC-B9D3-F7EA9C8B5F4F}"/>
    <cellStyle name="Normal 2 12 2 2 2 2 9" xfId="1595" xr:uid="{5B19F303-B33A-4A49-9BE6-43754BA9875C}"/>
    <cellStyle name="Normal 2 12 2 2 2 3" xfId="1596" xr:uid="{C8E2EA98-D59D-4524-B989-E478C8F10659}"/>
    <cellStyle name="Normal 2 12 2 2 2 4" xfId="1597" xr:uid="{C68C1FD4-2880-4E1E-B5B0-B1BC9E170643}"/>
    <cellStyle name="Normal 2 12 2 2 2 5" xfId="1598" xr:uid="{B346EC73-3AAF-4624-A35C-C51D30F936F5}"/>
    <cellStyle name="Normal 2 12 2 2 2 6" xfId="1599" xr:uid="{1D429DCC-0BD8-4A47-8E3F-0904B80783D8}"/>
    <cellStyle name="Normal 2 12 2 2 2 7" xfId="1600" xr:uid="{DF92260D-968A-4CC3-85B4-89BBB7BAC554}"/>
    <cellStyle name="Normal 2 12 2 2 2 8" xfId="1601" xr:uid="{22E278A9-C0F9-4D64-A89A-9C17E4D31D17}"/>
    <cellStyle name="Normal 2 12 2 2 2 9" xfId="1602" xr:uid="{D47B5076-1F0D-42EA-BB80-14827F8D50AC}"/>
    <cellStyle name="Normal 2 12 2 2 3" xfId="1603" xr:uid="{8084BAB6-5277-4A9F-B152-34BA38D1EA35}"/>
    <cellStyle name="Normal 2 12 2 2 3 10" xfId="1604" xr:uid="{68041C6A-8E19-4622-B105-97B67A0D8BAD}"/>
    <cellStyle name="Normal 2 12 2 2 3 2" xfId="1605" xr:uid="{BCAB346E-763E-420E-8713-67A476BC8522}"/>
    <cellStyle name="Normal 2 12 2 2 3 2 2" xfId="1606" xr:uid="{19FC12A7-8C69-4533-A46E-42DB66635668}"/>
    <cellStyle name="Normal 2 12 2 2 3 2 2 2" xfId="1607" xr:uid="{5A9536D5-EFDA-4F80-9223-5F8059849B4D}"/>
    <cellStyle name="Normal 2 12 2 2 3 2 2 2 2" xfId="1608" xr:uid="{2E64D72A-5BBF-453D-BFC8-4E869FE0CD70}"/>
    <cellStyle name="Normal 2 12 2 2 3 2 2 2 3" xfId="1609" xr:uid="{B51FCDD4-538F-463E-B093-09CBF3807259}"/>
    <cellStyle name="Normal 2 12 2 2 3 2 2 2 4" xfId="1610" xr:uid="{C5863F97-87E0-4882-B711-585BB8CE3608}"/>
    <cellStyle name="Normal 2 12 2 2 3 2 2 2 5" xfId="1611" xr:uid="{0AEA7556-E24A-4864-811B-F146E629BCFC}"/>
    <cellStyle name="Normal 2 12 2 2 3 2 2 2 6" xfId="1612" xr:uid="{8F2D7B37-4F7B-4539-81E7-629AADC688D2}"/>
    <cellStyle name="Normal 2 12 2 2 3 2 2 2 7" xfId="1613" xr:uid="{D7577312-D94F-4936-9F1B-307A1E5BC239}"/>
    <cellStyle name="Normal 2 12 2 2 3 2 2 2 8" xfId="1614" xr:uid="{49CE8647-687C-4575-BC4B-A50F9F2E74BC}"/>
    <cellStyle name="Normal 2 12 2 2 3 2 2 3" xfId="1615" xr:uid="{E58342F4-3D12-4E1B-BE5A-5D4E016380DB}"/>
    <cellStyle name="Normal 2 12 2 2 3 2 2 4" xfId="1616" xr:uid="{7B92C0C3-E1C3-44B0-92CF-DB809872E186}"/>
    <cellStyle name="Normal 2 12 2 2 3 2 2 5" xfId="1617" xr:uid="{83D84FB9-BE6B-46A9-B2F1-01CEAE5B8332}"/>
    <cellStyle name="Normal 2 12 2 2 3 2 2 6" xfId="1618" xr:uid="{25E99B3D-5AAF-42AD-BC5E-3A321E589344}"/>
    <cellStyle name="Normal 2 12 2 2 3 2 2 7" xfId="1619" xr:uid="{CAD2B967-017A-4EBF-8F43-86C4D5BAF31C}"/>
    <cellStyle name="Normal 2 12 2 2 3 2 2 8" xfId="1620" xr:uid="{25D7A06E-5827-4649-9267-A4F13E6328CB}"/>
    <cellStyle name="Normal 2 12 2 2 3 2 3" xfId="1621" xr:uid="{8CBFE492-82D7-4E2B-9DE1-3B0177C141A4}"/>
    <cellStyle name="Normal 2 12 2 2 3 2 4" xfId="1622" xr:uid="{CDBE4FF0-59C9-45A9-907D-11A5D005B1DE}"/>
    <cellStyle name="Normal 2 12 2 2 3 2 5" xfId="1623" xr:uid="{25A638F3-ACC9-4AC3-AD2B-5B8465CBE76B}"/>
    <cellStyle name="Normal 2 12 2 2 3 2 6" xfId="1624" xr:uid="{2E04877C-0B69-45E2-95C5-E8E05CCADFCB}"/>
    <cellStyle name="Normal 2 12 2 2 3 2 7" xfId="1625" xr:uid="{CE98E90D-B963-42EE-A7B8-4BE3230532E6}"/>
    <cellStyle name="Normal 2 12 2 2 3 2 8" xfId="1626" xr:uid="{D6731BD9-8249-4218-BBED-5D2C295CD6FE}"/>
    <cellStyle name="Normal 2 12 2 2 3 2 9" xfId="1627" xr:uid="{5BF260FD-C3A5-455F-959D-715A008114AD}"/>
    <cellStyle name="Normal 2 12 2 2 3 3" xfId="1628" xr:uid="{203F1F9C-2E56-4EB0-9F66-3C2816AF913B}"/>
    <cellStyle name="Normal 2 12 2 2 3 4" xfId="1629" xr:uid="{DD34B128-5ACD-4995-9FB6-51F1ACAC0CDE}"/>
    <cellStyle name="Normal 2 12 2 2 3 4 2" xfId="1630" xr:uid="{F6CE8CA0-FAB5-41FD-918C-C53B0E26CF33}"/>
    <cellStyle name="Normal 2 12 2 2 3 4 3" xfId="1631" xr:uid="{780517A3-D139-4FC6-A5FF-B02265C1802E}"/>
    <cellStyle name="Normal 2 12 2 2 3 4 4" xfId="1632" xr:uid="{E49ACCFF-F674-4BA1-B118-FC18CCAD1520}"/>
    <cellStyle name="Normal 2 12 2 2 3 4 5" xfId="1633" xr:uid="{D388F8D3-A203-4239-96AA-3EC6EBE0FECB}"/>
    <cellStyle name="Normal 2 12 2 2 3 4 6" xfId="1634" xr:uid="{DBBE878B-98FA-459E-9825-325EC14700F8}"/>
    <cellStyle name="Normal 2 12 2 2 3 4 7" xfId="1635" xr:uid="{A209843E-4440-46ED-A343-FDDFBE81E316}"/>
    <cellStyle name="Normal 2 12 2 2 3 4 8" xfId="1636" xr:uid="{DACEE565-7D53-46F6-AC5C-7C338780B78A}"/>
    <cellStyle name="Normal 2 12 2 2 3 5" xfId="1637" xr:uid="{A356A4F4-F53C-4D0D-853A-0214E9FD1A10}"/>
    <cellStyle name="Normal 2 12 2 2 3 6" xfId="1638" xr:uid="{4157F166-99A3-4E09-A510-D72DEDD2BEF6}"/>
    <cellStyle name="Normal 2 12 2 2 3 7" xfId="1639" xr:uid="{FAE62366-C683-4329-A659-606FCC765710}"/>
    <cellStyle name="Normal 2 12 2 2 3 8" xfId="1640" xr:uid="{E8481A4A-42A3-4A1C-9CBC-39599BD5EC1A}"/>
    <cellStyle name="Normal 2 12 2 2 3 9" xfId="1641" xr:uid="{172F0F65-6641-4882-8156-1B2725A2B7FA}"/>
    <cellStyle name="Normal 2 12 2 2 4" xfId="1642" xr:uid="{103EAAC4-BCF4-4F62-9607-5DB9EDEEC6DD}"/>
    <cellStyle name="Normal 2 12 2 2 5" xfId="1643" xr:uid="{A85C0993-1552-4910-8033-56DB865BC478}"/>
    <cellStyle name="Normal 2 12 2 2 6" xfId="1644" xr:uid="{A0FAE528-55DF-4362-B78F-5278F608997D}"/>
    <cellStyle name="Normal 2 12 2 2 7" xfId="1645" xr:uid="{1F45D7D7-7B2F-4D46-A1B8-0B1C2DFC6337}"/>
    <cellStyle name="Normal 2 12 2 2 8" xfId="1646" xr:uid="{6F1BAF52-9928-4999-8100-2FD810B19558}"/>
    <cellStyle name="Normal 2 12 2 2 9" xfId="1647" xr:uid="{BD758250-0CEA-4A09-B68F-553D21CBF369}"/>
    <cellStyle name="Normal 2 12 2 20" xfId="1648" xr:uid="{5A2DCC11-42BA-4AFA-9A04-AB7D43AAA076}"/>
    <cellStyle name="Normal 2 12 2 21" xfId="1649" xr:uid="{54DB1303-EE20-4CCD-B0F9-C412A4D0BC56}"/>
    <cellStyle name="Normal 2 12 2 22" xfId="1650" xr:uid="{C69642F5-3993-4306-ADF0-F3A6639DE855}"/>
    <cellStyle name="Normal 2 12 2 3" xfId="1651" xr:uid="{010B4B59-2528-4D38-88A6-DD9EFCF79CD2}"/>
    <cellStyle name="Normal 2 12 2 4" xfId="1652" xr:uid="{26FFE4AE-620B-4DE0-8951-E485C54DB831}"/>
    <cellStyle name="Normal 2 12 2 5" xfId="1653" xr:uid="{36F1C7F9-04DA-4C87-BE6B-AD09035E455C}"/>
    <cellStyle name="Normal 2 12 2 6" xfId="1654" xr:uid="{80C34C61-F936-4FFB-BC07-3C3494B1B700}"/>
    <cellStyle name="Normal 2 12 2 7" xfId="1655" xr:uid="{F4BF6537-4ABD-47F1-813C-E58695161347}"/>
    <cellStyle name="Normal 2 12 2 7 10" xfId="1656" xr:uid="{3221A25F-4DC1-4C3B-96A9-E190C11F180E}"/>
    <cellStyle name="Normal 2 12 2 7 2" xfId="1657" xr:uid="{A0E5396B-E2F0-4DD3-8658-3F8BE0121E1D}"/>
    <cellStyle name="Normal 2 12 2 7 2 2" xfId="1658" xr:uid="{E51C89B4-BE8B-4FA8-A0DF-17C4BE929DFD}"/>
    <cellStyle name="Normal 2 12 2 7 2 2 2" xfId="1659" xr:uid="{2BEB8938-41DA-4A4D-9D46-FAE9C3A46348}"/>
    <cellStyle name="Normal 2 12 2 7 2 2 2 2" xfId="1660" xr:uid="{FA041B46-D2F7-434C-B8EF-35B40F1D022E}"/>
    <cellStyle name="Normal 2 12 2 7 2 2 2 3" xfId="1661" xr:uid="{157DC558-D11C-4D4C-8496-94082482CF52}"/>
    <cellStyle name="Normal 2 12 2 7 2 2 2 4" xfId="1662" xr:uid="{38CDA107-B9BD-4FAF-97EB-F44A0833346A}"/>
    <cellStyle name="Normal 2 12 2 7 2 2 2 5" xfId="1663" xr:uid="{DFB1C450-6307-461F-BD81-D027EC196F92}"/>
    <cellStyle name="Normal 2 12 2 7 2 2 2 6" xfId="1664" xr:uid="{F209040D-15F7-46CD-94F7-AC84035F96D0}"/>
    <cellStyle name="Normal 2 12 2 7 2 2 2 7" xfId="1665" xr:uid="{0D44F143-897D-4232-813A-EC81222488B4}"/>
    <cellStyle name="Normal 2 12 2 7 2 2 2 8" xfId="1666" xr:uid="{8230DEE8-1BB0-4819-8F90-6AE4D39327C6}"/>
    <cellStyle name="Normal 2 12 2 7 2 2 3" xfId="1667" xr:uid="{34AC66E3-C74B-4644-B4A5-DD35BF5CF2E7}"/>
    <cellStyle name="Normal 2 12 2 7 2 2 4" xfId="1668" xr:uid="{E558A5E8-5044-473C-B19C-2EBF00CEA4D5}"/>
    <cellStyle name="Normal 2 12 2 7 2 2 5" xfId="1669" xr:uid="{2F00CDBF-3AFD-4570-A42B-EC4929156766}"/>
    <cellStyle name="Normal 2 12 2 7 2 2 6" xfId="1670" xr:uid="{9FEEDEA8-271C-46CA-8407-6664EA7618F1}"/>
    <cellStyle name="Normal 2 12 2 7 2 2 7" xfId="1671" xr:uid="{CB1A090A-1ED1-4837-BBC5-0928B87C41A6}"/>
    <cellStyle name="Normal 2 12 2 7 2 2 8" xfId="1672" xr:uid="{8AD514A8-6B3C-4B06-89F7-B858DF6329B3}"/>
    <cellStyle name="Normal 2 12 2 7 2 3" xfId="1673" xr:uid="{7CB21260-EA1F-4410-8FDA-18525D4E5CD9}"/>
    <cellStyle name="Normal 2 12 2 7 2 4" xfId="1674" xr:uid="{C78D259A-DC5A-4F27-8C75-68C58064A31A}"/>
    <cellStyle name="Normal 2 12 2 7 2 5" xfId="1675" xr:uid="{FE2CA064-7A39-44E4-8C38-0D8AF332DA76}"/>
    <cellStyle name="Normal 2 12 2 7 2 6" xfId="1676" xr:uid="{7EBAB589-4192-4CAC-8B37-D0CF10B67BEC}"/>
    <cellStyle name="Normal 2 12 2 7 2 7" xfId="1677" xr:uid="{E3F8AECC-6238-4596-ACAB-F99A23B62AF8}"/>
    <cellStyle name="Normal 2 12 2 7 2 8" xfId="1678" xr:uid="{AD816884-5288-4A89-A8A9-58477BFF88D6}"/>
    <cellStyle name="Normal 2 12 2 7 2 9" xfId="1679" xr:uid="{AF6B8EA8-AC3F-4108-8569-A0B5FB0E8170}"/>
    <cellStyle name="Normal 2 12 2 7 3" xfId="1680" xr:uid="{6421650A-AAFE-4403-BA55-451244CCB60B}"/>
    <cellStyle name="Normal 2 12 2 7 4" xfId="1681" xr:uid="{8403CEBF-54A8-4E4A-8579-8159F4F32450}"/>
    <cellStyle name="Normal 2 12 2 7 4 2" xfId="1682" xr:uid="{7808F869-9CE5-419D-A7CE-DEBE4F07E51B}"/>
    <cellStyle name="Normal 2 12 2 7 4 3" xfId="1683" xr:uid="{41801938-C2BE-4604-8598-5606F75793BA}"/>
    <cellStyle name="Normal 2 12 2 7 4 4" xfId="1684" xr:uid="{AD950D44-5276-433E-8C53-9F60965C88FA}"/>
    <cellStyle name="Normal 2 12 2 7 4 5" xfId="1685" xr:uid="{9A63C1E3-352D-4122-BFD1-4E1A8E48690C}"/>
    <cellStyle name="Normal 2 12 2 7 4 6" xfId="1686" xr:uid="{47505DF1-3193-4C7E-85C9-9EE19BA90036}"/>
    <cellStyle name="Normal 2 12 2 7 4 7" xfId="1687" xr:uid="{D0C18D2F-2B13-4665-AB04-AD014F7537C1}"/>
    <cellStyle name="Normal 2 12 2 7 4 8" xfId="1688" xr:uid="{3D716BA0-6B09-4083-8E89-71F8ECBC586C}"/>
    <cellStyle name="Normal 2 12 2 7 5" xfId="1689" xr:uid="{9ED2C7FA-0A64-47AC-AA47-85355B89AD34}"/>
    <cellStyle name="Normal 2 12 2 7 6" xfId="1690" xr:uid="{E11D49A1-B16E-4378-9963-1841703F4963}"/>
    <cellStyle name="Normal 2 12 2 7 7" xfId="1691" xr:uid="{63954FBC-60D2-4313-99DA-763B38721EF8}"/>
    <cellStyle name="Normal 2 12 2 7 8" xfId="1692" xr:uid="{64B4867D-1228-4EBD-B7C9-B936F7FD5DFB}"/>
    <cellStyle name="Normal 2 12 2 7 9" xfId="1693" xr:uid="{417FA3BF-BD17-4300-82A3-BDCBDEFB9BDE}"/>
    <cellStyle name="Normal 2 12 2 8" xfId="1694" xr:uid="{E471182B-E829-4018-9F03-C758D9331BAA}"/>
    <cellStyle name="Normal 2 12 2 9" xfId="1695" xr:uid="{3D366FBC-545F-4668-B256-AF679439EFD0}"/>
    <cellStyle name="Normal 2 12 20" xfId="1696" xr:uid="{A3010130-4E50-4B78-B471-C206830DEBF7}"/>
    <cellStyle name="Normal 2 12 21" xfId="1697" xr:uid="{88C7C855-FB8E-4CF5-9482-D2E852B4331F}"/>
    <cellStyle name="Normal 2 12 22" xfId="1698" xr:uid="{4759271A-1C59-4C20-9C9F-E8B1DA1C9D1B}"/>
    <cellStyle name="Normal 2 12 3" xfId="1699" xr:uid="{FBFB8ECC-09E5-4348-B854-766AA699498A}"/>
    <cellStyle name="Normal 2 12 3 10" xfId="1700" xr:uid="{4B4BD47E-60AD-4B32-A55C-3CB6217553B4}"/>
    <cellStyle name="Normal 2 12 3 10 2" xfId="1701" xr:uid="{F984893C-A30F-4215-84D4-41EEAD0B6C84}"/>
    <cellStyle name="Normal 2 12 3 10 2 2" xfId="1702" xr:uid="{EF76B230-23AF-482A-B114-F66BCD1D2BE4}"/>
    <cellStyle name="Normal 2 12 3 10 2 2 2" xfId="1703" xr:uid="{91B18466-A200-4C0A-8BA6-A2D2930D3D76}"/>
    <cellStyle name="Normal 2 12 3 10 2 2 3" xfId="1704" xr:uid="{31C49F4C-5EB2-4436-B4C2-8576FFBBE5AF}"/>
    <cellStyle name="Normal 2 12 3 10 2 2 4" xfId="1705" xr:uid="{DFA7C4C7-7B25-4F5C-81F0-760E59634AC1}"/>
    <cellStyle name="Normal 2 12 3 10 2 2 5" xfId="1706" xr:uid="{BF1ECF9F-8311-4902-8CA8-21D82FB0432A}"/>
    <cellStyle name="Normal 2 12 3 10 2 2 6" xfId="1707" xr:uid="{98760A05-4B91-4F0E-A336-D5238D45DF5C}"/>
    <cellStyle name="Normal 2 12 3 10 2 2 7" xfId="1708" xr:uid="{4D2A3203-13CD-4FCE-81B2-87090BCA53D6}"/>
    <cellStyle name="Normal 2 12 3 10 2 2 8" xfId="1709" xr:uid="{3E4A0149-1962-4855-8DF4-45876BBB07BB}"/>
    <cellStyle name="Normal 2 12 3 10 2 3" xfId="1710" xr:uid="{547F597A-7F45-41DD-B4DF-4CB2FA368030}"/>
    <cellStyle name="Normal 2 12 3 10 2 4" xfId="1711" xr:uid="{64F42339-5B67-488B-90BC-334D832DA2B8}"/>
    <cellStyle name="Normal 2 12 3 10 2 5" xfId="1712" xr:uid="{1A136EBC-343C-4183-9D28-EDC7C6520813}"/>
    <cellStyle name="Normal 2 12 3 10 2 6" xfId="1713" xr:uid="{AE2B2FDA-EF86-4073-B67F-179196BB5422}"/>
    <cellStyle name="Normal 2 12 3 10 2 7" xfId="1714" xr:uid="{31732ED1-84C0-449C-952F-D8BD1A4A6F6B}"/>
    <cellStyle name="Normal 2 12 3 10 2 8" xfId="1715" xr:uid="{B6843B2B-5FD5-4C75-BFCF-ACF3A40EDE11}"/>
    <cellStyle name="Normal 2 12 3 10 3" xfId="1716" xr:uid="{E7AE0B38-6945-4DAD-888F-2A6BA5C7B7BB}"/>
    <cellStyle name="Normal 2 12 3 10 4" xfId="1717" xr:uid="{F9F95CBC-3EC5-46B8-B7BD-353C2B7DE78F}"/>
    <cellStyle name="Normal 2 12 3 10 5" xfId="1718" xr:uid="{0387937F-E8D4-4D93-A2AD-3C194F5386AA}"/>
    <cellStyle name="Normal 2 12 3 10 6" xfId="1719" xr:uid="{96439F13-E428-47C6-BA9D-A9D8DAA632D8}"/>
    <cellStyle name="Normal 2 12 3 10 7" xfId="1720" xr:uid="{57F9BD2D-B691-4C69-89C1-C08A2384DCC7}"/>
    <cellStyle name="Normal 2 12 3 10 8" xfId="1721" xr:uid="{A75EF80B-F409-4550-8F20-E2EE18079467}"/>
    <cellStyle name="Normal 2 12 3 10 9" xfId="1722" xr:uid="{D5EDD05B-C0FE-4302-BC19-340B54A944B3}"/>
    <cellStyle name="Normal 2 12 3 11" xfId="1723" xr:uid="{2070C814-BE1B-4C25-BF6D-A0DEB52A40CD}"/>
    <cellStyle name="Normal 2 12 3 11 2" xfId="1724" xr:uid="{B148310F-D5F2-4D5E-814A-E4B48E8B5386}"/>
    <cellStyle name="Normal 2 12 3 11 3" xfId="1725" xr:uid="{CD560C2B-38E6-46FE-BE66-E6E0E21EE1EC}"/>
    <cellStyle name="Normal 2 12 3 11 4" xfId="1726" xr:uid="{F5AD452A-569E-4858-86FF-E23B59FAF758}"/>
    <cellStyle name="Normal 2 12 3 11 5" xfId="1727" xr:uid="{3B14F1E5-F746-42C0-B540-13E6F79E9EA6}"/>
    <cellStyle name="Normal 2 12 3 11 6" xfId="1728" xr:uid="{AF684DA6-0C2B-48F0-A0D1-7C3E0B2F63AC}"/>
    <cellStyle name="Normal 2 12 3 11 7" xfId="1729" xr:uid="{7214B75B-16CB-4F4E-9ECA-96D948F6F9C0}"/>
    <cellStyle name="Normal 2 12 3 11 8" xfId="1730" xr:uid="{414AC92B-57EB-4163-B7F1-C4D04B4D5BDC}"/>
    <cellStyle name="Normal 2 12 3 12" xfId="1731" xr:uid="{DDA82E3C-7BF8-44BD-B68B-FE3577FC87FA}"/>
    <cellStyle name="Normal 2 12 3 13" xfId="1732" xr:uid="{6FDF6F16-710D-4E44-8598-106117E90032}"/>
    <cellStyle name="Normal 2 12 3 14" xfId="1733" xr:uid="{10D472EA-F406-4FA2-B3A8-26B6CEC9B73F}"/>
    <cellStyle name="Normal 2 12 3 15" xfId="1734" xr:uid="{0AAF6C6D-9D53-46A8-8F42-32F3AE115417}"/>
    <cellStyle name="Normal 2 12 3 16" xfId="1735" xr:uid="{6B9C09DD-7D00-427F-9A54-D36D9A890B12}"/>
    <cellStyle name="Normal 2 12 3 17" xfId="1736" xr:uid="{EFA106D2-1C6C-4129-B9D6-3A59955D823A}"/>
    <cellStyle name="Normal 2 12 3 2" xfId="1737" xr:uid="{0D7A6547-B42E-43A3-AE26-91642D7F143D}"/>
    <cellStyle name="Normal 2 12 3 2 10" xfId="1738" xr:uid="{6EEC2799-0CFC-43FF-B868-1E4B03874E6B}"/>
    <cellStyle name="Normal 2 12 3 2 10 2" xfId="1739" xr:uid="{A01AC072-57EA-4D57-AADC-8D692E7A07D3}"/>
    <cellStyle name="Normal 2 12 3 2 10 2 2" xfId="1740" xr:uid="{FB5FC1BA-1E6D-4603-AFAB-0E756A53C072}"/>
    <cellStyle name="Normal 2 12 3 2 10 2 2 2" xfId="1741" xr:uid="{5D1CAD4E-42DC-4389-BEF0-05266C705EB9}"/>
    <cellStyle name="Normal 2 12 3 2 10 2 2 3" xfId="1742" xr:uid="{9996E868-4ACF-4A4F-94D3-21AD1FE5B97B}"/>
    <cellStyle name="Normal 2 12 3 2 10 2 2 4" xfId="1743" xr:uid="{01EEEDB3-4B3F-4D2A-B371-7297D6D6ECF5}"/>
    <cellStyle name="Normal 2 12 3 2 10 2 2 5" xfId="1744" xr:uid="{CADA236B-6E58-4C86-8DA1-D37FBBCD8B30}"/>
    <cellStyle name="Normal 2 12 3 2 10 2 2 6" xfId="1745" xr:uid="{9BFD51A8-4A40-4692-B1CD-4CBF1E6EFA91}"/>
    <cellStyle name="Normal 2 12 3 2 10 2 2 7" xfId="1746" xr:uid="{28BA328F-E427-4183-B71D-8529E797E916}"/>
    <cellStyle name="Normal 2 12 3 2 10 2 2 8" xfId="1747" xr:uid="{12E253E0-89C7-4785-9AEA-FF075FAE11C9}"/>
    <cellStyle name="Normal 2 12 3 2 10 2 3" xfId="1748" xr:uid="{2B6BD198-4D18-4B4F-8B99-B717602C1457}"/>
    <cellStyle name="Normal 2 12 3 2 10 2 4" xfId="1749" xr:uid="{5B78FA34-5FE9-4C62-9B76-BC1B8E0DDC9F}"/>
    <cellStyle name="Normal 2 12 3 2 10 2 5" xfId="1750" xr:uid="{84B7CF60-845C-42D9-A06D-94A615198EDA}"/>
    <cellStyle name="Normal 2 12 3 2 10 2 6" xfId="1751" xr:uid="{2301783A-5364-41C5-96BE-FC856F09CDFC}"/>
    <cellStyle name="Normal 2 12 3 2 10 2 7" xfId="1752" xr:uid="{FC157FDF-1566-4C89-8FCA-593C95A4FF80}"/>
    <cellStyle name="Normal 2 12 3 2 10 2 8" xfId="1753" xr:uid="{62216C6A-ABDC-47B4-A86E-186869F1DCB8}"/>
    <cellStyle name="Normal 2 12 3 2 10 3" xfId="1754" xr:uid="{7DA2DAC0-9075-47F9-BB28-0BD3B5FC2566}"/>
    <cellStyle name="Normal 2 12 3 2 10 4" xfId="1755" xr:uid="{D7106048-A290-4EB6-AEE2-5777E5271EBE}"/>
    <cellStyle name="Normal 2 12 3 2 10 5" xfId="1756" xr:uid="{4B07BF11-18AE-4830-B690-07D176FAD266}"/>
    <cellStyle name="Normal 2 12 3 2 10 6" xfId="1757" xr:uid="{84205194-DA6A-43DB-9D1B-CB1E99DCBD99}"/>
    <cellStyle name="Normal 2 12 3 2 10 7" xfId="1758" xr:uid="{2261212D-F5C4-4702-8E3F-80941CB84DF4}"/>
    <cellStyle name="Normal 2 12 3 2 10 8" xfId="1759" xr:uid="{053A6E19-A678-4125-9F8A-AE0B11F3CBF0}"/>
    <cellStyle name="Normal 2 12 3 2 10 9" xfId="1760" xr:uid="{0392A189-2206-4EC2-A487-990300845595}"/>
    <cellStyle name="Normal 2 12 3 2 11" xfId="1761" xr:uid="{5186E970-22D2-49F6-88E1-7EB20D95F526}"/>
    <cellStyle name="Normal 2 12 3 2 11 2" xfId="1762" xr:uid="{DF1600C1-6A31-4291-BC5A-2DD141D76A3B}"/>
    <cellStyle name="Normal 2 12 3 2 11 3" xfId="1763" xr:uid="{7A261B2B-699C-4882-B5D0-0A2BB214E82F}"/>
    <cellStyle name="Normal 2 12 3 2 11 4" xfId="1764" xr:uid="{4F2C5643-1AD9-4932-8B13-A2D3658EF7B7}"/>
    <cellStyle name="Normal 2 12 3 2 11 5" xfId="1765" xr:uid="{E2A6D606-F161-4129-BE41-366D5E1A424F}"/>
    <cellStyle name="Normal 2 12 3 2 11 6" xfId="1766" xr:uid="{6C521C34-2E74-47CD-889B-85A775D963AD}"/>
    <cellStyle name="Normal 2 12 3 2 11 7" xfId="1767" xr:uid="{997C4594-314F-4BB9-990F-824CF8B7B033}"/>
    <cellStyle name="Normal 2 12 3 2 11 8" xfId="1768" xr:uid="{622F6C4F-98EE-4DB9-81C1-AF0158CB5754}"/>
    <cellStyle name="Normal 2 12 3 2 12" xfId="1769" xr:uid="{EE74B821-39AB-4B7C-AF02-F272713BBCEF}"/>
    <cellStyle name="Normal 2 12 3 2 13" xfId="1770" xr:uid="{453D610C-4A07-4606-88FC-9B48AABAE28A}"/>
    <cellStyle name="Normal 2 12 3 2 14" xfId="1771" xr:uid="{B798FB2C-05D3-49B3-BAA4-9388620FF4DB}"/>
    <cellStyle name="Normal 2 12 3 2 15" xfId="1772" xr:uid="{96ACC9CB-0040-4B4B-B0BB-4726E3E143F3}"/>
    <cellStyle name="Normal 2 12 3 2 16" xfId="1773" xr:uid="{A83A3A96-0D0C-41EB-AA40-00FFC2DD4ABA}"/>
    <cellStyle name="Normal 2 12 3 2 17" xfId="1774" xr:uid="{5A5B30D9-984B-44D1-9127-14120DF148C1}"/>
    <cellStyle name="Normal 2 12 3 2 2" xfId="1775" xr:uid="{03EB0A08-DBE6-4A01-88EE-040B3AD92457}"/>
    <cellStyle name="Normal 2 12 3 2 2 10" xfId="1776" xr:uid="{2175430B-2520-4E9F-8199-D655F21F2437}"/>
    <cellStyle name="Normal 2 12 3 2 2 2" xfId="1777" xr:uid="{C97DC157-0113-4CF8-81EE-7D320571080F}"/>
    <cellStyle name="Normal 2 12 3 2 2 2 2" xfId="1778" xr:uid="{6717F0EE-AC08-474E-948A-852C483732D0}"/>
    <cellStyle name="Normal 2 12 3 2 2 2 2 2" xfId="1779" xr:uid="{ADE6B668-2B3F-4C37-9FA7-49CC7ECEA6E2}"/>
    <cellStyle name="Normal 2 12 3 2 2 2 2 2 2" xfId="1780" xr:uid="{2D985308-DF13-42EA-86A8-7FD2050C0726}"/>
    <cellStyle name="Normal 2 12 3 2 2 2 2 2 3" xfId="1781" xr:uid="{45171D0B-F8E7-484C-A71A-3AC162CE93D0}"/>
    <cellStyle name="Normal 2 12 3 2 2 2 2 2 4" xfId="1782" xr:uid="{56AC14EC-7738-4933-BAA6-FD0A6094B480}"/>
    <cellStyle name="Normal 2 12 3 2 2 2 2 2 5" xfId="1783" xr:uid="{F75D8EC0-5AB4-49DB-8DA1-37372829895C}"/>
    <cellStyle name="Normal 2 12 3 2 2 2 2 2 6" xfId="1784" xr:uid="{C3D79A47-471B-4C65-A553-2EC1EF1BDAC1}"/>
    <cellStyle name="Normal 2 12 3 2 2 2 2 2 7" xfId="1785" xr:uid="{54D5FBE7-3055-4A56-8D8E-B984D998A1F0}"/>
    <cellStyle name="Normal 2 12 3 2 2 2 2 2 8" xfId="1786" xr:uid="{8C022B8A-161F-4786-A79F-085AF65D2256}"/>
    <cellStyle name="Normal 2 12 3 2 2 2 2 3" xfId="1787" xr:uid="{0012B671-8549-4259-9588-ECD9F4B4696B}"/>
    <cellStyle name="Normal 2 12 3 2 2 2 2 4" xfId="1788" xr:uid="{273215E6-43A7-432C-BC3E-278E27951547}"/>
    <cellStyle name="Normal 2 12 3 2 2 2 2 5" xfId="1789" xr:uid="{0ACA6AFF-0AA1-474D-A6BE-E193E905B1D1}"/>
    <cellStyle name="Normal 2 12 3 2 2 2 2 6" xfId="1790" xr:uid="{81FC14CB-F004-4DFA-8555-4AA4D3C228FF}"/>
    <cellStyle name="Normal 2 12 3 2 2 2 2 7" xfId="1791" xr:uid="{74915E22-8E49-4CD2-97CE-6C82FDCD9797}"/>
    <cellStyle name="Normal 2 12 3 2 2 2 2 8" xfId="1792" xr:uid="{C6EC9E34-3B26-4A37-BDF0-0439C70110BD}"/>
    <cellStyle name="Normal 2 12 3 2 2 2 3" xfId="1793" xr:uid="{EA8DB366-19F3-41A0-9630-5DBA6EDD707B}"/>
    <cellStyle name="Normal 2 12 3 2 2 2 4" xfId="1794" xr:uid="{4B937A10-4CCA-41AF-82E3-17F2C7949D9C}"/>
    <cellStyle name="Normal 2 12 3 2 2 2 5" xfId="1795" xr:uid="{403BFF8F-89AA-42B3-A1CB-1D4FC25D0870}"/>
    <cellStyle name="Normal 2 12 3 2 2 2 6" xfId="1796" xr:uid="{370491A5-190E-4A0A-886D-F633E6737028}"/>
    <cellStyle name="Normal 2 12 3 2 2 2 7" xfId="1797" xr:uid="{AB7D3E82-E98E-467D-9FA6-1CE7EB34727E}"/>
    <cellStyle name="Normal 2 12 3 2 2 2 8" xfId="1798" xr:uid="{43E4593A-BA33-4D4F-82A0-0B38784BD9FD}"/>
    <cellStyle name="Normal 2 12 3 2 2 2 9" xfId="1799" xr:uid="{4F4955BB-18D7-4D8B-BF31-DD12FC86B3DE}"/>
    <cellStyle name="Normal 2 12 3 2 2 3" xfId="1800" xr:uid="{CE367403-EB5B-4BB9-BF32-BF6374008795}"/>
    <cellStyle name="Normal 2 12 3 2 2 4" xfId="1801" xr:uid="{68AA5FEF-6CAE-48D3-8422-7C9530F1D6B0}"/>
    <cellStyle name="Normal 2 12 3 2 2 4 2" xfId="1802" xr:uid="{A1D422A6-EC6E-43C3-8DA2-88EE55ABFA0E}"/>
    <cellStyle name="Normal 2 12 3 2 2 4 3" xfId="1803" xr:uid="{8AE9DD8A-8C05-4FA5-8389-9A45AD1913A1}"/>
    <cellStyle name="Normal 2 12 3 2 2 4 4" xfId="1804" xr:uid="{6D35960E-3F9A-496C-8080-9531E05F61A6}"/>
    <cellStyle name="Normal 2 12 3 2 2 4 5" xfId="1805" xr:uid="{57A3519D-27CA-49D3-9702-2E28BB429912}"/>
    <cellStyle name="Normal 2 12 3 2 2 4 6" xfId="1806" xr:uid="{0C25E975-009B-4395-9F84-9A62D14C3DEA}"/>
    <cellStyle name="Normal 2 12 3 2 2 4 7" xfId="1807" xr:uid="{7386C8C6-6EF0-4A7B-9AD2-D95DDF429C64}"/>
    <cellStyle name="Normal 2 12 3 2 2 4 8" xfId="1808" xr:uid="{9D95ABAE-467B-4A93-8DE3-8D1FB716B9A9}"/>
    <cellStyle name="Normal 2 12 3 2 2 5" xfId="1809" xr:uid="{B6631D01-153B-4A21-8B1B-6B3D65214340}"/>
    <cellStyle name="Normal 2 12 3 2 2 6" xfId="1810" xr:uid="{568D7A90-C329-452C-B303-8C8D342A3D92}"/>
    <cellStyle name="Normal 2 12 3 2 2 7" xfId="1811" xr:uid="{FD1E74E0-F357-4D97-A454-897882265356}"/>
    <cellStyle name="Normal 2 12 3 2 2 8" xfId="1812" xr:uid="{4467CA4C-F5DF-488E-8630-66F7756E1680}"/>
    <cellStyle name="Normal 2 12 3 2 2 9" xfId="1813" xr:uid="{F4743505-7E1B-4F5D-9FE5-5AA1BBEFA561}"/>
    <cellStyle name="Normal 2 12 3 2 3" xfId="1814" xr:uid="{9F31BE97-9DE3-4CD3-AA63-07E68FFA2625}"/>
    <cellStyle name="Normal 2 12 3 2 4" xfId="1815" xr:uid="{C65D2DDE-339D-40C4-8AAC-C12C9578B05C}"/>
    <cellStyle name="Normal 2 12 3 2 5" xfId="1816" xr:uid="{61FB6C52-054E-4EE0-8FCF-F53F02A53231}"/>
    <cellStyle name="Normal 2 12 3 2 6" xfId="1817" xr:uid="{8FB448F8-3F8D-4D64-BFEF-577BD8EBB13F}"/>
    <cellStyle name="Normal 2 12 3 2 7" xfId="1818" xr:uid="{BBB2F2C0-06EE-4883-A84A-A82DE4C8C160}"/>
    <cellStyle name="Normal 2 12 3 2 8" xfId="1819" xr:uid="{8ECD2C50-E8D6-49C0-9153-E55BD2DA4C00}"/>
    <cellStyle name="Normal 2 12 3 2 9" xfId="1820" xr:uid="{BEC68395-94D8-4FF0-915D-A24C5F9D2106}"/>
    <cellStyle name="Normal 2 12 3 3" xfId="1821" xr:uid="{6CA8FC8B-E49D-4773-A292-4D3197AF0D37}"/>
    <cellStyle name="Normal 2 12 3 3 10" xfId="1822" xr:uid="{C8953169-C125-4B6F-8A2A-1FA22AE4B02B}"/>
    <cellStyle name="Normal 2 12 3 3 2" xfId="1823" xr:uid="{631D1135-133F-4E9F-B4E8-42EAAF920189}"/>
    <cellStyle name="Normal 2 12 3 3 2 2" xfId="1824" xr:uid="{F33C998E-26EB-4DEA-B9F9-BB1175BE705A}"/>
    <cellStyle name="Normal 2 12 3 3 2 2 2" xfId="1825" xr:uid="{EC114784-D4A7-4DBC-BE48-610D1E29A66C}"/>
    <cellStyle name="Normal 2 12 3 3 2 2 2 2" xfId="1826" xr:uid="{F0B9BDF8-E8FD-43CA-8AC1-97B382C80F4C}"/>
    <cellStyle name="Normal 2 12 3 3 2 2 2 3" xfId="1827" xr:uid="{18C6D007-DB0E-4149-BA4B-6DF41FF3E21C}"/>
    <cellStyle name="Normal 2 12 3 3 2 2 2 4" xfId="1828" xr:uid="{44A29246-EEE5-4EF0-AD0A-F5598217DFF8}"/>
    <cellStyle name="Normal 2 12 3 3 2 2 2 5" xfId="1829" xr:uid="{202C3967-CDFE-4CB4-8CAC-4D74CD0E40D3}"/>
    <cellStyle name="Normal 2 12 3 3 2 2 2 6" xfId="1830" xr:uid="{B906EB6B-F833-4FDE-905C-DE92B9105BAA}"/>
    <cellStyle name="Normal 2 12 3 3 2 2 2 7" xfId="1831" xr:uid="{94E50CD4-1E74-431C-A1C5-7A8B120B377F}"/>
    <cellStyle name="Normal 2 12 3 3 2 2 2 8" xfId="1832" xr:uid="{1D2DD3B1-C312-4A62-801D-C19A96EF5A4D}"/>
    <cellStyle name="Normal 2 12 3 3 2 2 3" xfId="1833" xr:uid="{3B8FDF33-C3DB-4B4B-9540-E2019D109275}"/>
    <cellStyle name="Normal 2 12 3 3 2 2 4" xfId="1834" xr:uid="{01DBECC8-3D54-40A7-837F-597CA92B483F}"/>
    <cellStyle name="Normal 2 12 3 3 2 2 5" xfId="1835" xr:uid="{0BECCC29-32F4-4323-A9DB-203F56135704}"/>
    <cellStyle name="Normal 2 12 3 3 2 2 6" xfId="1836" xr:uid="{5E996466-612F-40D1-8A55-32CB39C7C25C}"/>
    <cellStyle name="Normal 2 12 3 3 2 2 7" xfId="1837" xr:uid="{B99FD4A6-A001-418F-B7EF-48608DD7D244}"/>
    <cellStyle name="Normal 2 12 3 3 2 2 8" xfId="1838" xr:uid="{6F6BB8C6-B307-4E14-98D1-B91B1D362D81}"/>
    <cellStyle name="Normal 2 12 3 3 2 3" xfId="1839" xr:uid="{E83B6BD6-9FEF-42C0-947F-549D4CC5DAB5}"/>
    <cellStyle name="Normal 2 12 3 3 2 4" xfId="1840" xr:uid="{E93CAFE1-80A7-44FB-B4B8-47617C9ACCDC}"/>
    <cellStyle name="Normal 2 12 3 3 2 5" xfId="1841" xr:uid="{93A05818-3ED9-4D24-A323-F90F7CD8C84E}"/>
    <cellStyle name="Normal 2 12 3 3 2 6" xfId="1842" xr:uid="{DED55961-3501-4E4D-870A-89C9FDF60030}"/>
    <cellStyle name="Normal 2 12 3 3 2 7" xfId="1843" xr:uid="{5DE92CC5-10EE-4BD4-9334-555EFD6F8D59}"/>
    <cellStyle name="Normal 2 12 3 3 2 8" xfId="1844" xr:uid="{947C8D18-B756-4414-9BCF-4A6984734974}"/>
    <cellStyle name="Normal 2 12 3 3 2 9" xfId="1845" xr:uid="{9D50B4CE-6583-42DA-836D-86A5BDDAAA05}"/>
    <cellStyle name="Normal 2 12 3 3 3" xfId="1846" xr:uid="{33C8465F-2567-423C-9A06-88DA903A14EE}"/>
    <cellStyle name="Normal 2 12 3 3 4" xfId="1847" xr:uid="{5E8F71F5-C9B2-474E-A6BC-B9915E2E9ABC}"/>
    <cellStyle name="Normal 2 12 3 3 4 2" xfId="1848" xr:uid="{D25D33FB-933F-4190-9687-80A380AD3423}"/>
    <cellStyle name="Normal 2 12 3 3 4 3" xfId="1849" xr:uid="{850258D9-70D4-44B0-AA39-6B28C3756DBB}"/>
    <cellStyle name="Normal 2 12 3 3 4 4" xfId="1850" xr:uid="{F266EF3C-E63B-4F97-8953-BFF301ABC07F}"/>
    <cellStyle name="Normal 2 12 3 3 4 5" xfId="1851" xr:uid="{E625A8FE-910A-4DEF-BB56-E8500A6DAF2E}"/>
    <cellStyle name="Normal 2 12 3 3 4 6" xfId="1852" xr:uid="{4F799BA4-9D40-4B87-A3FF-727EDCF30B24}"/>
    <cellStyle name="Normal 2 12 3 3 4 7" xfId="1853" xr:uid="{3F10E69A-2048-4F5E-BBFF-B84B9B73F98D}"/>
    <cellStyle name="Normal 2 12 3 3 4 8" xfId="1854" xr:uid="{A3BF90A9-9280-4B6B-8699-A8EFCEC60194}"/>
    <cellStyle name="Normal 2 12 3 3 5" xfId="1855" xr:uid="{D9BA0303-0CEB-4FF2-B284-B77DE2B17446}"/>
    <cellStyle name="Normal 2 12 3 3 6" xfId="1856" xr:uid="{CAB229AA-16F6-4AB2-A899-E22C1699726D}"/>
    <cellStyle name="Normal 2 12 3 3 7" xfId="1857" xr:uid="{D958E612-1FB8-4C3C-82B1-5D3ED1FD9B2F}"/>
    <cellStyle name="Normal 2 12 3 3 8" xfId="1858" xr:uid="{507AEED9-C9FB-46FD-930A-D3DE92AFE3A8}"/>
    <cellStyle name="Normal 2 12 3 3 9" xfId="1859" xr:uid="{E4236DC1-C4E3-4025-8656-1FDEC9343933}"/>
    <cellStyle name="Normal 2 12 3 4" xfId="1860" xr:uid="{61F8BE04-E1EB-48BB-A20E-365DA439B646}"/>
    <cellStyle name="Normal 2 12 3 5" xfId="1861" xr:uid="{D41E5B3A-7AAE-4636-A262-57A1750375B1}"/>
    <cellStyle name="Normal 2 12 3 6" xfId="1862" xr:uid="{63C19C83-DC4A-4DFD-AFD9-41859D77D958}"/>
    <cellStyle name="Normal 2 12 3 7" xfId="1863" xr:uid="{51BAC4DF-89C1-4F11-A351-B33F91BA41D2}"/>
    <cellStyle name="Normal 2 12 3 8" xfId="1864" xr:uid="{D90598FB-D955-4E1C-8139-E1324FB98023}"/>
    <cellStyle name="Normal 2 12 3 9" xfId="1865" xr:uid="{93E31664-AF85-4387-855E-845D76A7A12C}"/>
    <cellStyle name="Normal 2 12 4" xfId="1866" xr:uid="{609E6CD7-6C7D-492A-AC03-B8AEAA1C2E05}"/>
    <cellStyle name="Normal 2 12 5" xfId="1867" xr:uid="{1DCE92BD-8483-4FCC-A7EE-B01D6E1B15CF}"/>
    <cellStyle name="Normal 2 12 6" xfId="1868" xr:uid="{3F54A2A3-045E-4F49-9C43-1D1184DFC2FA}"/>
    <cellStyle name="Normal 2 12 7" xfId="1869" xr:uid="{CDBEBE7F-4BF1-48CE-93BD-DCAA08B239C3}"/>
    <cellStyle name="Normal 2 12 7 10" xfId="1870" xr:uid="{FECD3545-21D1-4975-AF7A-54EB60BE1FF8}"/>
    <cellStyle name="Normal 2 12 7 2" xfId="1871" xr:uid="{54D2522F-B8AC-43F3-98D2-81FEAED7316E}"/>
    <cellStyle name="Normal 2 12 7 2 2" xfId="1872" xr:uid="{EE4F7898-76B6-4D13-BE60-CF1AD4C26847}"/>
    <cellStyle name="Normal 2 12 7 2 2 2" xfId="1873" xr:uid="{3079E805-E171-4D72-931C-85D39C853673}"/>
    <cellStyle name="Normal 2 12 7 2 2 2 2" xfId="1874" xr:uid="{FBD57B61-7D3B-4678-BF4E-D185EAD50321}"/>
    <cellStyle name="Normal 2 12 7 2 2 2 3" xfId="1875" xr:uid="{C82CC776-E3D7-42B3-9ECD-7BD6A5954B48}"/>
    <cellStyle name="Normal 2 12 7 2 2 2 4" xfId="1876" xr:uid="{5FB42162-5F13-4BDD-AA67-5533439BE4E8}"/>
    <cellStyle name="Normal 2 12 7 2 2 2 5" xfId="1877" xr:uid="{3F4C37FE-8CE1-44E8-B877-C1ED6C19DC44}"/>
    <cellStyle name="Normal 2 12 7 2 2 2 6" xfId="1878" xr:uid="{E74DF557-2584-437D-A97C-62CD2061F019}"/>
    <cellStyle name="Normal 2 12 7 2 2 2 7" xfId="1879" xr:uid="{58A85918-ACC6-4F5B-9D83-2203A245CA7E}"/>
    <cellStyle name="Normal 2 12 7 2 2 2 8" xfId="1880" xr:uid="{E66C019C-FAE5-4BC8-AAB1-B7CF5143E179}"/>
    <cellStyle name="Normal 2 12 7 2 2 3" xfId="1881" xr:uid="{297C4D66-B59B-4105-AEB4-EE5FBFF35E95}"/>
    <cellStyle name="Normal 2 12 7 2 2 4" xfId="1882" xr:uid="{BA18399D-485A-466B-A6B7-B4C082BC3A96}"/>
    <cellStyle name="Normal 2 12 7 2 2 5" xfId="1883" xr:uid="{6609A56E-BFE0-4193-A597-C961D939A1BA}"/>
    <cellStyle name="Normal 2 12 7 2 2 6" xfId="1884" xr:uid="{0E831CB7-85F6-4F5B-B94B-A2582091DB7E}"/>
    <cellStyle name="Normal 2 12 7 2 2 7" xfId="1885" xr:uid="{28F6F05F-A018-4BE0-BAA6-DBB4AED5F7AC}"/>
    <cellStyle name="Normal 2 12 7 2 2 8" xfId="1886" xr:uid="{AA32D8DF-A334-44D0-81B8-319EBE237FE7}"/>
    <cellStyle name="Normal 2 12 7 2 3" xfId="1887" xr:uid="{73F7BF9E-EF0F-4BC9-B460-0D59D8ADFFB5}"/>
    <cellStyle name="Normal 2 12 7 2 4" xfId="1888" xr:uid="{53C3DCA8-E8C7-404D-9AF1-16894824C082}"/>
    <cellStyle name="Normal 2 12 7 2 5" xfId="1889" xr:uid="{F4D1EF74-82E7-4932-8966-B8329D319E4D}"/>
    <cellStyle name="Normal 2 12 7 2 6" xfId="1890" xr:uid="{62CD5BB3-B945-4173-8146-2279F542FF81}"/>
    <cellStyle name="Normal 2 12 7 2 7" xfId="1891" xr:uid="{77F9380B-6464-4E1C-AE12-C95B23D9D0E1}"/>
    <cellStyle name="Normal 2 12 7 2 8" xfId="1892" xr:uid="{914FCF7B-FC38-4F9B-AB47-90AE8E401881}"/>
    <cellStyle name="Normal 2 12 7 2 9" xfId="1893" xr:uid="{DBFD94FD-13FD-4235-B724-B917D98D8158}"/>
    <cellStyle name="Normal 2 12 7 3" xfId="1894" xr:uid="{DF8F943E-9B72-4252-84CD-63FC56291313}"/>
    <cellStyle name="Normal 2 12 7 4" xfId="1895" xr:uid="{87091BCF-B386-4113-A560-7C8DA9059280}"/>
    <cellStyle name="Normal 2 12 7 4 2" xfId="1896" xr:uid="{C682F568-935E-4FC0-A743-893E2AB121A6}"/>
    <cellStyle name="Normal 2 12 7 4 3" xfId="1897" xr:uid="{4B0E8704-37A8-4071-A466-7CB280D0345A}"/>
    <cellStyle name="Normal 2 12 7 4 4" xfId="1898" xr:uid="{F148C1CA-DDD0-4A52-83FD-FCDBCD2BBFEE}"/>
    <cellStyle name="Normal 2 12 7 4 5" xfId="1899" xr:uid="{502E3F9D-278B-4FF2-848B-CCAD5FFE3BB1}"/>
    <cellStyle name="Normal 2 12 7 4 6" xfId="1900" xr:uid="{63ADFAF3-7DDA-4C77-89D9-85E784B7E670}"/>
    <cellStyle name="Normal 2 12 7 4 7" xfId="1901" xr:uid="{E6AD9FE8-0AD0-471A-AF6F-6B057181A216}"/>
    <cellStyle name="Normal 2 12 7 4 8" xfId="1902" xr:uid="{1A0F14D6-517B-4BA0-85CC-F96B80BE3017}"/>
    <cellStyle name="Normal 2 12 7 5" xfId="1903" xr:uid="{EFC4D307-4512-4836-BE41-1AC317B8B461}"/>
    <cellStyle name="Normal 2 12 7 6" xfId="1904" xr:uid="{DCCAAD8F-1B70-45E3-B852-F8383F3FCB3E}"/>
    <cellStyle name="Normal 2 12 7 7" xfId="1905" xr:uid="{3D2DEB70-8082-4EF0-A8AB-BDFE2C3CAF61}"/>
    <cellStyle name="Normal 2 12 7 8" xfId="1906" xr:uid="{A2BDD2B3-ABE8-44FD-B0AB-EB8BA5E10883}"/>
    <cellStyle name="Normal 2 12 7 9" xfId="1907" xr:uid="{4587C9EE-51D2-45E1-8F24-7A22084C195C}"/>
    <cellStyle name="Normal 2 12 8" xfId="1908" xr:uid="{F11D87EE-8107-4284-95F1-0CEF409E7E78}"/>
    <cellStyle name="Normal 2 12 9" xfId="1909" xr:uid="{700F5C13-145D-4BE4-9AD3-AF23B891F653}"/>
    <cellStyle name="Normal 2 13" xfId="1910" xr:uid="{C304E0F2-E943-4EA7-AD9F-4EDEF94DC83A}"/>
    <cellStyle name="Normal 2 14" xfId="1911" xr:uid="{213E036D-03ED-4BA7-AF2C-35685253BC28}"/>
    <cellStyle name="Normal 2 15" xfId="1912" xr:uid="{3F95F96F-F827-4658-8413-CFCECB3D49D2}"/>
    <cellStyle name="Normal 2 16" xfId="1913" xr:uid="{EA02BB6D-91F1-4CD0-AA18-DA0CD64DECBA}"/>
    <cellStyle name="Normal 2 17" xfId="1914" xr:uid="{5FD25529-6480-4C98-9698-2CF8D2FF934D}"/>
    <cellStyle name="Normal 2 18" xfId="1915" xr:uid="{284A5516-B4A6-46DD-B88E-2651A66FD651}"/>
    <cellStyle name="Normal 2 19" xfId="1916" xr:uid="{1A51911C-D16D-4057-B43D-16557918332B}"/>
    <cellStyle name="Normal 2 2" xfId="1917" xr:uid="{4E4D77C9-4135-471F-B8C9-674057E4EB10}"/>
    <cellStyle name="Normal 2 2 10" xfId="1918" xr:uid="{5604C110-9FA0-4639-BABC-420426DC2EA5}"/>
    <cellStyle name="Normal 2 2 11" xfId="1919" xr:uid="{49FAB011-AB69-4DD4-B6E5-55F76418E638}"/>
    <cellStyle name="Normal 2 2 12" xfId="1920" xr:uid="{6015D021-9732-490B-AFD3-A9D7F30D0140}"/>
    <cellStyle name="Normal 2 2 12 10" xfId="1921" xr:uid="{7C7BD75F-61EA-4B58-9F58-D96DA03663E1}"/>
    <cellStyle name="Normal 2 2 12 11" xfId="1922" xr:uid="{BB6C9D0A-5F0D-44AC-94D5-CF5791B1CCFF}"/>
    <cellStyle name="Normal 2 2 12 12" xfId="1923" xr:uid="{FFC9D9C2-5012-45B0-BC7A-592866522EC8}"/>
    <cellStyle name="Normal 2 2 12 13" xfId="1924" xr:uid="{A5CB2BD3-743D-47B4-A53F-8295EE03823C}"/>
    <cellStyle name="Normal 2 2 12 14" xfId="1925" xr:uid="{D1333D33-A67D-40D7-8260-F19304D7E88C}"/>
    <cellStyle name="Normal 2 2 12 15" xfId="1926" xr:uid="{2DB9AAB6-A226-4D55-83FD-0C700DDA82C2}"/>
    <cellStyle name="Normal 2 2 12 15 2" xfId="1927" xr:uid="{7D2B154D-0B27-4DB9-85F5-BFBCC17296E2}"/>
    <cellStyle name="Normal 2 2 12 15 2 2" xfId="1928" xr:uid="{16C6E8EC-981B-49DC-8226-BC3E4B952253}"/>
    <cellStyle name="Normal 2 2 12 15 2 2 2" xfId="1929" xr:uid="{987128E5-47F5-4971-A5B6-09123BE08B3C}"/>
    <cellStyle name="Normal 2 2 12 15 2 2 3" xfId="1930" xr:uid="{0CD93D71-336E-4FE3-B6D2-3661AC3A21F6}"/>
    <cellStyle name="Normal 2 2 12 15 2 2 4" xfId="1931" xr:uid="{3A2A4306-0679-4D26-B1D7-6AAEC3003EEA}"/>
    <cellStyle name="Normal 2 2 12 15 2 2 5" xfId="1932" xr:uid="{1FBF9358-DBCA-4576-8161-91A3A864A3D3}"/>
    <cellStyle name="Normal 2 2 12 15 2 2 6" xfId="1933" xr:uid="{87EC2FD0-21A4-4E34-BFA0-179E80685385}"/>
    <cellStyle name="Normal 2 2 12 15 2 2 7" xfId="1934" xr:uid="{3698FD70-633D-42EA-8C79-F67544FA2A96}"/>
    <cellStyle name="Normal 2 2 12 15 2 2 8" xfId="1935" xr:uid="{10067953-D8C0-4B85-AB24-204F386DA51B}"/>
    <cellStyle name="Normal 2 2 12 15 2 3" xfId="1936" xr:uid="{D6411815-B1EA-4AE5-A035-AA5932A20E4C}"/>
    <cellStyle name="Normal 2 2 12 15 2 4" xfId="1937" xr:uid="{088E1937-3AEB-4B7C-BD6F-92224E3E8CEC}"/>
    <cellStyle name="Normal 2 2 12 15 2 5" xfId="1938" xr:uid="{00118C2E-6A9D-43F9-8F02-C280A0420D50}"/>
    <cellStyle name="Normal 2 2 12 15 2 6" xfId="1939" xr:uid="{17B8A9B7-C999-4340-92F1-19C7C34CD019}"/>
    <cellStyle name="Normal 2 2 12 15 2 7" xfId="1940" xr:uid="{9EE8966E-4E92-462A-80E1-53597F6E11C1}"/>
    <cellStyle name="Normal 2 2 12 15 2 8" xfId="1941" xr:uid="{35E2189B-3DBD-45A6-9039-1B6FF87D3524}"/>
    <cellStyle name="Normal 2 2 12 15 3" xfId="1942" xr:uid="{B496A702-9C31-4D30-BD64-28E893913E3B}"/>
    <cellStyle name="Normal 2 2 12 15 4" xfId="1943" xr:uid="{2E3D0020-DA07-4CB8-9EA6-F0D6ED01F266}"/>
    <cellStyle name="Normal 2 2 12 15 5" xfId="1944" xr:uid="{19BDBA72-6DD5-4E19-A31B-6A0A467D5A85}"/>
    <cellStyle name="Normal 2 2 12 15 6" xfId="1945" xr:uid="{49A90905-56BF-4F45-9909-1A0CED80BB7B}"/>
    <cellStyle name="Normal 2 2 12 15 7" xfId="1946" xr:uid="{4BC922BF-BE42-4B07-A278-A27A12F55FBA}"/>
    <cellStyle name="Normal 2 2 12 15 8" xfId="1947" xr:uid="{BC181F35-E245-437D-8461-F470644BC817}"/>
    <cellStyle name="Normal 2 2 12 15 9" xfId="1948" xr:uid="{E6EBE6D7-EC4B-485B-B784-6A8CBA242E92}"/>
    <cellStyle name="Normal 2 2 12 16" xfId="1949" xr:uid="{2BFB5E55-8209-42C7-9D10-DC7B718E4B62}"/>
    <cellStyle name="Normal 2 2 12 16 2" xfId="1950" xr:uid="{C41B9EA7-2F35-4F1B-88CC-36A4B52891A0}"/>
    <cellStyle name="Normal 2 2 12 16 3" xfId="1951" xr:uid="{3AC78791-2A4D-4AFE-BD39-F16159938AEF}"/>
    <cellStyle name="Normal 2 2 12 16 4" xfId="1952" xr:uid="{D60C167C-D60D-4BFB-9527-2370A64BCD2C}"/>
    <cellStyle name="Normal 2 2 12 16 5" xfId="1953" xr:uid="{95F01496-01CF-4562-9D73-D05C1E538808}"/>
    <cellStyle name="Normal 2 2 12 16 6" xfId="1954" xr:uid="{FBAF722E-BB57-4376-BC0D-A9940AF88F98}"/>
    <cellStyle name="Normal 2 2 12 16 7" xfId="1955" xr:uid="{6A0BC81D-C502-4EB0-909C-7975CA9B3A5E}"/>
    <cellStyle name="Normal 2 2 12 16 8" xfId="1956" xr:uid="{84B4B7FB-4248-4E0B-8932-B54AC2F8E484}"/>
    <cellStyle name="Normal 2 2 12 17" xfId="1957" xr:uid="{08D32C7D-2D11-4E61-8CF3-75B81BCFAE19}"/>
    <cellStyle name="Normal 2 2 12 18" xfId="1958" xr:uid="{A62DDFAF-2978-4C2D-BBD5-ED495F89430D}"/>
    <cellStyle name="Normal 2 2 12 19" xfId="1959" xr:uid="{E658072D-E43F-4411-9683-19251A1B6015}"/>
    <cellStyle name="Normal 2 2 12 2" xfId="1960" xr:uid="{7726B515-0671-4FBD-B940-432A6D1BAACD}"/>
    <cellStyle name="Normal 2 2 12 2 10" xfId="1961" xr:uid="{AAAEA19A-A87E-46C3-B46E-E5D237F6C3D9}"/>
    <cellStyle name="Normal 2 2 12 2 11" xfId="1962" xr:uid="{6E65753A-9725-47E0-B15A-F3EF5D257F7C}"/>
    <cellStyle name="Normal 2 2 12 2 12" xfId="1963" xr:uid="{65BE70CC-73CD-42A3-9E31-42FD11714C64}"/>
    <cellStyle name="Normal 2 2 12 2 13" xfId="1964" xr:uid="{93F6F94A-B244-4B05-8EB2-451D4F409511}"/>
    <cellStyle name="Normal 2 2 12 2 14" xfId="1965" xr:uid="{5862B855-1EE3-47EA-9200-255A56687FF3}"/>
    <cellStyle name="Normal 2 2 12 2 15" xfId="1966" xr:uid="{0A8DB87A-500F-405C-8090-15595E4078C6}"/>
    <cellStyle name="Normal 2 2 12 2 15 2" xfId="1967" xr:uid="{F6E67E03-029E-4FA0-9888-737CC5C3C61A}"/>
    <cellStyle name="Normal 2 2 12 2 15 2 2" xfId="1968" xr:uid="{C0CC8C39-BD3A-4EA7-BE41-C8FD135A29A1}"/>
    <cellStyle name="Normal 2 2 12 2 15 2 2 2" xfId="1969" xr:uid="{ACC187A0-771E-46EC-8988-C2323453700E}"/>
    <cellStyle name="Normal 2 2 12 2 15 2 2 3" xfId="1970" xr:uid="{9002A358-5A49-42DA-A047-E779E1A7C0D8}"/>
    <cellStyle name="Normal 2 2 12 2 15 2 2 4" xfId="1971" xr:uid="{D6234F5C-1DEB-4BC6-9BB1-F602BFCED903}"/>
    <cellStyle name="Normal 2 2 12 2 15 2 2 5" xfId="1972" xr:uid="{8E654DBC-7C16-4A88-8D1E-4C313D822DCA}"/>
    <cellStyle name="Normal 2 2 12 2 15 2 2 6" xfId="1973" xr:uid="{53BD6A9C-D49C-46B5-AB04-6EB98FBD82C1}"/>
    <cellStyle name="Normal 2 2 12 2 15 2 2 7" xfId="1974" xr:uid="{CFC0C7F9-4D81-46B2-BC11-440D0E4354C9}"/>
    <cellStyle name="Normal 2 2 12 2 15 2 2 8" xfId="1975" xr:uid="{0F90DB13-D0A7-4A92-9367-BCAB7995AD41}"/>
    <cellStyle name="Normal 2 2 12 2 15 2 3" xfId="1976" xr:uid="{C7874D91-5022-4DBA-8703-A427F841B19A}"/>
    <cellStyle name="Normal 2 2 12 2 15 2 4" xfId="1977" xr:uid="{AC41CDA1-4927-420D-A996-7A56E59D8DB9}"/>
    <cellStyle name="Normal 2 2 12 2 15 2 5" xfId="1978" xr:uid="{5C2E4A73-2804-4172-95D5-611ECA31F67D}"/>
    <cellStyle name="Normal 2 2 12 2 15 2 6" xfId="1979" xr:uid="{6DC3136E-7D34-4161-9B90-90628058B878}"/>
    <cellStyle name="Normal 2 2 12 2 15 2 7" xfId="1980" xr:uid="{0A98432A-F737-4BE4-8A99-AAC78956CD79}"/>
    <cellStyle name="Normal 2 2 12 2 15 2 8" xfId="1981" xr:uid="{9E9726AB-D7F3-491F-8132-2A678239D781}"/>
    <cellStyle name="Normal 2 2 12 2 15 3" xfId="1982" xr:uid="{27FD8503-1651-416B-ABCD-4211D4739C15}"/>
    <cellStyle name="Normal 2 2 12 2 15 4" xfId="1983" xr:uid="{0A73F993-EBFB-489B-8261-227027ABDD98}"/>
    <cellStyle name="Normal 2 2 12 2 15 5" xfId="1984" xr:uid="{E908FE56-E3D9-4C33-B22F-5EE6021DF1FE}"/>
    <cellStyle name="Normal 2 2 12 2 15 6" xfId="1985" xr:uid="{CEC38594-4E76-4811-8986-8B923259C489}"/>
    <cellStyle name="Normal 2 2 12 2 15 7" xfId="1986" xr:uid="{5BEE51C6-C1A5-43EB-A640-58A7DCDE263D}"/>
    <cellStyle name="Normal 2 2 12 2 15 8" xfId="1987" xr:uid="{2D57CE9E-C80B-4F7E-B653-60AB618BE207}"/>
    <cellStyle name="Normal 2 2 12 2 15 9" xfId="1988" xr:uid="{86770506-8CC6-4645-B901-B5D570FB60BD}"/>
    <cellStyle name="Normal 2 2 12 2 16" xfId="1989" xr:uid="{58E16733-15FF-441B-95C0-D714F5363700}"/>
    <cellStyle name="Normal 2 2 12 2 16 2" xfId="1990" xr:uid="{96D58FC4-9A60-42B2-91C4-E7F8602CC86A}"/>
    <cellStyle name="Normal 2 2 12 2 16 3" xfId="1991" xr:uid="{AAB125CF-A84E-479E-A0F5-5531A071E864}"/>
    <cellStyle name="Normal 2 2 12 2 16 4" xfId="1992" xr:uid="{4903EA5D-F944-4D7D-B260-7B605B86D4A3}"/>
    <cellStyle name="Normal 2 2 12 2 16 5" xfId="1993" xr:uid="{5FCA1023-1AEB-4095-9113-586BCB72EA7F}"/>
    <cellStyle name="Normal 2 2 12 2 16 6" xfId="1994" xr:uid="{D9323FBF-FB47-4208-BF47-1800BE89D8D9}"/>
    <cellStyle name="Normal 2 2 12 2 16 7" xfId="1995" xr:uid="{2A9C8125-A799-453A-9D65-63F1835E7690}"/>
    <cellStyle name="Normal 2 2 12 2 16 8" xfId="1996" xr:uid="{6079EDCD-7C9C-4474-B57F-B9E9765656A0}"/>
    <cellStyle name="Normal 2 2 12 2 17" xfId="1997" xr:uid="{2D126A5A-F3DB-41EF-8183-F0FFD01C6EEC}"/>
    <cellStyle name="Normal 2 2 12 2 18" xfId="1998" xr:uid="{2B5DDD50-D4B2-4A7F-B9B1-773913C091C3}"/>
    <cellStyle name="Normal 2 2 12 2 19" xfId="1999" xr:uid="{577FF3EE-2E90-4F0F-872D-A4E48EDC657E}"/>
    <cellStyle name="Normal 2 2 12 2 2" xfId="2000" xr:uid="{2EF61517-3443-42EB-983A-70B402C2ADCE}"/>
    <cellStyle name="Normal 2 2 12 2 2 10" xfId="2001" xr:uid="{16094DDD-3626-414F-8225-144EBCB0A135}"/>
    <cellStyle name="Normal 2 2 12 2 2 10 2" xfId="2002" xr:uid="{051C5DBE-EC1E-443A-AAC2-125DE76F9BF6}"/>
    <cellStyle name="Normal 2 2 12 2 2 10 2 2" xfId="2003" xr:uid="{9AF15814-827A-4FCF-B290-A9A69542DFE3}"/>
    <cellStyle name="Normal 2 2 12 2 2 10 2 2 2" xfId="2004" xr:uid="{6B769A6B-B041-4E8E-BB9E-E47DF4210C58}"/>
    <cellStyle name="Normal 2 2 12 2 2 10 2 2 3" xfId="2005" xr:uid="{267F70A3-20DF-4B25-B11D-EE4AA7E487D8}"/>
    <cellStyle name="Normal 2 2 12 2 2 10 2 2 4" xfId="2006" xr:uid="{F07A6563-D34E-4A14-9A7E-59B32AA46F26}"/>
    <cellStyle name="Normal 2 2 12 2 2 10 2 2 5" xfId="2007" xr:uid="{274650F8-EC70-47CA-A54F-FE0B337440E2}"/>
    <cellStyle name="Normal 2 2 12 2 2 10 2 2 6" xfId="2008" xr:uid="{ECD4810A-FC5B-418B-AC2D-EECE8866E66B}"/>
    <cellStyle name="Normal 2 2 12 2 2 10 2 2 7" xfId="2009" xr:uid="{0285F59B-61C5-4334-8F4E-53082413B14C}"/>
    <cellStyle name="Normal 2 2 12 2 2 10 2 2 8" xfId="2010" xr:uid="{BC9D0C86-5A12-4B33-860D-5EA3D726BD4E}"/>
    <cellStyle name="Normal 2 2 12 2 2 10 2 3" xfId="2011" xr:uid="{C7B2F3CA-6BEC-465F-9A38-12B82C549F74}"/>
    <cellStyle name="Normal 2 2 12 2 2 10 2 4" xfId="2012" xr:uid="{F6076399-075F-49D7-8E05-358724633419}"/>
    <cellStyle name="Normal 2 2 12 2 2 10 2 5" xfId="2013" xr:uid="{58867B76-6922-4981-AFBC-AB104CECDC3E}"/>
    <cellStyle name="Normal 2 2 12 2 2 10 2 6" xfId="2014" xr:uid="{3096E07F-87F2-4C63-878E-3F67D29ABE46}"/>
    <cellStyle name="Normal 2 2 12 2 2 10 2 7" xfId="2015" xr:uid="{3E11D9A8-CAD3-4CDC-95B0-8017892FC17A}"/>
    <cellStyle name="Normal 2 2 12 2 2 10 2 8" xfId="2016" xr:uid="{86417EF7-A515-41E1-84D0-B1B87D7D2772}"/>
    <cellStyle name="Normal 2 2 12 2 2 10 3" xfId="2017" xr:uid="{8D1C7874-86B9-42F8-96A6-A791B7C3E06E}"/>
    <cellStyle name="Normal 2 2 12 2 2 10 4" xfId="2018" xr:uid="{F11C3D82-E965-4BF1-9A44-314620EB3079}"/>
    <cellStyle name="Normal 2 2 12 2 2 10 5" xfId="2019" xr:uid="{AF54BE05-D3BF-4A92-8BDD-B1E8527EC938}"/>
    <cellStyle name="Normal 2 2 12 2 2 10 6" xfId="2020" xr:uid="{CC797220-15EB-40C6-92BC-62C8436EDFA9}"/>
    <cellStyle name="Normal 2 2 12 2 2 10 7" xfId="2021" xr:uid="{FCAEC487-D076-4EAC-876A-C5144AE37EFC}"/>
    <cellStyle name="Normal 2 2 12 2 2 10 8" xfId="2022" xr:uid="{B04F3E3E-3409-4092-B0A7-C3F59862A1B1}"/>
    <cellStyle name="Normal 2 2 12 2 2 10 9" xfId="2023" xr:uid="{5CAD46B1-A701-4525-97E1-6C13044DA9AE}"/>
    <cellStyle name="Normal 2 2 12 2 2 11" xfId="2024" xr:uid="{6288BFE0-B26A-4265-BC3C-D4F56476A3D6}"/>
    <cellStyle name="Normal 2 2 12 2 2 11 2" xfId="2025" xr:uid="{48853861-6AD6-42E3-99BD-51BF9E5E03B9}"/>
    <cellStyle name="Normal 2 2 12 2 2 11 3" xfId="2026" xr:uid="{33169452-2F2E-4AEA-8B74-7D055B6308C2}"/>
    <cellStyle name="Normal 2 2 12 2 2 11 4" xfId="2027" xr:uid="{67BA5868-48F7-4E41-9DC1-51E997024830}"/>
    <cellStyle name="Normal 2 2 12 2 2 11 5" xfId="2028" xr:uid="{91E93C87-243C-4BE8-8092-E947E984A268}"/>
    <cellStyle name="Normal 2 2 12 2 2 11 6" xfId="2029" xr:uid="{149D8AF8-7046-4B08-929D-A2F02C4A7AA1}"/>
    <cellStyle name="Normal 2 2 12 2 2 11 7" xfId="2030" xr:uid="{CB7104F3-CEDA-473A-93C9-2525CE44305F}"/>
    <cellStyle name="Normal 2 2 12 2 2 11 8" xfId="2031" xr:uid="{FDF61DBC-4DB5-41F3-91F9-743D1DB42215}"/>
    <cellStyle name="Normal 2 2 12 2 2 12" xfId="2032" xr:uid="{BFA3AEC8-A32C-4440-A52A-0458B390E410}"/>
    <cellStyle name="Normal 2 2 12 2 2 13" xfId="2033" xr:uid="{F24F74E4-1783-40A1-AA73-CC9A1B2AA801}"/>
    <cellStyle name="Normal 2 2 12 2 2 14" xfId="2034" xr:uid="{D771D813-A06A-48A4-9AA1-C14FC638410A}"/>
    <cellStyle name="Normal 2 2 12 2 2 15" xfId="2035" xr:uid="{A210F7B9-99EF-4D33-B667-F10C5D434FDB}"/>
    <cellStyle name="Normal 2 2 12 2 2 16" xfId="2036" xr:uid="{A628D733-32D4-4841-AD79-BE3A2706143E}"/>
    <cellStyle name="Normal 2 2 12 2 2 17" xfId="2037" xr:uid="{FDC8F81D-7002-4C7C-9CEB-67B10EA09A26}"/>
    <cellStyle name="Normal 2 2 12 2 2 2" xfId="2038" xr:uid="{B7AF25C4-A76D-49A0-98EA-AC040C4CFA2D}"/>
    <cellStyle name="Normal 2 2 12 2 2 2 10" xfId="2039" xr:uid="{69A816DA-7B97-4397-81CF-CC7096D2EFF8}"/>
    <cellStyle name="Normal 2 2 12 2 2 2 10 2" xfId="2040" xr:uid="{1DCE2D00-B1BF-4A7B-B32B-237D8F73313E}"/>
    <cellStyle name="Normal 2 2 12 2 2 2 10 2 2" xfId="2041" xr:uid="{9B6FC202-5F61-44A4-BDAB-67C5D7F14FD2}"/>
    <cellStyle name="Normal 2 2 12 2 2 2 10 2 2 2" xfId="2042" xr:uid="{3D02BF76-C315-45F7-AB89-9D94156A905A}"/>
    <cellStyle name="Normal 2 2 12 2 2 2 10 2 2 3" xfId="2043" xr:uid="{414BF046-BC41-4B7B-A571-23B377FF6C58}"/>
    <cellStyle name="Normal 2 2 12 2 2 2 10 2 2 4" xfId="2044" xr:uid="{DAE33FD1-F0C7-4D7A-A707-8A8ECF4D273C}"/>
    <cellStyle name="Normal 2 2 12 2 2 2 10 2 2 5" xfId="2045" xr:uid="{9B5C70E2-3C00-4BE8-883F-3C6A0ECBDA5A}"/>
    <cellStyle name="Normal 2 2 12 2 2 2 10 2 2 6" xfId="2046" xr:uid="{E09FC397-2C7A-488B-A530-672F6995E4E2}"/>
    <cellStyle name="Normal 2 2 12 2 2 2 10 2 2 7" xfId="2047" xr:uid="{EFDFB40C-DA92-4803-81B2-5A41A4F50A30}"/>
    <cellStyle name="Normal 2 2 12 2 2 2 10 2 2 8" xfId="2048" xr:uid="{4EFFACB7-0A03-4F2A-9569-509DF265947C}"/>
    <cellStyle name="Normal 2 2 12 2 2 2 10 2 3" xfId="2049" xr:uid="{7344EF3C-697F-48A9-8719-0CACBD95EE0C}"/>
    <cellStyle name="Normal 2 2 12 2 2 2 10 2 4" xfId="2050" xr:uid="{E5A59EBC-C9E2-4199-A41F-B5B78E3D5FE8}"/>
    <cellStyle name="Normal 2 2 12 2 2 2 10 2 5" xfId="2051" xr:uid="{C16B9E5C-DFF6-4FDE-AB4E-E6FCA7B4EB6A}"/>
    <cellStyle name="Normal 2 2 12 2 2 2 10 2 6" xfId="2052" xr:uid="{4E8F7DF7-A55C-42C8-82BA-186A413CC5AC}"/>
    <cellStyle name="Normal 2 2 12 2 2 2 10 2 7" xfId="2053" xr:uid="{2FD27E0C-42AE-4313-94F4-675CC0092C6B}"/>
    <cellStyle name="Normal 2 2 12 2 2 2 10 2 8" xfId="2054" xr:uid="{B4544478-A141-4A42-8134-793233996884}"/>
    <cellStyle name="Normal 2 2 12 2 2 2 10 3" xfId="2055" xr:uid="{CA25E45F-DC90-457B-9D4B-78806D4716E4}"/>
    <cellStyle name="Normal 2 2 12 2 2 2 10 4" xfId="2056" xr:uid="{4207C958-28B9-40D6-A134-673F8AFC7567}"/>
    <cellStyle name="Normal 2 2 12 2 2 2 10 5" xfId="2057" xr:uid="{E7B2560C-671B-4843-B8F3-DB0AB6AFAB38}"/>
    <cellStyle name="Normal 2 2 12 2 2 2 10 6" xfId="2058" xr:uid="{47DA0423-1993-49FA-8052-DBA09C2A117C}"/>
    <cellStyle name="Normal 2 2 12 2 2 2 10 7" xfId="2059" xr:uid="{0E4468CD-81DB-42D1-AA34-76AFD7A1F795}"/>
    <cellStyle name="Normal 2 2 12 2 2 2 10 8" xfId="2060" xr:uid="{EAB3A433-B217-4E30-9A81-9E16145E3AAF}"/>
    <cellStyle name="Normal 2 2 12 2 2 2 10 9" xfId="2061" xr:uid="{2A0242A0-A98B-4B77-AFD0-A077E72BAEC4}"/>
    <cellStyle name="Normal 2 2 12 2 2 2 11" xfId="2062" xr:uid="{6B4AAAD6-6EDD-4CE6-938F-BA33DF5948B0}"/>
    <cellStyle name="Normal 2 2 12 2 2 2 11 2" xfId="2063" xr:uid="{0FA76648-F742-4556-BA68-7744BFA11E30}"/>
    <cellStyle name="Normal 2 2 12 2 2 2 11 3" xfId="2064" xr:uid="{84CBE032-43BC-4C05-BB51-B40213500064}"/>
    <cellStyle name="Normal 2 2 12 2 2 2 11 4" xfId="2065" xr:uid="{F4A4F6A1-541B-4A85-8F80-1C9BF3C4FE86}"/>
    <cellStyle name="Normal 2 2 12 2 2 2 11 5" xfId="2066" xr:uid="{7C2408C6-A2B2-46A9-B772-CAAA3FE8D981}"/>
    <cellStyle name="Normal 2 2 12 2 2 2 11 6" xfId="2067" xr:uid="{1994B329-AEF3-4D8C-A7AC-CA1FC6A742EF}"/>
    <cellStyle name="Normal 2 2 12 2 2 2 11 7" xfId="2068" xr:uid="{1A39A94E-6687-4EAF-8AC2-65A04A40B79B}"/>
    <cellStyle name="Normal 2 2 12 2 2 2 11 8" xfId="2069" xr:uid="{9B464C41-A06E-4F32-9FCD-68DC3B1CA88A}"/>
    <cellStyle name="Normal 2 2 12 2 2 2 12" xfId="2070" xr:uid="{6DE50735-1640-41F2-A132-52AB33527520}"/>
    <cellStyle name="Normal 2 2 12 2 2 2 13" xfId="2071" xr:uid="{D95558FE-D2A8-4EFA-B8B1-1A2BD54E1100}"/>
    <cellStyle name="Normal 2 2 12 2 2 2 14" xfId="2072" xr:uid="{17F95F04-D478-4CCE-9533-1328571808D6}"/>
    <cellStyle name="Normal 2 2 12 2 2 2 15" xfId="2073" xr:uid="{12D4DA7B-D90C-41CC-9BC1-A53718F5BAB0}"/>
    <cellStyle name="Normal 2 2 12 2 2 2 16" xfId="2074" xr:uid="{6025E8E6-D116-4ED7-8484-41BFD44CB7F6}"/>
    <cellStyle name="Normal 2 2 12 2 2 2 17" xfId="2075" xr:uid="{07CD48B8-A423-45D7-BCB0-A14E3A75E0E1}"/>
    <cellStyle name="Normal 2 2 12 2 2 2 2" xfId="2076" xr:uid="{F0C3F66B-E1E4-47CF-99B4-F66CF1747264}"/>
    <cellStyle name="Normal 2 2 12 2 2 2 2 10" xfId="2077" xr:uid="{3BA85D3F-485E-4C85-A341-6945F93A7B34}"/>
    <cellStyle name="Normal 2 2 12 2 2 2 2 2" xfId="2078" xr:uid="{3091D938-63E1-4A91-88AB-D6A101E29528}"/>
    <cellStyle name="Normal 2 2 12 2 2 2 2 2 2" xfId="2079" xr:uid="{E8134787-A0A8-451D-8A20-F5D5AE8637BC}"/>
    <cellStyle name="Normal 2 2 12 2 2 2 2 2 2 2" xfId="2080" xr:uid="{E6C1299F-E9F4-4E65-95DF-46543E3C6359}"/>
    <cellStyle name="Normal 2 2 12 2 2 2 2 2 2 2 2" xfId="2081" xr:uid="{1BD14D10-D440-48A0-A5A6-664A8EBB88A2}"/>
    <cellStyle name="Normal 2 2 12 2 2 2 2 2 2 2 3" xfId="2082" xr:uid="{FCF4792C-3703-4458-9EAD-57EF30E29FEC}"/>
    <cellStyle name="Normal 2 2 12 2 2 2 2 2 2 2 4" xfId="2083" xr:uid="{02F0F748-15A3-46D7-BAC4-84254B9F9E4A}"/>
    <cellStyle name="Normal 2 2 12 2 2 2 2 2 2 2 5" xfId="2084" xr:uid="{E30988C7-6F6D-45EE-B8D7-2F9E13F6D465}"/>
    <cellStyle name="Normal 2 2 12 2 2 2 2 2 2 2 6" xfId="2085" xr:uid="{CC5A716C-1C1D-4104-9D86-32EBADF25643}"/>
    <cellStyle name="Normal 2 2 12 2 2 2 2 2 2 2 7" xfId="2086" xr:uid="{D0BFFFBA-46D0-41E4-8415-E561E18B38A0}"/>
    <cellStyle name="Normal 2 2 12 2 2 2 2 2 2 2 8" xfId="2087" xr:uid="{8D1456E1-A78D-4BEE-B69D-AA5BE2877FB1}"/>
    <cellStyle name="Normal 2 2 12 2 2 2 2 2 2 3" xfId="2088" xr:uid="{7185500F-25CC-4998-93E5-B3BE47E75360}"/>
    <cellStyle name="Normal 2 2 12 2 2 2 2 2 2 4" xfId="2089" xr:uid="{E84DC693-838F-465F-9257-347FE2A08A63}"/>
    <cellStyle name="Normal 2 2 12 2 2 2 2 2 2 5" xfId="2090" xr:uid="{666A66AD-934E-46EC-9359-387E5FD968AD}"/>
    <cellStyle name="Normal 2 2 12 2 2 2 2 2 2 6" xfId="2091" xr:uid="{26508F46-938D-4063-AEB8-E3D0166AEA01}"/>
    <cellStyle name="Normal 2 2 12 2 2 2 2 2 2 7" xfId="2092" xr:uid="{C8CE3B63-2F07-47EA-906A-6A622BB47C6E}"/>
    <cellStyle name="Normal 2 2 12 2 2 2 2 2 2 8" xfId="2093" xr:uid="{7C30972A-64B0-4C7B-B7EE-DC77D3D07E4F}"/>
    <cellStyle name="Normal 2 2 12 2 2 2 2 2 3" xfId="2094" xr:uid="{0441E113-0089-492E-A32A-03326A14571F}"/>
    <cellStyle name="Normal 2 2 12 2 2 2 2 2 4" xfId="2095" xr:uid="{3DD5E71D-07DD-4792-81DC-9122B9D1BF96}"/>
    <cellStyle name="Normal 2 2 12 2 2 2 2 2 5" xfId="2096" xr:uid="{C0ADF08F-6F7E-4E25-AC78-6E0F6664D1A5}"/>
    <cellStyle name="Normal 2 2 12 2 2 2 2 2 6" xfId="2097" xr:uid="{5D219362-1E92-4408-8EA9-B0026E7F75C0}"/>
    <cellStyle name="Normal 2 2 12 2 2 2 2 2 7" xfId="2098" xr:uid="{B70C9749-49FB-4AE2-9368-FD1B696E8BF3}"/>
    <cellStyle name="Normal 2 2 12 2 2 2 2 2 8" xfId="2099" xr:uid="{5BE6EA6B-3080-46FA-AD6C-6CFDC12BD256}"/>
    <cellStyle name="Normal 2 2 12 2 2 2 2 2 9" xfId="2100" xr:uid="{765D303D-D5F0-40AA-8ECE-084E5CE4BC14}"/>
    <cellStyle name="Normal 2 2 12 2 2 2 2 3" xfId="2101" xr:uid="{C4A0146C-225E-4BF5-8B58-B842966614D2}"/>
    <cellStyle name="Normal 2 2 12 2 2 2 2 4" xfId="2102" xr:uid="{1350F821-7DF4-44D0-BAE2-D571C0A4499C}"/>
    <cellStyle name="Normal 2 2 12 2 2 2 2 4 2" xfId="2103" xr:uid="{9B23FE9C-4AE9-484A-AB0A-37068834248B}"/>
    <cellStyle name="Normal 2 2 12 2 2 2 2 4 3" xfId="2104" xr:uid="{EF53C337-C831-4288-8E9D-EC55883AF4AE}"/>
    <cellStyle name="Normal 2 2 12 2 2 2 2 4 4" xfId="2105" xr:uid="{E2C22948-5818-40B5-8687-3A1BBF5E58A5}"/>
    <cellStyle name="Normal 2 2 12 2 2 2 2 4 5" xfId="2106" xr:uid="{F1C000F9-C88F-4318-BC2B-F6CACE4AB096}"/>
    <cellStyle name="Normal 2 2 12 2 2 2 2 4 6" xfId="2107" xr:uid="{C5D678BB-EAB9-4252-B4DF-720C6FD80BAD}"/>
    <cellStyle name="Normal 2 2 12 2 2 2 2 4 7" xfId="2108" xr:uid="{990C58B4-2EFE-4127-97C9-CD38FF4BB7A2}"/>
    <cellStyle name="Normal 2 2 12 2 2 2 2 4 8" xfId="2109" xr:uid="{BB5A1291-0D7F-4C2D-B3B7-D4390C0E2D21}"/>
    <cellStyle name="Normal 2 2 12 2 2 2 2 5" xfId="2110" xr:uid="{EBA25EF8-0FB4-4A5E-9582-9643EBAA7EC7}"/>
    <cellStyle name="Normal 2 2 12 2 2 2 2 6" xfId="2111" xr:uid="{40E4B949-77EE-438F-B229-D6EAB08399BB}"/>
    <cellStyle name="Normal 2 2 12 2 2 2 2 7" xfId="2112" xr:uid="{5455C153-97AE-488B-8B20-77B7F38115BD}"/>
    <cellStyle name="Normal 2 2 12 2 2 2 2 8" xfId="2113" xr:uid="{146D13E0-01FE-4CE5-995B-B8BFE96E26BC}"/>
    <cellStyle name="Normal 2 2 12 2 2 2 2 9" xfId="2114" xr:uid="{6ECA6C5A-456B-44EB-B3C8-EE05ABD3EB35}"/>
    <cellStyle name="Normal 2 2 12 2 2 2 3" xfId="2115" xr:uid="{08F33C28-4A4D-4967-A4C1-33D052BCB53F}"/>
    <cellStyle name="Normal 2 2 12 2 2 2 4" xfId="2116" xr:uid="{FF2F144E-0E3F-4F5A-8E33-76A2A4CBE2F1}"/>
    <cellStyle name="Normal 2 2 12 2 2 2 5" xfId="2117" xr:uid="{3ED97B2E-2A97-40BD-B25E-3B231BAF1F3B}"/>
    <cellStyle name="Normal 2 2 12 2 2 2 6" xfId="2118" xr:uid="{D71851D9-9825-40E1-8C63-BF6662B9C13C}"/>
    <cellStyle name="Normal 2 2 12 2 2 2 7" xfId="2119" xr:uid="{B9147728-DA7E-43EE-9463-34E20921000D}"/>
    <cellStyle name="Normal 2 2 12 2 2 2 8" xfId="2120" xr:uid="{F6F4D6CF-910B-469A-96AD-2EAF27405518}"/>
    <cellStyle name="Normal 2 2 12 2 2 2 9" xfId="2121" xr:uid="{866E61D3-A207-4FD0-A1C8-1ED80897ACBC}"/>
    <cellStyle name="Normal 2 2 12 2 2 3" xfId="2122" xr:uid="{A71DE2E5-E02F-4AB3-ABCE-8561DEFFC710}"/>
    <cellStyle name="Normal 2 2 12 2 2 3 10" xfId="2123" xr:uid="{7614102D-91DE-45B1-94B0-B5C9DBA1CB84}"/>
    <cellStyle name="Normal 2 2 12 2 2 3 2" xfId="2124" xr:uid="{0A835644-DE20-429C-A561-29BED6067720}"/>
    <cellStyle name="Normal 2 2 12 2 2 3 2 2" xfId="2125" xr:uid="{CDDAD0C6-E496-4CE5-A155-85B0DAEE2059}"/>
    <cellStyle name="Normal 2 2 12 2 2 3 2 2 2" xfId="2126" xr:uid="{4EE6E963-E479-43BB-91EF-823E663627CF}"/>
    <cellStyle name="Normal 2 2 12 2 2 3 2 2 2 2" xfId="2127" xr:uid="{4522F027-ABBC-4E81-93AD-6A831C54F506}"/>
    <cellStyle name="Normal 2 2 12 2 2 3 2 2 2 3" xfId="2128" xr:uid="{7F7CE445-0C14-40D4-939E-D4D5B477D9BF}"/>
    <cellStyle name="Normal 2 2 12 2 2 3 2 2 2 4" xfId="2129" xr:uid="{4D310216-EB56-4630-9B20-8B4EAB110940}"/>
    <cellStyle name="Normal 2 2 12 2 2 3 2 2 2 5" xfId="2130" xr:uid="{E64D58F6-F005-4DCE-BDE2-9D8D0E92FAB2}"/>
    <cellStyle name="Normal 2 2 12 2 2 3 2 2 2 6" xfId="2131" xr:uid="{2E7D57A2-EB58-4920-925B-F63EC70D2DE6}"/>
    <cellStyle name="Normal 2 2 12 2 2 3 2 2 2 7" xfId="2132" xr:uid="{36222618-2199-4E34-BE1B-7A5FDA9864F8}"/>
    <cellStyle name="Normal 2 2 12 2 2 3 2 2 2 8" xfId="2133" xr:uid="{EE8B4DDD-2768-4EF1-BA5A-D12D73C696EE}"/>
    <cellStyle name="Normal 2 2 12 2 2 3 2 2 3" xfId="2134" xr:uid="{77872FF8-7D06-4905-95C9-C4049343DD7F}"/>
    <cellStyle name="Normal 2 2 12 2 2 3 2 2 4" xfId="2135" xr:uid="{120E7F38-3907-469F-86CB-F90273E13150}"/>
    <cellStyle name="Normal 2 2 12 2 2 3 2 2 5" xfId="2136" xr:uid="{5E91E3DE-1F4C-43D4-BAE8-DB6D088C8CB4}"/>
    <cellStyle name="Normal 2 2 12 2 2 3 2 2 6" xfId="2137" xr:uid="{F633B7FB-5592-4CE2-94C3-A45FC34C7C74}"/>
    <cellStyle name="Normal 2 2 12 2 2 3 2 2 7" xfId="2138" xr:uid="{B106C4C9-CEE3-478E-BD7E-63A2DE952ADB}"/>
    <cellStyle name="Normal 2 2 12 2 2 3 2 2 8" xfId="2139" xr:uid="{FBA56FCA-F36C-4E4E-B9A2-179A13A186A4}"/>
    <cellStyle name="Normal 2 2 12 2 2 3 2 3" xfId="2140" xr:uid="{E128BC05-3428-4330-8F4D-1A0431361EA7}"/>
    <cellStyle name="Normal 2 2 12 2 2 3 2 4" xfId="2141" xr:uid="{39AFD2BE-DA06-4852-8743-CBDA06678C39}"/>
    <cellStyle name="Normal 2 2 12 2 2 3 2 5" xfId="2142" xr:uid="{76AFAEAF-A9D6-41BB-898B-1034B25A17BD}"/>
    <cellStyle name="Normal 2 2 12 2 2 3 2 6" xfId="2143" xr:uid="{2CF07CFC-481D-494B-988C-2F88C99A6683}"/>
    <cellStyle name="Normal 2 2 12 2 2 3 2 7" xfId="2144" xr:uid="{6333D21A-F8EF-4B2C-8C87-23F5572E078D}"/>
    <cellStyle name="Normal 2 2 12 2 2 3 2 8" xfId="2145" xr:uid="{0391CF1F-8761-4751-AED0-D581C758AD95}"/>
    <cellStyle name="Normal 2 2 12 2 2 3 2 9" xfId="2146" xr:uid="{72DD7E29-4B0F-41C7-8F43-62AEC1390D97}"/>
    <cellStyle name="Normal 2 2 12 2 2 3 3" xfId="2147" xr:uid="{1602ABC6-C8BD-4854-8004-28F9CFA4AF8D}"/>
    <cellStyle name="Normal 2 2 12 2 2 3 4" xfId="2148" xr:uid="{DFCA9204-B531-4C2E-9356-60B1959F62D4}"/>
    <cellStyle name="Normal 2 2 12 2 2 3 4 2" xfId="2149" xr:uid="{05585DEB-0D7B-48AD-9B29-E86E62E3CCEB}"/>
    <cellStyle name="Normal 2 2 12 2 2 3 4 3" xfId="2150" xr:uid="{48F242A2-57F4-4C0B-9E3C-0DE78C90E5FD}"/>
    <cellStyle name="Normal 2 2 12 2 2 3 4 4" xfId="2151" xr:uid="{4795FB62-2586-4AA6-8EC7-1C79962D6283}"/>
    <cellStyle name="Normal 2 2 12 2 2 3 4 5" xfId="2152" xr:uid="{504A4D27-ED0C-43CE-9CC6-93EA7E373CC8}"/>
    <cellStyle name="Normal 2 2 12 2 2 3 4 6" xfId="2153" xr:uid="{823F44E5-41DB-4F02-BB5C-2A1A8552C695}"/>
    <cellStyle name="Normal 2 2 12 2 2 3 4 7" xfId="2154" xr:uid="{17E4E031-71D1-4FF1-B3AE-0A8003B3CD68}"/>
    <cellStyle name="Normal 2 2 12 2 2 3 4 8" xfId="2155" xr:uid="{1CF6AC0E-FCE6-49CB-B5EB-E47DB2437A02}"/>
    <cellStyle name="Normal 2 2 12 2 2 3 5" xfId="2156" xr:uid="{4DE570EF-1699-4FB5-8361-C8ED2C1A134A}"/>
    <cellStyle name="Normal 2 2 12 2 2 3 6" xfId="2157" xr:uid="{3831E2F7-3FEB-4937-9E7F-E94EEE642158}"/>
    <cellStyle name="Normal 2 2 12 2 2 3 7" xfId="2158" xr:uid="{8E486236-A51A-401C-8E5B-B90D7AAE703B}"/>
    <cellStyle name="Normal 2 2 12 2 2 3 8" xfId="2159" xr:uid="{BA137EAA-10CE-4F35-B9DE-6641477B4A81}"/>
    <cellStyle name="Normal 2 2 12 2 2 3 9" xfId="2160" xr:uid="{3A9DC5D0-3B34-45CF-9CD0-116C428CDE39}"/>
    <cellStyle name="Normal 2 2 12 2 2 4" xfId="2161" xr:uid="{20925D67-4C4F-4B82-804C-2AF3DB8D3D30}"/>
    <cellStyle name="Normal 2 2 12 2 2 5" xfId="2162" xr:uid="{CAAAA9FB-76F2-4EF6-B3DA-4D4EDDDE21B9}"/>
    <cellStyle name="Normal 2 2 12 2 2 6" xfId="2163" xr:uid="{D26330E3-BEDD-4F72-9C20-26F2047F1442}"/>
    <cellStyle name="Normal 2 2 12 2 2 7" xfId="2164" xr:uid="{2F006773-F190-4B29-81CD-2B780F278C49}"/>
    <cellStyle name="Normal 2 2 12 2 2 8" xfId="2165" xr:uid="{22C27D6B-01BC-46AF-9405-2049CF8D403E}"/>
    <cellStyle name="Normal 2 2 12 2 2 9" xfId="2166" xr:uid="{C4845665-F17F-4284-BE64-FF2BF280CCEF}"/>
    <cellStyle name="Normal 2 2 12 2 20" xfId="2167" xr:uid="{D1CF4F65-8D0D-4CCA-8D96-5312FD292438}"/>
    <cellStyle name="Normal 2 2 12 2 21" xfId="2168" xr:uid="{85B7B65D-9CAE-484C-9D11-2BA3478C19D6}"/>
    <cellStyle name="Normal 2 2 12 2 22" xfId="2169" xr:uid="{B24E7452-B7DB-4606-99BB-0F7B9EF452F9}"/>
    <cellStyle name="Normal 2 2 12 2 3" xfId="2170" xr:uid="{FAED31FB-04A4-4768-A6AB-906BE138B191}"/>
    <cellStyle name="Normal 2 2 12 2 4" xfId="2171" xr:uid="{43EA2E73-9D38-434C-88D2-C438CD73B487}"/>
    <cellStyle name="Normal 2 2 12 2 5" xfId="2172" xr:uid="{10FFAA02-BF7D-438D-9E56-55BB2496A836}"/>
    <cellStyle name="Normal 2 2 12 2 6" xfId="2173" xr:uid="{9DFAD729-9D5B-4D67-81C5-1A77B7A31998}"/>
    <cellStyle name="Normal 2 2 12 2 7" xfId="2174" xr:uid="{68B96726-416C-4710-B029-056C3735DDFC}"/>
    <cellStyle name="Normal 2 2 12 2 7 10" xfId="2175" xr:uid="{E78D0E42-5E81-440C-B526-C96F5B2DCBCD}"/>
    <cellStyle name="Normal 2 2 12 2 7 2" xfId="2176" xr:uid="{68143CCD-4331-402B-BB2F-E67AC84C1B7A}"/>
    <cellStyle name="Normal 2 2 12 2 7 2 2" xfId="2177" xr:uid="{D7B51217-F746-4F73-976F-D9E8B239BF07}"/>
    <cellStyle name="Normal 2 2 12 2 7 2 2 2" xfId="2178" xr:uid="{C90941AE-9859-41D2-BBF5-C723379C25C8}"/>
    <cellStyle name="Normal 2 2 12 2 7 2 2 2 2" xfId="2179" xr:uid="{9E101CB4-1419-478D-982D-ADE448EEC9BB}"/>
    <cellStyle name="Normal 2 2 12 2 7 2 2 2 3" xfId="2180" xr:uid="{98EF6DF7-9238-4654-9F38-D7F5231ED5CE}"/>
    <cellStyle name="Normal 2 2 12 2 7 2 2 2 4" xfId="2181" xr:uid="{130A62AD-34A5-41C4-B6B1-A0F22BB4BF0D}"/>
    <cellStyle name="Normal 2 2 12 2 7 2 2 2 5" xfId="2182" xr:uid="{DFD2AC25-7ACF-4006-BB53-6950C95D11B0}"/>
    <cellStyle name="Normal 2 2 12 2 7 2 2 2 6" xfId="2183" xr:uid="{6D8BBA10-5793-484A-81CB-4A04A0E3B31C}"/>
    <cellStyle name="Normal 2 2 12 2 7 2 2 2 7" xfId="2184" xr:uid="{80EABB67-56B2-4B66-B80E-533656457FBB}"/>
    <cellStyle name="Normal 2 2 12 2 7 2 2 2 8" xfId="2185" xr:uid="{A1D08D60-D5B2-421F-ABAD-60AF10FE96F7}"/>
    <cellStyle name="Normal 2 2 12 2 7 2 2 3" xfId="2186" xr:uid="{75DC8C5F-06B4-4BB8-A531-C11C5CA4E2D7}"/>
    <cellStyle name="Normal 2 2 12 2 7 2 2 4" xfId="2187" xr:uid="{85E244A0-A0BC-4F15-92E4-5533604AFE38}"/>
    <cellStyle name="Normal 2 2 12 2 7 2 2 5" xfId="2188" xr:uid="{91BA9BAA-8B41-469F-A937-CE94AC0E2B0E}"/>
    <cellStyle name="Normal 2 2 12 2 7 2 2 6" xfId="2189" xr:uid="{E6AF152B-FA2A-4B1C-887B-A6221873C773}"/>
    <cellStyle name="Normal 2 2 12 2 7 2 2 7" xfId="2190" xr:uid="{740794F1-8192-43C1-BA9A-20B92B1BC9CD}"/>
    <cellStyle name="Normal 2 2 12 2 7 2 2 8" xfId="2191" xr:uid="{5E8C7820-0A06-4D06-AD9C-D67B835E1606}"/>
    <cellStyle name="Normal 2 2 12 2 7 2 3" xfId="2192" xr:uid="{78647039-CAA7-4417-A5EF-1DBAC96B0FD4}"/>
    <cellStyle name="Normal 2 2 12 2 7 2 4" xfId="2193" xr:uid="{4FDBC3C8-B9D4-41A3-AE22-65CFF0EED565}"/>
    <cellStyle name="Normal 2 2 12 2 7 2 5" xfId="2194" xr:uid="{3BC09FAD-DD3E-4A09-89B6-879A94F369C8}"/>
    <cellStyle name="Normal 2 2 12 2 7 2 6" xfId="2195" xr:uid="{F948CC2D-8751-4C6F-A4BF-826401D9BAA5}"/>
    <cellStyle name="Normal 2 2 12 2 7 2 7" xfId="2196" xr:uid="{EDBCACDE-6332-4A26-A50F-86F663191B1B}"/>
    <cellStyle name="Normal 2 2 12 2 7 2 8" xfId="2197" xr:uid="{A3C1DFEF-F624-4FBE-BCED-3F5E2235351B}"/>
    <cellStyle name="Normal 2 2 12 2 7 2 9" xfId="2198" xr:uid="{A4A99821-120E-4977-93EB-1117A87D5B8C}"/>
    <cellStyle name="Normal 2 2 12 2 7 3" xfId="2199" xr:uid="{DD28A4EC-6F88-4EE5-BC4B-4F95A45D7476}"/>
    <cellStyle name="Normal 2 2 12 2 7 4" xfId="2200" xr:uid="{6B5D69C7-089B-42FF-9FFB-19A85AE0177A}"/>
    <cellStyle name="Normal 2 2 12 2 7 4 2" xfId="2201" xr:uid="{C6BE7B94-28AD-4386-A125-77FB0AFAB84A}"/>
    <cellStyle name="Normal 2 2 12 2 7 4 3" xfId="2202" xr:uid="{05E0B3CD-35DE-4CF8-BDA4-8556EFED4690}"/>
    <cellStyle name="Normal 2 2 12 2 7 4 4" xfId="2203" xr:uid="{A945D5D7-69E3-497B-BA4A-5B93CE7DFA4E}"/>
    <cellStyle name="Normal 2 2 12 2 7 4 5" xfId="2204" xr:uid="{961CDD08-EA84-4525-A85A-665007ADA008}"/>
    <cellStyle name="Normal 2 2 12 2 7 4 6" xfId="2205" xr:uid="{9BEFD33F-D5B2-4554-9ABD-E5F7F2B3F6FA}"/>
    <cellStyle name="Normal 2 2 12 2 7 4 7" xfId="2206" xr:uid="{E9CF5219-80DD-4231-B4E1-DDF2F47219AA}"/>
    <cellStyle name="Normal 2 2 12 2 7 4 8" xfId="2207" xr:uid="{D8D8E610-7D40-4B35-A5A9-40AD17F2BD2C}"/>
    <cellStyle name="Normal 2 2 12 2 7 5" xfId="2208" xr:uid="{DD62E3FA-E556-4836-9464-BDD5F1471637}"/>
    <cellStyle name="Normal 2 2 12 2 7 6" xfId="2209" xr:uid="{0FEA583F-4FF9-4967-9AF6-D451BEA1F94A}"/>
    <cellStyle name="Normal 2 2 12 2 7 7" xfId="2210" xr:uid="{BD8E6EEA-D3E7-48B7-89A9-92C5585CEFC4}"/>
    <cellStyle name="Normal 2 2 12 2 7 8" xfId="2211" xr:uid="{80E5CD15-32ED-4802-8EAF-FFF86D5C2331}"/>
    <cellStyle name="Normal 2 2 12 2 7 9" xfId="2212" xr:uid="{6B6C3E6E-37C6-43BA-9234-E06DC3B0F64F}"/>
    <cellStyle name="Normal 2 2 12 2 8" xfId="2213" xr:uid="{60DBC08A-AEF0-471F-8075-E12C72E22E6D}"/>
    <cellStyle name="Normal 2 2 12 2 9" xfId="2214" xr:uid="{6B3E2F2E-6E87-4467-9570-A10DEC515789}"/>
    <cellStyle name="Normal 2 2 12 20" xfId="2215" xr:uid="{6BF4C901-B570-40B7-9F65-1E9FC771142D}"/>
    <cellStyle name="Normal 2 2 12 21" xfId="2216" xr:uid="{F5EADD4D-4F30-4613-B88E-C925A9A059BE}"/>
    <cellStyle name="Normal 2 2 12 22" xfId="2217" xr:uid="{E36DD75D-1456-4DAF-A72E-B095C1EA2FF3}"/>
    <cellStyle name="Normal 2 2 12 3" xfId="2218" xr:uid="{5CB35E01-DBDD-4BE6-A2E2-4DC3BCC6ABB0}"/>
    <cellStyle name="Normal 2 2 12 3 10" xfId="2219" xr:uid="{0C7488F5-E4E9-4F62-87B3-F86AEE0CBF3A}"/>
    <cellStyle name="Normal 2 2 12 3 10 2" xfId="2220" xr:uid="{8C1FAFB2-55A0-4A00-A55C-615F92B9CFAD}"/>
    <cellStyle name="Normal 2 2 12 3 10 2 2" xfId="2221" xr:uid="{0B915A12-F9BA-485A-A1E3-15DCB293AAA5}"/>
    <cellStyle name="Normal 2 2 12 3 10 2 2 2" xfId="2222" xr:uid="{DE3A0A1D-6763-43CD-8D04-A8C39569168B}"/>
    <cellStyle name="Normal 2 2 12 3 10 2 2 3" xfId="2223" xr:uid="{FA7474E4-4F46-4363-901A-524F20B84678}"/>
    <cellStyle name="Normal 2 2 12 3 10 2 2 4" xfId="2224" xr:uid="{69349694-4B44-41DE-B024-F23102BD25FB}"/>
    <cellStyle name="Normal 2 2 12 3 10 2 2 5" xfId="2225" xr:uid="{4911C0F2-A31D-4371-A9FD-B3121D0F10C3}"/>
    <cellStyle name="Normal 2 2 12 3 10 2 2 6" xfId="2226" xr:uid="{33CE2B9D-2856-4139-8092-46BC69E8CBE7}"/>
    <cellStyle name="Normal 2 2 12 3 10 2 2 7" xfId="2227" xr:uid="{CF4B6EBA-1F94-4999-B88A-6DAB920932EF}"/>
    <cellStyle name="Normal 2 2 12 3 10 2 2 8" xfId="2228" xr:uid="{651F2C4C-FD51-4178-B116-75F4C5AAAE3D}"/>
    <cellStyle name="Normal 2 2 12 3 10 2 3" xfId="2229" xr:uid="{0DD6A5BB-97D9-4F46-9E00-4C743201469E}"/>
    <cellStyle name="Normal 2 2 12 3 10 2 4" xfId="2230" xr:uid="{56622392-4A9A-475F-951B-8608B79DF6BC}"/>
    <cellStyle name="Normal 2 2 12 3 10 2 5" xfId="2231" xr:uid="{32D728BD-51D4-4072-A930-0C4466827DCE}"/>
    <cellStyle name="Normal 2 2 12 3 10 2 6" xfId="2232" xr:uid="{C72BE843-2515-4042-89B2-1098191F88F1}"/>
    <cellStyle name="Normal 2 2 12 3 10 2 7" xfId="2233" xr:uid="{90D6E8D8-3809-40F4-A347-8621F4365E41}"/>
    <cellStyle name="Normal 2 2 12 3 10 2 8" xfId="2234" xr:uid="{E752E4AA-207E-492B-8EF4-2A23724EE183}"/>
    <cellStyle name="Normal 2 2 12 3 10 3" xfId="2235" xr:uid="{09052C29-5093-4A45-B88C-99AC0ACE6772}"/>
    <cellStyle name="Normal 2 2 12 3 10 4" xfId="2236" xr:uid="{0CEFF01E-CAEF-424B-817A-432739B1AA1B}"/>
    <cellStyle name="Normal 2 2 12 3 10 5" xfId="2237" xr:uid="{D9F2DFC7-5CF7-4838-B8DB-8568648AAB99}"/>
    <cellStyle name="Normal 2 2 12 3 10 6" xfId="2238" xr:uid="{CCCD5A2B-2EF3-451D-9374-6BB4110CA52E}"/>
    <cellStyle name="Normal 2 2 12 3 10 7" xfId="2239" xr:uid="{960963D7-28DD-4DDA-8396-17CE61DE0892}"/>
    <cellStyle name="Normal 2 2 12 3 10 8" xfId="2240" xr:uid="{663B4EC6-69AF-4AD9-9056-5BD9577F6CA2}"/>
    <cellStyle name="Normal 2 2 12 3 10 9" xfId="2241" xr:uid="{803EE450-142D-4671-B24C-C2B6E7243E2D}"/>
    <cellStyle name="Normal 2 2 12 3 11" xfId="2242" xr:uid="{95E4EE7C-02E1-421E-BC5F-0E446891A42E}"/>
    <cellStyle name="Normal 2 2 12 3 11 2" xfId="2243" xr:uid="{242FBD2E-CAF8-4ADA-8661-CA0557EDC957}"/>
    <cellStyle name="Normal 2 2 12 3 11 3" xfId="2244" xr:uid="{35149F7D-5517-4024-987B-1B1EE52B7CF9}"/>
    <cellStyle name="Normal 2 2 12 3 11 4" xfId="2245" xr:uid="{32644910-5AC5-4714-907C-9809B1950E0D}"/>
    <cellStyle name="Normal 2 2 12 3 11 5" xfId="2246" xr:uid="{C612D0A5-0018-4C73-A05C-2B30841DCA04}"/>
    <cellStyle name="Normal 2 2 12 3 11 6" xfId="2247" xr:uid="{F69F1DAD-8682-4EA6-81EC-56ADE84A534D}"/>
    <cellStyle name="Normal 2 2 12 3 11 7" xfId="2248" xr:uid="{CADCA78B-95EA-4044-9BBB-FA2CB28B045D}"/>
    <cellStyle name="Normal 2 2 12 3 11 8" xfId="2249" xr:uid="{29260D08-E8EF-4FDC-BEEB-D1C47AB1B65F}"/>
    <cellStyle name="Normal 2 2 12 3 12" xfId="2250" xr:uid="{E41079F3-6E41-42E0-8A28-54DD69FEB197}"/>
    <cellStyle name="Normal 2 2 12 3 13" xfId="2251" xr:uid="{C1E1F5F9-6DC3-4375-BAA5-64E3BEFFA528}"/>
    <cellStyle name="Normal 2 2 12 3 14" xfId="2252" xr:uid="{D829532D-1C98-49AD-A55F-059E904A319D}"/>
    <cellStyle name="Normal 2 2 12 3 15" xfId="2253" xr:uid="{25A4EE6D-361C-4A0C-8EBD-16B50C59A960}"/>
    <cellStyle name="Normal 2 2 12 3 16" xfId="2254" xr:uid="{54A5123E-5D2A-4ECD-9471-10B7AB7FF17C}"/>
    <cellStyle name="Normal 2 2 12 3 17" xfId="2255" xr:uid="{EBCB8B2B-D055-45B4-97CC-8971D0757E53}"/>
    <cellStyle name="Normal 2 2 12 3 2" xfId="2256" xr:uid="{BCD030A7-48CC-4D26-BDAC-918C06695D4E}"/>
    <cellStyle name="Normal 2 2 12 3 2 10" xfId="2257" xr:uid="{C16D2439-B6C2-42D7-8063-19C8F31E8F0E}"/>
    <cellStyle name="Normal 2 2 12 3 2 10 2" xfId="2258" xr:uid="{A46BF998-19A3-4690-8F9A-0661555851EF}"/>
    <cellStyle name="Normal 2 2 12 3 2 10 2 2" xfId="2259" xr:uid="{B6EBC1E5-949B-49B3-B68B-0E24433E051B}"/>
    <cellStyle name="Normal 2 2 12 3 2 10 2 2 2" xfId="2260" xr:uid="{31598C06-C50F-4FA2-95E8-7CA3A0E2AEA0}"/>
    <cellStyle name="Normal 2 2 12 3 2 10 2 2 3" xfId="2261" xr:uid="{43CBA66C-D030-49F2-B3A2-08BBB7A6692C}"/>
    <cellStyle name="Normal 2 2 12 3 2 10 2 2 4" xfId="2262" xr:uid="{AD4A4917-E9E1-4328-B52A-2A1D17E79A11}"/>
    <cellStyle name="Normal 2 2 12 3 2 10 2 2 5" xfId="2263" xr:uid="{7F66C099-EB6D-4FE2-BC14-4FEF56519678}"/>
    <cellStyle name="Normal 2 2 12 3 2 10 2 2 6" xfId="2264" xr:uid="{C1F1EDFD-28EE-4E85-8EB3-A9DD5944CCAA}"/>
    <cellStyle name="Normal 2 2 12 3 2 10 2 2 7" xfId="2265" xr:uid="{0D9CFD8F-B3A9-4505-A5DC-F76F8B3A8F81}"/>
    <cellStyle name="Normal 2 2 12 3 2 10 2 2 8" xfId="2266" xr:uid="{9A0209C7-3391-481E-B6C1-1AA2E8D14195}"/>
    <cellStyle name="Normal 2 2 12 3 2 10 2 3" xfId="2267" xr:uid="{018B5245-0A4B-4977-8CEB-DC94ECC24621}"/>
    <cellStyle name="Normal 2 2 12 3 2 10 2 4" xfId="2268" xr:uid="{F9839A76-7AB9-46BF-A9C1-C90CE886957A}"/>
    <cellStyle name="Normal 2 2 12 3 2 10 2 5" xfId="2269" xr:uid="{ED203711-8011-4A0F-99A5-BF1E39739098}"/>
    <cellStyle name="Normal 2 2 12 3 2 10 2 6" xfId="2270" xr:uid="{C0BA40C8-35F2-4C44-98BD-C9634856773C}"/>
    <cellStyle name="Normal 2 2 12 3 2 10 2 7" xfId="2271" xr:uid="{2F089701-4269-458C-978A-57E3EFDAD5D4}"/>
    <cellStyle name="Normal 2 2 12 3 2 10 2 8" xfId="2272" xr:uid="{4CD85388-6261-4B09-8304-1E216752379C}"/>
    <cellStyle name="Normal 2 2 12 3 2 10 3" xfId="2273" xr:uid="{7C7A9E3A-2AF5-4E18-91A9-106A8DB7320B}"/>
    <cellStyle name="Normal 2 2 12 3 2 10 4" xfId="2274" xr:uid="{4B9642D0-BBAD-4F4B-A893-62347BAB0529}"/>
    <cellStyle name="Normal 2 2 12 3 2 10 5" xfId="2275" xr:uid="{11BEE492-2E29-4435-945B-6E3FBC04447D}"/>
    <cellStyle name="Normal 2 2 12 3 2 10 6" xfId="2276" xr:uid="{3CF30D86-7B01-4660-88D8-F6DE586F4881}"/>
    <cellStyle name="Normal 2 2 12 3 2 10 7" xfId="2277" xr:uid="{6C190CE6-E9E1-487F-85F3-830D0A27C2A9}"/>
    <cellStyle name="Normal 2 2 12 3 2 10 8" xfId="2278" xr:uid="{3AA51774-2E77-4583-8ABE-12268B699ED1}"/>
    <cellStyle name="Normal 2 2 12 3 2 10 9" xfId="2279" xr:uid="{66C9A107-DFB2-4398-8C51-7E3675DF1EC4}"/>
    <cellStyle name="Normal 2 2 12 3 2 11" xfId="2280" xr:uid="{1CEEBF95-A1D1-4F86-8B7A-8447694B8E81}"/>
    <cellStyle name="Normal 2 2 12 3 2 11 2" xfId="2281" xr:uid="{675E1F89-648F-4C14-BE6C-37B39B91FF48}"/>
    <cellStyle name="Normal 2 2 12 3 2 11 3" xfId="2282" xr:uid="{4CC9D183-CB78-4464-98D7-30388736C82F}"/>
    <cellStyle name="Normal 2 2 12 3 2 11 4" xfId="2283" xr:uid="{CD52FCC9-FD41-4789-94D1-A6E7D99D4F32}"/>
    <cellStyle name="Normal 2 2 12 3 2 11 5" xfId="2284" xr:uid="{CDFD751B-3AFA-46EE-A2B5-4959D7C8DFE3}"/>
    <cellStyle name="Normal 2 2 12 3 2 11 6" xfId="2285" xr:uid="{DACDA14F-A759-4942-BE97-AB3C178AFEE6}"/>
    <cellStyle name="Normal 2 2 12 3 2 11 7" xfId="2286" xr:uid="{0CDFBD9D-561E-4F82-BE20-B89A308AF832}"/>
    <cellStyle name="Normal 2 2 12 3 2 11 8" xfId="2287" xr:uid="{E9E20B61-FE0A-4FB5-A130-637BEFB9BBE1}"/>
    <cellStyle name="Normal 2 2 12 3 2 12" xfId="2288" xr:uid="{F3DDCCC4-8DAD-4F00-A0DD-A7B92FE11E7B}"/>
    <cellStyle name="Normal 2 2 12 3 2 13" xfId="2289" xr:uid="{6316117C-F868-49A3-BD6E-4DE4B8ADA88D}"/>
    <cellStyle name="Normal 2 2 12 3 2 14" xfId="2290" xr:uid="{1957D4A0-58C5-4EF2-A2A5-72F5DB5DC7BA}"/>
    <cellStyle name="Normal 2 2 12 3 2 15" xfId="2291" xr:uid="{396930C3-04B7-4CFC-B993-15AB1B1E6639}"/>
    <cellStyle name="Normal 2 2 12 3 2 16" xfId="2292" xr:uid="{8BF521A7-C17A-4122-9658-B3C2DEB436D5}"/>
    <cellStyle name="Normal 2 2 12 3 2 17" xfId="2293" xr:uid="{0009E0E5-DA18-4E4F-A3B7-2860C813D911}"/>
    <cellStyle name="Normal 2 2 12 3 2 2" xfId="2294" xr:uid="{EB84B46B-ED20-4B49-B502-C3A612264580}"/>
    <cellStyle name="Normal 2 2 12 3 2 2 10" xfId="2295" xr:uid="{22DB1D6E-8A76-4EFB-B10A-265C17E87B59}"/>
    <cellStyle name="Normal 2 2 12 3 2 2 2" xfId="2296" xr:uid="{B2463C32-0370-4B93-BB2C-018B17C8B77B}"/>
    <cellStyle name="Normal 2 2 12 3 2 2 2 2" xfId="2297" xr:uid="{D78FE0F9-5061-4B6E-97B5-0A9860DBE8CF}"/>
    <cellStyle name="Normal 2 2 12 3 2 2 2 2 2" xfId="2298" xr:uid="{DAD6AC61-4BCF-4312-9930-5FBC1B93DAF1}"/>
    <cellStyle name="Normal 2 2 12 3 2 2 2 2 2 2" xfId="2299" xr:uid="{44A1504A-46D9-4A25-B503-0DD5833B85E2}"/>
    <cellStyle name="Normal 2 2 12 3 2 2 2 2 2 3" xfId="2300" xr:uid="{7095115A-5460-437B-9BD2-F56C2735DAF5}"/>
    <cellStyle name="Normal 2 2 12 3 2 2 2 2 2 4" xfId="2301" xr:uid="{20F6B70E-8125-404C-B66A-0125CF9D880C}"/>
    <cellStyle name="Normal 2 2 12 3 2 2 2 2 2 5" xfId="2302" xr:uid="{AC48217F-2E40-4110-8813-6F860D54FDEB}"/>
    <cellStyle name="Normal 2 2 12 3 2 2 2 2 2 6" xfId="2303" xr:uid="{B4F08B16-BBCD-4139-ABD0-6B2807235C0A}"/>
    <cellStyle name="Normal 2 2 12 3 2 2 2 2 2 7" xfId="2304" xr:uid="{EBDF606F-6DBB-4242-AEFF-B6D1C43603B6}"/>
    <cellStyle name="Normal 2 2 12 3 2 2 2 2 2 8" xfId="2305" xr:uid="{7E128922-FFFB-49D3-AB82-5A9E1BED1106}"/>
    <cellStyle name="Normal 2 2 12 3 2 2 2 2 3" xfId="2306" xr:uid="{E408D471-D9C3-4A28-959D-06BC4ABF7586}"/>
    <cellStyle name="Normal 2 2 12 3 2 2 2 2 4" xfId="2307" xr:uid="{555B17FD-D126-46AB-8210-599AE00FA848}"/>
    <cellStyle name="Normal 2 2 12 3 2 2 2 2 5" xfId="2308" xr:uid="{D1BA5C91-025C-4FDE-9BE3-671264103D54}"/>
    <cellStyle name="Normal 2 2 12 3 2 2 2 2 6" xfId="2309" xr:uid="{ACE03472-DD35-4E3B-B2EC-F2A09886E257}"/>
    <cellStyle name="Normal 2 2 12 3 2 2 2 2 7" xfId="2310" xr:uid="{9B43B1E6-E081-4D5C-8E26-6B8B9D7B00AB}"/>
    <cellStyle name="Normal 2 2 12 3 2 2 2 2 8" xfId="2311" xr:uid="{C6F66B33-98ED-42F4-ABEF-28F74A87F638}"/>
    <cellStyle name="Normal 2 2 12 3 2 2 2 3" xfId="2312" xr:uid="{29804C25-9DC5-41A8-AC70-94A70F281A29}"/>
    <cellStyle name="Normal 2 2 12 3 2 2 2 4" xfId="2313" xr:uid="{BEAE9D9C-9108-47DC-AFA8-8B4DB320F0C1}"/>
    <cellStyle name="Normal 2 2 12 3 2 2 2 5" xfId="2314" xr:uid="{627B144D-C115-4910-BEA0-78FFF4D6376F}"/>
    <cellStyle name="Normal 2 2 12 3 2 2 2 6" xfId="2315" xr:uid="{D3F74DE4-D483-4F8E-9834-3E5B00B4B442}"/>
    <cellStyle name="Normal 2 2 12 3 2 2 2 7" xfId="2316" xr:uid="{C7439519-1103-439D-AED5-7E5C4548BC1F}"/>
    <cellStyle name="Normal 2 2 12 3 2 2 2 8" xfId="2317" xr:uid="{F73DA976-09A2-4411-B310-ED1AB092C125}"/>
    <cellStyle name="Normal 2 2 12 3 2 2 2 9" xfId="2318" xr:uid="{58337222-BAD9-4FD0-B426-22FA893D42D8}"/>
    <cellStyle name="Normal 2 2 12 3 2 2 3" xfId="2319" xr:uid="{6EEA3FAC-6A91-4D7A-AF35-A732FADF8CF8}"/>
    <cellStyle name="Normal 2 2 12 3 2 2 4" xfId="2320" xr:uid="{47617C13-8B8B-4528-9658-BBB53B735E91}"/>
    <cellStyle name="Normal 2 2 12 3 2 2 4 2" xfId="2321" xr:uid="{468527CF-077F-446A-B0C0-32959915EEEC}"/>
    <cellStyle name="Normal 2 2 12 3 2 2 4 3" xfId="2322" xr:uid="{638D8548-F690-49DF-A19E-DB6F3EEF2A21}"/>
    <cellStyle name="Normal 2 2 12 3 2 2 4 4" xfId="2323" xr:uid="{0DB5D50B-C21F-4FBB-AA88-551E8C7110B2}"/>
    <cellStyle name="Normal 2 2 12 3 2 2 4 5" xfId="2324" xr:uid="{062C1657-1BA3-4CC9-9205-E2BF112F1AA4}"/>
    <cellStyle name="Normal 2 2 12 3 2 2 4 6" xfId="2325" xr:uid="{D9F07EF1-8209-4D11-9DEC-17B6A7486365}"/>
    <cellStyle name="Normal 2 2 12 3 2 2 4 7" xfId="2326" xr:uid="{D56CFD30-5D9C-4195-802F-E74ECA1A2274}"/>
    <cellStyle name="Normal 2 2 12 3 2 2 4 8" xfId="2327" xr:uid="{185C5013-76F9-4D70-8378-8FA343E05A73}"/>
    <cellStyle name="Normal 2 2 12 3 2 2 5" xfId="2328" xr:uid="{E4A36F7A-ED41-4AE1-9A90-2FC87FDF1E15}"/>
    <cellStyle name="Normal 2 2 12 3 2 2 6" xfId="2329" xr:uid="{01094B54-1FDC-4261-9AAC-2F46DC4D426E}"/>
    <cellStyle name="Normal 2 2 12 3 2 2 7" xfId="2330" xr:uid="{2F46243D-1CFF-4DB8-8D35-FB3AE33A4DEA}"/>
    <cellStyle name="Normal 2 2 12 3 2 2 8" xfId="2331" xr:uid="{08DE1AD2-6C28-4099-86FB-5F7B88704688}"/>
    <cellStyle name="Normal 2 2 12 3 2 2 9" xfId="2332" xr:uid="{7AAD9079-31FA-4FFB-A065-3D959B8C7BE7}"/>
    <cellStyle name="Normal 2 2 12 3 2 3" xfId="2333" xr:uid="{15ABA62F-67B8-4619-A682-2A8B569DF1A3}"/>
    <cellStyle name="Normal 2 2 12 3 2 4" xfId="2334" xr:uid="{BA1E4A77-14BE-46A6-BE42-D2AF79C9C3BD}"/>
    <cellStyle name="Normal 2 2 12 3 2 5" xfId="2335" xr:uid="{B001E7BE-72A6-45DA-AAB8-ED7E36AEC950}"/>
    <cellStyle name="Normal 2 2 12 3 2 6" xfId="2336" xr:uid="{5E19487B-C0BF-4C14-A20C-5687C6EED347}"/>
    <cellStyle name="Normal 2 2 12 3 2 7" xfId="2337" xr:uid="{5FC51699-7A24-40D4-8EB7-A8104FF7707A}"/>
    <cellStyle name="Normal 2 2 12 3 2 8" xfId="2338" xr:uid="{C7805C4C-C5CA-47B3-8F8F-06A724883189}"/>
    <cellStyle name="Normal 2 2 12 3 2 9" xfId="2339" xr:uid="{F2921A69-20F8-44F2-B861-839C5F49497A}"/>
    <cellStyle name="Normal 2 2 12 3 3" xfId="2340" xr:uid="{513D70F1-1F0F-4F2A-8F87-BA2C80408F19}"/>
    <cellStyle name="Normal 2 2 12 3 3 10" xfId="2341" xr:uid="{7B8C8BF6-8A1F-4172-A235-59ECC73FA605}"/>
    <cellStyle name="Normal 2 2 12 3 3 2" xfId="2342" xr:uid="{B23C91CE-5894-4A17-85B7-144611BF02B9}"/>
    <cellStyle name="Normal 2 2 12 3 3 2 2" xfId="2343" xr:uid="{9E0666FF-CD83-4EFC-8CA2-EF3CE0C90DF1}"/>
    <cellStyle name="Normal 2 2 12 3 3 2 2 2" xfId="2344" xr:uid="{B5E17F8E-C493-46F7-AA9E-DCFB8C1891B6}"/>
    <cellStyle name="Normal 2 2 12 3 3 2 2 2 2" xfId="2345" xr:uid="{A1992250-CB7F-45EE-BB7F-D92F25C4BD18}"/>
    <cellStyle name="Normal 2 2 12 3 3 2 2 2 3" xfId="2346" xr:uid="{7BB47B85-F5F1-4024-ACB7-6E2D626479FC}"/>
    <cellStyle name="Normal 2 2 12 3 3 2 2 2 4" xfId="2347" xr:uid="{DBEEC26C-C27E-4616-B270-C9AC1AFD0627}"/>
    <cellStyle name="Normal 2 2 12 3 3 2 2 2 5" xfId="2348" xr:uid="{DC04339A-9FE2-4381-B058-7BFA87286DF9}"/>
    <cellStyle name="Normal 2 2 12 3 3 2 2 2 6" xfId="2349" xr:uid="{E2E8E0C1-4609-40EA-9DEC-5FE04F1AAC65}"/>
    <cellStyle name="Normal 2 2 12 3 3 2 2 2 7" xfId="2350" xr:uid="{535A864E-F99B-4C8B-87E8-EB8404A1ADD1}"/>
    <cellStyle name="Normal 2 2 12 3 3 2 2 2 8" xfId="2351" xr:uid="{1B1CD9B4-8E36-4CAC-ACD2-43D0EF379551}"/>
    <cellStyle name="Normal 2 2 12 3 3 2 2 3" xfId="2352" xr:uid="{2BE64365-0D1F-4302-9BF9-FE58384CB1AC}"/>
    <cellStyle name="Normal 2 2 12 3 3 2 2 4" xfId="2353" xr:uid="{6D9D7F0F-78FB-4B7D-8D82-28CCD7D88192}"/>
    <cellStyle name="Normal 2 2 12 3 3 2 2 5" xfId="2354" xr:uid="{0F16E3A2-43B2-4C9E-A93F-75228DD7606A}"/>
    <cellStyle name="Normal 2 2 12 3 3 2 2 6" xfId="2355" xr:uid="{3B68E992-EB30-432A-989D-4A6D3A11AE97}"/>
    <cellStyle name="Normal 2 2 12 3 3 2 2 7" xfId="2356" xr:uid="{C2069EAE-0604-4231-91F8-512C8B690396}"/>
    <cellStyle name="Normal 2 2 12 3 3 2 2 8" xfId="2357" xr:uid="{B2ECF37D-6ACE-4DB1-8C31-9AE1EAAAE4C9}"/>
    <cellStyle name="Normal 2 2 12 3 3 2 3" xfId="2358" xr:uid="{DEB41A94-BC36-4C07-9F3F-901D3FBE708B}"/>
    <cellStyle name="Normal 2 2 12 3 3 2 4" xfId="2359" xr:uid="{0DB55DAC-8AF6-481B-B382-D23C68ED5D74}"/>
    <cellStyle name="Normal 2 2 12 3 3 2 5" xfId="2360" xr:uid="{23D6B83F-8BD4-4A6D-8481-6D02EEAAB8C9}"/>
    <cellStyle name="Normal 2 2 12 3 3 2 6" xfId="2361" xr:uid="{C0D05CFE-D601-45F5-A682-FE87D17A3AA9}"/>
    <cellStyle name="Normal 2 2 12 3 3 2 7" xfId="2362" xr:uid="{9560A9CA-2768-4F8D-A74A-000BF6900298}"/>
    <cellStyle name="Normal 2 2 12 3 3 2 8" xfId="2363" xr:uid="{A4CE63A7-826A-48D4-A027-8B07BC80ECD5}"/>
    <cellStyle name="Normal 2 2 12 3 3 2 9" xfId="2364" xr:uid="{6D1AB929-E907-431F-874A-12602E99908C}"/>
    <cellStyle name="Normal 2 2 12 3 3 3" xfId="2365" xr:uid="{FCB7D365-20F8-44FB-8C31-D74D736DAEEA}"/>
    <cellStyle name="Normal 2 2 12 3 3 4" xfId="2366" xr:uid="{773B0DD1-5222-4DEF-8339-6D236231C9B0}"/>
    <cellStyle name="Normal 2 2 12 3 3 4 2" xfId="2367" xr:uid="{1EA2DE08-E5EB-4A6B-A747-78C88E81E8C9}"/>
    <cellStyle name="Normal 2 2 12 3 3 4 3" xfId="2368" xr:uid="{887358CE-CB36-4935-891A-2D2E36FE8341}"/>
    <cellStyle name="Normal 2 2 12 3 3 4 4" xfId="2369" xr:uid="{1BB5BCC3-372B-4E0E-9010-E07432092620}"/>
    <cellStyle name="Normal 2 2 12 3 3 4 5" xfId="2370" xr:uid="{0B482EF1-5E6F-4437-A71B-258DADDAFB8A}"/>
    <cellStyle name="Normal 2 2 12 3 3 4 6" xfId="2371" xr:uid="{AD4F4C7E-F5AB-42CA-8DAB-FE469D66DBEF}"/>
    <cellStyle name="Normal 2 2 12 3 3 4 7" xfId="2372" xr:uid="{038C69CD-D885-4B62-859E-B08BBD59685A}"/>
    <cellStyle name="Normal 2 2 12 3 3 4 8" xfId="2373" xr:uid="{AC7E9AAF-FDDD-4D52-B039-E6E68847B07F}"/>
    <cellStyle name="Normal 2 2 12 3 3 5" xfId="2374" xr:uid="{6351CA5F-0FB2-412B-8BE1-4481C77729E0}"/>
    <cellStyle name="Normal 2 2 12 3 3 6" xfId="2375" xr:uid="{A8FF428E-1AC7-47CA-9D16-61BDCA05A887}"/>
    <cellStyle name="Normal 2 2 12 3 3 7" xfId="2376" xr:uid="{A887A557-8D62-45E1-ADE3-B8BF42DA1BE2}"/>
    <cellStyle name="Normal 2 2 12 3 3 8" xfId="2377" xr:uid="{08A3BAA0-981B-42C2-A176-43C68C27F488}"/>
    <cellStyle name="Normal 2 2 12 3 3 9" xfId="2378" xr:uid="{1D24DDFF-CA5F-40E2-85F7-44BAF84B350C}"/>
    <cellStyle name="Normal 2 2 12 3 4" xfId="2379" xr:uid="{7E07397C-F470-4166-9212-46F3DE7075BF}"/>
    <cellStyle name="Normal 2 2 12 3 5" xfId="2380" xr:uid="{4ABACB72-0842-48DC-9A1F-1880E9CA0B8F}"/>
    <cellStyle name="Normal 2 2 12 3 6" xfId="2381" xr:uid="{C7F27CA0-BBC8-4130-AD33-F85B3BFA2E7D}"/>
    <cellStyle name="Normal 2 2 12 3 7" xfId="2382" xr:uid="{6F5CC259-CDE3-4839-8602-A7BB1B758B80}"/>
    <cellStyle name="Normal 2 2 12 3 8" xfId="2383" xr:uid="{EDC6F7E2-EAF1-4702-8167-D97AA503DDDE}"/>
    <cellStyle name="Normal 2 2 12 3 9" xfId="2384" xr:uid="{799C4FBE-1122-4838-849F-E50604362D0A}"/>
    <cellStyle name="Normal 2 2 12 4" xfId="2385" xr:uid="{66D95617-2690-415C-81D2-2ED0F26DD067}"/>
    <cellStyle name="Normal 2 2 12 5" xfId="2386" xr:uid="{43F378E1-BE7C-4C2A-9E4E-60D71ACD449F}"/>
    <cellStyle name="Normal 2 2 12 6" xfId="2387" xr:uid="{D2B2575A-8498-4882-9376-D8CDEF8E9C56}"/>
    <cellStyle name="Normal 2 2 12 7" xfId="2388" xr:uid="{7A078055-FE23-4D98-B94C-4695BB4C5138}"/>
    <cellStyle name="Normal 2 2 12 7 10" xfId="2389" xr:uid="{41BB7018-8851-44CE-8C04-FEBE6A9A6D13}"/>
    <cellStyle name="Normal 2 2 12 7 2" xfId="2390" xr:uid="{1B02EFC9-3D2E-4F09-993D-60195027CB76}"/>
    <cellStyle name="Normal 2 2 12 7 2 2" xfId="2391" xr:uid="{93ACCD27-DCAF-430F-8F31-054BC6E39D85}"/>
    <cellStyle name="Normal 2 2 12 7 2 2 2" xfId="2392" xr:uid="{60D603B1-ACFF-4DC9-AACD-95B060CFFB73}"/>
    <cellStyle name="Normal 2 2 12 7 2 2 2 2" xfId="2393" xr:uid="{B5DC1021-A23A-4172-9D17-1808818F77BA}"/>
    <cellStyle name="Normal 2 2 12 7 2 2 2 3" xfId="2394" xr:uid="{78107EA2-04C8-4168-8411-1FD080BA36E4}"/>
    <cellStyle name="Normal 2 2 12 7 2 2 2 4" xfId="2395" xr:uid="{2BFEA99C-F7FA-4003-9E45-EE6EF220A961}"/>
    <cellStyle name="Normal 2 2 12 7 2 2 2 5" xfId="2396" xr:uid="{F10321CC-D9C7-4541-A76D-EBAB94DEB084}"/>
    <cellStyle name="Normal 2 2 12 7 2 2 2 6" xfId="2397" xr:uid="{039F24C2-C183-43CE-A343-686B47146219}"/>
    <cellStyle name="Normal 2 2 12 7 2 2 2 7" xfId="2398" xr:uid="{1C293626-809E-42B7-A153-9496200F75E8}"/>
    <cellStyle name="Normal 2 2 12 7 2 2 2 8" xfId="2399" xr:uid="{8DF952C7-F340-423D-83F6-CEA8032F9406}"/>
    <cellStyle name="Normal 2 2 12 7 2 2 3" xfId="2400" xr:uid="{F378280F-150E-4787-BDBC-C14EEEDC726D}"/>
    <cellStyle name="Normal 2 2 12 7 2 2 4" xfId="2401" xr:uid="{027385D3-2A89-4FF0-9628-5D4BBF29BBC4}"/>
    <cellStyle name="Normal 2 2 12 7 2 2 5" xfId="2402" xr:uid="{FA3E13B1-75DA-4AA6-992C-B06069051295}"/>
    <cellStyle name="Normal 2 2 12 7 2 2 6" xfId="2403" xr:uid="{6795A975-7018-44C7-94F0-1BF466710724}"/>
    <cellStyle name="Normal 2 2 12 7 2 2 7" xfId="2404" xr:uid="{53DF0846-46B7-4BAE-AA01-A9E70F45B518}"/>
    <cellStyle name="Normal 2 2 12 7 2 2 8" xfId="2405" xr:uid="{82766D38-DC28-4283-ACB4-6DD5A61C3F6B}"/>
    <cellStyle name="Normal 2 2 12 7 2 3" xfId="2406" xr:uid="{FF4E36E4-FCBE-4603-A413-547BB3ABDF87}"/>
    <cellStyle name="Normal 2 2 12 7 2 4" xfId="2407" xr:uid="{9622900F-2A14-4AEE-9120-8389822AD45F}"/>
    <cellStyle name="Normal 2 2 12 7 2 5" xfId="2408" xr:uid="{EEBD3D52-FB6B-4475-8AD1-E1F4C233E28F}"/>
    <cellStyle name="Normal 2 2 12 7 2 6" xfId="2409" xr:uid="{A619217B-93F2-4D6B-9BFF-10587D616012}"/>
    <cellStyle name="Normal 2 2 12 7 2 7" xfId="2410" xr:uid="{838A204E-D2C6-416F-AB75-D128DCF2F3AE}"/>
    <cellStyle name="Normal 2 2 12 7 2 8" xfId="2411" xr:uid="{0A501F25-BADC-47AD-A5BC-220760B53088}"/>
    <cellStyle name="Normal 2 2 12 7 2 9" xfId="2412" xr:uid="{99B0D4AC-E64A-4B37-A066-1A84A8945A40}"/>
    <cellStyle name="Normal 2 2 12 7 3" xfId="2413" xr:uid="{D8AE34B1-4472-4743-8546-1A8F7D981B25}"/>
    <cellStyle name="Normal 2 2 12 7 4" xfId="2414" xr:uid="{7DF8011D-A4E5-4A38-922A-64502122CECC}"/>
    <cellStyle name="Normal 2 2 12 7 4 2" xfId="2415" xr:uid="{82A2E553-7C76-4058-82D4-DD19D89EF5A3}"/>
    <cellStyle name="Normal 2 2 12 7 4 3" xfId="2416" xr:uid="{CD45A59E-62B2-4D55-B395-0D236F0082B0}"/>
    <cellStyle name="Normal 2 2 12 7 4 4" xfId="2417" xr:uid="{1FCA3CE7-CB02-49C8-B325-8C6B4A9978EC}"/>
    <cellStyle name="Normal 2 2 12 7 4 5" xfId="2418" xr:uid="{BD4B0C5B-05B0-4E85-9B23-3B8FBD615B16}"/>
    <cellStyle name="Normal 2 2 12 7 4 6" xfId="2419" xr:uid="{3FCF6890-5306-4AC3-BBCA-A5DC080B2D7B}"/>
    <cellStyle name="Normal 2 2 12 7 4 7" xfId="2420" xr:uid="{722671A6-A661-4711-B5C7-A5CB692BF1A2}"/>
    <cellStyle name="Normal 2 2 12 7 4 8" xfId="2421" xr:uid="{6B31D991-7084-403A-8E1E-9B3DFB031095}"/>
    <cellStyle name="Normal 2 2 12 7 5" xfId="2422" xr:uid="{E77BACB0-4546-408E-A8CA-7881557B8AE5}"/>
    <cellStyle name="Normal 2 2 12 7 6" xfId="2423" xr:uid="{D826971C-29C3-4F9B-AD76-80947D3DCEEE}"/>
    <cellStyle name="Normal 2 2 12 7 7" xfId="2424" xr:uid="{311A4ED5-8C25-4155-B4EC-751DBA51548E}"/>
    <cellStyle name="Normal 2 2 12 7 8" xfId="2425" xr:uid="{721DF8D8-A405-440C-988A-0015E4B08D7E}"/>
    <cellStyle name="Normal 2 2 12 7 9" xfId="2426" xr:uid="{D7921478-8A1F-4718-8264-AD08D4D2B8CF}"/>
    <cellStyle name="Normal 2 2 12 8" xfId="2427" xr:uid="{D1EBAE6F-599F-4971-9225-0462D648C0D0}"/>
    <cellStyle name="Normal 2 2 12 9" xfId="2428" xr:uid="{074F3581-3356-466E-B475-7BAFDD4B2A7B}"/>
    <cellStyle name="Normal 2 2 13" xfId="2429" xr:uid="{A0B7E8CA-C645-4B3D-9EB6-4CE73B417510}"/>
    <cellStyle name="Normal 2 2 14" xfId="2430" xr:uid="{C0A349AE-9585-46B6-A4CC-29BD0B8E1260}"/>
    <cellStyle name="Normal 2 2 15" xfId="2431" xr:uid="{4A21F53D-693A-4E71-B540-CFBF86E79C13}"/>
    <cellStyle name="Normal 2 2 16" xfId="2432" xr:uid="{93C42606-22B3-4BAC-BCCF-8DFB174C40DC}"/>
    <cellStyle name="Normal 2 2 17" xfId="2433" xr:uid="{DE31F328-B292-42D6-8371-B5DA4D6F2939}"/>
    <cellStyle name="Normal 2 2 18" xfId="2434" xr:uid="{140699EB-A52A-4076-8CF0-239C2151BB04}"/>
    <cellStyle name="Normal 2 2 19" xfId="2435" xr:uid="{E838396A-CD1A-4E72-9A03-F581FBB2F7BF}"/>
    <cellStyle name="Normal 2 2 2" xfId="2436" xr:uid="{04AE814D-64B1-4E95-91A3-9DB071D7BCE1}"/>
    <cellStyle name="Normal 2 2 2 10" xfId="2437" xr:uid="{7B588CFD-4FFA-4A98-AF1E-3513F45EC3FF}"/>
    <cellStyle name="Normal 2 2 2 11" xfId="2438" xr:uid="{72CEDEDF-01E2-44FA-B073-6F6E529DC571}"/>
    <cellStyle name="Normal 2 2 2 12" xfId="2439" xr:uid="{F70EB9C0-2D36-4E2B-B943-5A5ADB77C640}"/>
    <cellStyle name="Normal 2 2 2 13" xfId="2440" xr:uid="{308C25DE-8ACD-48B9-86A6-AC16F9B3575D}"/>
    <cellStyle name="Normal 2 2 2 14" xfId="2441" xr:uid="{41AD4764-0A06-432E-84F6-ACF3E0916DC0}"/>
    <cellStyle name="Normal 2 2 2 15" xfId="2442" xr:uid="{26F993C2-C1F0-41EB-A5A9-E0ED1BA752A8}"/>
    <cellStyle name="Normal 2 2 2 16" xfId="2443" xr:uid="{F2E4182B-77E2-4F69-9FE4-1581F467FF73}"/>
    <cellStyle name="Normal 2 2 2 17" xfId="2444" xr:uid="{2AD55C20-B3BE-4E28-AE34-28E61F1CC791}"/>
    <cellStyle name="Normal 2 2 2 18" xfId="2445" xr:uid="{BAE751E6-AEA2-4893-A398-12DF6D426BAC}"/>
    <cellStyle name="Normal 2 2 2 19" xfId="2446" xr:uid="{40EFB972-5C01-457B-8B9A-11FDCD1A070C}"/>
    <cellStyle name="Normal 2 2 2 2" xfId="2447" xr:uid="{D02EE3DC-540D-4A8C-A8FB-AEE099E16D78}"/>
    <cellStyle name="Normal 2 2 2 2 10" xfId="2448" xr:uid="{BB1894F4-4573-4C0A-A137-0537BEB20D26}"/>
    <cellStyle name="Normal 2 2 2 2 11" xfId="2449" xr:uid="{4F56B80D-8A6C-45DD-9C6F-4C25FECAEB5B}"/>
    <cellStyle name="Normal 2 2 2 2 12" xfId="2450" xr:uid="{23C710BF-FDB6-4C07-9772-A8DD9B7F3B61}"/>
    <cellStyle name="Normal 2 2 2 2 13" xfId="2451" xr:uid="{E275D06D-6558-4F89-B6BA-A0129572317E}"/>
    <cellStyle name="Normal 2 2 2 2 14" xfId="2452" xr:uid="{D53655C9-6F01-4901-88AF-202270CA9EED}"/>
    <cellStyle name="Normal 2 2 2 2 15" xfId="2453" xr:uid="{5A558CAE-9324-48E3-99AA-CCA19EBEED9D}"/>
    <cellStyle name="Normal 2 2 2 2 16" xfId="2454" xr:uid="{86E14AA9-144C-4592-B424-ADCF2C5E64EA}"/>
    <cellStyle name="Normal 2 2 2 2 17" xfId="2455" xr:uid="{EDEBB0DA-8B90-4D97-971E-E7C20A1C863D}"/>
    <cellStyle name="Normal 2 2 2 2 18" xfId="2456" xr:uid="{7980A744-3D32-48D8-AAB6-40978ED671DF}"/>
    <cellStyle name="Normal 2 2 2 2 19" xfId="2457" xr:uid="{BDC6DC8E-5B63-4D21-B83A-1B8C2C2DF74F}"/>
    <cellStyle name="Normal 2 2 2 2 2" xfId="2458" xr:uid="{A8B8D285-492A-4799-9F10-BE1CB0838807}"/>
    <cellStyle name="Normal 2 2 2 2 2 10" xfId="2459" xr:uid="{0FC0A361-E7B4-4862-B54F-249643096DA3}"/>
    <cellStyle name="Normal 2 2 2 2 2 11" xfId="2460" xr:uid="{A3191D35-61C7-4C68-B137-E9C5E350DFA5}"/>
    <cellStyle name="Normal 2 2 2 2 2 12" xfId="2461" xr:uid="{9319AA3A-8F4A-4AD6-AF44-FFDB0ECEE571}"/>
    <cellStyle name="Normal 2 2 2 2 2 13" xfId="2462" xr:uid="{FC2CA898-EB6B-4AE7-A60B-AB39562E109C}"/>
    <cellStyle name="Normal 2 2 2 2 2 14" xfId="2463" xr:uid="{397FB1E7-BA33-4C5C-9FF7-8A3B63D8F19A}"/>
    <cellStyle name="Normal 2 2 2 2 2 15" xfId="2464" xr:uid="{73E48609-DBD6-4F95-9F0A-52011AE5BD38}"/>
    <cellStyle name="Normal 2 2 2 2 2 15 2" xfId="2465" xr:uid="{5AAE9F10-CF1D-41E6-BED2-BBFC3832E697}"/>
    <cellStyle name="Normal 2 2 2 2 2 15 2 2" xfId="2466" xr:uid="{C2423D2A-778E-46AE-85D3-882F98E74515}"/>
    <cellStyle name="Normal 2 2 2 2 2 15 2 2 2" xfId="2467" xr:uid="{F3A18D46-6BB2-48A3-9D4F-E368761EAEB1}"/>
    <cellStyle name="Normal 2 2 2 2 2 15 2 2 3" xfId="2468" xr:uid="{44B1AFB8-7E1F-49A7-A9DF-37948C10AB5E}"/>
    <cellStyle name="Normal 2 2 2 2 2 15 2 2 4" xfId="2469" xr:uid="{62943C1B-B955-49DB-9B26-1EF8995999AA}"/>
    <cellStyle name="Normal 2 2 2 2 2 15 2 2 5" xfId="2470" xr:uid="{AF58CE0E-D18C-4203-B9BF-6D879B2AA0E6}"/>
    <cellStyle name="Normal 2 2 2 2 2 15 2 2 6" xfId="2471" xr:uid="{92F9F7E2-F16A-4597-8184-43B4C5F33585}"/>
    <cellStyle name="Normal 2 2 2 2 2 15 2 2 7" xfId="2472" xr:uid="{DFC6570F-BB20-44D3-8094-5ACC76346631}"/>
    <cellStyle name="Normal 2 2 2 2 2 15 2 2 8" xfId="2473" xr:uid="{D4DF85CE-2271-4D99-970A-D231A40B3BA1}"/>
    <cellStyle name="Normal 2 2 2 2 2 15 2 3" xfId="2474" xr:uid="{3300421F-AD96-4A57-94F0-4EA610DC850C}"/>
    <cellStyle name="Normal 2 2 2 2 2 15 2 4" xfId="2475" xr:uid="{41B67546-3F32-412F-BF62-7D5C5CB171B6}"/>
    <cellStyle name="Normal 2 2 2 2 2 15 2 5" xfId="2476" xr:uid="{0E2D9FC2-3EAE-4565-A98F-BD93A00F332F}"/>
    <cellStyle name="Normal 2 2 2 2 2 15 2 6" xfId="2477" xr:uid="{9DAECBC9-209C-4D9F-BB93-020A42F4DC9F}"/>
    <cellStyle name="Normal 2 2 2 2 2 15 2 7" xfId="2478" xr:uid="{BB82B3A7-8AA7-4EEE-A78D-277DF856DE0D}"/>
    <cellStyle name="Normal 2 2 2 2 2 15 2 8" xfId="2479" xr:uid="{98259CC7-1633-4C84-B799-D6A0B008B972}"/>
    <cellStyle name="Normal 2 2 2 2 2 15 3" xfId="2480" xr:uid="{D60F2FE0-F3C8-4032-9538-1C882F927775}"/>
    <cellStyle name="Normal 2 2 2 2 2 15 4" xfId="2481" xr:uid="{ABBF0222-CDEE-41B6-86D3-BD01510665A1}"/>
    <cellStyle name="Normal 2 2 2 2 2 15 5" xfId="2482" xr:uid="{AF98781C-2C9F-41E8-870E-EA8189BFED4F}"/>
    <cellStyle name="Normal 2 2 2 2 2 15 6" xfId="2483" xr:uid="{979C6916-45E9-4C20-8EBF-A70BE4D09406}"/>
    <cellStyle name="Normal 2 2 2 2 2 15 7" xfId="2484" xr:uid="{2268EA41-F842-4317-A985-2E817E6D3A85}"/>
    <cellStyle name="Normal 2 2 2 2 2 15 8" xfId="2485" xr:uid="{EFE006D9-B12D-4E5A-AADE-4DEA5950565E}"/>
    <cellStyle name="Normal 2 2 2 2 2 15 9" xfId="2486" xr:uid="{6A2390E1-AB3C-4A65-9BEC-DEEF0B699314}"/>
    <cellStyle name="Normal 2 2 2 2 2 16" xfId="2487" xr:uid="{311B1339-6F33-4E08-8FF1-002E92D76048}"/>
    <cellStyle name="Normal 2 2 2 2 2 16 2" xfId="2488" xr:uid="{A3B76EC0-E986-4ECF-8AC5-174AB82D7BF0}"/>
    <cellStyle name="Normal 2 2 2 2 2 16 3" xfId="2489" xr:uid="{D712224E-6D41-401D-A1BF-3F6168316068}"/>
    <cellStyle name="Normal 2 2 2 2 2 16 4" xfId="2490" xr:uid="{BB936E18-7337-4DD4-A87E-C94AB0279716}"/>
    <cellStyle name="Normal 2 2 2 2 2 16 5" xfId="2491" xr:uid="{2DB6B8FF-A4DB-4147-BCD9-0B55E2405499}"/>
    <cellStyle name="Normal 2 2 2 2 2 16 6" xfId="2492" xr:uid="{0B2E38E1-88BC-444C-9923-7EE75AB9AE39}"/>
    <cellStyle name="Normal 2 2 2 2 2 16 7" xfId="2493" xr:uid="{4E659ACF-4A72-4D65-99EB-3D42CD5A2C23}"/>
    <cellStyle name="Normal 2 2 2 2 2 16 8" xfId="2494" xr:uid="{EEBCED04-D1B9-459B-95A3-C526FF7A151B}"/>
    <cellStyle name="Normal 2 2 2 2 2 17" xfId="2495" xr:uid="{82D39EEE-BF47-49F7-82F8-FD700857BAED}"/>
    <cellStyle name="Normal 2 2 2 2 2 18" xfId="2496" xr:uid="{4A6ED36C-C519-413B-B117-FEFD60559DBD}"/>
    <cellStyle name="Normal 2 2 2 2 2 19" xfId="2497" xr:uid="{112335DE-109C-4729-B56C-423A3332BF1B}"/>
    <cellStyle name="Normal 2 2 2 2 2 2" xfId="2498" xr:uid="{61F2F133-F24D-4EAF-BC23-0A333D500E20}"/>
    <cellStyle name="Normal 2 2 2 2 2 2 10" xfId="2499" xr:uid="{5463C567-B500-4708-88DA-F6057DADFEFC}"/>
    <cellStyle name="Normal 2 2 2 2 2 2 11" xfId="2500" xr:uid="{B50895D9-3816-43B3-9727-9755DD267B47}"/>
    <cellStyle name="Normal 2 2 2 2 2 2 12" xfId="2501" xr:uid="{86BD3843-FB73-4F55-B36B-6F5FADD444DF}"/>
    <cellStyle name="Normal 2 2 2 2 2 2 13" xfId="2502" xr:uid="{186A433E-6FC5-4AF3-8709-1EC6962B3FD0}"/>
    <cellStyle name="Normal 2 2 2 2 2 2 14" xfId="2503" xr:uid="{228034AF-D6DE-4E64-B453-B747CFF34A19}"/>
    <cellStyle name="Normal 2 2 2 2 2 2 15" xfId="2504" xr:uid="{9CE0E27F-FD97-4D05-BDD6-646E4BD82D0E}"/>
    <cellStyle name="Normal 2 2 2 2 2 2 15 2" xfId="2505" xr:uid="{9AB13863-023E-435A-B31D-352346482C4B}"/>
    <cellStyle name="Normal 2 2 2 2 2 2 15 2 2" xfId="2506" xr:uid="{E91374E4-D000-43F7-A72C-53816D5589A6}"/>
    <cellStyle name="Normal 2 2 2 2 2 2 15 2 2 2" xfId="2507" xr:uid="{BA5886D6-74E4-445C-9273-A3D2B975735D}"/>
    <cellStyle name="Normal 2 2 2 2 2 2 15 2 2 3" xfId="2508" xr:uid="{B591E496-653B-4C99-A3DC-0CC4932406E0}"/>
    <cellStyle name="Normal 2 2 2 2 2 2 15 2 2 4" xfId="2509" xr:uid="{238B66C0-72FB-47CE-9671-E9445079DE2C}"/>
    <cellStyle name="Normal 2 2 2 2 2 2 15 2 2 5" xfId="2510" xr:uid="{6DF0B7B7-33D7-452C-A957-F9607D999BED}"/>
    <cellStyle name="Normal 2 2 2 2 2 2 15 2 2 6" xfId="2511" xr:uid="{B12E25B5-833C-499B-A322-0FEB66A080BC}"/>
    <cellStyle name="Normal 2 2 2 2 2 2 15 2 2 7" xfId="2512" xr:uid="{35FC0D91-CAF5-4827-800E-235DFB3B91A1}"/>
    <cellStyle name="Normal 2 2 2 2 2 2 15 2 2 8" xfId="2513" xr:uid="{B5B85F8E-F984-490C-81C4-0EBB750F1821}"/>
    <cellStyle name="Normal 2 2 2 2 2 2 15 2 3" xfId="2514" xr:uid="{3F6930D6-B90E-493C-AC49-C17B6A2C6E29}"/>
    <cellStyle name="Normal 2 2 2 2 2 2 15 2 4" xfId="2515" xr:uid="{6ADD7A6A-A52A-4CE2-A97A-6BB5B2A7527C}"/>
    <cellStyle name="Normal 2 2 2 2 2 2 15 2 5" xfId="2516" xr:uid="{1BB59E66-D992-4103-837E-FAA6BB2A0C7F}"/>
    <cellStyle name="Normal 2 2 2 2 2 2 15 2 6" xfId="2517" xr:uid="{7322AD46-D4C4-4799-AD08-7D96D2C944F2}"/>
    <cellStyle name="Normal 2 2 2 2 2 2 15 2 7" xfId="2518" xr:uid="{645C77A6-2CCD-4D2F-BD77-39B18DC370B7}"/>
    <cellStyle name="Normal 2 2 2 2 2 2 15 2 8" xfId="2519" xr:uid="{5192ADAB-DDE4-4AD2-A029-B0F0C3AE61B8}"/>
    <cellStyle name="Normal 2 2 2 2 2 2 15 3" xfId="2520" xr:uid="{F4736A64-BCC0-403F-AB9B-C9D10DBB8AA1}"/>
    <cellStyle name="Normal 2 2 2 2 2 2 15 4" xfId="2521" xr:uid="{76BAD863-61C3-4F4F-AD65-497F5E646C7D}"/>
    <cellStyle name="Normal 2 2 2 2 2 2 15 5" xfId="2522" xr:uid="{361DFCF2-D644-4DF2-BB49-2C63BF5DFE22}"/>
    <cellStyle name="Normal 2 2 2 2 2 2 15 6" xfId="2523" xr:uid="{C0D263F2-CE68-4C84-BE67-9D7374D85966}"/>
    <cellStyle name="Normal 2 2 2 2 2 2 15 7" xfId="2524" xr:uid="{E62DDAF8-8684-40A4-9ACC-05F31A62AF62}"/>
    <cellStyle name="Normal 2 2 2 2 2 2 15 8" xfId="2525" xr:uid="{160378C8-CC83-40D6-BB40-42C34BFAD770}"/>
    <cellStyle name="Normal 2 2 2 2 2 2 15 9" xfId="2526" xr:uid="{DFA7090D-758D-4E0F-9FA2-A47B77F713EE}"/>
    <cellStyle name="Normal 2 2 2 2 2 2 16" xfId="2527" xr:uid="{B6D7009F-344B-4D5C-B262-F3F70AC9E9A1}"/>
    <cellStyle name="Normal 2 2 2 2 2 2 16 2" xfId="2528" xr:uid="{C1F272DD-A179-4BB3-A317-9D32FFB6114B}"/>
    <cellStyle name="Normal 2 2 2 2 2 2 16 3" xfId="2529" xr:uid="{CFCC3CA4-EB64-4DFB-B9F0-59F91BDFF7BD}"/>
    <cellStyle name="Normal 2 2 2 2 2 2 16 4" xfId="2530" xr:uid="{8B2EAD83-7CD7-445E-A2A7-BECFA05D0757}"/>
    <cellStyle name="Normal 2 2 2 2 2 2 16 5" xfId="2531" xr:uid="{816F4288-7457-4DE9-89C0-63883EF75CD4}"/>
    <cellStyle name="Normal 2 2 2 2 2 2 16 6" xfId="2532" xr:uid="{B88B2A64-6BAE-4F49-9CA1-5FF03C6BBA7A}"/>
    <cellStyle name="Normal 2 2 2 2 2 2 16 7" xfId="2533" xr:uid="{C960E9E4-0113-4FB9-ABC7-18C087DC38A8}"/>
    <cellStyle name="Normal 2 2 2 2 2 2 16 8" xfId="2534" xr:uid="{09BE5ED0-3988-4E7A-80C6-9646EE71E4F3}"/>
    <cellStyle name="Normal 2 2 2 2 2 2 17" xfId="2535" xr:uid="{398D7C37-BB07-4F8A-86B4-B10E24B3EF39}"/>
    <cellStyle name="Normal 2 2 2 2 2 2 18" xfId="2536" xr:uid="{0E56BE0D-ED2D-4B40-856A-43733112E4DA}"/>
    <cellStyle name="Normal 2 2 2 2 2 2 19" xfId="2537" xr:uid="{0CDC298F-B85B-4DFC-BFD5-5998098C0C40}"/>
    <cellStyle name="Normal 2 2 2 2 2 2 2" xfId="2538" xr:uid="{74CBE2FD-6279-4777-81DB-55917E10E41F}"/>
    <cellStyle name="Normal 2 2 2 2 2 2 2 10" xfId="2539" xr:uid="{F20F60F0-8D13-492E-9B53-71BCF713BFD2}"/>
    <cellStyle name="Normal 2 2 2 2 2 2 2 10 2" xfId="2540" xr:uid="{CDEAC0CF-1282-456A-8786-E088F9ABF789}"/>
    <cellStyle name="Normal 2 2 2 2 2 2 2 10 2 2" xfId="2541" xr:uid="{4D3D920C-0117-4543-A1CD-CCDBDAB8EB52}"/>
    <cellStyle name="Normal 2 2 2 2 2 2 2 10 2 2 2" xfId="2542" xr:uid="{7E7C065D-52A4-4F80-962E-4457F1E7DF33}"/>
    <cellStyle name="Normal 2 2 2 2 2 2 2 10 2 2 3" xfId="2543" xr:uid="{9698103C-A231-466D-BDEB-B3054688B367}"/>
    <cellStyle name="Normal 2 2 2 2 2 2 2 10 2 2 4" xfId="2544" xr:uid="{1487D1E8-B249-44C8-B87B-03EB863D9808}"/>
    <cellStyle name="Normal 2 2 2 2 2 2 2 10 2 2 5" xfId="2545" xr:uid="{CF7B08EC-86A8-4223-AE4F-B9288EAC7624}"/>
    <cellStyle name="Normal 2 2 2 2 2 2 2 10 2 2 6" xfId="2546" xr:uid="{C2E5959B-CF05-43FD-A3BC-DBD34B901153}"/>
    <cellStyle name="Normal 2 2 2 2 2 2 2 10 2 2 7" xfId="2547" xr:uid="{B7F5C24C-6FBD-4172-815D-5FEE08E90625}"/>
    <cellStyle name="Normal 2 2 2 2 2 2 2 10 2 2 8" xfId="2548" xr:uid="{122203BD-BCC6-4BCD-A04D-6F273586EB77}"/>
    <cellStyle name="Normal 2 2 2 2 2 2 2 10 2 3" xfId="2549" xr:uid="{04332F26-A29A-4365-84DE-F5F83C594959}"/>
    <cellStyle name="Normal 2 2 2 2 2 2 2 10 2 4" xfId="2550" xr:uid="{AD6CCD0F-8EDE-49B0-BD51-C4C82F6D986A}"/>
    <cellStyle name="Normal 2 2 2 2 2 2 2 10 2 5" xfId="2551" xr:uid="{E7C3B194-CA76-489E-AF23-2606A2E615EE}"/>
    <cellStyle name="Normal 2 2 2 2 2 2 2 10 2 6" xfId="2552" xr:uid="{0706433C-7322-4054-9964-41206F1E1449}"/>
    <cellStyle name="Normal 2 2 2 2 2 2 2 10 2 7" xfId="2553" xr:uid="{E38881C5-FC1D-459A-9D23-90D8A06F015F}"/>
    <cellStyle name="Normal 2 2 2 2 2 2 2 10 2 8" xfId="2554" xr:uid="{D99DCFAB-BBBC-495F-90E4-433E9048E010}"/>
    <cellStyle name="Normal 2 2 2 2 2 2 2 10 3" xfId="2555" xr:uid="{0F5CC81D-EB9B-4153-83A8-43E0A1BFDCE5}"/>
    <cellStyle name="Normal 2 2 2 2 2 2 2 10 4" xfId="2556" xr:uid="{6B070D00-4E41-4AD0-848B-B48C88F4D741}"/>
    <cellStyle name="Normal 2 2 2 2 2 2 2 10 5" xfId="2557" xr:uid="{C51929A7-E1E4-4906-BE8F-569522C5F290}"/>
    <cellStyle name="Normal 2 2 2 2 2 2 2 10 6" xfId="2558" xr:uid="{800A198A-0E4E-4951-8B5F-B779A0D07109}"/>
    <cellStyle name="Normal 2 2 2 2 2 2 2 10 7" xfId="2559" xr:uid="{53D9CCC1-F4A5-436D-BA71-88A79373BF04}"/>
    <cellStyle name="Normal 2 2 2 2 2 2 2 10 8" xfId="2560" xr:uid="{B0AD9538-EB67-40F1-A988-C5977F853A6D}"/>
    <cellStyle name="Normal 2 2 2 2 2 2 2 10 9" xfId="2561" xr:uid="{B95FDCDB-75F3-4234-AE36-516A0CDC8DA7}"/>
    <cellStyle name="Normal 2 2 2 2 2 2 2 11" xfId="2562" xr:uid="{BB96ACD4-D564-4FA0-A02C-94E972E7D447}"/>
    <cellStyle name="Normal 2 2 2 2 2 2 2 11 2" xfId="2563" xr:uid="{9ACCF824-54AF-44C6-BCAA-5E888D0AF52A}"/>
    <cellStyle name="Normal 2 2 2 2 2 2 2 11 3" xfId="2564" xr:uid="{B1D7A670-374A-425A-B976-9000DD6CC79D}"/>
    <cellStyle name="Normal 2 2 2 2 2 2 2 11 4" xfId="2565" xr:uid="{1D225528-4BB5-4058-98F7-1BC4A189FFB5}"/>
    <cellStyle name="Normal 2 2 2 2 2 2 2 11 5" xfId="2566" xr:uid="{BFE2CC3E-6FCF-4FFA-8D5C-F9E00371734E}"/>
    <cellStyle name="Normal 2 2 2 2 2 2 2 11 6" xfId="2567" xr:uid="{94953D81-56F0-483F-8F00-B2DC5B0BC0B9}"/>
    <cellStyle name="Normal 2 2 2 2 2 2 2 11 7" xfId="2568" xr:uid="{361B0317-113B-4A63-B816-9F3A2E701DA8}"/>
    <cellStyle name="Normal 2 2 2 2 2 2 2 11 8" xfId="2569" xr:uid="{A5D6760A-7445-4003-BBC4-B3292F557DCE}"/>
    <cellStyle name="Normal 2 2 2 2 2 2 2 12" xfId="2570" xr:uid="{A60E56DF-8BC0-41A8-A8D1-34134075E6C4}"/>
    <cellStyle name="Normal 2 2 2 2 2 2 2 13" xfId="2571" xr:uid="{1DF81FFB-6F72-4E3E-AD53-CC12C2EC3216}"/>
    <cellStyle name="Normal 2 2 2 2 2 2 2 14" xfId="2572" xr:uid="{4AAC5C54-D590-4BF3-BF7A-0C7E3CDC7940}"/>
    <cellStyle name="Normal 2 2 2 2 2 2 2 15" xfId="2573" xr:uid="{991ADF1F-AFB5-4060-A50B-A7660A47B0A8}"/>
    <cellStyle name="Normal 2 2 2 2 2 2 2 16" xfId="2574" xr:uid="{C7F79476-362B-4BD9-96B1-39D94CD4786E}"/>
    <cellStyle name="Normal 2 2 2 2 2 2 2 17" xfId="2575" xr:uid="{6EB0E678-9F72-4E4B-A90D-A19475CD6ED6}"/>
    <cellStyle name="Normal 2 2 2 2 2 2 2 2" xfId="2576" xr:uid="{8F790F8B-A815-4E20-898C-DDD24435F673}"/>
    <cellStyle name="Normal 2 2 2 2 2 2 2 2 10" xfId="2577" xr:uid="{AE286724-C62B-4BFA-AF6E-DC7640A26501}"/>
    <cellStyle name="Normal 2 2 2 2 2 2 2 2 10 2" xfId="2578" xr:uid="{13FA1AB5-B65F-4C4A-8A7A-5ED6F020FC60}"/>
    <cellStyle name="Normal 2 2 2 2 2 2 2 2 10 2 2" xfId="2579" xr:uid="{B42DF979-E13A-41C4-A26E-743F325F95ED}"/>
    <cellStyle name="Normal 2 2 2 2 2 2 2 2 10 2 2 2" xfId="2580" xr:uid="{74F0222F-4095-479E-86C2-A0B8DD1609E3}"/>
    <cellStyle name="Normal 2 2 2 2 2 2 2 2 10 2 2 3" xfId="2581" xr:uid="{7E6C0ABF-783F-49D7-BAE7-A29A4497124D}"/>
    <cellStyle name="Normal 2 2 2 2 2 2 2 2 10 2 2 4" xfId="2582" xr:uid="{BEBED000-38EE-47E5-83D6-AF0865EBF7BC}"/>
    <cellStyle name="Normal 2 2 2 2 2 2 2 2 10 2 2 5" xfId="2583" xr:uid="{23ED1550-917C-40BB-B121-EF38116995A5}"/>
    <cellStyle name="Normal 2 2 2 2 2 2 2 2 10 2 2 6" xfId="2584" xr:uid="{E8429256-7B14-4CEA-9207-D761336820DA}"/>
    <cellStyle name="Normal 2 2 2 2 2 2 2 2 10 2 2 7" xfId="2585" xr:uid="{DCCC39E6-DCA4-4816-88AF-6784683C4EA6}"/>
    <cellStyle name="Normal 2 2 2 2 2 2 2 2 10 2 2 8" xfId="2586" xr:uid="{2350BF35-0363-4F07-B774-BFAD66F88C57}"/>
    <cellStyle name="Normal 2 2 2 2 2 2 2 2 10 2 3" xfId="2587" xr:uid="{DE4F29EB-7BC3-4BAA-9A62-2E6457A184B5}"/>
    <cellStyle name="Normal 2 2 2 2 2 2 2 2 10 2 4" xfId="2588" xr:uid="{94B9741E-C91B-4970-92DC-FEC5049BCE2C}"/>
    <cellStyle name="Normal 2 2 2 2 2 2 2 2 10 2 5" xfId="2589" xr:uid="{DD197775-FCEB-4FB3-9ACD-034185320B75}"/>
    <cellStyle name="Normal 2 2 2 2 2 2 2 2 10 2 6" xfId="2590" xr:uid="{10DA4D1C-26EF-43DE-A990-1B6198450C6E}"/>
    <cellStyle name="Normal 2 2 2 2 2 2 2 2 10 2 7" xfId="2591" xr:uid="{90D7B0CC-85CC-46B2-A5D1-02F809769F37}"/>
    <cellStyle name="Normal 2 2 2 2 2 2 2 2 10 2 8" xfId="2592" xr:uid="{D59459F4-EF38-476F-B61F-34EE0A5DB57A}"/>
    <cellStyle name="Normal 2 2 2 2 2 2 2 2 10 3" xfId="2593" xr:uid="{247F6484-FDA2-4F7D-B701-27AD2291D5E3}"/>
    <cellStyle name="Normal 2 2 2 2 2 2 2 2 10 4" xfId="2594" xr:uid="{F70D12CF-17FB-4CFE-A6A2-D3F13A7BE949}"/>
    <cellStyle name="Normal 2 2 2 2 2 2 2 2 10 5" xfId="2595" xr:uid="{F11E4CA9-38BD-43EC-ABEA-893D7D1809CF}"/>
    <cellStyle name="Normal 2 2 2 2 2 2 2 2 10 6" xfId="2596" xr:uid="{BAE16A03-4EE4-4CA1-9397-36A7AFFA4A45}"/>
    <cellStyle name="Normal 2 2 2 2 2 2 2 2 10 7" xfId="2597" xr:uid="{87B6C861-FF58-4597-A01A-F7336AA65E5E}"/>
    <cellStyle name="Normal 2 2 2 2 2 2 2 2 10 8" xfId="2598" xr:uid="{B77112F6-B6BA-4405-B2A0-DC03BF615145}"/>
    <cellStyle name="Normal 2 2 2 2 2 2 2 2 10 9" xfId="2599" xr:uid="{6F3DD41B-1C6C-499D-8E75-08C165EAC188}"/>
    <cellStyle name="Normal 2 2 2 2 2 2 2 2 11" xfId="2600" xr:uid="{4F32A087-7852-42E1-801C-CEB6E6DA9C5D}"/>
    <cellStyle name="Normal 2 2 2 2 2 2 2 2 11 2" xfId="2601" xr:uid="{E27BEFA5-5E77-4413-9BD1-57A204D08C6F}"/>
    <cellStyle name="Normal 2 2 2 2 2 2 2 2 11 3" xfId="2602" xr:uid="{60BE5FC9-D39E-402F-8E7B-F0024BD1CE46}"/>
    <cellStyle name="Normal 2 2 2 2 2 2 2 2 11 4" xfId="2603" xr:uid="{874A6B0C-56D4-42D6-9C08-B008B4D66B5A}"/>
    <cellStyle name="Normal 2 2 2 2 2 2 2 2 11 5" xfId="2604" xr:uid="{78880043-3F70-4758-9D9B-E934F6FDE24D}"/>
    <cellStyle name="Normal 2 2 2 2 2 2 2 2 11 6" xfId="2605" xr:uid="{1B9489E9-08E4-49D0-9776-98D612F52B6D}"/>
    <cellStyle name="Normal 2 2 2 2 2 2 2 2 11 7" xfId="2606" xr:uid="{B300276B-AD62-46F3-B895-437DA3A925DE}"/>
    <cellStyle name="Normal 2 2 2 2 2 2 2 2 11 8" xfId="2607" xr:uid="{8D68061E-6639-4009-892A-E2713296DCC5}"/>
    <cellStyle name="Normal 2 2 2 2 2 2 2 2 12" xfId="2608" xr:uid="{8C0CDF4D-21C3-454B-8885-B52FF7506AFD}"/>
    <cellStyle name="Normal 2 2 2 2 2 2 2 2 13" xfId="2609" xr:uid="{FCC7DEC8-C38E-497F-9A43-2990901EBBDF}"/>
    <cellStyle name="Normal 2 2 2 2 2 2 2 2 14" xfId="2610" xr:uid="{C3FE130E-C204-4484-8AB2-71029D610CEF}"/>
    <cellStyle name="Normal 2 2 2 2 2 2 2 2 15" xfId="2611" xr:uid="{4B77337E-8D82-423B-BEBD-6BEAE7D8760B}"/>
    <cellStyle name="Normal 2 2 2 2 2 2 2 2 16" xfId="2612" xr:uid="{068369E4-4D5F-4A4B-918B-6884CCD42505}"/>
    <cellStyle name="Normal 2 2 2 2 2 2 2 2 17" xfId="2613" xr:uid="{23529A30-EF3B-4D50-82A8-6DCC5BD7CE36}"/>
    <cellStyle name="Normal 2 2 2 2 2 2 2 2 2" xfId="2614" xr:uid="{70B72A57-B03B-4279-81C8-314B3FB972DD}"/>
    <cellStyle name="Normal 2 2 2 2 2 2 2 2 2 10" xfId="2615" xr:uid="{A07D7671-E8EB-43E2-AB3B-FBB20EFFC7C0}"/>
    <cellStyle name="Normal 2 2 2 2 2 2 2 2 2 2" xfId="2616" xr:uid="{E9664E9A-429C-4F1A-AC88-270FF2CD1204}"/>
    <cellStyle name="Normal 2 2 2 2 2 2 2 2 2 2 2" xfId="2617" xr:uid="{B2519C62-248A-4150-9ED9-5776D4B34DE2}"/>
    <cellStyle name="Normal 2 2 2 2 2 2 2 2 2 2 2 2" xfId="2618" xr:uid="{FBF040D5-B428-4A6D-ADBC-DD34C7A90167}"/>
    <cellStyle name="Normal 2 2 2 2 2 2 2 2 2 2 2 2 2" xfId="2619" xr:uid="{A5577C5A-36ED-4821-A23D-BEDCDC958FCA}"/>
    <cellStyle name="Normal 2 2 2 2 2 2 2 2 2 2 2 2 3" xfId="2620" xr:uid="{AA7EA0F9-13A5-467B-9FA0-0EADD51A5793}"/>
    <cellStyle name="Normal 2 2 2 2 2 2 2 2 2 2 2 2 4" xfId="2621" xr:uid="{46535527-B9C8-442B-A760-585E01EEFADD}"/>
    <cellStyle name="Normal 2 2 2 2 2 2 2 2 2 2 2 2 5" xfId="2622" xr:uid="{169C7DA6-36C8-40D1-9FB1-BAF6A81CD915}"/>
    <cellStyle name="Normal 2 2 2 2 2 2 2 2 2 2 2 2 6" xfId="2623" xr:uid="{DC580E89-2A04-4B63-801E-BF84781BC4E8}"/>
    <cellStyle name="Normal 2 2 2 2 2 2 2 2 2 2 2 2 7" xfId="2624" xr:uid="{BC9549F8-5C68-4299-A6D6-318ED0A1BFEB}"/>
    <cellStyle name="Normal 2 2 2 2 2 2 2 2 2 2 2 2 8" xfId="2625" xr:uid="{4CB1002E-7597-45C8-82A7-727E1C2CD83B}"/>
    <cellStyle name="Normal 2 2 2 2 2 2 2 2 2 2 2 3" xfId="2626" xr:uid="{2116EC80-6421-41EA-82E2-1E756CD934B8}"/>
    <cellStyle name="Normal 2 2 2 2 2 2 2 2 2 2 2 4" xfId="2627" xr:uid="{33320696-5006-4C60-AD32-9F119CD14604}"/>
    <cellStyle name="Normal 2 2 2 2 2 2 2 2 2 2 2 5" xfId="2628" xr:uid="{1AABABEB-3807-4BAB-9719-951EC9268B21}"/>
    <cellStyle name="Normal 2 2 2 2 2 2 2 2 2 2 2 6" xfId="2629" xr:uid="{14D16D81-ACF4-4B16-9A6C-F1637A73B2CB}"/>
    <cellStyle name="Normal 2 2 2 2 2 2 2 2 2 2 2 7" xfId="2630" xr:uid="{B5302D51-CBC8-4F87-A532-3C9AF0DC68ED}"/>
    <cellStyle name="Normal 2 2 2 2 2 2 2 2 2 2 2 8" xfId="2631" xr:uid="{90056D78-47CA-421E-8910-93CD6FC496EF}"/>
    <cellStyle name="Normal 2 2 2 2 2 2 2 2 2 2 3" xfId="2632" xr:uid="{FF6D3369-435C-4C3D-A1C9-8ED2E3EA8841}"/>
    <cellStyle name="Normal 2 2 2 2 2 2 2 2 2 2 4" xfId="2633" xr:uid="{9936EC4E-4476-4F5A-A3E4-7F78A45ECDF8}"/>
    <cellStyle name="Normal 2 2 2 2 2 2 2 2 2 2 5" xfId="2634" xr:uid="{574A3835-2DE4-4FB8-B9A9-245F1DE94FCF}"/>
    <cellStyle name="Normal 2 2 2 2 2 2 2 2 2 2 6" xfId="2635" xr:uid="{E430A5D8-34B9-4903-9269-140ADE9CA8C9}"/>
    <cellStyle name="Normal 2 2 2 2 2 2 2 2 2 2 7" xfId="2636" xr:uid="{1B53B361-CDAD-4852-91DC-5B8E9C12E03E}"/>
    <cellStyle name="Normal 2 2 2 2 2 2 2 2 2 2 8" xfId="2637" xr:uid="{6318E99A-9A59-470B-B6B2-DB16E7B14EF5}"/>
    <cellStyle name="Normal 2 2 2 2 2 2 2 2 2 2 9" xfId="2638" xr:uid="{77A86EA5-3173-4843-A46A-54642620AA3F}"/>
    <cellStyle name="Normal 2 2 2 2 2 2 2 2 2 3" xfId="2639" xr:uid="{FEA9A18F-2875-4CE7-B643-20D72DD4AF92}"/>
    <cellStyle name="Normal 2 2 2 2 2 2 2 2 2 4" xfId="2640" xr:uid="{08874CAF-1226-48EA-A456-A04F5ED0DF1B}"/>
    <cellStyle name="Normal 2 2 2 2 2 2 2 2 2 4 2" xfId="2641" xr:uid="{5C5FE235-2235-4FA2-976D-19D6A2BFB570}"/>
    <cellStyle name="Normal 2 2 2 2 2 2 2 2 2 4 3" xfId="2642" xr:uid="{6A9CCAEF-7EC1-4E88-9265-337D90988DD3}"/>
    <cellStyle name="Normal 2 2 2 2 2 2 2 2 2 4 4" xfId="2643" xr:uid="{02D68545-A343-417F-B16E-2ED4A4AC5AC8}"/>
    <cellStyle name="Normal 2 2 2 2 2 2 2 2 2 4 5" xfId="2644" xr:uid="{4FEDB218-424C-4BBF-B17A-B539D48317EF}"/>
    <cellStyle name="Normal 2 2 2 2 2 2 2 2 2 4 6" xfId="2645" xr:uid="{95AD41E4-112E-4892-AE71-F843FF47485C}"/>
    <cellStyle name="Normal 2 2 2 2 2 2 2 2 2 4 7" xfId="2646" xr:uid="{0ECFD3C0-35D1-4CEA-9802-67E3B9A01112}"/>
    <cellStyle name="Normal 2 2 2 2 2 2 2 2 2 4 8" xfId="2647" xr:uid="{738DCA7B-1D6B-4BE4-A09B-7D7F9E9EE091}"/>
    <cellStyle name="Normal 2 2 2 2 2 2 2 2 2 5" xfId="2648" xr:uid="{9E3DB6C6-6398-455F-B4BF-246F0C3F3335}"/>
    <cellStyle name="Normal 2 2 2 2 2 2 2 2 2 6" xfId="2649" xr:uid="{4D28B711-8018-4C62-897D-3961CD2ECB33}"/>
    <cellStyle name="Normal 2 2 2 2 2 2 2 2 2 7" xfId="2650" xr:uid="{B055CF91-9238-48F6-9BCB-12EB496EDC61}"/>
    <cellStyle name="Normal 2 2 2 2 2 2 2 2 2 8" xfId="2651" xr:uid="{316FF4FB-695B-4289-881D-35DA52E61D0F}"/>
    <cellStyle name="Normal 2 2 2 2 2 2 2 2 2 9" xfId="2652" xr:uid="{078CF607-3F52-4128-9C65-0AB578DC86BC}"/>
    <cellStyle name="Normal 2 2 2 2 2 2 2 2 3" xfId="2653" xr:uid="{C3624E83-1E37-4BF8-A56C-FD0AC83E78AC}"/>
    <cellStyle name="Normal 2 2 2 2 2 2 2 2 4" xfId="2654" xr:uid="{B0EF71EE-8D34-479A-8816-89A0F5D4C9E1}"/>
    <cellStyle name="Normal 2 2 2 2 2 2 2 2 5" xfId="2655" xr:uid="{4317337A-A6BA-4032-B73E-DC66577EA9A8}"/>
    <cellStyle name="Normal 2 2 2 2 2 2 2 2 6" xfId="2656" xr:uid="{1DCDCDA1-7C0A-4244-9E04-6728CCE5F057}"/>
    <cellStyle name="Normal 2 2 2 2 2 2 2 2 7" xfId="2657" xr:uid="{39EADF7C-2ACC-48FB-B756-267E66C0902B}"/>
    <cellStyle name="Normal 2 2 2 2 2 2 2 2 8" xfId="2658" xr:uid="{531456AF-BE49-4641-A7FD-39589F618A9E}"/>
    <cellStyle name="Normal 2 2 2 2 2 2 2 2 9" xfId="2659" xr:uid="{1FC25326-BC6A-46C6-B11B-899141453AB7}"/>
    <cellStyle name="Normal 2 2 2 2 2 2 2 3" xfId="2660" xr:uid="{8DE1BEF7-A190-4013-8DF8-4FEA186BE83E}"/>
    <cellStyle name="Normal 2 2 2 2 2 2 2 3 10" xfId="2661" xr:uid="{8253D27F-FC09-425D-8220-3BDB7DC43E86}"/>
    <cellStyle name="Normal 2 2 2 2 2 2 2 3 2" xfId="2662" xr:uid="{AA5D2ABF-03A6-49DE-BA72-C66027D7ACA3}"/>
    <cellStyle name="Normal 2 2 2 2 2 2 2 3 2 2" xfId="2663" xr:uid="{E37BA50D-351E-48B6-B44C-1AE80409F677}"/>
    <cellStyle name="Normal 2 2 2 2 2 2 2 3 2 2 2" xfId="2664" xr:uid="{0B4072D9-6AFD-46CC-92D2-592E0408CF48}"/>
    <cellStyle name="Normal 2 2 2 2 2 2 2 3 2 2 2 2" xfId="2665" xr:uid="{8A700BCA-B189-4AD1-BA24-185CA0CC7BA4}"/>
    <cellStyle name="Normal 2 2 2 2 2 2 2 3 2 2 2 3" xfId="2666" xr:uid="{49FC3489-4B56-4546-8A6F-40EBB3925650}"/>
    <cellStyle name="Normal 2 2 2 2 2 2 2 3 2 2 2 4" xfId="2667" xr:uid="{14C046AD-8CEA-4E9A-BCF4-239DE2B7014E}"/>
    <cellStyle name="Normal 2 2 2 2 2 2 2 3 2 2 2 5" xfId="2668" xr:uid="{D5946FDD-92C5-4AD3-B1AD-D0F85E5F2BE6}"/>
    <cellStyle name="Normal 2 2 2 2 2 2 2 3 2 2 2 6" xfId="2669" xr:uid="{83183CC8-799B-4123-94C1-003B50258C0C}"/>
    <cellStyle name="Normal 2 2 2 2 2 2 2 3 2 2 2 7" xfId="2670" xr:uid="{01A310BD-E0E2-4864-8BE0-54C18F45F2ED}"/>
    <cellStyle name="Normal 2 2 2 2 2 2 2 3 2 2 2 8" xfId="2671" xr:uid="{0ACAC138-C349-416A-BE9B-77DD7ED9CFF8}"/>
    <cellStyle name="Normal 2 2 2 2 2 2 2 3 2 2 3" xfId="2672" xr:uid="{B6BAB5B6-550B-4A14-8D73-DB6C3362711E}"/>
    <cellStyle name="Normal 2 2 2 2 2 2 2 3 2 2 4" xfId="2673" xr:uid="{A8081E40-B859-404B-A19B-DE19E3879F65}"/>
    <cellStyle name="Normal 2 2 2 2 2 2 2 3 2 2 5" xfId="2674" xr:uid="{EB16562F-B60D-4071-AF85-643B5B4AC03E}"/>
    <cellStyle name="Normal 2 2 2 2 2 2 2 3 2 2 6" xfId="2675" xr:uid="{346890A9-BA84-4DCA-9FCA-6F4205CEB9AC}"/>
    <cellStyle name="Normal 2 2 2 2 2 2 2 3 2 2 7" xfId="2676" xr:uid="{138C9E60-5B69-4CB7-8635-3E7C2B8A2955}"/>
    <cellStyle name="Normal 2 2 2 2 2 2 2 3 2 2 8" xfId="2677" xr:uid="{5D6B46E7-97A0-44FB-8B10-29F07168E980}"/>
    <cellStyle name="Normal 2 2 2 2 2 2 2 3 2 3" xfId="2678" xr:uid="{8D112F45-8E59-4E8E-8547-2B95E472DCD8}"/>
    <cellStyle name="Normal 2 2 2 2 2 2 2 3 2 4" xfId="2679" xr:uid="{5B926C92-D60C-47DC-8D79-43BD7114BA7F}"/>
    <cellStyle name="Normal 2 2 2 2 2 2 2 3 2 5" xfId="2680" xr:uid="{8B3DB3CB-056B-4ABF-AFAA-F26E721E5E3B}"/>
    <cellStyle name="Normal 2 2 2 2 2 2 2 3 2 6" xfId="2681" xr:uid="{8BE49DD5-6CFA-4B3E-8832-F79A144D44C2}"/>
    <cellStyle name="Normal 2 2 2 2 2 2 2 3 2 7" xfId="2682" xr:uid="{76AF324B-7BB9-4980-A2ED-B4711106A036}"/>
    <cellStyle name="Normal 2 2 2 2 2 2 2 3 2 8" xfId="2683" xr:uid="{00755B13-D13E-4E2D-80E5-9226EC6EF266}"/>
    <cellStyle name="Normal 2 2 2 2 2 2 2 3 2 9" xfId="2684" xr:uid="{1440F554-7B45-4BC3-AA05-16C6731AEFD1}"/>
    <cellStyle name="Normal 2 2 2 2 2 2 2 3 3" xfId="2685" xr:uid="{070875AF-AEFC-45E9-8EEE-3111DE3B8618}"/>
    <cellStyle name="Normal 2 2 2 2 2 2 2 3 4" xfId="2686" xr:uid="{505D6458-CC39-4CCE-8E74-9C7B403FA5A0}"/>
    <cellStyle name="Normal 2 2 2 2 2 2 2 3 4 2" xfId="2687" xr:uid="{845C80F7-2EB7-4337-9B50-3C3C842DF075}"/>
    <cellStyle name="Normal 2 2 2 2 2 2 2 3 4 3" xfId="2688" xr:uid="{23AF6A57-45A5-4191-AF52-E6062ADCFC98}"/>
    <cellStyle name="Normal 2 2 2 2 2 2 2 3 4 4" xfId="2689" xr:uid="{9CB78EDA-48A6-4D79-9107-80AD0DB30F13}"/>
    <cellStyle name="Normal 2 2 2 2 2 2 2 3 4 5" xfId="2690" xr:uid="{F0BFA10A-3275-4DE3-AC43-BDD704102D4B}"/>
    <cellStyle name="Normal 2 2 2 2 2 2 2 3 4 6" xfId="2691" xr:uid="{27DF5363-5288-4D20-896A-C64B5ACEFC56}"/>
    <cellStyle name="Normal 2 2 2 2 2 2 2 3 4 7" xfId="2692" xr:uid="{EB569D4D-86C2-4DE2-99D2-09E2D5715728}"/>
    <cellStyle name="Normal 2 2 2 2 2 2 2 3 4 8" xfId="2693" xr:uid="{67456F30-420B-4A22-9EA8-3CAFD45B8BB7}"/>
    <cellStyle name="Normal 2 2 2 2 2 2 2 3 5" xfId="2694" xr:uid="{0BFADC95-1E2F-4E2B-B8D0-C7B550A6AE77}"/>
    <cellStyle name="Normal 2 2 2 2 2 2 2 3 6" xfId="2695" xr:uid="{FF3DD3CE-69F5-4C8B-B295-A1E4B09ABD2A}"/>
    <cellStyle name="Normal 2 2 2 2 2 2 2 3 7" xfId="2696" xr:uid="{6BCC1756-F427-406D-9B3C-AFD95B796C81}"/>
    <cellStyle name="Normal 2 2 2 2 2 2 2 3 8" xfId="2697" xr:uid="{BEEDF2F9-81D6-4552-BDD9-A582BD9F523E}"/>
    <cellStyle name="Normal 2 2 2 2 2 2 2 3 9" xfId="2698" xr:uid="{52D5DB87-DB00-404E-A727-F7412D0B8A03}"/>
    <cellStyle name="Normal 2 2 2 2 2 2 2 4" xfId="2699" xr:uid="{06301870-CAE8-4AFC-94AF-6D631CE68774}"/>
    <cellStyle name="Normal 2 2 2 2 2 2 2 5" xfId="2700" xr:uid="{6BC0D1E6-9DF4-4BB3-8A5F-F2538AF81BB8}"/>
    <cellStyle name="Normal 2 2 2 2 2 2 2 6" xfId="2701" xr:uid="{74B4B6B6-609E-46C5-9573-09D2D9974EE4}"/>
    <cellStyle name="Normal 2 2 2 2 2 2 2 7" xfId="2702" xr:uid="{0B3BC388-89ED-40FE-AEC5-6B115242DEDC}"/>
    <cellStyle name="Normal 2 2 2 2 2 2 2 8" xfId="2703" xr:uid="{091855BF-5DFC-4962-BFF2-764392899AAC}"/>
    <cellStyle name="Normal 2 2 2 2 2 2 2 9" xfId="2704" xr:uid="{E14431DA-3B9B-4171-9DCD-599A9E0F61CC}"/>
    <cellStyle name="Normal 2 2 2 2 2 2 20" xfId="2705" xr:uid="{93392A19-BEEB-4FDC-8B48-D61BD1FC2161}"/>
    <cellStyle name="Normal 2 2 2 2 2 2 21" xfId="2706" xr:uid="{C5B59A58-E24C-4EE5-99DB-76E0280BA22B}"/>
    <cellStyle name="Normal 2 2 2 2 2 2 22" xfId="2707" xr:uid="{2ACB4072-C7DB-4713-AD33-23264F716710}"/>
    <cellStyle name="Normal 2 2 2 2 2 2 3" xfId="2708" xr:uid="{F3C61AA1-F405-4244-BF29-D4615A551AB3}"/>
    <cellStyle name="Normal 2 2 2 2 2 2 4" xfId="2709" xr:uid="{67457D88-0C5C-4256-A2CE-748DB4E2281D}"/>
    <cellStyle name="Normal 2 2 2 2 2 2 5" xfId="2710" xr:uid="{F77A6F3D-0110-4D90-A2FF-AE8CC157B6A5}"/>
    <cellStyle name="Normal 2 2 2 2 2 2 6" xfId="2711" xr:uid="{750935E5-857C-48A0-A9C6-BB1D98AA9B47}"/>
    <cellStyle name="Normal 2 2 2 2 2 2 7" xfId="2712" xr:uid="{8DBAE283-EE08-43DB-9AEE-B6207EC5BACF}"/>
    <cellStyle name="Normal 2 2 2 2 2 2 7 10" xfId="2713" xr:uid="{0D410FCF-9F05-472A-BCE7-3C56913CB4CD}"/>
    <cellStyle name="Normal 2 2 2 2 2 2 7 2" xfId="2714" xr:uid="{19DC3278-4026-4F9A-BFC3-7D4650AB94C6}"/>
    <cellStyle name="Normal 2 2 2 2 2 2 7 2 2" xfId="2715" xr:uid="{C8D25B6E-6858-4DC8-BD58-CC6FBF52EF37}"/>
    <cellStyle name="Normal 2 2 2 2 2 2 7 2 2 2" xfId="2716" xr:uid="{C5553DED-A76A-4EB2-909D-02063957728F}"/>
    <cellStyle name="Normal 2 2 2 2 2 2 7 2 2 2 2" xfId="2717" xr:uid="{6BEE17CD-DE7C-4CB9-B898-6E50DDE51CCA}"/>
    <cellStyle name="Normal 2 2 2 2 2 2 7 2 2 2 3" xfId="2718" xr:uid="{72FBAC00-A8FA-4277-88F2-48F4B95EFDFA}"/>
    <cellStyle name="Normal 2 2 2 2 2 2 7 2 2 2 4" xfId="2719" xr:uid="{F66224CF-3590-47AE-9C68-7B7DD9E3C21B}"/>
    <cellStyle name="Normal 2 2 2 2 2 2 7 2 2 2 5" xfId="2720" xr:uid="{2F369D81-D7BE-4BDD-AE5E-EF866A5CAC85}"/>
    <cellStyle name="Normal 2 2 2 2 2 2 7 2 2 2 6" xfId="2721" xr:uid="{BAF750F1-3167-4B41-8C99-8CC4D9DD3D4C}"/>
    <cellStyle name="Normal 2 2 2 2 2 2 7 2 2 2 7" xfId="2722" xr:uid="{C1AA0D4F-CA4F-4145-AB42-CA586F2092DB}"/>
    <cellStyle name="Normal 2 2 2 2 2 2 7 2 2 2 8" xfId="2723" xr:uid="{8C6B7473-8684-4353-9C68-0340E0D2F616}"/>
    <cellStyle name="Normal 2 2 2 2 2 2 7 2 2 3" xfId="2724" xr:uid="{077F65FC-0928-4FCC-B9F0-9BFDC18EB8B3}"/>
    <cellStyle name="Normal 2 2 2 2 2 2 7 2 2 4" xfId="2725" xr:uid="{E5A243E9-83B3-42F6-AD28-8AB95C86F71B}"/>
    <cellStyle name="Normal 2 2 2 2 2 2 7 2 2 5" xfId="2726" xr:uid="{AECF515B-3B5B-4AF0-9CAB-6B627FDD31D8}"/>
    <cellStyle name="Normal 2 2 2 2 2 2 7 2 2 6" xfId="2727" xr:uid="{D841AA0B-A658-4590-A814-64EEF4C2C9AF}"/>
    <cellStyle name="Normal 2 2 2 2 2 2 7 2 2 7" xfId="2728" xr:uid="{DE2B0154-5E2B-4F1E-8E45-617E35DD3F77}"/>
    <cellStyle name="Normal 2 2 2 2 2 2 7 2 2 8" xfId="2729" xr:uid="{341AB660-DAF2-4EC8-BB46-04441EF228A0}"/>
    <cellStyle name="Normal 2 2 2 2 2 2 7 2 3" xfId="2730" xr:uid="{5F7B63A8-3E82-4317-9ECC-07C94AB03DB7}"/>
    <cellStyle name="Normal 2 2 2 2 2 2 7 2 4" xfId="2731" xr:uid="{DF35993E-7DFB-4D97-9989-9A5E3F6445D8}"/>
    <cellStyle name="Normal 2 2 2 2 2 2 7 2 5" xfId="2732" xr:uid="{B62EC58F-CCB7-447D-9D45-D27DA1CD576E}"/>
    <cellStyle name="Normal 2 2 2 2 2 2 7 2 6" xfId="2733" xr:uid="{AB04EA61-3020-46B4-B9BD-B893B269BDDE}"/>
    <cellStyle name="Normal 2 2 2 2 2 2 7 2 7" xfId="2734" xr:uid="{2EF1474E-6337-4E07-A082-769E2C83D261}"/>
    <cellStyle name="Normal 2 2 2 2 2 2 7 2 8" xfId="2735" xr:uid="{B79D7281-726C-4C2C-A121-82715A41F1D5}"/>
    <cellStyle name="Normal 2 2 2 2 2 2 7 2 9" xfId="2736" xr:uid="{37D554A3-A2C2-4AE3-8FF6-3A682F98AC84}"/>
    <cellStyle name="Normal 2 2 2 2 2 2 7 3" xfId="2737" xr:uid="{352DC05E-B752-49F1-BD82-4169BCADB9B0}"/>
    <cellStyle name="Normal 2 2 2 2 2 2 7 4" xfId="2738" xr:uid="{2B823F23-FB63-4700-9424-4A2803D85CF0}"/>
    <cellStyle name="Normal 2 2 2 2 2 2 7 4 2" xfId="2739" xr:uid="{3806637B-89AC-4D9B-B8EB-F3FF8ECF15F6}"/>
    <cellStyle name="Normal 2 2 2 2 2 2 7 4 3" xfId="2740" xr:uid="{CFCD8490-07D3-401E-A2CB-A3F627574C08}"/>
    <cellStyle name="Normal 2 2 2 2 2 2 7 4 4" xfId="2741" xr:uid="{15F330C5-0948-4143-9560-21CB44D877AA}"/>
    <cellStyle name="Normal 2 2 2 2 2 2 7 4 5" xfId="2742" xr:uid="{371B72D3-A2BE-4B10-959F-B69AFD706B7F}"/>
    <cellStyle name="Normal 2 2 2 2 2 2 7 4 6" xfId="2743" xr:uid="{264E447E-7ECE-47A0-9041-4AFAE9851A71}"/>
    <cellStyle name="Normal 2 2 2 2 2 2 7 4 7" xfId="2744" xr:uid="{43C1334D-5772-4B02-97BA-CEFC0EA7353C}"/>
    <cellStyle name="Normal 2 2 2 2 2 2 7 4 8" xfId="2745" xr:uid="{A08020FF-4EA8-4EC4-95CE-99F4EBE7F55E}"/>
    <cellStyle name="Normal 2 2 2 2 2 2 7 5" xfId="2746" xr:uid="{ADFE1319-11BC-49C5-9596-FCB48465FB0C}"/>
    <cellStyle name="Normal 2 2 2 2 2 2 7 6" xfId="2747" xr:uid="{037E5650-A85C-41D8-96B5-F5C95A6D173A}"/>
    <cellStyle name="Normal 2 2 2 2 2 2 7 7" xfId="2748" xr:uid="{B9D875E0-9781-4AD6-A37A-38F8D5A08D87}"/>
    <cellStyle name="Normal 2 2 2 2 2 2 7 8" xfId="2749" xr:uid="{2B4BA953-E762-4B14-8610-6347334F5E2A}"/>
    <cellStyle name="Normal 2 2 2 2 2 2 7 9" xfId="2750" xr:uid="{DDBB2D62-34D7-4752-BF4A-4A25F8CAC705}"/>
    <cellStyle name="Normal 2 2 2 2 2 2 8" xfId="2751" xr:uid="{92A6DD4D-9B0D-4B99-B5FC-F85B2C76905D}"/>
    <cellStyle name="Normal 2 2 2 2 2 2 9" xfId="2752" xr:uid="{B7686F39-FAEE-4EC6-BB21-33143CE41BA7}"/>
    <cellStyle name="Normal 2 2 2 2 2 20" xfId="2753" xr:uid="{BEB14C6D-F712-4DF4-A3DB-C855A9AEB3CF}"/>
    <cellStyle name="Normal 2 2 2 2 2 21" xfId="2754" xr:uid="{9F504B45-D649-479E-9FD7-A13CF69A9DC3}"/>
    <cellStyle name="Normal 2 2 2 2 2 22" xfId="2755" xr:uid="{AC00A550-2E13-4F7D-9DDB-F81200ECE254}"/>
    <cellStyle name="Normal 2 2 2 2 2 3" xfId="2756" xr:uid="{A956DD50-7871-49ED-AF53-4D7E6C5A454A}"/>
    <cellStyle name="Normal 2 2 2 2 2 3 10" xfId="2757" xr:uid="{C87FED13-A67F-45B9-AE78-13DCE61DEDCC}"/>
    <cellStyle name="Normal 2 2 2 2 2 3 10 2" xfId="2758" xr:uid="{4EDD05C8-423F-4B1F-96FF-96D24E706C35}"/>
    <cellStyle name="Normal 2 2 2 2 2 3 10 2 2" xfId="2759" xr:uid="{5658A5AE-A82A-41F4-918B-12123A1B3DBD}"/>
    <cellStyle name="Normal 2 2 2 2 2 3 10 2 2 2" xfId="2760" xr:uid="{5317C738-2AA7-4A24-9612-1EE6B94B114D}"/>
    <cellStyle name="Normal 2 2 2 2 2 3 10 2 2 3" xfId="2761" xr:uid="{9348C60F-67BB-46AE-B9E5-D3B1A031EF52}"/>
    <cellStyle name="Normal 2 2 2 2 2 3 10 2 2 4" xfId="2762" xr:uid="{3131C766-ABD3-493A-B344-1D9E5B574B7A}"/>
    <cellStyle name="Normal 2 2 2 2 2 3 10 2 2 5" xfId="2763" xr:uid="{CA479A36-36FF-4DEC-B840-B26EC02A6D8E}"/>
    <cellStyle name="Normal 2 2 2 2 2 3 10 2 2 6" xfId="2764" xr:uid="{CF1F7718-7B45-40BB-8795-C751A14309E5}"/>
    <cellStyle name="Normal 2 2 2 2 2 3 10 2 2 7" xfId="2765" xr:uid="{1C4ED858-D0B2-44A7-B291-84446FF2F2C7}"/>
    <cellStyle name="Normal 2 2 2 2 2 3 10 2 2 8" xfId="2766" xr:uid="{6ED4A37E-2C28-4D78-BD80-FA4BE2B62984}"/>
    <cellStyle name="Normal 2 2 2 2 2 3 10 2 3" xfId="2767" xr:uid="{BA8A9C5E-8509-4CD4-BD57-6920CB3381BC}"/>
    <cellStyle name="Normal 2 2 2 2 2 3 10 2 4" xfId="2768" xr:uid="{579695BC-7D0F-4CC3-B434-459F7849110D}"/>
    <cellStyle name="Normal 2 2 2 2 2 3 10 2 5" xfId="2769" xr:uid="{35057DEE-2A51-4872-BB22-67B887553B82}"/>
    <cellStyle name="Normal 2 2 2 2 2 3 10 2 6" xfId="2770" xr:uid="{4F4A46D3-6DEC-4DE1-867D-CE4DFBEF6E13}"/>
    <cellStyle name="Normal 2 2 2 2 2 3 10 2 7" xfId="2771" xr:uid="{26A91EC0-88CE-4B2D-B919-E2A3682FB93D}"/>
    <cellStyle name="Normal 2 2 2 2 2 3 10 2 8" xfId="2772" xr:uid="{DB7CD88B-7092-4956-BE93-A7392EC91B03}"/>
    <cellStyle name="Normal 2 2 2 2 2 3 10 3" xfId="2773" xr:uid="{3D302C38-8746-4935-BF35-EFB19E64C1EE}"/>
    <cellStyle name="Normal 2 2 2 2 2 3 10 4" xfId="2774" xr:uid="{1D8EF2EB-5430-4847-A84B-88C8144D9888}"/>
    <cellStyle name="Normal 2 2 2 2 2 3 10 5" xfId="2775" xr:uid="{6383AFC4-9C6C-4407-8370-BD3520661DA6}"/>
    <cellStyle name="Normal 2 2 2 2 2 3 10 6" xfId="2776" xr:uid="{8EB3F710-E35C-4291-ACBF-4068E669225E}"/>
    <cellStyle name="Normal 2 2 2 2 2 3 10 7" xfId="2777" xr:uid="{7C9E649F-2EB1-4DA4-BC43-E890FD5C1258}"/>
    <cellStyle name="Normal 2 2 2 2 2 3 10 8" xfId="2778" xr:uid="{D9682456-C345-4292-9646-41213C814C40}"/>
    <cellStyle name="Normal 2 2 2 2 2 3 10 9" xfId="2779" xr:uid="{A4C479A4-D9B4-4DE4-BE3F-04E9047B4560}"/>
    <cellStyle name="Normal 2 2 2 2 2 3 11" xfId="2780" xr:uid="{EDFBA994-EA3A-4E0B-93FB-B4A0D6798107}"/>
    <cellStyle name="Normal 2 2 2 2 2 3 11 2" xfId="2781" xr:uid="{FF5651F8-2448-453D-982E-62FED4415329}"/>
    <cellStyle name="Normal 2 2 2 2 2 3 11 3" xfId="2782" xr:uid="{174F33FD-C05C-4734-A20B-92DFD93B8D02}"/>
    <cellStyle name="Normal 2 2 2 2 2 3 11 4" xfId="2783" xr:uid="{DDCDB1F9-6911-46D3-A52B-53B3498B9615}"/>
    <cellStyle name="Normal 2 2 2 2 2 3 11 5" xfId="2784" xr:uid="{621DDFEB-F573-4D30-9FB1-AA505465F1BD}"/>
    <cellStyle name="Normal 2 2 2 2 2 3 11 6" xfId="2785" xr:uid="{297B3A6D-0F57-4A00-AFE6-FAF905E72977}"/>
    <cellStyle name="Normal 2 2 2 2 2 3 11 7" xfId="2786" xr:uid="{9206E9B8-EF5A-452D-B381-D8AE889881F8}"/>
    <cellStyle name="Normal 2 2 2 2 2 3 11 8" xfId="2787" xr:uid="{E7A2FB68-CE6C-4AC4-85B9-15A876E34339}"/>
    <cellStyle name="Normal 2 2 2 2 2 3 12" xfId="2788" xr:uid="{E7FC21BA-538C-4081-967C-11DB4EF312E6}"/>
    <cellStyle name="Normal 2 2 2 2 2 3 13" xfId="2789" xr:uid="{99F3518E-2062-4FE2-B208-BA002DD17D4A}"/>
    <cellStyle name="Normal 2 2 2 2 2 3 14" xfId="2790" xr:uid="{91406F79-7C9E-4AAD-85CA-DC3B8EC9D06B}"/>
    <cellStyle name="Normal 2 2 2 2 2 3 15" xfId="2791" xr:uid="{48344B80-6A98-417F-99C2-774EA8FE98F5}"/>
    <cellStyle name="Normal 2 2 2 2 2 3 16" xfId="2792" xr:uid="{5AE86A10-B805-4FF8-B378-1AE813D48FF2}"/>
    <cellStyle name="Normal 2 2 2 2 2 3 17" xfId="2793" xr:uid="{E3BB1897-B20C-4F5D-8F02-3422C4DEA775}"/>
    <cellStyle name="Normal 2 2 2 2 2 3 2" xfId="2794" xr:uid="{7B949360-9B05-4A3F-AD86-9937098AEC5A}"/>
    <cellStyle name="Normal 2 2 2 2 2 3 2 10" xfId="2795" xr:uid="{5EB72C66-4929-4312-91D0-4D30D493FC2B}"/>
    <cellStyle name="Normal 2 2 2 2 2 3 2 10 2" xfId="2796" xr:uid="{3D9D291B-7F7F-4C73-B21D-55C6EEA1DCF2}"/>
    <cellStyle name="Normal 2 2 2 2 2 3 2 10 2 2" xfId="2797" xr:uid="{908FDD3D-6F8C-484A-BDD7-657D38A86D00}"/>
    <cellStyle name="Normal 2 2 2 2 2 3 2 10 2 2 2" xfId="2798" xr:uid="{59D2D272-A33A-41FC-8A4F-910E04FE89A3}"/>
    <cellStyle name="Normal 2 2 2 2 2 3 2 10 2 2 3" xfId="2799" xr:uid="{F17BD9EB-8680-4469-901F-82C56DED3779}"/>
    <cellStyle name="Normal 2 2 2 2 2 3 2 10 2 2 4" xfId="2800" xr:uid="{A16054FF-74C9-4D3B-8775-4649C6B68985}"/>
    <cellStyle name="Normal 2 2 2 2 2 3 2 10 2 2 5" xfId="2801" xr:uid="{6BA5A8CA-03B8-4E6B-B51B-F79AF6863100}"/>
    <cellStyle name="Normal 2 2 2 2 2 3 2 10 2 2 6" xfId="2802" xr:uid="{E1415CE1-66F7-4652-9AF3-AEF920E3DA6F}"/>
    <cellStyle name="Normal 2 2 2 2 2 3 2 10 2 2 7" xfId="2803" xr:uid="{2508E404-3898-4103-9956-3BF77A4DC22B}"/>
    <cellStyle name="Normal 2 2 2 2 2 3 2 10 2 2 8" xfId="2804" xr:uid="{57636161-EBA6-43B3-A750-DA385B749C3C}"/>
    <cellStyle name="Normal 2 2 2 2 2 3 2 10 2 3" xfId="2805" xr:uid="{3712C9B6-A8AF-483E-B3CE-5474C30CE0C0}"/>
    <cellStyle name="Normal 2 2 2 2 2 3 2 10 2 4" xfId="2806" xr:uid="{DA91BEAC-AB85-46C5-B537-D057BFA097CE}"/>
    <cellStyle name="Normal 2 2 2 2 2 3 2 10 2 5" xfId="2807" xr:uid="{DB1AFD46-E9AA-41B7-8C92-AAB990BA4D84}"/>
    <cellStyle name="Normal 2 2 2 2 2 3 2 10 2 6" xfId="2808" xr:uid="{8E929160-965C-47DB-874C-A928F9E05E23}"/>
    <cellStyle name="Normal 2 2 2 2 2 3 2 10 2 7" xfId="2809" xr:uid="{092FB01F-FCEF-444D-88B9-5F6BCA888785}"/>
    <cellStyle name="Normal 2 2 2 2 2 3 2 10 2 8" xfId="2810" xr:uid="{05EEC8D9-0EAB-42EB-8B27-082F4DEBF79D}"/>
    <cellStyle name="Normal 2 2 2 2 2 3 2 10 3" xfId="2811" xr:uid="{57F429C7-895C-41F1-9FC9-796F7F029489}"/>
    <cellStyle name="Normal 2 2 2 2 2 3 2 10 4" xfId="2812" xr:uid="{92A23E10-82DB-41CB-B22F-E42432B979F6}"/>
    <cellStyle name="Normal 2 2 2 2 2 3 2 10 5" xfId="2813" xr:uid="{8B0774DB-7E54-4DA9-A45A-59FF37C5CAD2}"/>
    <cellStyle name="Normal 2 2 2 2 2 3 2 10 6" xfId="2814" xr:uid="{4A392D3A-C32E-4559-9522-8D4DC39906DF}"/>
    <cellStyle name="Normal 2 2 2 2 2 3 2 10 7" xfId="2815" xr:uid="{18A58624-526A-44EC-AF37-BB7D0C768E23}"/>
    <cellStyle name="Normal 2 2 2 2 2 3 2 10 8" xfId="2816" xr:uid="{6E81A616-AE49-47D8-A78C-A3286A777520}"/>
    <cellStyle name="Normal 2 2 2 2 2 3 2 10 9" xfId="2817" xr:uid="{DD69836B-1DE3-4CC4-AD52-FCA04849D931}"/>
    <cellStyle name="Normal 2 2 2 2 2 3 2 11" xfId="2818" xr:uid="{9FF50DE4-DAF5-40C1-95A4-9D61527E94EB}"/>
    <cellStyle name="Normal 2 2 2 2 2 3 2 11 2" xfId="2819" xr:uid="{7639E893-5284-4B9D-998D-9F26ACFFB472}"/>
    <cellStyle name="Normal 2 2 2 2 2 3 2 11 3" xfId="2820" xr:uid="{751A7F87-6280-42C9-BEE8-FCABB19C23F3}"/>
    <cellStyle name="Normal 2 2 2 2 2 3 2 11 4" xfId="2821" xr:uid="{BCA8FD22-BCA8-47BF-91DD-8B64E574929F}"/>
    <cellStyle name="Normal 2 2 2 2 2 3 2 11 5" xfId="2822" xr:uid="{559ED862-EED1-4759-B926-99ABA45A764A}"/>
    <cellStyle name="Normal 2 2 2 2 2 3 2 11 6" xfId="2823" xr:uid="{E65B78F2-D277-4055-8CF0-C8CEDFBC3E0A}"/>
    <cellStyle name="Normal 2 2 2 2 2 3 2 11 7" xfId="2824" xr:uid="{26C7B1CB-AE6D-4463-AB42-14960DF94D75}"/>
    <cellStyle name="Normal 2 2 2 2 2 3 2 11 8" xfId="2825" xr:uid="{D5CCCBB6-EFFD-4E60-9D8C-3AF881B1B825}"/>
    <cellStyle name="Normal 2 2 2 2 2 3 2 12" xfId="2826" xr:uid="{C4EE1E3B-856B-41A2-823D-35EFAD44E128}"/>
    <cellStyle name="Normal 2 2 2 2 2 3 2 13" xfId="2827" xr:uid="{69AFD057-5F8C-4119-91A6-5D498AA7041B}"/>
    <cellStyle name="Normal 2 2 2 2 2 3 2 14" xfId="2828" xr:uid="{DA723395-5448-45EB-B1EA-8FB1FF67A8D7}"/>
    <cellStyle name="Normal 2 2 2 2 2 3 2 15" xfId="2829" xr:uid="{4E8FBDBC-707C-4BA8-87DF-232F6FB922AF}"/>
    <cellStyle name="Normal 2 2 2 2 2 3 2 16" xfId="2830" xr:uid="{B7F17D35-88A6-47E6-BDCF-C04ED8AFACB5}"/>
    <cellStyle name="Normal 2 2 2 2 2 3 2 17" xfId="2831" xr:uid="{42F21CEB-C43A-4325-A6E9-DAD8EE2BC0ED}"/>
    <cellStyle name="Normal 2 2 2 2 2 3 2 2" xfId="2832" xr:uid="{1E45E7B9-601A-4D0B-A034-02C464E18A77}"/>
    <cellStyle name="Normal 2 2 2 2 2 3 2 2 10" xfId="2833" xr:uid="{D7913E19-D2C4-46A0-92C4-EE408C574E22}"/>
    <cellStyle name="Normal 2 2 2 2 2 3 2 2 2" xfId="2834" xr:uid="{70229C24-8188-493F-A57D-7D9B7DC2A953}"/>
    <cellStyle name="Normal 2 2 2 2 2 3 2 2 2 2" xfId="2835" xr:uid="{2B03A275-716C-4288-B202-C4C79590A421}"/>
    <cellStyle name="Normal 2 2 2 2 2 3 2 2 2 2 2" xfId="2836" xr:uid="{607EF7C5-E9E6-461A-8767-D25AD5C13FA0}"/>
    <cellStyle name="Normal 2 2 2 2 2 3 2 2 2 2 2 2" xfId="2837" xr:uid="{75EA6102-B694-4182-B355-32A53E0D100E}"/>
    <cellStyle name="Normal 2 2 2 2 2 3 2 2 2 2 2 3" xfId="2838" xr:uid="{112430B6-0FAA-4B48-B10C-EEA5AFAA5575}"/>
    <cellStyle name="Normal 2 2 2 2 2 3 2 2 2 2 2 4" xfId="2839" xr:uid="{55E02476-41D8-48AB-8767-EB4BA0282D35}"/>
    <cellStyle name="Normal 2 2 2 2 2 3 2 2 2 2 2 5" xfId="2840" xr:uid="{48D3DAFE-8DFA-4D4B-A419-FD3F75D4512C}"/>
    <cellStyle name="Normal 2 2 2 2 2 3 2 2 2 2 2 6" xfId="2841" xr:uid="{EDA7C759-DD95-4DA8-AED0-3D07CDE7BB06}"/>
    <cellStyle name="Normal 2 2 2 2 2 3 2 2 2 2 2 7" xfId="2842" xr:uid="{A2384104-4FBD-4400-9304-370B6A02A620}"/>
    <cellStyle name="Normal 2 2 2 2 2 3 2 2 2 2 2 8" xfId="2843" xr:uid="{7B463718-BD10-4303-A1C0-1B7DB3850960}"/>
    <cellStyle name="Normal 2 2 2 2 2 3 2 2 2 2 3" xfId="2844" xr:uid="{E22E6146-686F-46A9-95FD-831173E87B1D}"/>
    <cellStyle name="Normal 2 2 2 2 2 3 2 2 2 2 4" xfId="2845" xr:uid="{0C8F35D7-0758-4669-92D4-2F4783902C5A}"/>
    <cellStyle name="Normal 2 2 2 2 2 3 2 2 2 2 5" xfId="2846" xr:uid="{AF83289A-78AC-4474-BA69-95EE724B0517}"/>
    <cellStyle name="Normal 2 2 2 2 2 3 2 2 2 2 6" xfId="2847" xr:uid="{14A04A0A-E66C-48A1-AD29-6DEA8A8A8228}"/>
    <cellStyle name="Normal 2 2 2 2 2 3 2 2 2 2 7" xfId="2848" xr:uid="{C595D43F-FD13-4EA8-A4DB-828E7491F657}"/>
    <cellStyle name="Normal 2 2 2 2 2 3 2 2 2 2 8" xfId="2849" xr:uid="{9CFA780D-142A-4D9A-8691-69A53DF3E7F5}"/>
    <cellStyle name="Normal 2 2 2 2 2 3 2 2 2 3" xfId="2850" xr:uid="{383A5900-9005-43A3-AC68-F89CFF7F2DD5}"/>
    <cellStyle name="Normal 2 2 2 2 2 3 2 2 2 4" xfId="2851" xr:uid="{5C696705-D71B-467B-B630-1D39905A43FE}"/>
    <cellStyle name="Normal 2 2 2 2 2 3 2 2 2 5" xfId="2852" xr:uid="{9B5F1EF9-75F0-40FF-AABE-EE3B5F969180}"/>
    <cellStyle name="Normal 2 2 2 2 2 3 2 2 2 6" xfId="2853" xr:uid="{9ED300A2-589C-489F-9CC7-DCC5CD995C0C}"/>
    <cellStyle name="Normal 2 2 2 2 2 3 2 2 2 7" xfId="2854" xr:uid="{2AAD3B5F-841E-434D-B44E-F587DAF6FB85}"/>
    <cellStyle name="Normal 2 2 2 2 2 3 2 2 2 8" xfId="2855" xr:uid="{D7CDD0F3-CC84-4D38-8E77-A64B048CDD79}"/>
    <cellStyle name="Normal 2 2 2 2 2 3 2 2 2 9" xfId="2856" xr:uid="{DBA2552B-A9DE-41B4-AAAD-804708338530}"/>
    <cellStyle name="Normal 2 2 2 2 2 3 2 2 3" xfId="2857" xr:uid="{18976E91-31BF-4E6C-852D-0D63CC1E162A}"/>
    <cellStyle name="Normal 2 2 2 2 2 3 2 2 4" xfId="2858" xr:uid="{B2CCBA52-6EC6-4AB1-9BFB-64B9B2966BB6}"/>
    <cellStyle name="Normal 2 2 2 2 2 3 2 2 4 2" xfId="2859" xr:uid="{AA996958-DB72-4B52-AA19-5C535BB03398}"/>
    <cellStyle name="Normal 2 2 2 2 2 3 2 2 4 3" xfId="2860" xr:uid="{3433485A-980F-4282-BC8C-4FB744B5A6CA}"/>
    <cellStyle name="Normal 2 2 2 2 2 3 2 2 4 4" xfId="2861" xr:uid="{9A98E25E-B1BD-47E0-9D11-D0B3D4CF57F5}"/>
    <cellStyle name="Normal 2 2 2 2 2 3 2 2 4 5" xfId="2862" xr:uid="{C5FEE481-A063-454E-A239-3C8DC16C35E8}"/>
    <cellStyle name="Normal 2 2 2 2 2 3 2 2 4 6" xfId="2863" xr:uid="{65F7C68B-095E-42E1-9826-0BD81E2DF219}"/>
    <cellStyle name="Normal 2 2 2 2 2 3 2 2 4 7" xfId="2864" xr:uid="{6845B6DD-A6F4-42CE-8CFD-BC64B0666559}"/>
    <cellStyle name="Normal 2 2 2 2 2 3 2 2 4 8" xfId="2865" xr:uid="{6836A8EB-CF8F-4BFC-93B1-6BB34E527A3F}"/>
    <cellStyle name="Normal 2 2 2 2 2 3 2 2 5" xfId="2866" xr:uid="{B222FE18-9FB6-485C-93E2-52E89E4D6C3D}"/>
    <cellStyle name="Normal 2 2 2 2 2 3 2 2 6" xfId="2867" xr:uid="{046D08CE-87A3-44A5-8A76-61428D2A8FE6}"/>
    <cellStyle name="Normal 2 2 2 2 2 3 2 2 7" xfId="2868" xr:uid="{161ECC6A-79F5-49C6-BB9B-3F4FE3CC69D9}"/>
    <cellStyle name="Normal 2 2 2 2 2 3 2 2 8" xfId="2869" xr:uid="{333F4FFF-0115-4964-9786-05D7A3008F76}"/>
    <cellStyle name="Normal 2 2 2 2 2 3 2 2 9" xfId="2870" xr:uid="{7204F077-65D6-42A7-BDD0-1E4443EB73E5}"/>
    <cellStyle name="Normal 2 2 2 2 2 3 2 3" xfId="2871" xr:uid="{2322FA5D-B23E-4E1D-9CCD-98C363AAFCBB}"/>
    <cellStyle name="Normal 2 2 2 2 2 3 2 4" xfId="2872" xr:uid="{DDB85D81-536B-4E74-8DB1-282ACB5349F4}"/>
    <cellStyle name="Normal 2 2 2 2 2 3 2 5" xfId="2873" xr:uid="{FB61DAEB-9F89-4763-829E-32F5E7513832}"/>
    <cellStyle name="Normal 2 2 2 2 2 3 2 6" xfId="2874" xr:uid="{B5944B7E-2FB4-4ECC-BC4B-25BAE29A4AF1}"/>
    <cellStyle name="Normal 2 2 2 2 2 3 2 7" xfId="2875" xr:uid="{A7A7A2EA-372E-46EC-84D8-070C4276DFB8}"/>
    <cellStyle name="Normal 2 2 2 2 2 3 2 8" xfId="2876" xr:uid="{CBAD9C08-DC92-4868-987C-9C1E95D52479}"/>
    <cellStyle name="Normal 2 2 2 2 2 3 2 9" xfId="2877" xr:uid="{A98F124D-2E67-47BA-9964-02F4709C5FC8}"/>
    <cellStyle name="Normal 2 2 2 2 2 3 3" xfId="2878" xr:uid="{2FF9378F-21E9-4CAE-877A-A7A8EA0CD2BA}"/>
    <cellStyle name="Normal 2 2 2 2 2 3 3 10" xfId="2879" xr:uid="{714221D1-8387-425F-9BB4-4C0BF0D72750}"/>
    <cellStyle name="Normal 2 2 2 2 2 3 3 2" xfId="2880" xr:uid="{80CC8DB3-8453-4FE9-A9E9-C2DE6B87DE51}"/>
    <cellStyle name="Normal 2 2 2 2 2 3 3 2 2" xfId="2881" xr:uid="{4526EF1B-B217-42EE-810C-6F2157065673}"/>
    <cellStyle name="Normal 2 2 2 2 2 3 3 2 2 2" xfId="2882" xr:uid="{43FADBDE-9DD6-4C61-8CD6-8640F866BD7C}"/>
    <cellStyle name="Normal 2 2 2 2 2 3 3 2 2 2 2" xfId="2883" xr:uid="{3F98BCB6-5ADC-4284-A7ED-4ADF1B7696B6}"/>
    <cellStyle name="Normal 2 2 2 2 2 3 3 2 2 2 3" xfId="2884" xr:uid="{E30AC84D-E9CC-4413-8161-1DD67F0BE676}"/>
    <cellStyle name="Normal 2 2 2 2 2 3 3 2 2 2 4" xfId="2885" xr:uid="{F13312DA-A3F8-4363-9C9D-B148754F41C3}"/>
    <cellStyle name="Normal 2 2 2 2 2 3 3 2 2 2 5" xfId="2886" xr:uid="{2E9C90CE-4BF6-4B0E-81C5-83ED2CC65A3B}"/>
    <cellStyle name="Normal 2 2 2 2 2 3 3 2 2 2 6" xfId="2887" xr:uid="{4DFC22BB-B6B9-4B09-821B-D2E32A45D149}"/>
    <cellStyle name="Normal 2 2 2 2 2 3 3 2 2 2 7" xfId="2888" xr:uid="{EBEEAB9F-0F79-462C-9D8C-AAAF26C165AF}"/>
    <cellStyle name="Normal 2 2 2 2 2 3 3 2 2 2 8" xfId="2889" xr:uid="{3650F183-EF7E-4ADB-96CD-61A9BF898383}"/>
    <cellStyle name="Normal 2 2 2 2 2 3 3 2 2 3" xfId="2890" xr:uid="{26F16FCC-96CD-45E9-A86F-BB61B983A98B}"/>
    <cellStyle name="Normal 2 2 2 2 2 3 3 2 2 4" xfId="2891" xr:uid="{0F6FAC36-0956-4D0D-9690-52AA6F2BE03D}"/>
    <cellStyle name="Normal 2 2 2 2 2 3 3 2 2 5" xfId="2892" xr:uid="{1563A39B-5F28-405E-BE45-0F29FF46DFA0}"/>
    <cellStyle name="Normal 2 2 2 2 2 3 3 2 2 6" xfId="2893" xr:uid="{5FA3AA74-ED90-4DED-BC80-AD351C0F88BF}"/>
    <cellStyle name="Normal 2 2 2 2 2 3 3 2 2 7" xfId="2894" xr:uid="{7C664DBE-A004-4469-85A9-C4563521781B}"/>
    <cellStyle name="Normal 2 2 2 2 2 3 3 2 2 8" xfId="2895" xr:uid="{C2779D3E-12CC-4FC3-8044-E9D662F3EBA8}"/>
    <cellStyle name="Normal 2 2 2 2 2 3 3 2 3" xfId="2896" xr:uid="{8AA487B4-0E96-4D4D-96DC-D7630D04F8A7}"/>
    <cellStyle name="Normal 2 2 2 2 2 3 3 2 4" xfId="2897" xr:uid="{2F2AF93D-90B8-41E9-A855-A81C66DCC27F}"/>
    <cellStyle name="Normal 2 2 2 2 2 3 3 2 5" xfId="2898" xr:uid="{F7F0673F-DF0A-451D-9D68-CB7C18F0D171}"/>
    <cellStyle name="Normal 2 2 2 2 2 3 3 2 6" xfId="2899" xr:uid="{01138661-6B46-463B-9A89-128E377A1992}"/>
    <cellStyle name="Normal 2 2 2 2 2 3 3 2 7" xfId="2900" xr:uid="{162BB18C-B879-4B40-82E9-7485100D400D}"/>
    <cellStyle name="Normal 2 2 2 2 2 3 3 2 8" xfId="2901" xr:uid="{D4F3781D-0E97-42AF-A3CB-0D413B9341E1}"/>
    <cellStyle name="Normal 2 2 2 2 2 3 3 2 9" xfId="2902" xr:uid="{20FC4D9C-6122-45EB-8208-DE769EB66CE9}"/>
    <cellStyle name="Normal 2 2 2 2 2 3 3 3" xfId="2903" xr:uid="{D16C3453-5428-4705-ABD3-E62479423DB2}"/>
    <cellStyle name="Normal 2 2 2 2 2 3 3 4" xfId="2904" xr:uid="{81B4C4F9-E973-4FE7-893C-166B0AA57905}"/>
    <cellStyle name="Normal 2 2 2 2 2 3 3 4 2" xfId="2905" xr:uid="{C1E70C5A-1CC0-4E77-B1BA-C1E452DF4DDA}"/>
    <cellStyle name="Normal 2 2 2 2 2 3 3 4 3" xfId="2906" xr:uid="{194B4944-E321-4EBF-A4EB-F106D49B9FA5}"/>
    <cellStyle name="Normal 2 2 2 2 2 3 3 4 4" xfId="2907" xr:uid="{3910C40D-465D-4DCB-980F-3100CF59DBAE}"/>
    <cellStyle name="Normal 2 2 2 2 2 3 3 4 5" xfId="2908" xr:uid="{A3101474-EAC4-4666-8795-C5FD02394B65}"/>
    <cellStyle name="Normal 2 2 2 2 2 3 3 4 6" xfId="2909" xr:uid="{B89F6CA5-3E5B-4F63-98EB-B5F06BD5367E}"/>
    <cellStyle name="Normal 2 2 2 2 2 3 3 4 7" xfId="2910" xr:uid="{9EE761D1-0AFB-4174-B59B-60813634F57E}"/>
    <cellStyle name="Normal 2 2 2 2 2 3 3 4 8" xfId="2911" xr:uid="{F0FED97B-F4FA-4096-8FA0-115AE0D16C2C}"/>
    <cellStyle name="Normal 2 2 2 2 2 3 3 5" xfId="2912" xr:uid="{989AF039-A3D8-4013-8EFC-46AEFC2853F4}"/>
    <cellStyle name="Normal 2 2 2 2 2 3 3 6" xfId="2913" xr:uid="{2C9AE5DD-8B12-442D-8902-DAAD1F772342}"/>
    <cellStyle name="Normal 2 2 2 2 2 3 3 7" xfId="2914" xr:uid="{B09265CC-5D9F-43A4-AD7F-5D3A86AFE95D}"/>
    <cellStyle name="Normal 2 2 2 2 2 3 3 8" xfId="2915" xr:uid="{330F5BC9-E99E-4787-A8FB-221C32B40EB4}"/>
    <cellStyle name="Normal 2 2 2 2 2 3 3 9" xfId="2916" xr:uid="{21344F51-CEC1-4D10-8816-ECC645A302B6}"/>
    <cellStyle name="Normal 2 2 2 2 2 3 4" xfId="2917" xr:uid="{BCCD73A3-CBFA-47EB-9007-4B5DC62E4373}"/>
    <cellStyle name="Normal 2 2 2 2 2 3 5" xfId="2918" xr:uid="{68523A4D-7B5C-4E2B-912E-A9CB4AF7E16E}"/>
    <cellStyle name="Normal 2 2 2 2 2 3 6" xfId="2919" xr:uid="{462A6DF9-B246-45A3-8639-A86C1B6F0075}"/>
    <cellStyle name="Normal 2 2 2 2 2 3 7" xfId="2920" xr:uid="{77F34F48-7FC5-4652-88AB-83260DD94C56}"/>
    <cellStyle name="Normal 2 2 2 2 2 3 8" xfId="2921" xr:uid="{D5DE21D5-51E6-4961-AA0D-9C6782575708}"/>
    <cellStyle name="Normal 2 2 2 2 2 3 9" xfId="2922" xr:uid="{12759DFF-3385-4C62-BF51-CBFACA32B29E}"/>
    <cellStyle name="Normal 2 2 2 2 2 4" xfId="2923" xr:uid="{FB2EBB86-726D-4ECA-AE1C-4218F9D7A776}"/>
    <cellStyle name="Normal 2 2 2 2 2 5" xfId="2924" xr:uid="{7235CBA3-4B69-4F59-B0C0-173F4118B676}"/>
    <cellStyle name="Normal 2 2 2 2 2 6" xfId="2925" xr:uid="{CD6C8827-35CD-4660-8007-DF574828CA48}"/>
    <cellStyle name="Normal 2 2 2 2 2 7" xfId="2926" xr:uid="{73D552C0-C237-4836-AE12-FE4205664FC2}"/>
    <cellStyle name="Normal 2 2 2 2 2 7 10" xfId="2927" xr:uid="{8FC5EF41-B404-4F68-9140-2EE84A9FEEF2}"/>
    <cellStyle name="Normal 2 2 2 2 2 7 2" xfId="2928" xr:uid="{13801215-75A2-4CC7-A842-32D2FD071D06}"/>
    <cellStyle name="Normal 2 2 2 2 2 7 2 2" xfId="2929" xr:uid="{F9D21347-1FE2-4126-BF3A-8FBE70207671}"/>
    <cellStyle name="Normal 2 2 2 2 2 7 2 2 2" xfId="2930" xr:uid="{757CBAA5-4D4A-4058-A09E-56805D31E4AC}"/>
    <cellStyle name="Normal 2 2 2 2 2 7 2 2 2 2" xfId="2931" xr:uid="{95CFD0CE-140C-409E-B948-BDC0D7310AB7}"/>
    <cellStyle name="Normal 2 2 2 2 2 7 2 2 2 3" xfId="2932" xr:uid="{FD671051-8670-4D38-91D1-3B5F0384411C}"/>
    <cellStyle name="Normal 2 2 2 2 2 7 2 2 2 4" xfId="2933" xr:uid="{CC6C3813-013E-4C30-B282-802B2D6D0970}"/>
    <cellStyle name="Normal 2 2 2 2 2 7 2 2 2 5" xfId="2934" xr:uid="{352D593F-B69E-4094-B3FB-45CBDC79D5BA}"/>
    <cellStyle name="Normal 2 2 2 2 2 7 2 2 2 6" xfId="2935" xr:uid="{67E29516-4F26-4B17-8DAB-AA986760EE53}"/>
    <cellStyle name="Normal 2 2 2 2 2 7 2 2 2 7" xfId="2936" xr:uid="{E6E3B750-6F06-4521-9D22-B1261DEA9877}"/>
    <cellStyle name="Normal 2 2 2 2 2 7 2 2 2 8" xfId="2937" xr:uid="{1BDB4465-3A1C-401F-9386-C5E1C1C221BB}"/>
    <cellStyle name="Normal 2 2 2 2 2 7 2 2 3" xfId="2938" xr:uid="{8671B881-5093-40A7-BEC6-3EB657CDD6BD}"/>
    <cellStyle name="Normal 2 2 2 2 2 7 2 2 4" xfId="2939" xr:uid="{5FF4370B-AA4A-4040-92D6-586D3F80EA8C}"/>
    <cellStyle name="Normal 2 2 2 2 2 7 2 2 5" xfId="2940" xr:uid="{1FD1218D-816A-4FE0-83D0-EC3C9F6BA137}"/>
    <cellStyle name="Normal 2 2 2 2 2 7 2 2 6" xfId="2941" xr:uid="{7DE9F53A-EBEA-4092-9AC1-77DEBA9A1D82}"/>
    <cellStyle name="Normal 2 2 2 2 2 7 2 2 7" xfId="2942" xr:uid="{0DBC7869-9C4D-4C2A-AAE2-25B576C3E2DD}"/>
    <cellStyle name="Normal 2 2 2 2 2 7 2 2 8" xfId="2943" xr:uid="{F8FD5DD1-5036-4E5B-A12F-89D3E4AAC25F}"/>
    <cellStyle name="Normal 2 2 2 2 2 7 2 3" xfId="2944" xr:uid="{4CA6157F-1CC2-4686-80BA-660B82F99C81}"/>
    <cellStyle name="Normal 2 2 2 2 2 7 2 4" xfId="2945" xr:uid="{EADE6492-6660-4997-8D96-4311BEC3A974}"/>
    <cellStyle name="Normal 2 2 2 2 2 7 2 5" xfId="2946" xr:uid="{4A8D2D27-34AA-4FC4-B837-0962CD20E8C6}"/>
    <cellStyle name="Normal 2 2 2 2 2 7 2 6" xfId="2947" xr:uid="{8CD364D7-1F4C-4541-9520-8242A29C8108}"/>
    <cellStyle name="Normal 2 2 2 2 2 7 2 7" xfId="2948" xr:uid="{83698725-792A-496D-8547-9B7837147CB9}"/>
    <cellStyle name="Normal 2 2 2 2 2 7 2 8" xfId="2949" xr:uid="{3852E507-17C5-43F6-B64F-7EEA6D3801EC}"/>
    <cellStyle name="Normal 2 2 2 2 2 7 2 9" xfId="2950" xr:uid="{A9924C23-F25D-47DB-8D4E-46DD5F26646D}"/>
    <cellStyle name="Normal 2 2 2 2 2 7 3" xfId="2951" xr:uid="{FDB54F2D-BE7B-48D6-8936-5868EBB7ADD5}"/>
    <cellStyle name="Normal 2 2 2 2 2 7 4" xfId="2952" xr:uid="{F87ED91D-414A-498B-8A96-FD902217701F}"/>
    <cellStyle name="Normal 2 2 2 2 2 7 4 2" xfId="2953" xr:uid="{D9D4F8D3-3A2F-47EC-AC4E-E6540236064C}"/>
    <cellStyle name="Normal 2 2 2 2 2 7 4 3" xfId="2954" xr:uid="{C54388D3-3B9A-45BB-9B04-006932A4EFAC}"/>
    <cellStyle name="Normal 2 2 2 2 2 7 4 4" xfId="2955" xr:uid="{D8D0D172-40CC-4164-8E53-90B890D06B70}"/>
    <cellStyle name="Normal 2 2 2 2 2 7 4 5" xfId="2956" xr:uid="{99DAB7B0-A545-453E-8A12-88749C6BF471}"/>
    <cellStyle name="Normal 2 2 2 2 2 7 4 6" xfId="2957" xr:uid="{50902CC4-1F16-48F7-9344-2BFF80CD87D4}"/>
    <cellStyle name="Normal 2 2 2 2 2 7 4 7" xfId="2958" xr:uid="{9A657B28-0C81-4771-9CB5-D8FD18919917}"/>
    <cellStyle name="Normal 2 2 2 2 2 7 4 8" xfId="2959" xr:uid="{9CBD897F-9BE9-4300-BD38-21470D82E3E9}"/>
    <cellStyle name="Normal 2 2 2 2 2 7 5" xfId="2960" xr:uid="{06E88133-1A9C-4ED3-A611-39E7EEA108EE}"/>
    <cellStyle name="Normal 2 2 2 2 2 7 6" xfId="2961" xr:uid="{4EC3CE1A-B6B5-4A57-B3AB-4025049953E6}"/>
    <cellStyle name="Normal 2 2 2 2 2 7 7" xfId="2962" xr:uid="{86DFC5F8-8F65-49C9-AD88-ADB9860AAD80}"/>
    <cellStyle name="Normal 2 2 2 2 2 7 8" xfId="2963" xr:uid="{E5D52514-9189-4CDE-BC9B-92B391D933DA}"/>
    <cellStyle name="Normal 2 2 2 2 2 7 9" xfId="2964" xr:uid="{99E1E06B-3CFE-4E1B-AC61-4E12AC46B405}"/>
    <cellStyle name="Normal 2 2 2 2 2 8" xfId="2965" xr:uid="{7985924A-B36D-484D-90E3-BEEDDD158A16}"/>
    <cellStyle name="Normal 2 2 2 2 2 9" xfId="2966" xr:uid="{EF4B284B-2C28-4A94-B4DE-2039B11ED3D7}"/>
    <cellStyle name="Normal 2 2 2 2 20" xfId="2967" xr:uid="{6D475748-08A4-422D-9BF9-58782386C8FC}"/>
    <cellStyle name="Normal 2 2 2 2 21" xfId="2968" xr:uid="{F02CE582-A801-4F89-A58A-16FFCECDB122}"/>
    <cellStyle name="Normal 2 2 2 2 22" xfId="2969" xr:uid="{36AEAD9F-C2FD-4892-ADF1-E036564A4CCC}"/>
    <cellStyle name="Normal 2 2 2 2 23" xfId="2970" xr:uid="{B20D8025-4773-4416-A1A5-9F331207E77B}"/>
    <cellStyle name="Normal 2 2 2 2 23 10" xfId="2971" xr:uid="{2D6F8856-42F5-4982-99E3-A081D3A151F5}"/>
    <cellStyle name="Normal 2 2 2 2 23 10 2" xfId="2972" xr:uid="{9CE61839-45A2-47E3-9576-84E4198827A7}"/>
    <cellStyle name="Normal 2 2 2 2 23 10 2 2" xfId="2973" xr:uid="{854F486D-8576-43BF-AAC2-041CAF5F9F3E}"/>
    <cellStyle name="Normal 2 2 2 2 23 10 2 2 2" xfId="2974" xr:uid="{0A505848-1E38-4F32-8294-D259C2EBAF70}"/>
    <cellStyle name="Normal 2 2 2 2 23 10 2 2 3" xfId="2975" xr:uid="{C131C9DD-25C2-45D7-A7DC-5E4B02A94A81}"/>
    <cellStyle name="Normal 2 2 2 2 23 10 2 2 4" xfId="2976" xr:uid="{1710BA75-957B-4E49-BBAC-AEC20601E3FC}"/>
    <cellStyle name="Normal 2 2 2 2 23 10 2 2 5" xfId="2977" xr:uid="{42E15761-5FFE-4C2B-9786-E72E75A13885}"/>
    <cellStyle name="Normal 2 2 2 2 23 10 2 2 6" xfId="2978" xr:uid="{6B3AED84-A06B-4232-9E31-19B1427F0F1E}"/>
    <cellStyle name="Normal 2 2 2 2 23 10 2 2 7" xfId="2979" xr:uid="{118122DC-7F80-44EB-9226-99F65014EF9C}"/>
    <cellStyle name="Normal 2 2 2 2 23 10 2 2 8" xfId="2980" xr:uid="{D1D33063-FDBD-4AFD-B28E-C3FD530FE317}"/>
    <cellStyle name="Normal 2 2 2 2 23 10 2 3" xfId="2981" xr:uid="{86F28CF7-2BE9-4A45-B8AF-7536F7D9B8C9}"/>
    <cellStyle name="Normal 2 2 2 2 23 10 2 4" xfId="2982" xr:uid="{BE3B4EBF-473A-4FEA-BCE9-D1041E9537D1}"/>
    <cellStyle name="Normal 2 2 2 2 23 10 2 5" xfId="2983" xr:uid="{5E370D0F-3866-4B78-85A8-9356759E890E}"/>
    <cellStyle name="Normal 2 2 2 2 23 10 2 6" xfId="2984" xr:uid="{AA6497AA-CC56-4740-B1BD-9FB0B2795B9E}"/>
    <cellStyle name="Normal 2 2 2 2 23 10 2 7" xfId="2985" xr:uid="{5EC8CE97-F692-49EF-B7EB-0FFCAB9F477D}"/>
    <cellStyle name="Normal 2 2 2 2 23 10 2 8" xfId="2986" xr:uid="{F6B4E1B2-C98B-4D2E-91B3-94021CC5B5EA}"/>
    <cellStyle name="Normal 2 2 2 2 23 10 3" xfId="2987" xr:uid="{8D0E31C3-8CF5-4BF3-BFAB-A5398B374001}"/>
    <cellStyle name="Normal 2 2 2 2 23 10 4" xfId="2988" xr:uid="{F0A9D119-EBB9-4C63-8A10-44EBDCF601B4}"/>
    <cellStyle name="Normal 2 2 2 2 23 10 5" xfId="2989" xr:uid="{F2AD3603-ED93-476B-A9E2-6B43469B693D}"/>
    <cellStyle name="Normal 2 2 2 2 23 10 6" xfId="2990" xr:uid="{4BAAAC3B-64CC-4504-A71A-1F0C8A813FC1}"/>
    <cellStyle name="Normal 2 2 2 2 23 10 7" xfId="2991" xr:uid="{D65CE31F-F8F5-401C-B4A6-EDD50739E65E}"/>
    <cellStyle name="Normal 2 2 2 2 23 10 8" xfId="2992" xr:uid="{8442E1CA-C30A-4C49-95F7-C975A3CAFD1E}"/>
    <cellStyle name="Normal 2 2 2 2 23 10 9" xfId="2993" xr:uid="{08CD4AE5-184E-471D-B48E-E297E984C048}"/>
    <cellStyle name="Normal 2 2 2 2 23 11" xfId="2994" xr:uid="{505927DD-5BAE-4022-9B4C-23C2B1677C6B}"/>
    <cellStyle name="Normal 2 2 2 2 23 11 2" xfId="2995" xr:uid="{EF0FCE7C-D4EB-416D-BE47-B1E8D93A8DB5}"/>
    <cellStyle name="Normal 2 2 2 2 23 11 3" xfId="2996" xr:uid="{7C1704C9-1D5B-4C1E-9308-62E703CD87A0}"/>
    <cellStyle name="Normal 2 2 2 2 23 11 4" xfId="2997" xr:uid="{54D17E74-A356-4D5E-8B15-274281062411}"/>
    <cellStyle name="Normal 2 2 2 2 23 11 5" xfId="2998" xr:uid="{ED516D64-A50A-4420-9B7B-7CE7180973C9}"/>
    <cellStyle name="Normal 2 2 2 2 23 11 6" xfId="2999" xr:uid="{A77DF1A8-AE4B-4771-9EBC-B53E6726836E}"/>
    <cellStyle name="Normal 2 2 2 2 23 11 7" xfId="3000" xr:uid="{B6C0F9DB-9656-4A60-A9AB-D11DFFF8B77D}"/>
    <cellStyle name="Normal 2 2 2 2 23 11 8" xfId="3001" xr:uid="{B06EBCDB-CBA3-432D-BFCE-2C78E59F3D14}"/>
    <cellStyle name="Normal 2 2 2 2 23 12" xfId="3002" xr:uid="{D81A2BAF-ED01-48B5-97E5-02410366D735}"/>
    <cellStyle name="Normal 2 2 2 2 23 13" xfId="3003" xr:uid="{4168A737-7808-4EFD-AC7B-E18C207A3505}"/>
    <cellStyle name="Normal 2 2 2 2 23 14" xfId="3004" xr:uid="{53C699C5-E7B5-4865-80E2-8BF85F94AC97}"/>
    <cellStyle name="Normal 2 2 2 2 23 15" xfId="3005" xr:uid="{05870252-3BF2-47C3-B2A8-41D6BB6666F1}"/>
    <cellStyle name="Normal 2 2 2 2 23 16" xfId="3006" xr:uid="{9B9D017F-BDA2-4A05-8D1D-55587B378CD8}"/>
    <cellStyle name="Normal 2 2 2 2 23 17" xfId="3007" xr:uid="{DE7F4381-29B8-4865-886F-58E293739766}"/>
    <cellStyle name="Normal 2 2 2 2 23 2" xfId="3008" xr:uid="{968906ED-54EC-477F-B4B5-7F43335A074D}"/>
    <cellStyle name="Normal 2 2 2 2 23 2 10" xfId="3009" xr:uid="{6C321A4C-E892-4C2F-BB99-5804302FF1BD}"/>
    <cellStyle name="Normal 2 2 2 2 23 2 10 2" xfId="3010" xr:uid="{A8F4E620-5A02-4429-9FD8-A39FEFE10B58}"/>
    <cellStyle name="Normal 2 2 2 2 23 2 10 2 2" xfId="3011" xr:uid="{25D1AC93-FBAB-4054-AE82-714A21CED517}"/>
    <cellStyle name="Normal 2 2 2 2 23 2 10 2 2 2" xfId="3012" xr:uid="{486C7322-EC92-4029-BA2D-7C12FDD25D6D}"/>
    <cellStyle name="Normal 2 2 2 2 23 2 10 2 2 3" xfId="3013" xr:uid="{42D122CD-2A4A-45A0-B54B-118CE7A767C8}"/>
    <cellStyle name="Normal 2 2 2 2 23 2 10 2 2 4" xfId="3014" xr:uid="{2F58C97A-63BD-4447-AB88-11E16B3DBFE0}"/>
    <cellStyle name="Normal 2 2 2 2 23 2 10 2 2 5" xfId="3015" xr:uid="{2AFEC696-746B-4028-8E02-7AFAEB2ABDBB}"/>
    <cellStyle name="Normal 2 2 2 2 23 2 10 2 2 6" xfId="3016" xr:uid="{E67590C8-0DCB-4D69-BA05-08E6BBD692D9}"/>
    <cellStyle name="Normal 2 2 2 2 23 2 10 2 2 7" xfId="3017" xr:uid="{5B837FBD-A9EF-44AE-AD2D-1DD22E585635}"/>
    <cellStyle name="Normal 2 2 2 2 23 2 10 2 2 8" xfId="3018" xr:uid="{36C15C46-B267-41E8-8B01-2AFF74FE5D5B}"/>
    <cellStyle name="Normal 2 2 2 2 23 2 10 2 3" xfId="3019" xr:uid="{FB4FE11F-44C3-4B62-90CF-19E86D9C123A}"/>
    <cellStyle name="Normal 2 2 2 2 23 2 10 2 4" xfId="3020" xr:uid="{F1EF5736-D1C7-4D09-A179-C77762FE9D5F}"/>
    <cellStyle name="Normal 2 2 2 2 23 2 10 2 5" xfId="3021" xr:uid="{8C2D358B-FB9C-4072-A7E9-BD50C7501B7A}"/>
    <cellStyle name="Normal 2 2 2 2 23 2 10 2 6" xfId="3022" xr:uid="{1CCBAFF1-1A2A-413B-AC52-28405D92CAC1}"/>
    <cellStyle name="Normal 2 2 2 2 23 2 10 2 7" xfId="3023" xr:uid="{98BFFD17-EEF7-4620-987C-2D3FCB9883B5}"/>
    <cellStyle name="Normal 2 2 2 2 23 2 10 2 8" xfId="3024" xr:uid="{E6606604-8F75-41A6-97CA-A80AAD1CCFA7}"/>
    <cellStyle name="Normal 2 2 2 2 23 2 10 3" xfId="3025" xr:uid="{376F46DD-36B3-4A7F-85FC-2B53F94D3021}"/>
    <cellStyle name="Normal 2 2 2 2 23 2 10 4" xfId="3026" xr:uid="{72CA460F-E49A-44E5-9643-906E94B96448}"/>
    <cellStyle name="Normal 2 2 2 2 23 2 10 5" xfId="3027" xr:uid="{0036C1CE-A546-4A58-9E85-5987DB7E78B0}"/>
    <cellStyle name="Normal 2 2 2 2 23 2 10 6" xfId="3028" xr:uid="{03BAB907-C070-466F-AC69-5BE9A6C359FD}"/>
    <cellStyle name="Normal 2 2 2 2 23 2 10 7" xfId="3029" xr:uid="{AEE8BD61-BFCC-4715-869C-BF13777B95B6}"/>
    <cellStyle name="Normal 2 2 2 2 23 2 10 8" xfId="3030" xr:uid="{3F1C2906-D8BC-485C-B4A3-356E44AC2E36}"/>
    <cellStyle name="Normal 2 2 2 2 23 2 10 9" xfId="3031" xr:uid="{E006FDDA-D54A-4677-A11E-45702A9B5229}"/>
    <cellStyle name="Normal 2 2 2 2 23 2 11" xfId="3032" xr:uid="{B0A965F3-31C1-4E8C-8188-7E49CEA9C6D0}"/>
    <cellStyle name="Normal 2 2 2 2 23 2 11 2" xfId="3033" xr:uid="{37FCD60C-9E0C-4FFE-BFBC-CBBCA11F1E46}"/>
    <cellStyle name="Normal 2 2 2 2 23 2 11 3" xfId="3034" xr:uid="{0292F5AD-9026-408B-8C3B-9271C6B99699}"/>
    <cellStyle name="Normal 2 2 2 2 23 2 11 4" xfId="3035" xr:uid="{828A0D80-86FE-41FE-BAD3-7771A7E02977}"/>
    <cellStyle name="Normal 2 2 2 2 23 2 11 5" xfId="3036" xr:uid="{8290D3FB-32DD-4016-9704-42B641B162DC}"/>
    <cellStyle name="Normal 2 2 2 2 23 2 11 6" xfId="3037" xr:uid="{F7FC11F9-C3D5-4BE0-82C2-9BC58D822DEA}"/>
    <cellStyle name="Normal 2 2 2 2 23 2 11 7" xfId="3038" xr:uid="{5E995C63-F86B-44DC-ADE8-CAD5D55A97E8}"/>
    <cellStyle name="Normal 2 2 2 2 23 2 11 8" xfId="3039" xr:uid="{0057C25B-7D28-4DD5-9482-C5DD1AF14EC7}"/>
    <cellStyle name="Normal 2 2 2 2 23 2 12" xfId="3040" xr:uid="{0FB48E29-BF81-4E54-B660-2CB03D9689CD}"/>
    <cellStyle name="Normal 2 2 2 2 23 2 13" xfId="3041" xr:uid="{0CF86EEE-72DF-4304-BAF0-635153A79731}"/>
    <cellStyle name="Normal 2 2 2 2 23 2 14" xfId="3042" xr:uid="{7528AEAB-E8A4-4A1D-817D-3EAF1FBA9FFC}"/>
    <cellStyle name="Normal 2 2 2 2 23 2 15" xfId="3043" xr:uid="{DA817986-E25C-4DD6-8712-D5A04EC8E863}"/>
    <cellStyle name="Normal 2 2 2 2 23 2 16" xfId="3044" xr:uid="{1241FF11-8002-4390-8741-958F08E1C006}"/>
    <cellStyle name="Normal 2 2 2 2 23 2 17" xfId="3045" xr:uid="{DF761469-FA37-4581-BA3B-57A51D63A389}"/>
    <cellStyle name="Normal 2 2 2 2 23 2 2" xfId="3046" xr:uid="{DA24B557-9AF4-4253-9203-AD1E4061480E}"/>
    <cellStyle name="Normal 2 2 2 2 23 2 2 10" xfId="3047" xr:uid="{01566635-ED32-420F-9202-6E2A207C41E2}"/>
    <cellStyle name="Normal 2 2 2 2 23 2 2 2" xfId="3048" xr:uid="{B67DF7DD-0C1F-49A9-99EF-B239B4C32465}"/>
    <cellStyle name="Normal 2 2 2 2 23 2 2 2 2" xfId="3049" xr:uid="{471E4421-3039-46C5-A82D-EB706347D4D8}"/>
    <cellStyle name="Normal 2 2 2 2 23 2 2 2 2 2" xfId="3050" xr:uid="{25301447-5A8E-4AA6-A18F-83A66E38B1DF}"/>
    <cellStyle name="Normal 2 2 2 2 23 2 2 2 2 2 2" xfId="3051" xr:uid="{28D4814E-C457-47E5-8ECD-A4BF3FDD6307}"/>
    <cellStyle name="Normal 2 2 2 2 23 2 2 2 2 2 3" xfId="3052" xr:uid="{833E7B28-9780-46F7-ADED-FF77A70BA369}"/>
    <cellStyle name="Normal 2 2 2 2 23 2 2 2 2 2 4" xfId="3053" xr:uid="{DA4949F3-3373-4A62-A8D9-AC7C69EF5EEC}"/>
    <cellStyle name="Normal 2 2 2 2 23 2 2 2 2 2 5" xfId="3054" xr:uid="{3A35A2D7-71FC-4843-90D6-FB2A73A6DD68}"/>
    <cellStyle name="Normal 2 2 2 2 23 2 2 2 2 2 6" xfId="3055" xr:uid="{9CDC5B53-9C9F-4579-90E3-A88A2041F9AA}"/>
    <cellStyle name="Normal 2 2 2 2 23 2 2 2 2 2 7" xfId="3056" xr:uid="{D1EBA3B1-92E6-406F-9C6F-9956B3B2D170}"/>
    <cellStyle name="Normal 2 2 2 2 23 2 2 2 2 2 8" xfId="3057" xr:uid="{6A2766DE-E2FE-47A1-92B4-E9DA4768695E}"/>
    <cellStyle name="Normal 2 2 2 2 23 2 2 2 2 3" xfId="3058" xr:uid="{F97AD547-DF2B-48C1-B47C-245BF85AC314}"/>
    <cellStyle name="Normal 2 2 2 2 23 2 2 2 2 4" xfId="3059" xr:uid="{45B541EB-7529-4D34-BBC6-80D81C923282}"/>
    <cellStyle name="Normal 2 2 2 2 23 2 2 2 2 5" xfId="3060" xr:uid="{6DEB54AD-84CD-4653-AA80-8A207F01404D}"/>
    <cellStyle name="Normal 2 2 2 2 23 2 2 2 2 6" xfId="3061" xr:uid="{50F3A43B-D8AD-4A17-9E57-D9BAB117E50B}"/>
    <cellStyle name="Normal 2 2 2 2 23 2 2 2 2 7" xfId="3062" xr:uid="{F9C8B8BF-D0D7-4FFD-B1E6-B532C84C5107}"/>
    <cellStyle name="Normal 2 2 2 2 23 2 2 2 2 8" xfId="3063" xr:uid="{3606392B-D8E6-41D2-9DB4-788479A0D5D0}"/>
    <cellStyle name="Normal 2 2 2 2 23 2 2 2 3" xfId="3064" xr:uid="{74FC0C27-0553-427E-BDA5-990051F66826}"/>
    <cellStyle name="Normal 2 2 2 2 23 2 2 2 4" xfId="3065" xr:uid="{48CB0A4E-CF2E-413C-B558-71FA585BD995}"/>
    <cellStyle name="Normal 2 2 2 2 23 2 2 2 5" xfId="3066" xr:uid="{7F337AC4-9533-4002-855A-1E0C61998F02}"/>
    <cellStyle name="Normal 2 2 2 2 23 2 2 2 6" xfId="3067" xr:uid="{6759797E-37FB-4158-A456-59A5121D0AB4}"/>
    <cellStyle name="Normal 2 2 2 2 23 2 2 2 7" xfId="3068" xr:uid="{EAC2B5B7-9962-4A24-900F-45A62D05AC92}"/>
    <cellStyle name="Normal 2 2 2 2 23 2 2 2 8" xfId="3069" xr:uid="{115C71B4-4F14-4247-A300-472220B32FF3}"/>
    <cellStyle name="Normal 2 2 2 2 23 2 2 2 9" xfId="3070" xr:uid="{95F9CB39-556D-4E02-9DE8-308DC842CDA1}"/>
    <cellStyle name="Normal 2 2 2 2 23 2 2 3" xfId="3071" xr:uid="{1B982F05-A988-4F0A-AD97-773800C3CA75}"/>
    <cellStyle name="Normal 2 2 2 2 23 2 2 4" xfId="3072" xr:uid="{3C86B27E-E71F-4820-920F-118A6ADC00B1}"/>
    <cellStyle name="Normal 2 2 2 2 23 2 2 4 2" xfId="3073" xr:uid="{8C9A516D-8382-416A-BA6F-3174C12AB3AD}"/>
    <cellStyle name="Normal 2 2 2 2 23 2 2 4 3" xfId="3074" xr:uid="{F888E3C5-AEAF-49C9-B0F1-AFE2D4CDDF7C}"/>
    <cellStyle name="Normal 2 2 2 2 23 2 2 4 4" xfId="3075" xr:uid="{57E3D6C8-D9AA-49B4-AC39-582B856994F5}"/>
    <cellStyle name="Normal 2 2 2 2 23 2 2 4 5" xfId="3076" xr:uid="{8A12447B-448A-4C46-9741-6739498D3C3A}"/>
    <cellStyle name="Normal 2 2 2 2 23 2 2 4 6" xfId="3077" xr:uid="{739F270B-E34F-4AF6-9807-CF25FB649664}"/>
    <cellStyle name="Normal 2 2 2 2 23 2 2 4 7" xfId="3078" xr:uid="{C7B1969E-361F-4CFA-BF6D-1BFFC60E855E}"/>
    <cellStyle name="Normal 2 2 2 2 23 2 2 4 8" xfId="3079" xr:uid="{62471F7B-D158-4621-9C87-913C257BF011}"/>
    <cellStyle name="Normal 2 2 2 2 23 2 2 5" xfId="3080" xr:uid="{99CFBAF0-8281-4B19-A559-EF1FC463F8D8}"/>
    <cellStyle name="Normal 2 2 2 2 23 2 2 6" xfId="3081" xr:uid="{4533B43A-3805-4EF8-8209-F8A141CFA55D}"/>
    <cellStyle name="Normal 2 2 2 2 23 2 2 7" xfId="3082" xr:uid="{0A35CEB3-B413-4D81-9155-D989DE42ADC9}"/>
    <cellStyle name="Normal 2 2 2 2 23 2 2 8" xfId="3083" xr:uid="{4971C64A-9C9A-456D-8840-2B75D8E29C3E}"/>
    <cellStyle name="Normal 2 2 2 2 23 2 2 9" xfId="3084" xr:uid="{A7EF0B33-24D6-4879-B736-802CD39259AC}"/>
    <cellStyle name="Normal 2 2 2 2 23 2 3" xfId="3085" xr:uid="{B565461D-DAEC-42AE-969F-875E605786B2}"/>
    <cellStyle name="Normal 2 2 2 2 23 2 4" xfId="3086" xr:uid="{A89988D7-6E6B-450C-B1BE-3AD1280612B8}"/>
    <cellStyle name="Normal 2 2 2 2 23 2 5" xfId="3087" xr:uid="{2796FA36-F566-44D5-930C-C61F653F19D7}"/>
    <cellStyle name="Normal 2 2 2 2 23 2 6" xfId="3088" xr:uid="{2218546C-4D89-46B5-99A8-FD78C9213B00}"/>
    <cellStyle name="Normal 2 2 2 2 23 2 7" xfId="3089" xr:uid="{9562CAC1-28DA-4284-874C-C5DBFAF7C3B9}"/>
    <cellStyle name="Normal 2 2 2 2 23 2 8" xfId="3090" xr:uid="{86298DE3-1333-479D-AAF8-6E0A534965C1}"/>
    <cellStyle name="Normal 2 2 2 2 23 2 9" xfId="3091" xr:uid="{5FC51479-C5FB-4ED2-8958-D3D3D1140863}"/>
    <cellStyle name="Normal 2 2 2 2 23 3" xfId="3092" xr:uid="{DCB3CA2C-103E-4FD5-B033-4D1841FF240B}"/>
    <cellStyle name="Normal 2 2 2 2 23 3 10" xfId="3093" xr:uid="{B06C2E5B-7A66-4BE2-AF7F-9A42C1C0B7C8}"/>
    <cellStyle name="Normal 2 2 2 2 23 3 2" xfId="3094" xr:uid="{9176B72D-19F2-459A-9302-8261A83F0101}"/>
    <cellStyle name="Normal 2 2 2 2 23 3 2 2" xfId="3095" xr:uid="{B61C5908-3839-4E2F-9517-5FA91E8DBE73}"/>
    <cellStyle name="Normal 2 2 2 2 23 3 2 2 2" xfId="3096" xr:uid="{DF50B30E-B387-4D75-A132-16D75765513C}"/>
    <cellStyle name="Normal 2 2 2 2 23 3 2 2 2 2" xfId="3097" xr:uid="{AAB9409E-6E95-4D54-8A2F-DC1E1F4521C6}"/>
    <cellStyle name="Normal 2 2 2 2 23 3 2 2 2 3" xfId="3098" xr:uid="{CC443DD7-70D8-47EF-B778-4A51EE1349C4}"/>
    <cellStyle name="Normal 2 2 2 2 23 3 2 2 2 4" xfId="3099" xr:uid="{6E65F77C-27E3-44E4-B53B-E52D3CC5AC32}"/>
    <cellStyle name="Normal 2 2 2 2 23 3 2 2 2 5" xfId="3100" xr:uid="{ED06CA5D-1D40-4E42-B67D-AC193F6D3AA0}"/>
    <cellStyle name="Normal 2 2 2 2 23 3 2 2 2 6" xfId="3101" xr:uid="{2C69D0B0-478F-40DC-A583-4D94BF90B3C4}"/>
    <cellStyle name="Normal 2 2 2 2 23 3 2 2 2 7" xfId="3102" xr:uid="{2FD79232-7979-4C68-9839-FCBC90C5B0F8}"/>
    <cellStyle name="Normal 2 2 2 2 23 3 2 2 2 8" xfId="3103" xr:uid="{D807A80D-EB81-4389-8EA8-0C7AD3C00F63}"/>
    <cellStyle name="Normal 2 2 2 2 23 3 2 2 3" xfId="3104" xr:uid="{2D55787D-AAA2-416C-97C4-5461CA7FE1DE}"/>
    <cellStyle name="Normal 2 2 2 2 23 3 2 2 4" xfId="3105" xr:uid="{EB858D52-5D26-4F0C-8F9F-A3E46136AE8F}"/>
    <cellStyle name="Normal 2 2 2 2 23 3 2 2 5" xfId="3106" xr:uid="{5ECAF09B-EBDE-4F43-B884-8345AF5C4160}"/>
    <cellStyle name="Normal 2 2 2 2 23 3 2 2 6" xfId="3107" xr:uid="{F71AEC93-CBFF-4D75-A92B-752AEB8D0D5E}"/>
    <cellStyle name="Normal 2 2 2 2 23 3 2 2 7" xfId="3108" xr:uid="{B2B35E6E-6B49-413B-95B3-0CE92A1DA512}"/>
    <cellStyle name="Normal 2 2 2 2 23 3 2 2 8" xfId="3109" xr:uid="{31573A6B-17DC-49E0-89ED-9A6762E6A245}"/>
    <cellStyle name="Normal 2 2 2 2 23 3 2 3" xfId="3110" xr:uid="{12C7C058-01D1-4841-BE88-1BB23518EF72}"/>
    <cellStyle name="Normal 2 2 2 2 23 3 2 4" xfId="3111" xr:uid="{862FE081-3389-4864-94EA-03909431C933}"/>
    <cellStyle name="Normal 2 2 2 2 23 3 2 5" xfId="3112" xr:uid="{C8A8FB35-8648-4D69-8074-8CB595933FF7}"/>
    <cellStyle name="Normal 2 2 2 2 23 3 2 6" xfId="3113" xr:uid="{1FE1DBE2-86D8-4412-A735-EA36F4C6F7E3}"/>
    <cellStyle name="Normal 2 2 2 2 23 3 2 7" xfId="3114" xr:uid="{07FD97A3-492F-4490-A12A-006A50119420}"/>
    <cellStyle name="Normal 2 2 2 2 23 3 2 8" xfId="3115" xr:uid="{A0B56614-48E0-4495-A460-F23FF17A55D3}"/>
    <cellStyle name="Normal 2 2 2 2 23 3 2 9" xfId="3116" xr:uid="{6C8B9C9F-1017-4B05-93B9-563B2F1A09E1}"/>
    <cellStyle name="Normal 2 2 2 2 23 3 3" xfId="3117" xr:uid="{2A2D765A-90F8-4D53-9BDD-FA47425E0E93}"/>
    <cellStyle name="Normal 2 2 2 2 23 3 4" xfId="3118" xr:uid="{E6C70E0C-9DCC-4547-AF55-A0A2448C3157}"/>
    <cellStyle name="Normal 2 2 2 2 23 3 4 2" xfId="3119" xr:uid="{AEE5E557-3B6C-438C-B5A9-3152A3D3E7AE}"/>
    <cellStyle name="Normal 2 2 2 2 23 3 4 3" xfId="3120" xr:uid="{283B5DBE-A812-42E2-BA38-DEB5048E4F69}"/>
    <cellStyle name="Normal 2 2 2 2 23 3 4 4" xfId="3121" xr:uid="{2AA38F52-6172-41D0-BD6E-3547B2F6B5E7}"/>
    <cellStyle name="Normal 2 2 2 2 23 3 4 5" xfId="3122" xr:uid="{D6416EFF-D274-454D-85E9-C056877A45B5}"/>
    <cellStyle name="Normal 2 2 2 2 23 3 4 6" xfId="3123" xr:uid="{6FE7D67C-FB0E-405A-B82F-02F45D9740BE}"/>
    <cellStyle name="Normal 2 2 2 2 23 3 4 7" xfId="3124" xr:uid="{A4FE63A5-C6E7-467C-BD7F-285645839433}"/>
    <cellStyle name="Normal 2 2 2 2 23 3 4 8" xfId="3125" xr:uid="{05ECDBF4-2816-4823-AEF1-6CEB000D4B2F}"/>
    <cellStyle name="Normal 2 2 2 2 23 3 5" xfId="3126" xr:uid="{2EA2F050-5694-4864-ADE6-6D827C061309}"/>
    <cellStyle name="Normal 2 2 2 2 23 3 6" xfId="3127" xr:uid="{1E3B1E8B-11D4-465D-9E10-476324BC930E}"/>
    <cellStyle name="Normal 2 2 2 2 23 3 7" xfId="3128" xr:uid="{967C0C9D-6A55-43A2-83A3-12783BFA71EC}"/>
    <cellStyle name="Normal 2 2 2 2 23 3 8" xfId="3129" xr:uid="{2ADBD890-1DC7-40F3-8353-4F192954DE22}"/>
    <cellStyle name="Normal 2 2 2 2 23 3 9" xfId="3130" xr:uid="{CAA17A5D-3FB4-459E-9977-C5AB76DBBF12}"/>
    <cellStyle name="Normal 2 2 2 2 23 4" xfId="3131" xr:uid="{C020960A-827A-407E-B592-CF56FE4E95A9}"/>
    <cellStyle name="Normal 2 2 2 2 23 5" xfId="3132" xr:uid="{9BB7D99D-3E5B-4E78-8357-0345DFFC55A2}"/>
    <cellStyle name="Normal 2 2 2 2 23 6" xfId="3133" xr:uid="{3D7257F4-1192-4D38-8500-7D76D3753376}"/>
    <cellStyle name="Normal 2 2 2 2 23 7" xfId="3134" xr:uid="{9EC85276-FCC7-4E37-951E-26492D633DD1}"/>
    <cellStyle name="Normal 2 2 2 2 23 8" xfId="3135" xr:uid="{9FEBC3E8-3F65-48D9-A26E-7A24D24D5ACC}"/>
    <cellStyle name="Normal 2 2 2 2 23 9" xfId="3136" xr:uid="{15C75C6C-5700-4F2A-BF83-FD2A05BF772D}"/>
    <cellStyle name="Normal 2 2 2 2 24" xfId="3137" xr:uid="{0C30FD6B-E205-477E-97C3-1A3486A1B22C}"/>
    <cellStyle name="Normal 2 2 2 2 25" xfId="3138" xr:uid="{C578CEDC-FBDB-458E-AE70-851499831A6A}"/>
    <cellStyle name="Normal 2 2 2 2 26" xfId="3139" xr:uid="{F1C03733-8E58-4AF4-A05F-6413D3AC6981}"/>
    <cellStyle name="Normal 2 2 2 2 27" xfId="3140" xr:uid="{F7D70CD5-C4AD-4904-834C-ECCD22F33C88}"/>
    <cellStyle name="Normal 2 2 2 2 28" xfId="3141" xr:uid="{2331DFFE-E6FD-4567-A27A-39591A948080}"/>
    <cellStyle name="Normal 2 2 2 2 28 10" xfId="3142" xr:uid="{EED0BB4E-2A36-4462-A2B6-969617CAFC4A}"/>
    <cellStyle name="Normal 2 2 2 2 28 2" xfId="3143" xr:uid="{DBC2FF40-3B85-42F3-84F1-9C31E681D3FC}"/>
    <cellStyle name="Normal 2 2 2 2 28 2 2" xfId="3144" xr:uid="{33EFD180-3FEF-4E2B-B38F-F933F6DF2A41}"/>
    <cellStyle name="Normal 2 2 2 2 28 2 2 2" xfId="3145" xr:uid="{8A407BE0-87B4-4318-98F8-8D350F4874EF}"/>
    <cellStyle name="Normal 2 2 2 2 28 2 2 2 2" xfId="3146" xr:uid="{C04B9576-83C8-43F1-8600-F2C8556E01EB}"/>
    <cellStyle name="Normal 2 2 2 2 28 2 2 2 3" xfId="3147" xr:uid="{0B5A2DC3-37A9-44DD-B624-0DE687015C41}"/>
    <cellStyle name="Normal 2 2 2 2 28 2 2 2 4" xfId="3148" xr:uid="{5B1F488A-350F-4AB7-8354-E63071A413DC}"/>
    <cellStyle name="Normal 2 2 2 2 28 2 2 2 5" xfId="3149" xr:uid="{A05D87B8-B723-4374-AF13-328FBAF8CBC2}"/>
    <cellStyle name="Normal 2 2 2 2 28 2 2 2 6" xfId="3150" xr:uid="{7A993E32-5322-4111-873E-89E62AA13EE9}"/>
    <cellStyle name="Normal 2 2 2 2 28 2 2 2 7" xfId="3151" xr:uid="{3596B14A-8246-44FD-B134-827158F97F9B}"/>
    <cellStyle name="Normal 2 2 2 2 28 2 2 2 8" xfId="3152" xr:uid="{2AC3FBE0-ADFD-4523-9D8B-2139F5DA5290}"/>
    <cellStyle name="Normal 2 2 2 2 28 2 2 3" xfId="3153" xr:uid="{88CFC8E9-19C2-4B33-A246-A52FB23D8FA6}"/>
    <cellStyle name="Normal 2 2 2 2 28 2 2 4" xfId="3154" xr:uid="{BA6F58C4-D58D-4C2B-9559-600B6CF20651}"/>
    <cellStyle name="Normal 2 2 2 2 28 2 2 5" xfId="3155" xr:uid="{2ADC59C1-B588-4EBC-AE3C-011594C4D4EC}"/>
    <cellStyle name="Normal 2 2 2 2 28 2 2 6" xfId="3156" xr:uid="{AE563190-9EC0-4310-97CC-0EC4EA3C250F}"/>
    <cellStyle name="Normal 2 2 2 2 28 2 2 7" xfId="3157" xr:uid="{F35243DF-12D2-4554-B9C0-FACB28DE4B8E}"/>
    <cellStyle name="Normal 2 2 2 2 28 2 2 8" xfId="3158" xr:uid="{E204CA42-68E5-41DA-8797-BB4C8EF7F3ED}"/>
    <cellStyle name="Normal 2 2 2 2 28 2 3" xfId="3159" xr:uid="{1B504770-8954-4629-B362-D6854995D9B4}"/>
    <cellStyle name="Normal 2 2 2 2 28 2 4" xfId="3160" xr:uid="{122F80AA-C762-4A52-A5B3-017AAEB98CE0}"/>
    <cellStyle name="Normal 2 2 2 2 28 2 5" xfId="3161" xr:uid="{D9BA16EC-4B8E-4DAF-99A4-29B521327FD4}"/>
    <cellStyle name="Normal 2 2 2 2 28 2 6" xfId="3162" xr:uid="{85D9E3C6-5053-4E9B-99F3-A769121F3A84}"/>
    <cellStyle name="Normal 2 2 2 2 28 2 7" xfId="3163" xr:uid="{7968210F-1F7D-4FBB-8D7B-3F83AAE5918B}"/>
    <cellStyle name="Normal 2 2 2 2 28 2 8" xfId="3164" xr:uid="{E8DC210B-AFD4-41C6-81AF-F749F465944A}"/>
    <cellStyle name="Normal 2 2 2 2 28 2 9" xfId="3165" xr:uid="{CBE89092-7532-4028-83C0-E3CADFA0CD32}"/>
    <cellStyle name="Normal 2 2 2 2 28 3" xfId="3166" xr:uid="{449474AE-6740-4F74-A251-4028B6CBCBA4}"/>
    <cellStyle name="Normal 2 2 2 2 28 4" xfId="3167" xr:uid="{FC177AD0-704C-4306-8A1B-BA8C6183A15F}"/>
    <cellStyle name="Normal 2 2 2 2 28 4 2" xfId="3168" xr:uid="{927B57CC-2E6A-42F4-8309-340CDADCEF50}"/>
    <cellStyle name="Normal 2 2 2 2 28 4 3" xfId="3169" xr:uid="{E99E29F9-FA75-4C7D-A407-FBE84323514E}"/>
    <cellStyle name="Normal 2 2 2 2 28 4 4" xfId="3170" xr:uid="{27FF3F27-6E57-4487-822E-3ACD6DC1C3F5}"/>
    <cellStyle name="Normal 2 2 2 2 28 4 5" xfId="3171" xr:uid="{1B7A68DE-C840-42D3-81E8-D194AE0516F2}"/>
    <cellStyle name="Normal 2 2 2 2 28 4 6" xfId="3172" xr:uid="{A0D461A0-BA78-48A6-8840-96FBC9085FD1}"/>
    <cellStyle name="Normal 2 2 2 2 28 4 7" xfId="3173" xr:uid="{37863E9B-D18E-4B71-95C2-0419C05B8555}"/>
    <cellStyle name="Normal 2 2 2 2 28 4 8" xfId="3174" xr:uid="{C03FBF21-CAEA-4061-B7A6-EEC76FA3A544}"/>
    <cellStyle name="Normal 2 2 2 2 28 5" xfId="3175" xr:uid="{AA921B32-707B-45F4-824B-6618C293FCC6}"/>
    <cellStyle name="Normal 2 2 2 2 28 6" xfId="3176" xr:uid="{8C9F871F-68D7-4175-A408-DF6B93279C56}"/>
    <cellStyle name="Normal 2 2 2 2 28 7" xfId="3177" xr:uid="{4850B5E3-FCD6-44CB-A468-B5CFB8259480}"/>
    <cellStyle name="Normal 2 2 2 2 28 8" xfId="3178" xr:uid="{7E46D157-F3DA-45C4-9E6A-4FA0463F5E9D}"/>
    <cellStyle name="Normal 2 2 2 2 28 9" xfId="3179" xr:uid="{90B2F698-0CB9-4F98-A287-2E04595D5D95}"/>
    <cellStyle name="Normal 2 2 2 2 29" xfId="3180" xr:uid="{A5CF59C6-7628-4C74-BFFC-08652A5F34F5}"/>
    <cellStyle name="Normal 2 2 2 2 3" xfId="3181" xr:uid="{429F6C43-4370-4DD3-96F7-2C9512C85F91}"/>
    <cellStyle name="Normal 2 2 2 2 30" xfId="3182" xr:uid="{A3E1BB88-CFAB-4766-B7DC-32455097CCA0}"/>
    <cellStyle name="Normal 2 2 2 2 31" xfId="3183" xr:uid="{DE2F0A3A-7086-406B-B64A-8DEC23339FBD}"/>
    <cellStyle name="Normal 2 2 2 2 32" xfId="3184" xr:uid="{315D0FCD-6E79-475C-92CC-ACCCF0A834AC}"/>
    <cellStyle name="Normal 2 2 2 2 33" xfId="3185" xr:uid="{C0F2E6A6-9AAE-45FE-AEE0-503595E0FA7D}"/>
    <cellStyle name="Normal 2 2 2 2 34" xfId="3186" xr:uid="{3519DC79-0970-499E-A813-F99E021CB444}"/>
    <cellStyle name="Normal 2 2 2 2 35" xfId="3187" xr:uid="{E38C775A-0D3B-40DD-9D02-9A10E40D53D9}"/>
    <cellStyle name="Normal 2 2 2 2 36" xfId="3188" xr:uid="{28692308-BDAD-4484-A59B-9E8FDC710EED}"/>
    <cellStyle name="Normal 2 2 2 2 36 2" xfId="3189" xr:uid="{12145B8F-54FE-4E1D-AF80-43556D8B98E7}"/>
    <cellStyle name="Normal 2 2 2 2 36 2 2" xfId="3190" xr:uid="{AF2E2E1A-0B2E-42AE-803C-3E5FE7E1C667}"/>
    <cellStyle name="Normal 2 2 2 2 36 2 2 2" xfId="3191" xr:uid="{FF94C06E-209C-4B43-8A78-C8FE83382C9B}"/>
    <cellStyle name="Normal 2 2 2 2 36 2 2 3" xfId="3192" xr:uid="{0A82E883-2BC1-4893-8730-6CFB620EEB73}"/>
    <cellStyle name="Normal 2 2 2 2 36 2 2 4" xfId="3193" xr:uid="{6A364FF1-1986-4440-8EE7-3CC265EB5F58}"/>
    <cellStyle name="Normal 2 2 2 2 36 2 2 5" xfId="3194" xr:uid="{C4B19401-FD05-44F5-8098-BA538778D6F0}"/>
    <cellStyle name="Normal 2 2 2 2 36 2 2 6" xfId="3195" xr:uid="{73015E1A-6CAF-49B5-ABDA-0ACA0BE1A8E2}"/>
    <cellStyle name="Normal 2 2 2 2 36 2 2 7" xfId="3196" xr:uid="{07ABF112-8960-4027-A6B0-95D313AF1DF3}"/>
    <cellStyle name="Normal 2 2 2 2 36 2 2 8" xfId="3197" xr:uid="{85EBF9F1-F8F9-4A37-8DC2-6BA536289FE8}"/>
    <cellStyle name="Normal 2 2 2 2 36 2 3" xfId="3198" xr:uid="{90914482-15D5-4FB7-AE1E-3BB13B4CD62E}"/>
    <cellStyle name="Normal 2 2 2 2 36 2 4" xfId="3199" xr:uid="{9E0A974B-E4C8-4CB1-8FF4-AB65B66463D8}"/>
    <cellStyle name="Normal 2 2 2 2 36 2 5" xfId="3200" xr:uid="{D1FDD97A-5116-46E8-8EF7-E2F6AF3E2EF2}"/>
    <cellStyle name="Normal 2 2 2 2 36 2 6" xfId="3201" xr:uid="{06021500-0B58-4739-8428-5CCC6326561C}"/>
    <cellStyle name="Normal 2 2 2 2 36 2 7" xfId="3202" xr:uid="{874D8112-A1D6-4B88-BF43-97F0F49BBE69}"/>
    <cellStyle name="Normal 2 2 2 2 36 2 8" xfId="3203" xr:uid="{B59AFAB1-7E3F-473E-8898-37FC0943F6DB}"/>
    <cellStyle name="Normal 2 2 2 2 36 3" xfId="3204" xr:uid="{79365DB6-554B-493D-8B1F-E187EE514944}"/>
    <cellStyle name="Normal 2 2 2 2 36 4" xfId="3205" xr:uid="{818E454F-4D73-4BD2-94AE-5B050C1B694C}"/>
    <cellStyle name="Normal 2 2 2 2 36 5" xfId="3206" xr:uid="{DD7A8A7F-FCF1-4617-A0F9-13C50F0201B1}"/>
    <cellStyle name="Normal 2 2 2 2 36 6" xfId="3207" xr:uid="{3033C7E2-6405-4E63-9EF1-24A76AB4C05E}"/>
    <cellStyle name="Normal 2 2 2 2 36 7" xfId="3208" xr:uid="{F478CEDB-3CFF-4080-9B1C-C015E6996E05}"/>
    <cellStyle name="Normal 2 2 2 2 36 8" xfId="3209" xr:uid="{5C4A1F65-0F0E-4EFC-92DA-E428E2C3335F}"/>
    <cellStyle name="Normal 2 2 2 2 36 9" xfId="3210" xr:uid="{6573B5BB-7E8E-4951-B4F3-0BA70A5179DE}"/>
    <cellStyle name="Normal 2 2 2 2 37" xfId="3211" xr:uid="{9F076BC0-A212-485A-A95F-97B75C1F4561}"/>
    <cellStyle name="Normal 2 2 2 2 37 2" xfId="3212" xr:uid="{AF6B28E0-453F-4BCF-8BB4-984F6879CF5F}"/>
    <cellStyle name="Normal 2 2 2 2 37 3" xfId="3213" xr:uid="{A28C8458-0BEE-4943-B9F6-9D9402274D7B}"/>
    <cellStyle name="Normal 2 2 2 2 37 4" xfId="3214" xr:uid="{10B1DFAD-0220-44B9-B6F7-A0E2588EFFD4}"/>
    <cellStyle name="Normal 2 2 2 2 37 5" xfId="3215" xr:uid="{2CC60C09-70D2-410C-92C0-44E3FA788EBD}"/>
    <cellStyle name="Normal 2 2 2 2 37 6" xfId="3216" xr:uid="{7022CC39-04C6-415E-B767-DB51BC69BA21}"/>
    <cellStyle name="Normal 2 2 2 2 37 7" xfId="3217" xr:uid="{3DCAE4F8-5880-44E1-AA95-0B78C708E1B3}"/>
    <cellStyle name="Normal 2 2 2 2 37 8" xfId="3218" xr:uid="{C3FF0012-1105-4F06-9EEB-A3B798356EA0}"/>
    <cellStyle name="Normal 2 2 2 2 38" xfId="3219" xr:uid="{4E583D80-B8E8-4A9E-8905-66FB1FD4ED71}"/>
    <cellStyle name="Normal 2 2 2 2 39" xfId="3220" xr:uid="{00751C98-F91C-476C-9A71-F74C0B4BC01F}"/>
    <cellStyle name="Normal 2 2 2 2 4" xfId="3221" xr:uid="{58CB54F2-EE44-468A-98BC-991020D8DCAE}"/>
    <cellStyle name="Normal 2 2 2 2 40" xfId="3222" xr:uid="{A1EA67D1-C1D6-4A24-8DD1-91519E43E3B1}"/>
    <cellStyle name="Normal 2 2 2 2 41" xfId="3223" xr:uid="{8BB2E19A-4310-43AB-A5EB-14C8C6375625}"/>
    <cellStyle name="Normal 2 2 2 2 42" xfId="3224" xr:uid="{1249B3F8-CF3C-4E9E-84FD-3A0AE6795478}"/>
    <cellStyle name="Normal 2 2 2 2 43" xfId="3225" xr:uid="{9F6E426C-C5C0-45DC-8B84-13D74692CC8B}"/>
    <cellStyle name="Normal 2 2 2 2 5" xfId="3226" xr:uid="{4C0ECD97-C345-4F63-84A5-99FEC54102CE}"/>
    <cellStyle name="Normal 2 2 2 2 6" xfId="3227" xr:uid="{BE5B30D9-FED8-417E-B4EE-D2731C7231A1}"/>
    <cellStyle name="Normal 2 2 2 2 7" xfId="3228" xr:uid="{16F32971-93A2-4BB3-8499-2BC6856A4428}"/>
    <cellStyle name="Normal 2 2 2 2 8" xfId="3229" xr:uid="{7BE0DACA-C75D-4FA8-8759-60AFC379EDAF}"/>
    <cellStyle name="Normal 2 2 2 2 9" xfId="3230" xr:uid="{C53BF62E-E55B-4895-AFFE-7D7452CD36F9}"/>
    <cellStyle name="Normal 2 2 2 20" xfId="3231" xr:uid="{45F5B571-206D-4824-8054-8E31F13EFE7B}"/>
    <cellStyle name="Normal 2 2 2 21" xfId="3232" xr:uid="{342965D5-B2FF-4111-9882-585F21BEAB59}"/>
    <cellStyle name="Normal 2 2 2 22" xfId="3233" xr:uid="{302F2042-2822-41EF-B9F5-79A02E12E957}"/>
    <cellStyle name="Normal 2 2 2 23" xfId="3234" xr:uid="{11619C12-615F-4BAD-843D-F159459F82BF}"/>
    <cellStyle name="Normal 2 2 2 23 10" xfId="3235" xr:uid="{BF651EC3-D6AF-439D-842D-82D867F0FBD7}"/>
    <cellStyle name="Normal 2 2 2 23 10 2" xfId="3236" xr:uid="{8A67ABA6-12F3-4D97-9DC6-233A6E7BA98E}"/>
    <cellStyle name="Normal 2 2 2 23 10 2 2" xfId="3237" xr:uid="{590B9531-5BE7-4F88-B432-45ABA3E40811}"/>
    <cellStyle name="Normal 2 2 2 23 10 2 2 2" xfId="3238" xr:uid="{41928E34-72F8-4041-A31C-9BB13ECE9436}"/>
    <cellStyle name="Normal 2 2 2 23 10 2 2 3" xfId="3239" xr:uid="{2BCA966D-4606-4EBD-8B33-F4795C5527E7}"/>
    <cellStyle name="Normal 2 2 2 23 10 2 2 4" xfId="3240" xr:uid="{C7CD7D65-D283-4EF9-A1F2-FD263219439A}"/>
    <cellStyle name="Normal 2 2 2 23 10 2 2 5" xfId="3241" xr:uid="{5AE4511E-EA04-49CB-B5D9-F01742D8F5A6}"/>
    <cellStyle name="Normal 2 2 2 23 10 2 2 6" xfId="3242" xr:uid="{7BB97EF6-08F5-40BF-84A7-4BC7AB85EA05}"/>
    <cellStyle name="Normal 2 2 2 23 10 2 2 7" xfId="3243" xr:uid="{54793109-CE45-4E21-BD6F-9062D5592E98}"/>
    <cellStyle name="Normal 2 2 2 23 10 2 2 8" xfId="3244" xr:uid="{66344EE9-FC0B-4131-BC03-D2601F81D222}"/>
    <cellStyle name="Normal 2 2 2 23 10 2 3" xfId="3245" xr:uid="{7695FDAA-B29C-41F2-B4AF-2A9E9989C520}"/>
    <cellStyle name="Normal 2 2 2 23 10 2 4" xfId="3246" xr:uid="{58304FD5-FECE-4EA3-9E11-A56C16DEA17E}"/>
    <cellStyle name="Normal 2 2 2 23 10 2 5" xfId="3247" xr:uid="{14ED4A4A-7B91-4638-B3B3-E890784E4B51}"/>
    <cellStyle name="Normal 2 2 2 23 10 2 6" xfId="3248" xr:uid="{A1EEC44E-8391-4C23-AF75-90090C34F10A}"/>
    <cellStyle name="Normal 2 2 2 23 10 2 7" xfId="3249" xr:uid="{349EC54A-847F-49C9-957E-821B5AF0708A}"/>
    <cellStyle name="Normal 2 2 2 23 10 2 8" xfId="3250" xr:uid="{E1EF638B-1D36-41A5-9097-2623E58D8B40}"/>
    <cellStyle name="Normal 2 2 2 23 10 3" xfId="3251" xr:uid="{46B56EEE-9A1E-48B1-ADE5-DA487F09B587}"/>
    <cellStyle name="Normal 2 2 2 23 10 4" xfId="3252" xr:uid="{5C88FF2C-5D9F-4EEA-AFE0-3932EE7BA6CC}"/>
    <cellStyle name="Normal 2 2 2 23 10 5" xfId="3253" xr:uid="{AD923A24-D57F-44FE-94EF-3491EFFABBEC}"/>
    <cellStyle name="Normal 2 2 2 23 10 6" xfId="3254" xr:uid="{88EF5C80-4282-4BE5-9E8D-50A58086B2B1}"/>
    <cellStyle name="Normal 2 2 2 23 10 7" xfId="3255" xr:uid="{1A22743E-AF42-4ACE-89CA-62D171FFFE77}"/>
    <cellStyle name="Normal 2 2 2 23 10 8" xfId="3256" xr:uid="{3D6816C2-B54D-4D4E-B6E8-61CB6BD01486}"/>
    <cellStyle name="Normal 2 2 2 23 10 9" xfId="3257" xr:uid="{7D31C9CD-A27F-4B61-9312-BB890D616E5E}"/>
    <cellStyle name="Normal 2 2 2 23 11" xfId="3258" xr:uid="{59BBE8BF-0F7F-48EE-B9AF-0C0A9BB3DD74}"/>
    <cellStyle name="Normal 2 2 2 23 11 2" xfId="3259" xr:uid="{20F63462-F480-401B-9BE7-30573542CA9C}"/>
    <cellStyle name="Normal 2 2 2 23 11 3" xfId="3260" xr:uid="{35F2AE8C-F2C0-480C-AAF5-CDB2D0DA4C95}"/>
    <cellStyle name="Normal 2 2 2 23 11 4" xfId="3261" xr:uid="{4048DABC-DF2C-45C2-A64D-7C8217E8EDAE}"/>
    <cellStyle name="Normal 2 2 2 23 11 5" xfId="3262" xr:uid="{A4C965B9-ED0F-4FF4-947D-D5157590D9F4}"/>
    <cellStyle name="Normal 2 2 2 23 11 6" xfId="3263" xr:uid="{31166DF3-7787-40FC-A949-E7E3818C28D9}"/>
    <cellStyle name="Normal 2 2 2 23 11 7" xfId="3264" xr:uid="{B45F4FA8-A243-44E7-A448-CE491D165250}"/>
    <cellStyle name="Normal 2 2 2 23 11 8" xfId="3265" xr:uid="{3DAC0E8A-13B6-4A73-8AF1-94C6D989F981}"/>
    <cellStyle name="Normal 2 2 2 23 12" xfId="3266" xr:uid="{1B8C7013-1553-41BB-9AC7-C8FB675CC3C9}"/>
    <cellStyle name="Normal 2 2 2 23 13" xfId="3267" xr:uid="{F4AEFF1E-AAC6-4333-9DD7-DC5CBB17F128}"/>
    <cellStyle name="Normal 2 2 2 23 14" xfId="3268" xr:uid="{C0C6C1E6-4957-4453-92EA-582288BABA14}"/>
    <cellStyle name="Normal 2 2 2 23 15" xfId="3269" xr:uid="{4C0AE937-BA14-42C0-BF9E-EC6A5AE66D9C}"/>
    <cellStyle name="Normal 2 2 2 23 16" xfId="3270" xr:uid="{5EAC0264-CE19-4951-A258-41E89DE1F46D}"/>
    <cellStyle name="Normal 2 2 2 23 17" xfId="3271" xr:uid="{123E460A-6BC4-43BE-8464-0D7DAE3D3032}"/>
    <cellStyle name="Normal 2 2 2 23 2" xfId="3272" xr:uid="{432AEDDA-FA9F-4AEC-8A87-4A79B253394C}"/>
    <cellStyle name="Normal 2 2 2 23 2 10" xfId="3273" xr:uid="{014806BB-C4B4-46C9-ACF8-2C12F2C384F8}"/>
    <cellStyle name="Normal 2 2 2 23 2 10 2" xfId="3274" xr:uid="{9F005E4A-B669-4773-9FD3-480791DA8B5B}"/>
    <cellStyle name="Normal 2 2 2 23 2 10 2 2" xfId="3275" xr:uid="{F6504DCF-12E5-4436-80C6-90364F247155}"/>
    <cellStyle name="Normal 2 2 2 23 2 10 2 2 2" xfId="3276" xr:uid="{3AAC56C5-276F-403F-BCE6-3DFD90BF0F24}"/>
    <cellStyle name="Normal 2 2 2 23 2 10 2 2 3" xfId="3277" xr:uid="{1EA99CA7-8255-4209-85A1-12063788F8B0}"/>
    <cellStyle name="Normal 2 2 2 23 2 10 2 2 4" xfId="3278" xr:uid="{E3B93E6E-4C4E-4555-9FDD-0AF326F750C9}"/>
    <cellStyle name="Normal 2 2 2 23 2 10 2 2 5" xfId="3279" xr:uid="{7D63BF3B-C0C0-443C-9476-4E6005729ED6}"/>
    <cellStyle name="Normal 2 2 2 23 2 10 2 2 6" xfId="3280" xr:uid="{078B28FC-A504-4FEC-AF72-4E7964E84211}"/>
    <cellStyle name="Normal 2 2 2 23 2 10 2 2 7" xfId="3281" xr:uid="{EA03FF61-0101-4256-9C36-5D7B478B9F6B}"/>
    <cellStyle name="Normal 2 2 2 23 2 10 2 2 8" xfId="3282" xr:uid="{2BA9E41A-9929-4D3E-A8EA-1BC73871028B}"/>
    <cellStyle name="Normal 2 2 2 23 2 10 2 3" xfId="3283" xr:uid="{7D6FBC8F-A97D-48D6-879B-34198426BD5B}"/>
    <cellStyle name="Normal 2 2 2 23 2 10 2 4" xfId="3284" xr:uid="{BEAD40EC-123D-424D-ADE5-D911E845D3D8}"/>
    <cellStyle name="Normal 2 2 2 23 2 10 2 5" xfId="3285" xr:uid="{B688EE1C-5682-4BEC-9163-B7798FD2F365}"/>
    <cellStyle name="Normal 2 2 2 23 2 10 2 6" xfId="3286" xr:uid="{18658835-C4AB-45CE-84B0-197DBC439ED9}"/>
    <cellStyle name="Normal 2 2 2 23 2 10 2 7" xfId="3287" xr:uid="{E6934ED0-6D20-4DD8-BE40-BA6F6E05D550}"/>
    <cellStyle name="Normal 2 2 2 23 2 10 2 8" xfId="3288" xr:uid="{4A06073D-17EC-402F-825C-046224F145DC}"/>
    <cellStyle name="Normal 2 2 2 23 2 10 3" xfId="3289" xr:uid="{BCF624B6-F0D9-47D0-8BE1-0EA25E9A1970}"/>
    <cellStyle name="Normal 2 2 2 23 2 10 4" xfId="3290" xr:uid="{96E5051D-AAD7-4D6F-97F6-7C2B50E7850E}"/>
    <cellStyle name="Normal 2 2 2 23 2 10 5" xfId="3291" xr:uid="{F02C814B-FE60-42B2-966D-FDEE4D191D66}"/>
    <cellStyle name="Normal 2 2 2 23 2 10 6" xfId="3292" xr:uid="{BDBE5214-9404-46AF-BD13-A38BE809903F}"/>
    <cellStyle name="Normal 2 2 2 23 2 10 7" xfId="3293" xr:uid="{A4691398-921C-42F4-AE93-1F80C7D656D4}"/>
    <cellStyle name="Normal 2 2 2 23 2 10 8" xfId="3294" xr:uid="{8DED2D9E-83AB-47D8-BFAC-DA881DDCBB33}"/>
    <cellStyle name="Normal 2 2 2 23 2 10 9" xfId="3295" xr:uid="{DCA2B9A3-CAD6-4608-86F1-ACC6791629F3}"/>
    <cellStyle name="Normal 2 2 2 23 2 11" xfId="3296" xr:uid="{9EB08E54-4B0D-450E-84DB-10597B3373FC}"/>
    <cellStyle name="Normal 2 2 2 23 2 11 2" xfId="3297" xr:uid="{DE1D1A11-5F69-4E14-9B1B-0B7818B3EC5A}"/>
    <cellStyle name="Normal 2 2 2 23 2 11 3" xfId="3298" xr:uid="{FF309F41-5FDD-403C-8893-8F9BCF9F911A}"/>
    <cellStyle name="Normal 2 2 2 23 2 11 4" xfId="3299" xr:uid="{449AA815-A831-4DEC-A6BA-946F70C8E59F}"/>
    <cellStyle name="Normal 2 2 2 23 2 11 5" xfId="3300" xr:uid="{0C1591B4-17E6-4D0F-9F00-74EDC139C17A}"/>
    <cellStyle name="Normal 2 2 2 23 2 11 6" xfId="3301" xr:uid="{580B26D3-07F0-4C83-9144-0D6EFA415796}"/>
    <cellStyle name="Normal 2 2 2 23 2 11 7" xfId="3302" xr:uid="{16EFEF6F-AD4E-4E6F-B3CD-5720458FD99E}"/>
    <cellStyle name="Normal 2 2 2 23 2 11 8" xfId="3303" xr:uid="{20116770-2050-4153-9E4C-16941F0E7B91}"/>
    <cellStyle name="Normal 2 2 2 23 2 12" xfId="3304" xr:uid="{52FBAB0C-D750-4F0B-BB4E-4DF91009B864}"/>
    <cellStyle name="Normal 2 2 2 23 2 13" xfId="3305" xr:uid="{212A243C-BBE9-43C1-95D7-701CAF76D9A8}"/>
    <cellStyle name="Normal 2 2 2 23 2 14" xfId="3306" xr:uid="{A5A99021-E182-4CC8-8CAF-6B4979E259BF}"/>
    <cellStyle name="Normal 2 2 2 23 2 15" xfId="3307" xr:uid="{531E571A-B496-4208-92ED-2576932C654A}"/>
    <cellStyle name="Normal 2 2 2 23 2 16" xfId="3308" xr:uid="{CFA14B4A-F6FF-425B-A94C-18949FEDC6B3}"/>
    <cellStyle name="Normal 2 2 2 23 2 17" xfId="3309" xr:uid="{552BFB13-8FD6-42BA-861D-0B57078C28C1}"/>
    <cellStyle name="Normal 2 2 2 23 2 2" xfId="3310" xr:uid="{05135BAA-CE21-4896-B1A2-F150D860706C}"/>
    <cellStyle name="Normal 2 2 2 23 2 2 10" xfId="3311" xr:uid="{2935A8EB-D13E-4E6B-BCAF-A408D70BE213}"/>
    <cellStyle name="Normal 2 2 2 23 2 2 2" xfId="3312" xr:uid="{26492192-24B6-4DA9-9EB0-4BCEC3701044}"/>
    <cellStyle name="Normal 2 2 2 23 2 2 2 2" xfId="3313" xr:uid="{54789C64-63A1-4A8C-989F-7B96D8EA776B}"/>
    <cellStyle name="Normal 2 2 2 23 2 2 2 2 2" xfId="3314" xr:uid="{C459B00A-2934-4790-ACA0-7C0F136C5683}"/>
    <cellStyle name="Normal 2 2 2 23 2 2 2 2 2 2" xfId="3315" xr:uid="{8FE36990-7140-4718-930B-8FEC5FFD94F9}"/>
    <cellStyle name="Normal 2 2 2 23 2 2 2 2 2 3" xfId="3316" xr:uid="{1CF43110-BAC4-46E1-ABAC-1F1F732902A1}"/>
    <cellStyle name="Normal 2 2 2 23 2 2 2 2 2 4" xfId="3317" xr:uid="{7AD7D114-A12F-47DD-846E-B56AAAE0844A}"/>
    <cellStyle name="Normal 2 2 2 23 2 2 2 2 2 5" xfId="3318" xr:uid="{BA026269-FB51-4B6E-9F9E-F6E6DDC095E2}"/>
    <cellStyle name="Normal 2 2 2 23 2 2 2 2 2 6" xfId="3319" xr:uid="{E62CBE80-99A0-47DB-80FC-A571CF007711}"/>
    <cellStyle name="Normal 2 2 2 23 2 2 2 2 2 7" xfId="3320" xr:uid="{2D55D171-7E48-4C50-9567-1E1293769518}"/>
    <cellStyle name="Normal 2 2 2 23 2 2 2 2 2 8" xfId="3321" xr:uid="{BF6A3D1B-E7D7-4B57-BBC5-FDB4AB02C570}"/>
    <cellStyle name="Normal 2 2 2 23 2 2 2 2 3" xfId="3322" xr:uid="{5A4ECCFF-3673-4AE9-9045-F4AD5C546CA0}"/>
    <cellStyle name="Normal 2 2 2 23 2 2 2 2 4" xfId="3323" xr:uid="{12C9F424-0802-4352-99DD-8B5CE9705696}"/>
    <cellStyle name="Normal 2 2 2 23 2 2 2 2 5" xfId="3324" xr:uid="{D61454C7-84F0-434A-A2A4-6780B7CA20E0}"/>
    <cellStyle name="Normal 2 2 2 23 2 2 2 2 6" xfId="3325" xr:uid="{F949FF8A-18B8-4AD9-98B1-3CC16DEDF78F}"/>
    <cellStyle name="Normal 2 2 2 23 2 2 2 2 7" xfId="3326" xr:uid="{91A9FD12-26E0-4630-87D1-1B7008865E3E}"/>
    <cellStyle name="Normal 2 2 2 23 2 2 2 2 8" xfId="3327" xr:uid="{EAFD739D-3AE1-4C36-AC1E-94A81669D9FF}"/>
    <cellStyle name="Normal 2 2 2 23 2 2 2 3" xfId="3328" xr:uid="{6693FBB9-C4C6-49B1-8408-EB5870B7D9B7}"/>
    <cellStyle name="Normal 2 2 2 23 2 2 2 4" xfId="3329" xr:uid="{AB5F1921-1AC5-4F52-A385-25E2DB2D565A}"/>
    <cellStyle name="Normal 2 2 2 23 2 2 2 5" xfId="3330" xr:uid="{31F29473-CE5D-4262-B20D-7154727B8778}"/>
    <cellStyle name="Normal 2 2 2 23 2 2 2 6" xfId="3331" xr:uid="{F94F7722-E694-4688-88CC-B37CE031ACE3}"/>
    <cellStyle name="Normal 2 2 2 23 2 2 2 7" xfId="3332" xr:uid="{77CACECF-E7DE-4700-BD04-25249C379389}"/>
    <cellStyle name="Normal 2 2 2 23 2 2 2 8" xfId="3333" xr:uid="{90AF3039-A647-486D-9BF2-9DB3C35F3165}"/>
    <cellStyle name="Normal 2 2 2 23 2 2 2 9" xfId="3334" xr:uid="{FD43C410-4F68-4310-AF30-E70C54F626DB}"/>
    <cellStyle name="Normal 2 2 2 23 2 2 3" xfId="3335" xr:uid="{F3A08628-9C83-401B-BBC8-1CDC52F7CB51}"/>
    <cellStyle name="Normal 2 2 2 23 2 2 4" xfId="3336" xr:uid="{9F7A6516-5E2C-4E7C-8861-AD4099FDC160}"/>
    <cellStyle name="Normal 2 2 2 23 2 2 4 2" xfId="3337" xr:uid="{E6E9EFC1-3A33-48B7-8C3A-5574967E2BC3}"/>
    <cellStyle name="Normal 2 2 2 23 2 2 4 3" xfId="3338" xr:uid="{5ED38F70-7B9C-4810-83D3-7966EDA66F35}"/>
    <cellStyle name="Normal 2 2 2 23 2 2 4 4" xfId="3339" xr:uid="{BD0B3201-D677-4F97-B800-0613F72E22E0}"/>
    <cellStyle name="Normal 2 2 2 23 2 2 4 5" xfId="3340" xr:uid="{150D5912-1802-43E1-A93F-C4C3CCB1CE92}"/>
    <cellStyle name="Normal 2 2 2 23 2 2 4 6" xfId="3341" xr:uid="{1FCD2A86-B9B4-4C92-A33F-0FCAA3E3FDF4}"/>
    <cellStyle name="Normal 2 2 2 23 2 2 4 7" xfId="3342" xr:uid="{6D8B6029-3AC8-41BF-B86C-62C9D8B4E665}"/>
    <cellStyle name="Normal 2 2 2 23 2 2 4 8" xfId="3343" xr:uid="{0EBA39F2-4E09-40DA-B85A-FAFFA72A0766}"/>
    <cellStyle name="Normal 2 2 2 23 2 2 5" xfId="3344" xr:uid="{ABD47102-132A-4679-A8D5-819264C4DD85}"/>
    <cellStyle name="Normal 2 2 2 23 2 2 6" xfId="3345" xr:uid="{8F84F969-F8FA-4134-8D80-FB6C15E545BA}"/>
    <cellStyle name="Normal 2 2 2 23 2 2 7" xfId="3346" xr:uid="{AF1FFB89-837A-4883-B28E-DA8142F0B679}"/>
    <cellStyle name="Normal 2 2 2 23 2 2 8" xfId="3347" xr:uid="{0625B9F3-7EED-4E3F-A3EE-8B8A3CC32A7C}"/>
    <cellStyle name="Normal 2 2 2 23 2 2 9" xfId="3348" xr:uid="{3F32C0AE-A635-4D78-ABA2-D5C3439D9506}"/>
    <cellStyle name="Normal 2 2 2 23 2 3" xfId="3349" xr:uid="{ADD4341A-FF2A-460A-9FB8-BF2A3F5EF30A}"/>
    <cellStyle name="Normal 2 2 2 23 2 4" xfId="3350" xr:uid="{C0AD2B30-CEBD-4E7C-984C-1889C435349F}"/>
    <cellStyle name="Normal 2 2 2 23 2 5" xfId="3351" xr:uid="{C74AD4C0-F7C1-425F-95BA-1ACA2C036395}"/>
    <cellStyle name="Normal 2 2 2 23 2 6" xfId="3352" xr:uid="{08BDDE62-3010-4B29-B1C6-1F2D0E4AEC92}"/>
    <cellStyle name="Normal 2 2 2 23 2 7" xfId="3353" xr:uid="{04D5867C-80CC-48CD-B2F7-14E96B3E7327}"/>
    <cellStyle name="Normal 2 2 2 23 2 8" xfId="3354" xr:uid="{1DDBC90B-36B9-4801-8CDD-FADE784FAC4F}"/>
    <cellStyle name="Normal 2 2 2 23 2 9" xfId="3355" xr:uid="{1771B4D6-6DAD-490D-90DB-0588947386EA}"/>
    <cellStyle name="Normal 2 2 2 23 3" xfId="3356" xr:uid="{3BB513C4-2EB3-42F7-9841-6BEDC3219F7C}"/>
    <cellStyle name="Normal 2 2 2 23 3 10" xfId="3357" xr:uid="{B578E238-3631-474C-B026-4851DFA59858}"/>
    <cellStyle name="Normal 2 2 2 23 3 2" xfId="3358" xr:uid="{E743E4CD-850C-43ED-B408-1DDF691D854A}"/>
    <cellStyle name="Normal 2 2 2 23 3 2 2" xfId="3359" xr:uid="{C109E0D2-D4F4-48C2-AF2D-9E17B48C0845}"/>
    <cellStyle name="Normal 2 2 2 23 3 2 2 2" xfId="3360" xr:uid="{07413A16-9A5D-4E15-847A-76FFB5212FBF}"/>
    <cellStyle name="Normal 2 2 2 23 3 2 2 2 2" xfId="3361" xr:uid="{06400C90-B119-4DB7-BD22-043B1CF050C8}"/>
    <cellStyle name="Normal 2 2 2 23 3 2 2 2 3" xfId="3362" xr:uid="{FCFC287F-A1D8-402E-9D29-55E46923B9F0}"/>
    <cellStyle name="Normal 2 2 2 23 3 2 2 2 4" xfId="3363" xr:uid="{DB5C3E26-02DB-42CD-A990-05621040782D}"/>
    <cellStyle name="Normal 2 2 2 23 3 2 2 2 5" xfId="3364" xr:uid="{5A67BBB8-589E-4BBD-AD76-9773C8472DAD}"/>
    <cellStyle name="Normal 2 2 2 23 3 2 2 2 6" xfId="3365" xr:uid="{11DE8BA1-90A3-49E4-A4AE-9EF0BFAAEC4D}"/>
    <cellStyle name="Normal 2 2 2 23 3 2 2 2 7" xfId="3366" xr:uid="{5CF7BF88-714B-4B70-8C9B-28542B109456}"/>
    <cellStyle name="Normal 2 2 2 23 3 2 2 2 8" xfId="3367" xr:uid="{6EAD7201-8F12-4F76-8C60-3ECB57123BF3}"/>
    <cellStyle name="Normal 2 2 2 23 3 2 2 3" xfId="3368" xr:uid="{D774CB33-3350-4527-8709-7CDBF174559E}"/>
    <cellStyle name="Normal 2 2 2 23 3 2 2 4" xfId="3369" xr:uid="{FC3153FB-25D5-4BC6-BC33-77EE098018CA}"/>
    <cellStyle name="Normal 2 2 2 23 3 2 2 5" xfId="3370" xr:uid="{62A6B55F-6589-4A94-8DAC-37338C7117B8}"/>
    <cellStyle name="Normal 2 2 2 23 3 2 2 6" xfId="3371" xr:uid="{4E04063F-FC59-493C-8202-C9CD13C9BB7B}"/>
    <cellStyle name="Normal 2 2 2 23 3 2 2 7" xfId="3372" xr:uid="{8F200939-8441-42A2-B3F2-A217B371FDEA}"/>
    <cellStyle name="Normal 2 2 2 23 3 2 2 8" xfId="3373" xr:uid="{C1C22175-E2AD-46D0-8013-65322805A705}"/>
    <cellStyle name="Normal 2 2 2 23 3 2 3" xfId="3374" xr:uid="{1AC69481-9188-4915-9058-B89A65617D69}"/>
    <cellStyle name="Normal 2 2 2 23 3 2 4" xfId="3375" xr:uid="{B3280D2F-2D36-4966-AE14-09259BCD9C1E}"/>
    <cellStyle name="Normal 2 2 2 23 3 2 5" xfId="3376" xr:uid="{22B833BB-8AF9-4DCF-974E-5D1B5C91764E}"/>
    <cellStyle name="Normal 2 2 2 23 3 2 6" xfId="3377" xr:uid="{3418A3D1-2FF1-41A5-96CD-9FC3588F6827}"/>
    <cellStyle name="Normal 2 2 2 23 3 2 7" xfId="3378" xr:uid="{905BAC92-A939-4BD7-9C2D-34084514314B}"/>
    <cellStyle name="Normal 2 2 2 23 3 2 8" xfId="3379" xr:uid="{39561E12-14A0-4094-82C8-EB2C9760574C}"/>
    <cellStyle name="Normal 2 2 2 23 3 2 9" xfId="3380" xr:uid="{E2BB07FF-4BB7-42F5-9D72-BFF941463CFB}"/>
    <cellStyle name="Normal 2 2 2 23 3 3" xfId="3381" xr:uid="{374830C6-7825-4349-88C9-7EA700FE11AB}"/>
    <cellStyle name="Normal 2 2 2 23 3 4" xfId="3382" xr:uid="{8C53A4A9-D325-47F5-B4F9-39C8E6F7E549}"/>
    <cellStyle name="Normal 2 2 2 23 3 4 2" xfId="3383" xr:uid="{20E313D4-A63A-4F37-8370-E6901B50A737}"/>
    <cellStyle name="Normal 2 2 2 23 3 4 3" xfId="3384" xr:uid="{B19F1B28-B19A-45E7-926B-B2DAE9CD1D89}"/>
    <cellStyle name="Normal 2 2 2 23 3 4 4" xfId="3385" xr:uid="{D3D144F3-A857-44F5-A060-BA7CA0F43714}"/>
    <cellStyle name="Normal 2 2 2 23 3 4 5" xfId="3386" xr:uid="{C48F3AFE-C535-4027-A2C4-9A63BE2CE1CB}"/>
    <cellStyle name="Normal 2 2 2 23 3 4 6" xfId="3387" xr:uid="{5945BF34-155E-4309-AEDD-74F1AB6FD3E3}"/>
    <cellStyle name="Normal 2 2 2 23 3 4 7" xfId="3388" xr:uid="{C9A58D5C-C382-4D9C-B48C-CE732834AD89}"/>
    <cellStyle name="Normal 2 2 2 23 3 4 8" xfId="3389" xr:uid="{CBA08A33-319C-4B06-8E26-63E3DC7641C2}"/>
    <cellStyle name="Normal 2 2 2 23 3 5" xfId="3390" xr:uid="{8A3F5928-724B-4DE3-89AA-F1FBB1579B37}"/>
    <cellStyle name="Normal 2 2 2 23 3 6" xfId="3391" xr:uid="{24094984-9E10-4CF5-9A4E-A96B80768548}"/>
    <cellStyle name="Normal 2 2 2 23 3 7" xfId="3392" xr:uid="{DB2B97AF-6B2A-4A20-8038-FCD689F4B5F4}"/>
    <cellStyle name="Normal 2 2 2 23 3 8" xfId="3393" xr:uid="{1B417F63-C6F3-4C36-9EEF-424783614A7E}"/>
    <cellStyle name="Normal 2 2 2 23 3 9" xfId="3394" xr:uid="{233D56F9-28AC-489F-93DA-79CC2F10BB0B}"/>
    <cellStyle name="Normal 2 2 2 23 4" xfId="3395" xr:uid="{7CBD174A-6313-403D-96B8-5C23FB812A14}"/>
    <cellStyle name="Normal 2 2 2 23 5" xfId="3396" xr:uid="{7B475DC4-75FA-46DA-81C8-052D430D1A4A}"/>
    <cellStyle name="Normal 2 2 2 23 6" xfId="3397" xr:uid="{B6D93BB9-4709-48E8-80CE-23D0389ABD59}"/>
    <cellStyle name="Normal 2 2 2 23 7" xfId="3398" xr:uid="{0571D2A8-3F05-4453-8B36-727E83726221}"/>
    <cellStyle name="Normal 2 2 2 23 8" xfId="3399" xr:uid="{629E9F9F-F83D-434B-A284-4E4B53B79352}"/>
    <cellStyle name="Normal 2 2 2 23 9" xfId="3400" xr:uid="{B2622F65-2731-44FB-B4C5-65003D381904}"/>
    <cellStyle name="Normal 2 2 2 24" xfId="3401" xr:uid="{BB5EB656-9F1C-44A2-91C6-4141761C476F}"/>
    <cellStyle name="Normal 2 2 2 25" xfId="3402" xr:uid="{7BB74926-7F9B-43F7-8FE2-2212991D2017}"/>
    <cellStyle name="Normal 2 2 2 26" xfId="3403" xr:uid="{11C63F3F-6713-4331-AC5F-883D318C642E}"/>
    <cellStyle name="Normal 2 2 2 27" xfId="3404" xr:uid="{9D576E41-4E9E-45C0-86E1-FCA364D2BB29}"/>
    <cellStyle name="Normal 2 2 2 28" xfId="3405" xr:uid="{F8616CCF-919D-4333-9DCB-EEB7A7C5B1B8}"/>
    <cellStyle name="Normal 2 2 2 28 10" xfId="3406" xr:uid="{F230A111-B6A6-46A6-A727-60BF47590E45}"/>
    <cellStyle name="Normal 2 2 2 28 2" xfId="3407" xr:uid="{A16C1215-7D2D-424D-B68D-100D96A97919}"/>
    <cellStyle name="Normal 2 2 2 28 2 2" xfId="3408" xr:uid="{D4BDCD61-F733-40ED-AF53-2B655E785405}"/>
    <cellStyle name="Normal 2 2 2 28 2 2 2" xfId="3409" xr:uid="{2EAD32AE-C9F6-4377-A8C1-CB455E8E649A}"/>
    <cellStyle name="Normal 2 2 2 28 2 2 2 2" xfId="3410" xr:uid="{B45745C3-2A95-414F-969A-ADF443F878B8}"/>
    <cellStyle name="Normal 2 2 2 28 2 2 2 3" xfId="3411" xr:uid="{4433393F-3FB6-4100-8171-EB7CD2457472}"/>
    <cellStyle name="Normal 2 2 2 28 2 2 2 4" xfId="3412" xr:uid="{6084E1DB-3727-4F26-A694-0A6AC39AE5DE}"/>
    <cellStyle name="Normal 2 2 2 28 2 2 2 5" xfId="3413" xr:uid="{CBFCC4C8-2AED-4C4C-B37D-E387AAF8814F}"/>
    <cellStyle name="Normal 2 2 2 28 2 2 2 6" xfId="3414" xr:uid="{FF64BBCD-D865-4878-8A10-AE4754FF563A}"/>
    <cellStyle name="Normal 2 2 2 28 2 2 2 7" xfId="3415" xr:uid="{24E2DF0B-6E0F-46B7-8D31-0BE4B296A459}"/>
    <cellStyle name="Normal 2 2 2 28 2 2 2 8" xfId="3416" xr:uid="{07EA63D8-CC75-4DF8-B343-4C80B6AEA85F}"/>
    <cellStyle name="Normal 2 2 2 28 2 2 3" xfId="3417" xr:uid="{DCB8C04A-47B0-4BA1-8387-655AB14C4D4E}"/>
    <cellStyle name="Normal 2 2 2 28 2 2 4" xfId="3418" xr:uid="{7761BFEF-2635-46C0-A2F4-1F4A58C2ABBE}"/>
    <cellStyle name="Normal 2 2 2 28 2 2 5" xfId="3419" xr:uid="{0A9F914A-8972-4488-93C1-83776F59E293}"/>
    <cellStyle name="Normal 2 2 2 28 2 2 6" xfId="3420" xr:uid="{155E8535-06FE-45F2-8014-9AB0F9B37B30}"/>
    <cellStyle name="Normal 2 2 2 28 2 2 7" xfId="3421" xr:uid="{510C848B-A3A2-4388-B441-FB6848A93262}"/>
    <cellStyle name="Normal 2 2 2 28 2 2 8" xfId="3422" xr:uid="{D5695DD4-0CBD-4EAC-9B83-D04165C6B79D}"/>
    <cellStyle name="Normal 2 2 2 28 2 3" xfId="3423" xr:uid="{D260DC02-3510-4CC5-BA66-30BA18487EFC}"/>
    <cellStyle name="Normal 2 2 2 28 2 4" xfId="3424" xr:uid="{814381E5-608D-45C4-BE75-6B0A9C3381A6}"/>
    <cellStyle name="Normal 2 2 2 28 2 5" xfId="3425" xr:uid="{EDAC8151-1572-4D23-8D7B-6B43A2A50233}"/>
    <cellStyle name="Normal 2 2 2 28 2 6" xfId="3426" xr:uid="{63A0CBC4-9762-433B-A43A-A6F67F6BFAAE}"/>
    <cellStyle name="Normal 2 2 2 28 2 7" xfId="3427" xr:uid="{560F908C-CDC6-4DF8-945F-25DDEA108749}"/>
    <cellStyle name="Normal 2 2 2 28 2 8" xfId="3428" xr:uid="{B66558DE-5835-46F1-BF3F-559BFA4067A6}"/>
    <cellStyle name="Normal 2 2 2 28 2 9" xfId="3429" xr:uid="{B6945C2B-74F7-430B-91F7-D3E5BD785C05}"/>
    <cellStyle name="Normal 2 2 2 28 3" xfId="3430" xr:uid="{1E138D64-9C86-4C0D-AC4A-EBB3647AA3EA}"/>
    <cellStyle name="Normal 2 2 2 28 4" xfId="3431" xr:uid="{06E97051-10FC-4A2F-9EF5-894414004DBE}"/>
    <cellStyle name="Normal 2 2 2 28 4 2" xfId="3432" xr:uid="{17EAA018-C0AF-434F-89FD-E7B205391332}"/>
    <cellStyle name="Normal 2 2 2 28 4 3" xfId="3433" xr:uid="{D7AF112D-E41A-4977-B7C8-4E15531C35A0}"/>
    <cellStyle name="Normal 2 2 2 28 4 4" xfId="3434" xr:uid="{ED044490-A9D4-4B2E-A0F4-F06ABB8EADF1}"/>
    <cellStyle name="Normal 2 2 2 28 4 5" xfId="3435" xr:uid="{A27A10BC-3A10-46E2-974E-41977B8C6CA1}"/>
    <cellStyle name="Normal 2 2 2 28 4 6" xfId="3436" xr:uid="{605D5ED1-9E41-46F8-9ACC-41ECF26569B1}"/>
    <cellStyle name="Normal 2 2 2 28 4 7" xfId="3437" xr:uid="{BD6A23E5-5AAD-4D6F-8D13-A3CD126DD065}"/>
    <cellStyle name="Normal 2 2 2 28 4 8" xfId="3438" xr:uid="{5A9AB9A6-A3BA-40A1-814A-7A85FFAF3A45}"/>
    <cellStyle name="Normal 2 2 2 28 5" xfId="3439" xr:uid="{2793E360-F388-4AEC-BD4F-BFDB2E8A7A8B}"/>
    <cellStyle name="Normal 2 2 2 28 6" xfId="3440" xr:uid="{99C6E6B8-BDF5-4A05-8188-880A376526EB}"/>
    <cellStyle name="Normal 2 2 2 28 7" xfId="3441" xr:uid="{85850910-36CE-4224-8D5D-782346C3D39A}"/>
    <cellStyle name="Normal 2 2 2 28 8" xfId="3442" xr:uid="{285A2EF9-4652-461F-8F9A-1023B59D6B5F}"/>
    <cellStyle name="Normal 2 2 2 28 9" xfId="3443" xr:uid="{9C7477EC-025F-43B8-B467-33770F5C9997}"/>
    <cellStyle name="Normal 2 2 2 29" xfId="3444" xr:uid="{BC06E3A9-BB54-401A-AAB5-1A77A394373E}"/>
    <cellStyle name="Normal 2 2 2 3" xfId="3445" xr:uid="{FACFFE9F-4B85-4D1A-8667-1F1A0240D4B3}"/>
    <cellStyle name="Normal 2 2 2 3 10" xfId="3446" xr:uid="{FC27153F-FB95-4E01-A9B9-3AA68E129D04}"/>
    <cellStyle name="Normal 2 2 2 3 11" xfId="3447" xr:uid="{B625A6B4-8F27-40FC-B9F4-CBD681442CB5}"/>
    <cellStyle name="Normal 2 2 2 3 12" xfId="3448" xr:uid="{772E4741-0E84-42AE-9285-5449CAF2571B}"/>
    <cellStyle name="Normal 2 2 2 3 13" xfId="3449" xr:uid="{A7781237-8E57-4E24-AFAA-5773B8E66F5B}"/>
    <cellStyle name="Normal 2 2 2 3 14" xfId="3450" xr:uid="{D266CB8A-7EF8-4E1F-A5E1-A52B48678CA8}"/>
    <cellStyle name="Normal 2 2 2 3 15" xfId="3451" xr:uid="{DB7786BF-4A8E-4F6A-B5E5-187055C3D36C}"/>
    <cellStyle name="Normal 2 2 2 3 15 2" xfId="3452" xr:uid="{158F5EFD-C2A0-474F-940C-6EE4E0634529}"/>
    <cellStyle name="Normal 2 2 2 3 15 2 2" xfId="3453" xr:uid="{35306398-2968-494F-9EE1-2460EC1552DE}"/>
    <cellStyle name="Normal 2 2 2 3 15 2 2 2" xfId="3454" xr:uid="{CE66F1B4-88C0-4A0C-BF55-20822558FE54}"/>
    <cellStyle name="Normal 2 2 2 3 15 2 2 3" xfId="3455" xr:uid="{4C57B45C-3311-4355-87F6-03D8D76467F5}"/>
    <cellStyle name="Normal 2 2 2 3 15 2 2 4" xfId="3456" xr:uid="{5B6F062F-CB17-4FFC-8DF2-EB0ABB6B1CDC}"/>
    <cellStyle name="Normal 2 2 2 3 15 2 2 5" xfId="3457" xr:uid="{2C1DA067-E6A7-4ABF-ABDA-1AEFD7A1BE5C}"/>
    <cellStyle name="Normal 2 2 2 3 15 2 2 6" xfId="3458" xr:uid="{1ABF26AD-D416-4C2A-973F-E441EA44840D}"/>
    <cellStyle name="Normal 2 2 2 3 15 2 2 7" xfId="3459" xr:uid="{CB708FC6-5148-4CEE-8951-131CC9AC64FF}"/>
    <cellStyle name="Normal 2 2 2 3 15 2 2 8" xfId="3460" xr:uid="{7D86A88E-8878-4252-BABB-170FEEEE5786}"/>
    <cellStyle name="Normal 2 2 2 3 15 2 3" xfId="3461" xr:uid="{FE550824-99BA-4697-80A6-DBB9100CF0D1}"/>
    <cellStyle name="Normal 2 2 2 3 15 2 4" xfId="3462" xr:uid="{8DDC7F76-9840-4720-B8A9-DCDE6C60E25E}"/>
    <cellStyle name="Normal 2 2 2 3 15 2 5" xfId="3463" xr:uid="{712691A7-5FFD-425C-92BE-644961E825BF}"/>
    <cellStyle name="Normal 2 2 2 3 15 2 6" xfId="3464" xr:uid="{117FA376-D68B-4BD8-AF22-6833C6AC7C82}"/>
    <cellStyle name="Normal 2 2 2 3 15 2 7" xfId="3465" xr:uid="{64248F0D-B205-499E-9EC0-D7EFCC8EE65F}"/>
    <cellStyle name="Normal 2 2 2 3 15 2 8" xfId="3466" xr:uid="{B8B6D3C1-33D6-4666-9A4B-4769FFCC8244}"/>
    <cellStyle name="Normal 2 2 2 3 15 3" xfId="3467" xr:uid="{D2B5E935-CB62-4C26-80DB-32165A0BC095}"/>
    <cellStyle name="Normal 2 2 2 3 15 4" xfId="3468" xr:uid="{851A2BDC-CD64-49A3-9529-16D5D26F726F}"/>
    <cellStyle name="Normal 2 2 2 3 15 5" xfId="3469" xr:uid="{747D55BF-7748-4367-8DAC-3032874B634E}"/>
    <cellStyle name="Normal 2 2 2 3 15 6" xfId="3470" xr:uid="{5B9B19CF-4AED-4D2F-B34D-CF9F0D12D327}"/>
    <cellStyle name="Normal 2 2 2 3 15 7" xfId="3471" xr:uid="{E4B96D16-FB94-4376-940D-51612B238788}"/>
    <cellStyle name="Normal 2 2 2 3 15 8" xfId="3472" xr:uid="{A74ED23B-2537-4973-B073-629D9DE770A3}"/>
    <cellStyle name="Normal 2 2 2 3 15 9" xfId="3473" xr:uid="{136834BF-486F-4E18-96DD-32CC583249BE}"/>
    <cellStyle name="Normal 2 2 2 3 16" xfId="3474" xr:uid="{F1C46D9C-C8EE-4E31-BD64-A8B9E6B56F7A}"/>
    <cellStyle name="Normal 2 2 2 3 16 2" xfId="3475" xr:uid="{6B9318BC-C87E-4888-BFDE-FB6BF7CF12F2}"/>
    <cellStyle name="Normal 2 2 2 3 16 3" xfId="3476" xr:uid="{098E4FAF-55AD-4A2E-8690-5844890E7B7E}"/>
    <cellStyle name="Normal 2 2 2 3 16 4" xfId="3477" xr:uid="{CCE324A3-9701-48D1-A278-BEEA9AC41D70}"/>
    <cellStyle name="Normal 2 2 2 3 16 5" xfId="3478" xr:uid="{21BDCDAC-CE0B-4CC9-8A27-904454B37813}"/>
    <cellStyle name="Normal 2 2 2 3 16 6" xfId="3479" xr:uid="{392324BE-C9C6-406C-A874-829EA1D507C1}"/>
    <cellStyle name="Normal 2 2 2 3 16 7" xfId="3480" xr:uid="{DDE3E52D-825C-46C6-9176-0C12D7506404}"/>
    <cellStyle name="Normal 2 2 2 3 16 8" xfId="3481" xr:uid="{D066DF76-64E4-4559-91EB-DCAEB1AA74C1}"/>
    <cellStyle name="Normal 2 2 2 3 17" xfId="3482" xr:uid="{0D158824-FAB6-494B-A39C-4B4C87550647}"/>
    <cellStyle name="Normal 2 2 2 3 18" xfId="3483" xr:uid="{1A00FC57-3C53-40E5-8E9E-853D604C057B}"/>
    <cellStyle name="Normal 2 2 2 3 19" xfId="3484" xr:uid="{B8FA8452-D06E-47A6-B056-BC9741EC0101}"/>
    <cellStyle name="Normal 2 2 2 3 2" xfId="3485" xr:uid="{EAE208F7-5EA8-47CB-B588-2F1F5B007313}"/>
    <cellStyle name="Normal 2 2 2 3 2 10" xfId="3486" xr:uid="{FD122B8A-6745-4FC3-A8BF-1AD6F185A64C}"/>
    <cellStyle name="Normal 2 2 2 3 2 11" xfId="3487" xr:uid="{EF9A42EB-8C68-4C59-BDF9-6851C89E8087}"/>
    <cellStyle name="Normal 2 2 2 3 2 12" xfId="3488" xr:uid="{0C9A33A9-0939-4694-AF29-044B90941B5E}"/>
    <cellStyle name="Normal 2 2 2 3 2 13" xfId="3489" xr:uid="{2645CBF6-3222-4163-AC4A-8879CB13C784}"/>
    <cellStyle name="Normal 2 2 2 3 2 14" xfId="3490" xr:uid="{652A60AE-EFC5-4244-9481-10921340C2EF}"/>
    <cellStyle name="Normal 2 2 2 3 2 15" xfId="3491" xr:uid="{8F9CD0CD-F3BA-4774-84C4-D9B93DB74A35}"/>
    <cellStyle name="Normal 2 2 2 3 2 15 2" xfId="3492" xr:uid="{DF8AEE54-48FB-4224-8268-19E8F189A96F}"/>
    <cellStyle name="Normal 2 2 2 3 2 15 2 2" xfId="3493" xr:uid="{E969A6A0-E2A0-4590-AC1C-BF43A93F32BF}"/>
    <cellStyle name="Normal 2 2 2 3 2 15 2 2 2" xfId="3494" xr:uid="{561299E4-954B-4948-9E22-FA331848B037}"/>
    <cellStyle name="Normal 2 2 2 3 2 15 2 2 3" xfId="3495" xr:uid="{FCC70F7A-896C-4C16-8DBE-56879A25869B}"/>
    <cellStyle name="Normal 2 2 2 3 2 15 2 2 4" xfId="3496" xr:uid="{199E8840-42B2-4FF2-94E7-F220DFAB97A3}"/>
    <cellStyle name="Normal 2 2 2 3 2 15 2 2 5" xfId="3497" xr:uid="{C2CC6527-A373-4FB6-9831-E05414EB3698}"/>
    <cellStyle name="Normal 2 2 2 3 2 15 2 2 6" xfId="3498" xr:uid="{B655A990-732D-458A-A9BA-35EAE0A64D15}"/>
    <cellStyle name="Normal 2 2 2 3 2 15 2 2 7" xfId="3499" xr:uid="{BE11BC26-CE2A-4FEB-AF1F-E21F343EF7F7}"/>
    <cellStyle name="Normal 2 2 2 3 2 15 2 2 8" xfId="3500" xr:uid="{7625D82B-9025-42EF-AB08-5F8A9344C550}"/>
    <cellStyle name="Normal 2 2 2 3 2 15 2 3" xfId="3501" xr:uid="{14BD1DAC-119D-4178-80FA-12B25369DF5A}"/>
    <cellStyle name="Normal 2 2 2 3 2 15 2 4" xfId="3502" xr:uid="{106E4D19-4EB0-4234-8CE0-41957FC95450}"/>
    <cellStyle name="Normal 2 2 2 3 2 15 2 5" xfId="3503" xr:uid="{647807D8-CCC6-423C-BB30-04A7EA0F8680}"/>
    <cellStyle name="Normal 2 2 2 3 2 15 2 6" xfId="3504" xr:uid="{CA526C5F-0DF0-4794-9C43-6C1509522BA1}"/>
    <cellStyle name="Normal 2 2 2 3 2 15 2 7" xfId="3505" xr:uid="{7FDB2EBB-3F87-4193-A755-5F84FF622DE9}"/>
    <cellStyle name="Normal 2 2 2 3 2 15 2 8" xfId="3506" xr:uid="{DFA51E2F-E80E-4731-80D5-552BC10F2317}"/>
    <cellStyle name="Normal 2 2 2 3 2 15 3" xfId="3507" xr:uid="{0B587477-F27D-4E69-A51C-B6C405316D6E}"/>
    <cellStyle name="Normal 2 2 2 3 2 15 4" xfId="3508" xr:uid="{89CE46EF-2174-43A4-96B0-08A2675078C6}"/>
    <cellStyle name="Normal 2 2 2 3 2 15 5" xfId="3509" xr:uid="{B65122B2-B42B-4E0F-9CD2-2658A1702F98}"/>
    <cellStyle name="Normal 2 2 2 3 2 15 6" xfId="3510" xr:uid="{72AB685F-9FD7-447D-8763-62A1973794E6}"/>
    <cellStyle name="Normal 2 2 2 3 2 15 7" xfId="3511" xr:uid="{1BE597AB-65F3-4F33-A8BD-91488DA73E8D}"/>
    <cellStyle name="Normal 2 2 2 3 2 15 8" xfId="3512" xr:uid="{F80C7DC1-B1DA-427B-961E-5993C1423B9C}"/>
    <cellStyle name="Normal 2 2 2 3 2 15 9" xfId="3513" xr:uid="{143E4761-809B-47F3-B767-934C1FFAB3F0}"/>
    <cellStyle name="Normal 2 2 2 3 2 16" xfId="3514" xr:uid="{ED3AD493-063E-4D6A-9F12-C7A96D302CBB}"/>
    <cellStyle name="Normal 2 2 2 3 2 16 2" xfId="3515" xr:uid="{8D398C4C-CFAB-44E8-99F7-04A1872C645F}"/>
    <cellStyle name="Normal 2 2 2 3 2 16 3" xfId="3516" xr:uid="{14752BD3-B47D-4505-AA01-757E80D4E47D}"/>
    <cellStyle name="Normal 2 2 2 3 2 16 4" xfId="3517" xr:uid="{E24FDCD3-8CAE-40A0-ADC7-1EDB8606ECE5}"/>
    <cellStyle name="Normal 2 2 2 3 2 16 5" xfId="3518" xr:uid="{C959D9FC-E580-4BFE-88E4-FC0B7D747991}"/>
    <cellStyle name="Normal 2 2 2 3 2 16 6" xfId="3519" xr:uid="{1DC02660-8256-482D-8B10-63198B0C6080}"/>
    <cellStyle name="Normal 2 2 2 3 2 16 7" xfId="3520" xr:uid="{A88DE1B3-7A5D-42C5-A725-89C7E87A3A06}"/>
    <cellStyle name="Normal 2 2 2 3 2 16 8" xfId="3521" xr:uid="{FE5E1BD2-126F-4AA7-90B7-9DD5B5028E8F}"/>
    <cellStyle name="Normal 2 2 2 3 2 17" xfId="3522" xr:uid="{F3ABDE39-0CAE-4390-96C3-5C9E5AAA0EB3}"/>
    <cellStyle name="Normal 2 2 2 3 2 18" xfId="3523" xr:uid="{5E4F567B-6E7D-4182-A017-31BEE8AF4789}"/>
    <cellStyle name="Normal 2 2 2 3 2 19" xfId="3524" xr:uid="{7786546F-0BB6-42AC-979D-7CFD4D0BCE44}"/>
    <cellStyle name="Normal 2 2 2 3 2 2" xfId="3525" xr:uid="{1C3BBAEA-0E99-4A31-A61D-CC94B0417D62}"/>
    <cellStyle name="Normal 2 2 2 3 2 2 10" xfId="3526" xr:uid="{65EE63D6-1571-40CD-83D7-65F0607F900C}"/>
    <cellStyle name="Normal 2 2 2 3 2 2 10 2" xfId="3527" xr:uid="{4E382279-1EDD-418B-840C-62308928CA37}"/>
    <cellStyle name="Normal 2 2 2 3 2 2 10 2 2" xfId="3528" xr:uid="{29A959EB-3318-4B0D-8AC8-9A17FE230689}"/>
    <cellStyle name="Normal 2 2 2 3 2 2 10 2 2 2" xfId="3529" xr:uid="{76904281-9E76-4CAD-88B0-6B1982FE36CC}"/>
    <cellStyle name="Normal 2 2 2 3 2 2 10 2 2 3" xfId="3530" xr:uid="{C0106558-F799-4C9F-9F55-E269F92A7EE6}"/>
    <cellStyle name="Normal 2 2 2 3 2 2 10 2 2 4" xfId="3531" xr:uid="{8F0F7F6F-ABB7-47C2-BE5D-449F6F6AF1BA}"/>
    <cellStyle name="Normal 2 2 2 3 2 2 10 2 2 5" xfId="3532" xr:uid="{5CAFC95A-6533-4AE7-9B5E-EC98421743F7}"/>
    <cellStyle name="Normal 2 2 2 3 2 2 10 2 2 6" xfId="3533" xr:uid="{C2A8B56D-D892-419E-A289-03EDD978E795}"/>
    <cellStyle name="Normal 2 2 2 3 2 2 10 2 2 7" xfId="3534" xr:uid="{D9F7D6E6-9FEA-46CE-B547-36D8951E1F86}"/>
    <cellStyle name="Normal 2 2 2 3 2 2 10 2 2 8" xfId="3535" xr:uid="{31519059-B1A7-4DDD-B016-B248B9C2DA90}"/>
    <cellStyle name="Normal 2 2 2 3 2 2 10 2 3" xfId="3536" xr:uid="{765EEC03-35BF-4A74-8BFF-53713718FF26}"/>
    <cellStyle name="Normal 2 2 2 3 2 2 10 2 4" xfId="3537" xr:uid="{DE1DAF91-0E40-486B-9182-F5D614D61155}"/>
    <cellStyle name="Normal 2 2 2 3 2 2 10 2 5" xfId="3538" xr:uid="{465A3B24-A44E-4B8E-AC8D-ED0CAA84A618}"/>
    <cellStyle name="Normal 2 2 2 3 2 2 10 2 6" xfId="3539" xr:uid="{C1502053-ECCF-4BDA-9B15-E01903117EEE}"/>
    <cellStyle name="Normal 2 2 2 3 2 2 10 2 7" xfId="3540" xr:uid="{3077FEF4-9027-45C5-9441-6C062613E79E}"/>
    <cellStyle name="Normal 2 2 2 3 2 2 10 2 8" xfId="3541" xr:uid="{64687D76-7120-4DCE-ABDE-4CFB9F06F311}"/>
    <cellStyle name="Normal 2 2 2 3 2 2 10 3" xfId="3542" xr:uid="{426C572A-BBDA-4B5B-95D0-45902390191C}"/>
    <cellStyle name="Normal 2 2 2 3 2 2 10 4" xfId="3543" xr:uid="{3F73E933-857A-444C-948D-9C0DE055BB90}"/>
    <cellStyle name="Normal 2 2 2 3 2 2 10 5" xfId="3544" xr:uid="{12172DE5-9F00-4EE6-B572-13E7F15E63BA}"/>
    <cellStyle name="Normal 2 2 2 3 2 2 10 6" xfId="3545" xr:uid="{6592747B-B9C7-4B32-BFC5-4EEBBE3A739F}"/>
    <cellStyle name="Normal 2 2 2 3 2 2 10 7" xfId="3546" xr:uid="{E6B9F2E5-C953-4A39-82A2-3622871D9C4B}"/>
    <cellStyle name="Normal 2 2 2 3 2 2 10 8" xfId="3547" xr:uid="{C5C9410A-4776-4259-AA38-7C29491F76B7}"/>
    <cellStyle name="Normal 2 2 2 3 2 2 10 9" xfId="3548" xr:uid="{326C87B7-58E4-44D6-9F5F-625B405B0745}"/>
    <cellStyle name="Normal 2 2 2 3 2 2 11" xfId="3549" xr:uid="{7742DD41-DFFE-4044-B47D-FCE3E3943A49}"/>
    <cellStyle name="Normal 2 2 2 3 2 2 11 2" xfId="3550" xr:uid="{A4A1E306-68AC-4FDE-8679-C31DFB708FFF}"/>
    <cellStyle name="Normal 2 2 2 3 2 2 11 3" xfId="3551" xr:uid="{FF35BD7E-483D-4EEB-8478-4D94508DE621}"/>
    <cellStyle name="Normal 2 2 2 3 2 2 11 4" xfId="3552" xr:uid="{F6207A42-B596-4507-9141-C626A7645202}"/>
    <cellStyle name="Normal 2 2 2 3 2 2 11 5" xfId="3553" xr:uid="{6F2BF98D-A7CD-4536-928A-4A5DF9956E73}"/>
    <cellStyle name="Normal 2 2 2 3 2 2 11 6" xfId="3554" xr:uid="{1FD303BC-1F54-49E2-9BC4-751E64C6CFDA}"/>
    <cellStyle name="Normal 2 2 2 3 2 2 11 7" xfId="3555" xr:uid="{F22955C3-59AA-4C3D-89AA-8FBA08A0216A}"/>
    <cellStyle name="Normal 2 2 2 3 2 2 11 8" xfId="3556" xr:uid="{809F5EFA-BF62-4E85-A96A-17DB7FFF97E8}"/>
    <cellStyle name="Normal 2 2 2 3 2 2 12" xfId="3557" xr:uid="{A0A4C1ED-5A08-41B8-B99E-88254F1834F1}"/>
    <cellStyle name="Normal 2 2 2 3 2 2 13" xfId="3558" xr:uid="{B4D9C902-6A14-4A88-8304-7D4CE4C4A9EB}"/>
    <cellStyle name="Normal 2 2 2 3 2 2 14" xfId="3559" xr:uid="{AFB13C01-D76A-4694-98A5-D7567CE40854}"/>
    <cellStyle name="Normal 2 2 2 3 2 2 15" xfId="3560" xr:uid="{0E3BB07D-6938-4073-ACD6-B7F5839AB961}"/>
    <cellStyle name="Normal 2 2 2 3 2 2 16" xfId="3561" xr:uid="{310F4BCA-F2A5-4691-A682-61E3D89CA82D}"/>
    <cellStyle name="Normal 2 2 2 3 2 2 17" xfId="3562" xr:uid="{BB40DD35-80FF-47E0-9654-822B8C1AEB73}"/>
    <cellStyle name="Normal 2 2 2 3 2 2 2" xfId="3563" xr:uid="{D3C4F4B8-C294-4381-BCA7-ECD99D53B022}"/>
    <cellStyle name="Normal 2 2 2 3 2 2 2 10" xfId="3564" xr:uid="{EFD67912-981B-432B-81CE-2E25B6C502EE}"/>
    <cellStyle name="Normal 2 2 2 3 2 2 2 10 2" xfId="3565" xr:uid="{CE2ED9F9-BD6E-40A9-A67D-D063221A57B0}"/>
    <cellStyle name="Normal 2 2 2 3 2 2 2 10 2 2" xfId="3566" xr:uid="{E85CACC1-3073-4BC3-86F2-AD3FDAC9E7E6}"/>
    <cellStyle name="Normal 2 2 2 3 2 2 2 10 2 2 2" xfId="3567" xr:uid="{CCA4EE76-20B0-4FA7-B6C1-31CB5E950CDC}"/>
    <cellStyle name="Normal 2 2 2 3 2 2 2 10 2 2 3" xfId="3568" xr:uid="{4A640572-8FFB-41AD-90BD-FD24027FBCBE}"/>
    <cellStyle name="Normal 2 2 2 3 2 2 2 10 2 2 4" xfId="3569" xr:uid="{C2B4E204-555A-4749-A436-223D1614664C}"/>
    <cellStyle name="Normal 2 2 2 3 2 2 2 10 2 2 5" xfId="3570" xr:uid="{B9DAF67D-FE9C-45CA-8EA2-322CD15B0B51}"/>
    <cellStyle name="Normal 2 2 2 3 2 2 2 10 2 2 6" xfId="3571" xr:uid="{3DB0F087-94FA-402D-B070-CA1F37561ABC}"/>
    <cellStyle name="Normal 2 2 2 3 2 2 2 10 2 2 7" xfId="3572" xr:uid="{A5755174-1A67-40C8-A948-C5D497E0B23A}"/>
    <cellStyle name="Normal 2 2 2 3 2 2 2 10 2 2 8" xfId="3573" xr:uid="{45DFEEF1-FC48-48B2-81DB-B83A80027DF0}"/>
    <cellStyle name="Normal 2 2 2 3 2 2 2 10 2 3" xfId="3574" xr:uid="{94CAA26E-DCFB-4452-80A8-9987BFD8EDBC}"/>
    <cellStyle name="Normal 2 2 2 3 2 2 2 10 2 4" xfId="3575" xr:uid="{D6194139-1584-48CA-8056-B34EF1DA0C41}"/>
    <cellStyle name="Normal 2 2 2 3 2 2 2 10 2 5" xfId="3576" xr:uid="{0FE13D17-7640-4B59-B3FC-205D1E5493C2}"/>
    <cellStyle name="Normal 2 2 2 3 2 2 2 10 2 6" xfId="3577" xr:uid="{3B44DDA0-50CA-4105-B90A-4B0B6CFF816F}"/>
    <cellStyle name="Normal 2 2 2 3 2 2 2 10 2 7" xfId="3578" xr:uid="{3E21E036-60A7-42E8-9016-0D20527CF808}"/>
    <cellStyle name="Normal 2 2 2 3 2 2 2 10 2 8" xfId="3579" xr:uid="{BCEE06A2-9980-44D4-AAFC-1021008FC744}"/>
    <cellStyle name="Normal 2 2 2 3 2 2 2 10 3" xfId="3580" xr:uid="{CFFE0DCC-9B46-4CDD-9043-4AFC86C1BDD4}"/>
    <cellStyle name="Normal 2 2 2 3 2 2 2 10 4" xfId="3581" xr:uid="{D783B413-4C89-4419-AC98-E42B3D25951C}"/>
    <cellStyle name="Normal 2 2 2 3 2 2 2 10 5" xfId="3582" xr:uid="{38081A65-8480-4E70-BA54-4B8DD14044FF}"/>
    <cellStyle name="Normal 2 2 2 3 2 2 2 10 6" xfId="3583" xr:uid="{2CA25BCD-0606-4C60-829D-4FCEFF7491F5}"/>
    <cellStyle name="Normal 2 2 2 3 2 2 2 10 7" xfId="3584" xr:uid="{8E86E07A-A3D4-4BAF-867F-6B342EA3D0E7}"/>
    <cellStyle name="Normal 2 2 2 3 2 2 2 10 8" xfId="3585" xr:uid="{01CC87CF-468F-498E-A6A9-54BC9A5303FC}"/>
    <cellStyle name="Normal 2 2 2 3 2 2 2 10 9" xfId="3586" xr:uid="{B8006A85-91A0-4339-942B-4BC8C759BFC5}"/>
    <cellStyle name="Normal 2 2 2 3 2 2 2 11" xfId="3587" xr:uid="{4EA33046-36DA-4643-94E0-A4CF1222D1DA}"/>
    <cellStyle name="Normal 2 2 2 3 2 2 2 11 2" xfId="3588" xr:uid="{0C1CC461-1A11-4C2D-91D2-3D30B418C476}"/>
    <cellStyle name="Normal 2 2 2 3 2 2 2 11 3" xfId="3589" xr:uid="{22979B5A-30D4-4296-9FB2-BDE29D96C101}"/>
    <cellStyle name="Normal 2 2 2 3 2 2 2 11 4" xfId="3590" xr:uid="{B3D3CE6E-6435-44E8-8D7C-A7A583CBB0F8}"/>
    <cellStyle name="Normal 2 2 2 3 2 2 2 11 5" xfId="3591" xr:uid="{3546E13C-63BB-4A06-B808-884539179C32}"/>
    <cellStyle name="Normal 2 2 2 3 2 2 2 11 6" xfId="3592" xr:uid="{CD547B55-02B5-4C30-8D97-656A95056F4D}"/>
    <cellStyle name="Normal 2 2 2 3 2 2 2 11 7" xfId="3593" xr:uid="{70E8D656-C27B-4EE7-A505-44415F9D8107}"/>
    <cellStyle name="Normal 2 2 2 3 2 2 2 11 8" xfId="3594" xr:uid="{A746A7C7-E6AC-4A7F-9DE9-00425ACA080E}"/>
    <cellStyle name="Normal 2 2 2 3 2 2 2 12" xfId="3595" xr:uid="{66563405-07A2-4A32-903C-F41C0467987C}"/>
    <cellStyle name="Normal 2 2 2 3 2 2 2 13" xfId="3596" xr:uid="{CB00F6EF-CC19-4323-A8F5-5A718A3E3DA9}"/>
    <cellStyle name="Normal 2 2 2 3 2 2 2 14" xfId="3597" xr:uid="{9F78D643-E4CD-4B30-A8DA-C447BB10E128}"/>
    <cellStyle name="Normal 2 2 2 3 2 2 2 15" xfId="3598" xr:uid="{6B615BED-A3FF-4954-98C6-2FA870450FA9}"/>
    <cellStyle name="Normal 2 2 2 3 2 2 2 16" xfId="3599" xr:uid="{47E61860-CF82-4F89-8593-05BB085A7B83}"/>
    <cellStyle name="Normal 2 2 2 3 2 2 2 17" xfId="3600" xr:uid="{085EA123-79B2-4936-A82E-536EA2224294}"/>
    <cellStyle name="Normal 2 2 2 3 2 2 2 2" xfId="3601" xr:uid="{BED1CB52-C62C-46AC-A581-7CCE341DDEA5}"/>
    <cellStyle name="Normal 2 2 2 3 2 2 2 2 10" xfId="3602" xr:uid="{75C7B74B-E683-47B7-9E22-EBC6B1825FB1}"/>
    <cellStyle name="Normal 2 2 2 3 2 2 2 2 2" xfId="3603" xr:uid="{15081EA8-452C-4961-9ED4-5022A2135CB3}"/>
    <cellStyle name="Normal 2 2 2 3 2 2 2 2 2 2" xfId="3604" xr:uid="{B680CCBF-5CD9-4309-B115-9769689A73E2}"/>
    <cellStyle name="Normal 2 2 2 3 2 2 2 2 2 2 2" xfId="3605" xr:uid="{88A7B3C7-C70E-4F82-899F-1E5BF0033AD1}"/>
    <cellStyle name="Normal 2 2 2 3 2 2 2 2 2 2 2 2" xfId="3606" xr:uid="{C7AB71A3-114F-43BF-B673-4A97A4E6A0B7}"/>
    <cellStyle name="Normal 2 2 2 3 2 2 2 2 2 2 2 3" xfId="3607" xr:uid="{F32CD361-86BB-4250-BB53-8EFC6B1C955E}"/>
    <cellStyle name="Normal 2 2 2 3 2 2 2 2 2 2 2 4" xfId="3608" xr:uid="{E003CA7B-6CE5-4F33-8171-6EE1A8E3CA80}"/>
    <cellStyle name="Normal 2 2 2 3 2 2 2 2 2 2 2 5" xfId="3609" xr:uid="{4A1EF5ED-240B-4F55-A108-83698135A958}"/>
    <cellStyle name="Normal 2 2 2 3 2 2 2 2 2 2 2 6" xfId="3610" xr:uid="{AF245D33-A289-4070-BC66-6D6CA33B50B8}"/>
    <cellStyle name="Normal 2 2 2 3 2 2 2 2 2 2 2 7" xfId="3611" xr:uid="{D0754229-6900-484C-B616-7E63C3C564D9}"/>
    <cellStyle name="Normal 2 2 2 3 2 2 2 2 2 2 2 8" xfId="3612" xr:uid="{03AFA47E-BC79-4A78-9E87-F971F045C440}"/>
    <cellStyle name="Normal 2 2 2 3 2 2 2 2 2 2 3" xfId="3613" xr:uid="{600A28AB-FFB0-49E2-B63C-13C093C91F85}"/>
    <cellStyle name="Normal 2 2 2 3 2 2 2 2 2 2 4" xfId="3614" xr:uid="{44EB212B-0013-4888-978D-02E1ABCFAE03}"/>
    <cellStyle name="Normal 2 2 2 3 2 2 2 2 2 2 5" xfId="3615" xr:uid="{466F56CD-5121-4720-A2DB-E30080E436DE}"/>
    <cellStyle name="Normal 2 2 2 3 2 2 2 2 2 2 6" xfId="3616" xr:uid="{00C31DAC-8EB0-4DED-B97D-F3550375FCD6}"/>
    <cellStyle name="Normal 2 2 2 3 2 2 2 2 2 2 7" xfId="3617" xr:uid="{34AF18D3-49B2-4C51-88AD-4E37C0E214DB}"/>
    <cellStyle name="Normal 2 2 2 3 2 2 2 2 2 2 8" xfId="3618" xr:uid="{BC4CCBC3-946B-4CD9-9043-077C26D45163}"/>
    <cellStyle name="Normal 2 2 2 3 2 2 2 2 2 3" xfId="3619" xr:uid="{AC88DC0B-8654-46B3-908A-83C419FF09B1}"/>
    <cellStyle name="Normal 2 2 2 3 2 2 2 2 2 4" xfId="3620" xr:uid="{6148C86E-07FB-4B9D-8518-9A7DD4B9A6DB}"/>
    <cellStyle name="Normal 2 2 2 3 2 2 2 2 2 5" xfId="3621" xr:uid="{0B14D806-1F1C-4330-B136-0E9C2BD1D70E}"/>
    <cellStyle name="Normal 2 2 2 3 2 2 2 2 2 6" xfId="3622" xr:uid="{31E63376-9985-4D84-954F-4665C36C5F77}"/>
    <cellStyle name="Normal 2 2 2 3 2 2 2 2 2 7" xfId="3623" xr:uid="{D94A4119-EC4D-47BE-9DE4-13A8914B9EE1}"/>
    <cellStyle name="Normal 2 2 2 3 2 2 2 2 2 8" xfId="3624" xr:uid="{6C126A41-6824-47F3-B239-9B5BE0F3031D}"/>
    <cellStyle name="Normal 2 2 2 3 2 2 2 2 2 9" xfId="3625" xr:uid="{CA725D3F-D8DD-4341-AE00-D34AF7F38BAB}"/>
    <cellStyle name="Normal 2 2 2 3 2 2 2 2 3" xfId="3626" xr:uid="{50E97468-5F3B-48B2-966C-E75D0F00C77D}"/>
    <cellStyle name="Normal 2 2 2 3 2 2 2 2 4" xfId="3627" xr:uid="{4A1DE0AB-3F9C-4A96-A143-A0CB6DCA7B23}"/>
    <cellStyle name="Normal 2 2 2 3 2 2 2 2 4 2" xfId="3628" xr:uid="{75B57F8A-64D9-425C-80CC-A8804EB6E703}"/>
    <cellStyle name="Normal 2 2 2 3 2 2 2 2 4 3" xfId="3629" xr:uid="{A4F40B4F-8164-44BE-BF1A-EF16B9D86C77}"/>
    <cellStyle name="Normal 2 2 2 3 2 2 2 2 4 4" xfId="3630" xr:uid="{CD8AF87A-611C-4A7E-960E-09E7E5898B80}"/>
    <cellStyle name="Normal 2 2 2 3 2 2 2 2 4 5" xfId="3631" xr:uid="{9B1EDADA-D042-4766-861C-FB74811CC252}"/>
    <cellStyle name="Normal 2 2 2 3 2 2 2 2 4 6" xfId="3632" xr:uid="{B9206EF1-EDC7-4DD2-9DA4-4661100CE055}"/>
    <cellStyle name="Normal 2 2 2 3 2 2 2 2 4 7" xfId="3633" xr:uid="{548727A3-EDB8-4752-8348-92DF4D6324CB}"/>
    <cellStyle name="Normal 2 2 2 3 2 2 2 2 4 8" xfId="3634" xr:uid="{C25137FD-B46F-48D7-AAE3-F058D9308759}"/>
    <cellStyle name="Normal 2 2 2 3 2 2 2 2 5" xfId="3635" xr:uid="{113FC44E-767B-4D00-8555-B5DFAB468476}"/>
    <cellStyle name="Normal 2 2 2 3 2 2 2 2 6" xfId="3636" xr:uid="{47041C5E-D4FA-42E8-8200-6A0D663AB174}"/>
    <cellStyle name="Normal 2 2 2 3 2 2 2 2 7" xfId="3637" xr:uid="{C299BFA9-AFB9-4154-AA4A-D767B97FB831}"/>
    <cellStyle name="Normal 2 2 2 3 2 2 2 2 8" xfId="3638" xr:uid="{AE5D63A6-F265-45BF-B568-0EBABFF9B6CC}"/>
    <cellStyle name="Normal 2 2 2 3 2 2 2 2 9" xfId="3639" xr:uid="{5524D06D-F423-4131-984C-3218680A10E3}"/>
    <cellStyle name="Normal 2 2 2 3 2 2 2 3" xfId="3640" xr:uid="{E1D86615-4048-4488-A7C3-D0748012678B}"/>
    <cellStyle name="Normal 2 2 2 3 2 2 2 4" xfId="3641" xr:uid="{221C5548-E8B4-4992-8DDF-175A4D1C9857}"/>
    <cellStyle name="Normal 2 2 2 3 2 2 2 5" xfId="3642" xr:uid="{0E21873F-9EB9-46AD-9549-2D8894917F42}"/>
    <cellStyle name="Normal 2 2 2 3 2 2 2 6" xfId="3643" xr:uid="{9675D861-8CFE-4BBF-9FD3-98E6E51FF78F}"/>
    <cellStyle name="Normal 2 2 2 3 2 2 2 7" xfId="3644" xr:uid="{EBC58BCD-4819-49F6-B42B-06BA091D5D6E}"/>
    <cellStyle name="Normal 2 2 2 3 2 2 2 8" xfId="3645" xr:uid="{38893509-FA75-48A0-A6E6-9DE1A791267E}"/>
    <cellStyle name="Normal 2 2 2 3 2 2 2 9" xfId="3646" xr:uid="{FFFB8F2C-E251-4403-84BB-4887C422B2B6}"/>
    <cellStyle name="Normal 2 2 2 3 2 2 3" xfId="3647" xr:uid="{4733A886-3A4B-4443-BCE6-B4048D8B14C2}"/>
    <cellStyle name="Normal 2 2 2 3 2 2 3 10" xfId="3648" xr:uid="{7686BB1B-09BC-40CA-9E5C-C0E97F7826AE}"/>
    <cellStyle name="Normal 2 2 2 3 2 2 3 2" xfId="3649" xr:uid="{277382D1-E719-4338-A52D-6BF55BEFB868}"/>
    <cellStyle name="Normal 2 2 2 3 2 2 3 2 2" xfId="3650" xr:uid="{8B92739E-9173-4E10-9816-8BDC2542F036}"/>
    <cellStyle name="Normal 2 2 2 3 2 2 3 2 2 2" xfId="3651" xr:uid="{67800ADF-1D72-48F5-88F6-31697A02DECE}"/>
    <cellStyle name="Normal 2 2 2 3 2 2 3 2 2 2 2" xfId="3652" xr:uid="{8EC8E0AE-A842-4D14-B4C8-DCDC3C258451}"/>
    <cellStyle name="Normal 2 2 2 3 2 2 3 2 2 2 3" xfId="3653" xr:uid="{4FBFCAA0-5A7A-4158-8AF7-7AA2A57817A2}"/>
    <cellStyle name="Normal 2 2 2 3 2 2 3 2 2 2 4" xfId="3654" xr:uid="{2665873D-788F-4BA5-8415-AD27D64AE455}"/>
    <cellStyle name="Normal 2 2 2 3 2 2 3 2 2 2 5" xfId="3655" xr:uid="{B5C65299-4C50-42F7-B114-047E5F9FD9AF}"/>
    <cellStyle name="Normal 2 2 2 3 2 2 3 2 2 2 6" xfId="3656" xr:uid="{EC458293-9046-46D2-8C91-94B556FBE963}"/>
    <cellStyle name="Normal 2 2 2 3 2 2 3 2 2 2 7" xfId="3657" xr:uid="{1986A338-2400-430E-A5B5-37A35CE7077D}"/>
    <cellStyle name="Normal 2 2 2 3 2 2 3 2 2 2 8" xfId="3658" xr:uid="{FB0ED580-660D-4711-9146-DFB0DA05620B}"/>
    <cellStyle name="Normal 2 2 2 3 2 2 3 2 2 3" xfId="3659" xr:uid="{405718D6-F3F3-4F12-9CD4-ADF3412CD074}"/>
    <cellStyle name="Normal 2 2 2 3 2 2 3 2 2 4" xfId="3660" xr:uid="{9B333841-1F12-4AC2-8D02-8FF728F473AA}"/>
    <cellStyle name="Normal 2 2 2 3 2 2 3 2 2 5" xfId="3661" xr:uid="{C1E0918E-15DD-4266-8014-97C60FFB9DC9}"/>
    <cellStyle name="Normal 2 2 2 3 2 2 3 2 2 6" xfId="3662" xr:uid="{850C2B28-0C8A-48B2-9335-91A0C2419801}"/>
    <cellStyle name="Normal 2 2 2 3 2 2 3 2 2 7" xfId="3663" xr:uid="{906EA164-75C9-4502-90A9-EC003072D5AE}"/>
    <cellStyle name="Normal 2 2 2 3 2 2 3 2 2 8" xfId="3664" xr:uid="{D7791E67-C724-43B9-9B52-C8596BDE346D}"/>
    <cellStyle name="Normal 2 2 2 3 2 2 3 2 3" xfId="3665" xr:uid="{7816DC7F-7347-479C-92E7-1980DDF3F10D}"/>
    <cellStyle name="Normal 2 2 2 3 2 2 3 2 4" xfId="3666" xr:uid="{2CC02435-2205-4BD4-A584-014FFAD4A2E5}"/>
    <cellStyle name="Normal 2 2 2 3 2 2 3 2 5" xfId="3667" xr:uid="{DFC00726-1710-4065-98A9-220F8AD8507C}"/>
    <cellStyle name="Normal 2 2 2 3 2 2 3 2 6" xfId="3668" xr:uid="{5D4AF058-F6A2-46A9-9E54-A7414E8D04D8}"/>
    <cellStyle name="Normal 2 2 2 3 2 2 3 2 7" xfId="3669" xr:uid="{B88187D5-808B-4541-A998-7DEB3246B58B}"/>
    <cellStyle name="Normal 2 2 2 3 2 2 3 2 8" xfId="3670" xr:uid="{D2D0F2D9-EAFA-482D-9F98-F0B69A9AFAF0}"/>
    <cellStyle name="Normal 2 2 2 3 2 2 3 2 9" xfId="3671" xr:uid="{3209E210-908F-4540-B31C-D55E532FCCC7}"/>
    <cellStyle name="Normal 2 2 2 3 2 2 3 3" xfId="3672" xr:uid="{18087A35-E289-4578-899B-E38D4B2AD803}"/>
    <cellStyle name="Normal 2 2 2 3 2 2 3 4" xfId="3673" xr:uid="{8DF28C8B-AFBC-4F7A-8435-1F3812915586}"/>
    <cellStyle name="Normal 2 2 2 3 2 2 3 4 2" xfId="3674" xr:uid="{4F07EA54-8DAE-4405-9A29-CD3ADADE5FD1}"/>
    <cellStyle name="Normal 2 2 2 3 2 2 3 4 3" xfId="3675" xr:uid="{207BB35D-4125-4E4B-9BC2-82D5C7812A55}"/>
    <cellStyle name="Normal 2 2 2 3 2 2 3 4 4" xfId="3676" xr:uid="{EAAFB7A2-49E0-4642-A70B-16741CDA11A4}"/>
    <cellStyle name="Normal 2 2 2 3 2 2 3 4 5" xfId="3677" xr:uid="{DB697BE3-FEF0-49BA-A617-32537EE47819}"/>
    <cellStyle name="Normal 2 2 2 3 2 2 3 4 6" xfId="3678" xr:uid="{39919D6E-7560-4537-8722-E24DB6247448}"/>
    <cellStyle name="Normal 2 2 2 3 2 2 3 4 7" xfId="3679" xr:uid="{EC4FB114-5C24-4A41-94BE-80C4983E7E57}"/>
    <cellStyle name="Normal 2 2 2 3 2 2 3 4 8" xfId="3680" xr:uid="{2C5E7547-25B3-4221-8C26-AC4E0BDC254C}"/>
    <cellStyle name="Normal 2 2 2 3 2 2 3 5" xfId="3681" xr:uid="{25B2420E-81F3-4BD7-844D-590CEAE660C8}"/>
    <cellStyle name="Normal 2 2 2 3 2 2 3 6" xfId="3682" xr:uid="{1D301C82-EF3C-46D8-BFC8-69127168BC47}"/>
    <cellStyle name="Normal 2 2 2 3 2 2 3 7" xfId="3683" xr:uid="{AA542158-55CF-42F3-973D-FCE7E8407766}"/>
    <cellStyle name="Normal 2 2 2 3 2 2 3 8" xfId="3684" xr:uid="{68A1CEFF-E997-4012-B0C9-A1CA8A401B44}"/>
    <cellStyle name="Normal 2 2 2 3 2 2 3 9" xfId="3685" xr:uid="{0478078E-146A-4A23-AB0E-41F181D71EBD}"/>
    <cellStyle name="Normal 2 2 2 3 2 2 4" xfId="3686" xr:uid="{D68E88FB-A53F-4F8E-AF4B-E862D020FA93}"/>
    <cellStyle name="Normal 2 2 2 3 2 2 5" xfId="3687" xr:uid="{D0274F67-77C5-4439-97D5-9321298AF4E6}"/>
    <cellStyle name="Normal 2 2 2 3 2 2 6" xfId="3688" xr:uid="{10E49009-FC46-4FD2-80D7-0BAEAE689775}"/>
    <cellStyle name="Normal 2 2 2 3 2 2 7" xfId="3689" xr:uid="{644E660E-D454-4245-B27C-BF2750C9E505}"/>
    <cellStyle name="Normal 2 2 2 3 2 2 8" xfId="3690" xr:uid="{C7FF3335-F7B9-42E7-9744-739D5904807C}"/>
    <cellStyle name="Normal 2 2 2 3 2 2 9" xfId="3691" xr:uid="{513A405D-8A4F-4955-B97A-4C9E1DFEE2ED}"/>
    <cellStyle name="Normal 2 2 2 3 2 20" xfId="3692" xr:uid="{0030B8E2-99B0-4811-AE64-57898440D737}"/>
    <cellStyle name="Normal 2 2 2 3 2 21" xfId="3693" xr:uid="{C9D80576-0C49-4173-B37A-E51ED034B106}"/>
    <cellStyle name="Normal 2 2 2 3 2 22" xfId="3694" xr:uid="{F2B81B4B-8685-4BE6-808F-5E21CFFEB3BC}"/>
    <cellStyle name="Normal 2 2 2 3 2 3" xfId="3695" xr:uid="{A588B1C0-C3D3-4588-847E-505F79FC5FE8}"/>
    <cellStyle name="Normal 2 2 2 3 2 4" xfId="3696" xr:uid="{EDEEA85F-7D51-44B9-A3EA-7BB52CC8F1A5}"/>
    <cellStyle name="Normal 2 2 2 3 2 5" xfId="3697" xr:uid="{EC7A7ED2-2505-425C-AB76-8B296459930F}"/>
    <cellStyle name="Normal 2 2 2 3 2 6" xfId="3698" xr:uid="{C4832FF4-0286-44D7-ABB1-95E9A509B65D}"/>
    <cellStyle name="Normal 2 2 2 3 2 7" xfId="3699" xr:uid="{C1325992-BF7F-46E6-BAAB-45E3CD84EEFC}"/>
    <cellStyle name="Normal 2 2 2 3 2 7 10" xfId="3700" xr:uid="{03256F0D-FDF0-45F9-83AF-AFA9C1772F00}"/>
    <cellStyle name="Normal 2 2 2 3 2 7 2" xfId="3701" xr:uid="{145A4B26-12ED-42FA-A820-438129F85380}"/>
    <cellStyle name="Normal 2 2 2 3 2 7 2 2" xfId="3702" xr:uid="{9A2A13F7-3657-41E7-BD42-3FA1F3280160}"/>
    <cellStyle name="Normal 2 2 2 3 2 7 2 2 2" xfId="3703" xr:uid="{B23BC10B-EE2F-4044-A59C-5106DD35CC6E}"/>
    <cellStyle name="Normal 2 2 2 3 2 7 2 2 2 2" xfId="3704" xr:uid="{D0524B67-C168-4543-A27D-DA311D434FF9}"/>
    <cellStyle name="Normal 2 2 2 3 2 7 2 2 2 3" xfId="3705" xr:uid="{926793FF-9E13-4371-918D-5BF546FCC20C}"/>
    <cellStyle name="Normal 2 2 2 3 2 7 2 2 2 4" xfId="3706" xr:uid="{6075BE84-A725-4A67-9395-502B1110D516}"/>
    <cellStyle name="Normal 2 2 2 3 2 7 2 2 2 5" xfId="3707" xr:uid="{C15175D8-F3A7-45CE-9DE1-533FBA11AC53}"/>
    <cellStyle name="Normal 2 2 2 3 2 7 2 2 2 6" xfId="3708" xr:uid="{2C9823E0-E5E1-45A1-B4EE-DCF0207E8666}"/>
    <cellStyle name="Normal 2 2 2 3 2 7 2 2 2 7" xfId="3709" xr:uid="{367C5E79-CA9D-465C-A330-83E0664A7A65}"/>
    <cellStyle name="Normal 2 2 2 3 2 7 2 2 2 8" xfId="3710" xr:uid="{0420CC01-7626-4D70-B2BA-47738E9FC505}"/>
    <cellStyle name="Normal 2 2 2 3 2 7 2 2 3" xfId="3711" xr:uid="{C5231129-52B9-4F1A-A483-821694B9706B}"/>
    <cellStyle name="Normal 2 2 2 3 2 7 2 2 4" xfId="3712" xr:uid="{DD3E07AC-2643-40F5-A0CD-78DE390C9458}"/>
    <cellStyle name="Normal 2 2 2 3 2 7 2 2 5" xfId="3713" xr:uid="{298C3943-0460-45BB-BA1F-9A8C3028DE48}"/>
    <cellStyle name="Normal 2 2 2 3 2 7 2 2 6" xfId="3714" xr:uid="{A4D93065-0B1A-431E-AD21-6146A3BDB65C}"/>
    <cellStyle name="Normal 2 2 2 3 2 7 2 2 7" xfId="3715" xr:uid="{E5292930-0851-4990-8353-EABE41A1D3AC}"/>
    <cellStyle name="Normal 2 2 2 3 2 7 2 2 8" xfId="3716" xr:uid="{0C06A668-CE4E-46CA-998E-C457E33C6D66}"/>
    <cellStyle name="Normal 2 2 2 3 2 7 2 3" xfId="3717" xr:uid="{0B56DB6F-0D9A-451E-BA4A-7DB2A2A675F2}"/>
    <cellStyle name="Normal 2 2 2 3 2 7 2 4" xfId="3718" xr:uid="{529EC4E7-D1F2-424D-806D-5B20A7331C7C}"/>
    <cellStyle name="Normal 2 2 2 3 2 7 2 5" xfId="3719" xr:uid="{4F4ED241-1737-445F-95F5-DAB12420A0CE}"/>
    <cellStyle name="Normal 2 2 2 3 2 7 2 6" xfId="3720" xr:uid="{A7EE43BA-95AA-4784-9AD5-E4594FED2C1C}"/>
    <cellStyle name="Normal 2 2 2 3 2 7 2 7" xfId="3721" xr:uid="{E655660E-5D1F-4960-8AEA-46C75F713AEC}"/>
    <cellStyle name="Normal 2 2 2 3 2 7 2 8" xfId="3722" xr:uid="{71BE66E5-8C9D-4553-B0A5-506BDB48F236}"/>
    <cellStyle name="Normal 2 2 2 3 2 7 2 9" xfId="3723" xr:uid="{4C021059-3115-45E1-BDB2-05F5A8D1B3D5}"/>
    <cellStyle name="Normal 2 2 2 3 2 7 3" xfId="3724" xr:uid="{8FC1CCD2-0A60-4FA6-8F6A-094A4B91D179}"/>
    <cellStyle name="Normal 2 2 2 3 2 7 4" xfId="3725" xr:uid="{0E2D3DCF-BBBE-4655-9AA9-99F8285BABC7}"/>
    <cellStyle name="Normal 2 2 2 3 2 7 4 2" xfId="3726" xr:uid="{23FB2706-2303-4077-B123-8F5CC8391368}"/>
    <cellStyle name="Normal 2 2 2 3 2 7 4 3" xfId="3727" xr:uid="{E9B1BA80-8D69-4480-9EA9-EB3810739F92}"/>
    <cellStyle name="Normal 2 2 2 3 2 7 4 4" xfId="3728" xr:uid="{386EAAA0-67CF-4659-B492-2F206F17B9A0}"/>
    <cellStyle name="Normal 2 2 2 3 2 7 4 5" xfId="3729" xr:uid="{2A86286A-F6D4-457A-B4AF-3AD226AF49D2}"/>
    <cellStyle name="Normal 2 2 2 3 2 7 4 6" xfId="3730" xr:uid="{0E7EFCA3-DDA1-4DD8-9478-F301F933AB38}"/>
    <cellStyle name="Normal 2 2 2 3 2 7 4 7" xfId="3731" xr:uid="{1811897A-9956-4B62-A2F5-ACD8813C07F7}"/>
    <cellStyle name="Normal 2 2 2 3 2 7 4 8" xfId="3732" xr:uid="{621E952C-291D-45BD-943B-DED526736CD4}"/>
    <cellStyle name="Normal 2 2 2 3 2 7 5" xfId="3733" xr:uid="{1139E081-7AEE-4426-8DDE-D1E61BC6D896}"/>
    <cellStyle name="Normal 2 2 2 3 2 7 6" xfId="3734" xr:uid="{DD1D71C3-CB36-435D-980A-9766F5592024}"/>
    <cellStyle name="Normal 2 2 2 3 2 7 7" xfId="3735" xr:uid="{E0CF1750-6D97-4ACB-A595-B29B97DE50A3}"/>
    <cellStyle name="Normal 2 2 2 3 2 7 8" xfId="3736" xr:uid="{FCBCF122-9A83-4129-B500-C80BB5F72949}"/>
    <cellStyle name="Normal 2 2 2 3 2 7 9" xfId="3737" xr:uid="{8FFE92B9-58BA-4BA7-B048-4D879359B040}"/>
    <cellStyle name="Normal 2 2 2 3 2 8" xfId="3738" xr:uid="{09859F68-B724-43A6-B05D-53E33DC84309}"/>
    <cellStyle name="Normal 2 2 2 3 2 9" xfId="3739" xr:uid="{599CBF68-2538-4A80-9D2F-30C0843C5B63}"/>
    <cellStyle name="Normal 2 2 2 3 20" xfId="3740" xr:uid="{1EB9B137-DA23-46BB-83BC-ED1A56E70326}"/>
    <cellStyle name="Normal 2 2 2 3 21" xfId="3741" xr:uid="{A4F0D238-C458-4157-B2AD-F14EF97846AE}"/>
    <cellStyle name="Normal 2 2 2 3 22" xfId="3742" xr:uid="{AB7FD201-7E7C-4800-A6A3-0481572CDA23}"/>
    <cellStyle name="Normal 2 2 2 3 3" xfId="3743" xr:uid="{6644AA42-12DE-4242-A1C7-54D2F586831B}"/>
    <cellStyle name="Normal 2 2 2 3 3 10" xfId="3744" xr:uid="{AA1DC421-EEA8-4973-8B2B-9024E4AC14FD}"/>
    <cellStyle name="Normal 2 2 2 3 3 10 2" xfId="3745" xr:uid="{5B3C9886-51EA-4892-B3B0-72B87080BE26}"/>
    <cellStyle name="Normal 2 2 2 3 3 10 2 2" xfId="3746" xr:uid="{329530F6-9944-458B-B91A-888064004156}"/>
    <cellStyle name="Normal 2 2 2 3 3 10 2 2 2" xfId="3747" xr:uid="{E34540B6-031B-4537-B445-9ADA7C784323}"/>
    <cellStyle name="Normal 2 2 2 3 3 10 2 2 3" xfId="3748" xr:uid="{5BDE8AE7-42CF-43BB-A4F9-BDA0B87C9AC5}"/>
    <cellStyle name="Normal 2 2 2 3 3 10 2 2 4" xfId="3749" xr:uid="{BC29871E-7CD8-421E-A7DD-5508840CB658}"/>
    <cellStyle name="Normal 2 2 2 3 3 10 2 2 5" xfId="3750" xr:uid="{EF5A12E7-7A13-4F0B-8664-338E20CA98D4}"/>
    <cellStyle name="Normal 2 2 2 3 3 10 2 2 6" xfId="3751" xr:uid="{4AD97591-2922-44F3-8D01-23069297513F}"/>
    <cellStyle name="Normal 2 2 2 3 3 10 2 2 7" xfId="3752" xr:uid="{5106D526-DB30-4738-98CA-9CB88B0012EB}"/>
    <cellStyle name="Normal 2 2 2 3 3 10 2 2 8" xfId="3753" xr:uid="{B909CA6A-B5A3-41D5-8500-C2E1E3147076}"/>
    <cellStyle name="Normal 2 2 2 3 3 10 2 3" xfId="3754" xr:uid="{86CCCE13-2F82-4D56-B852-41CE8E244A02}"/>
    <cellStyle name="Normal 2 2 2 3 3 10 2 4" xfId="3755" xr:uid="{14253766-1EBE-4566-91F0-D70BA77EE698}"/>
    <cellStyle name="Normal 2 2 2 3 3 10 2 5" xfId="3756" xr:uid="{4230B27D-D2C6-4629-8275-A3BEF43F62F4}"/>
    <cellStyle name="Normal 2 2 2 3 3 10 2 6" xfId="3757" xr:uid="{D332ADA1-C85D-4D55-9B85-6717FC295A7F}"/>
    <cellStyle name="Normal 2 2 2 3 3 10 2 7" xfId="3758" xr:uid="{2A6F115A-58DD-45C1-94E7-4248D46F20AB}"/>
    <cellStyle name="Normal 2 2 2 3 3 10 2 8" xfId="3759" xr:uid="{FC8E85F7-9F4C-4586-9F50-AEED459D4FEE}"/>
    <cellStyle name="Normal 2 2 2 3 3 10 3" xfId="3760" xr:uid="{96052EBC-A2F8-4802-8D7C-921BD6292C3D}"/>
    <cellStyle name="Normal 2 2 2 3 3 10 4" xfId="3761" xr:uid="{78F91FFF-97BE-4D1C-A38A-AF6260838F0B}"/>
    <cellStyle name="Normal 2 2 2 3 3 10 5" xfId="3762" xr:uid="{0C401117-05B7-4A58-BF57-1B066E8E35B7}"/>
    <cellStyle name="Normal 2 2 2 3 3 10 6" xfId="3763" xr:uid="{92D5FA25-58D5-46DB-B53E-578D15DE4F0F}"/>
    <cellStyle name="Normal 2 2 2 3 3 10 7" xfId="3764" xr:uid="{3E54BEE5-4C5D-40D7-94BE-EE83C7FC75FC}"/>
    <cellStyle name="Normal 2 2 2 3 3 10 8" xfId="3765" xr:uid="{B30A94D4-B3B6-4C25-9207-38DC217EF739}"/>
    <cellStyle name="Normal 2 2 2 3 3 10 9" xfId="3766" xr:uid="{E744932D-DE8A-49D1-B6B1-7F7AB3252BAE}"/>
    <cellStyle name="Normal 2 2 2 3 3 11" xfId="3767" xr:uid="{FE5CCA86-B0C1-48DE-BE4A-66CA932E8C03}"/>
    <cellStyle name="Normal 2 2 2 3 3 11 2" xfId="3768" xr:uid="{E1B5734E-358B-4C84-8EF8-AA28D763BDAC}"/>
    <cellStyle name="Normal 2 2 2 3 3 11 3" xfId="3769" xr:uid="{F61F9185-FAAE-46D2-A8CA-E693FD4E1536}"/>
    <cellStyle name="Normal 2 2 2 3 3 11 4" xfId="3770" xr:uid="{39148FF9-104E-426D-A302-1140DBF03D51}"/>
    <cellStyle name="Normal 2 2 2 3 3 11 5" xfId="3771" xr:uid="{0FD9492E-D54B-449F-9DB0-7BEBF6647E6C}"/>
    <cellStyle name="Normal 2 2 2 3 3 11 6" xfId="3772" xr:uid="{530A44B2-4C8A-40C2-BC35-974D6B90D37A}"/>
    <cellStyle name="Normal 2 2 2 3 3 11 7" xfId="3773" xr:uid="{AC86FDF6-9033-4F88-99B7-88DEDDB424F5}"/>
    <cellStyle name="Normal 2 2 2 3 3 11 8" xfId="3774" xr:uid="{96E405C0-3F0D-446F-83D1-77CC4374A502}"/>
    <cellStyle name="Normal 2 2 2 3 3 12" xfId="3775" xr:uid="{E832BABD-50A7-4D49-AA95-16CBB7AF14D6}"/>
    <cellStyle name="Normal 2 2 2 3 3 13" xfId="3776" xr:uid="{F0EB388A-4439-4B4D-AC2A-4FA3FF22986C}"/>
    <cellStyle name="Normal 2 2 2 3 3 14" xfId="3777" xr:uid="{29B26036-284C-48C6-97A6-3A345716E896}"/>
    <cellStyle name="Normal 2 2 2 3 3 15" xfId="3778" xr:uid="{95C99DF5-0877-4193-9C0E-3B5CB1C8EB58}"/>
    <cellStyle name="Normal 2 2 2 3 3 16" xfId="3779" xr:uid="{C0E1DB56-C011-4B58-92C2-E676CC9EC2BF}"/>
    <cellStyle name="Normal 2 2 2 3 3 17" xfId="3780" xr:uid="{A026E48A-999B-4DCC-8DA0-8D8F613200B4}"/>
    <cellStyle name="Normal 2 2 2 3 3 2" xfId="3781" xr:uid="{1AFEFBAF-8428-4D8A-88B6-B73AE107EBFF}"/>
    <cellStyle name="Normal 2 2 2 3 3 2 10" xfId="3782" xr:uid="{931EE902-197E-444C-949A-02E578213AC5}"/>
    <cellStyle name="Normal 2 2 2 3 3 2 10 2" xfId="3783" xr:uid="{8C2B09BE-FD3B-45F7-89B5-6B72AFDA97BA}"/>
    <cellStyle name="Normal 2 2 2 3 3 2 10 2 2" xfId="3784" xr:uid="{77A36BB7-018C-477D-B8F3-58D0ADF0D11F}"/>
    <cellStyle name="Normal 2 2 2 3 3 2 10 2 2 2" xfId="3785" xr:uid="{96A07807-9B39-44CC-8EBD-21A175052218}"/>
    <cellStyle name="Normal 2 2 2 3 3 2 10 2 2 3" xfId="3786" xr:uid="{E06F6FE9-3381-4322-BC7B-E0EE3A70ABA9}"/>
    <cellStyle name="Normal 2 2 2 3 3 2 10 2 2 4" xfId="3787" xr:uid="{17712AA6-3EB1-429A-8B33-C7AD23AA4DA7}"/>
    <cellStyle name="Normal 2 2 2 3 3 2 10 2 2 5" xfId="3788" xr:uid="{955EC7A3-1A9A-4A9C-A92D-7C804259A3D6}"/>
    <cellStyle name="Normal 2 2 2 3 3 2 10 2 2 6" xfId="3789" xr:uid="{16905E61-A716-4A16-ADCB-8EDD608680D8}"/>
    <cellStyle name="Normal 2 2 2 3 3 2 10 2 2 7" xfId="3790" xr:uid="{F78394C0-9A0A-43FF-B122-5107BAB4A120}"/>
    <cellStyle name="Normal 2 2 2 3 3 2 10 2 2 8" xfId="3791" xr:uid="{5B856F53-7F6B-47C2-8537-324D7D0DDD00}"/>
    <cellStyle name="Normal 2 2 2 3 3 2 10 2 3" xfId="3792" xr:uid="{4EB26C6D-9FED-4649-85D6-9B69D818A0A5}"/>
    <cellStyle name="Normal 2 2 2 3 3 2 10 2 4" xfId="3793" xr:uid="{C111AC82-3751-475C-B84C-C71D31F6E497}"/>
    <cellStyle name="Normal 2 2 2 3 3 2 10 2 5" xfId="3794" xr:uid="{9F8AC598-2F2E-45C3-A42C-C3553B5BD180}"/>
    <cellStyle name="Normal 2 2 2 3 3 2 10 2 6" xfId="3795" xr:uid="{8636871E-7FCE-4951-B36A-5B0A8B948207}"/>
    <cellStyle name="Normal 2 2 2 3 3 2 10 2 7" xfId="3796" xr:uid="{CE18C3E7-813C-48DE-869B-8C233C328728}"/>
    <cellStyle name="Normal 2 2 2 3 3 2 10 2 8" xfId="3797" xr:uid="{736D5E5D-60C7-4060-86CF-12CBDBCDB78F}"/>
    <cellStyle name="Normal 2 2 2 3 3 2 10 3" xfId="3798" xr:uid="{A6D852F5-BCEB-4718-9D14-245508E4CCD9}"/>
    <cellStyle name="Normal 2 2 2 3 3 2 10 4" xfId="3799" xr:uid="{40DB7241-ED3F-48A5-82DF-7376B777EED2}"/>
    <cellStyle name="Normal 2 2 2 3 3 2 10 5" xfId="3800" xr:uid="{F4AFD8D5-86CE-4343-B338-46375D169824}"/>
    <cellStyle name="Normal 2 2 2 3 3 2 10 6" xfId="3801" xr:uid="{A6BD3E92-F4FE-4F83-9BC7-22FB8003AC4B}"/>
    <cellStyle name="Normal 2 2 2 3 3 2 10 7" xfId="3802" xr:uid="{304638FF-9518-4AF9-8D36-A7206E0B5115}"/>
    <cellStyle name="Normal 2 2 2 3 3 2 10 8" xfId="3803" xr:uid="{7F50A892-93EE-4142-9CE9-86A5DFB4A136}"/>
    <cellStyle name="Normal 2 2 2 3 3 2 10 9" xfId="3804" xr:uid="{71E0B4AB-2664-4773-A839-B2ABDE6B3A17}"/>
    <cellStyle name="Normal 2 2 2 3 3 2 11" xfId="3805" xr:uid="{EB138302-9705-423A-A8E1-B69B3A3F6D1E}"/>
    <cellStyle name="Normal 2 2 2 3 3 2 11 2" xfId="3806" xr:uid="{E7999A51-133A-44FC-B33A-B5C9728E0651}"/>
    <cellStyle name="Normal 2 2 2 3 3 2 11 3" xfId="3807" xr:uid="{DF29A9D5-B46D-45A8-832D-D42572C74212}"/>
    <cellStyle name="Normal 2 2 2 3 3 2 11 4" xfId="3808" xr:uid="{D267C1C8-B6DD-45A8-A57B-0017182C30DA}"/>
    <cellStyle name="Normal 2 2 2 3 3 2 11 5" xfId="3809" xr:uid="{EF1585CE-44E1-4D23-9643-952956215938}"/>
    <cellStyle name="Normal 2 2 2 3 3 2 11 6" xfId="3810" xr:uid="{DFD619F5-2895-4BF5-A1E0-8DCA883D02C4}"/>
    <cellStyle name="Normal 2 2 2 3 3 2 11 7" xfId="3811" xr:uid="{A14B8BE8-C544-4709-B49B-178355603F57}"/>
    <cellStyle name="Normal 2 2 2 3 3 2 11 8" xfId="3812" xr:uid="{6E0730DF-AC2C-4BFA-9E11-9FC7BC221A08}"/>
    <cellStyle name="Normal 2 2 2 3 3 2 12" xfId="3813" xr:uid="{9F95765B-8B05-4B45-9D00-56234B3612A8}"/>
    <cellStyle name="Normal 2 2 2 3 3 2 13" xfId="3814" xr:uid="{FA3102FF-5E0F-4415-A577-1856DAAE84AA}"/>
    <cellStyle name="Normal 2 2 2 3 3 2 14" xfId="3815" xr:uid="{9B8FCF4F-B65A-4270-8250-4B9FE60575A3}"/>
    <cellStyle name="Normal 2 2 2 3 3 2 15" xfId="3816" xr:uid="{042DE7A4-DF8F-46A3-B9E4-9109E38DEFEA}"/>
    <cellStyle name="Normal 2 2 2 3 3 2 16" xfId="3817" xr:uid="{3ACFAACC-5C74-4449-9176-82D5585EA265}"/>
    <cellStyle name="Normal 2 2 2 3 3 2 17" xfId="3818" xr:uid="{72523818-A3CC-452E-BF03-605B9742B93C}"/>
    <cellStyle name="Normal 2 2 2 3 3 2 2" xfId="3819" xr:uid="{6E056574-CE8B-4629-BBFD-B203D62F5E09}"/>
    <cellStyle name="Normal 2 2 2 3 3 2 2 10" xfId="3820" xr:uid="{2414F781-2F35-454D-92FE-1C46E3D5835F}"/>
    <cellStyle name="Normal 2 2 2 3 3 2 2 2" xfId="3821" xr:uid="{D465EF6D-75BF-4B60-8DE3-431AB8724321}"/>
    <cellStyle name="Normal 2 2 2 3 3 2 2 2 2" xfId="3822" xr:uid="{83F36332-7232-4A89-85C9-1AB579CEFB70}"/>
    <cellStyle name="Normal 2 2 2 3 3 2 2 2 2 2" xfId="3823" xr:uid="{31A6CC2C-E5C8-44CE-82A4-EB6495576B50}"/>
    <cellStyle name="Normal 2 2 2 3 3 2 2 2 2 2 2" xfId="3824" xr:uid="{C871DA0E-AAAD-4D5A-B1DA-7D6C8295D491}"/>
    <cellStyle name="Normal 2 2 2 3 3 2 2 2 2 2 3" xfId="3825" xr:uid="{E6ABB63C-971E-40D7-AE8C-92DBC8298C17}"/>
    <cellStyle name="Normal 2 2 2 3 3 2 2 2 2 2 4" xfId="3826" xr:uid="{652FBBE3-298F-4978-B606-B5A84FDC5BF5}"/>
    <cellStyle name="Normal 2 2 2 3 3 2 2 2 2 2 5" xfId="3827" xr:uid="{D9105881-3A84-4A60-9DB9-B3D74142B325}"/>
    <cellStyle name="Normal 2 2 2 3 3 2 2 2 2 2 6" xfId="3828" xr:uid="{E37ED504-7184-47FC-84AB-B6342AD18556}"/>
    <cellStyle name="Normal 2 2 2 3 3 2 2 2 2 2 7" xfId="3829" xr:uid="{6F28E9A7-9A02-4F4B-9F22-506DAE860070}"/>
    <cellStyle name="Normal 2 2 2 3 3 2 2 2 2 2 8" xfId="3830" xr:uid="{BCA4B8A3-F373-49BC-B44A-B61459B70C19}"/>
    <cellStyle name="Normal 2 2 2 3 3 2 2 2 2 3" xfId="3831" xr:uid="{8D34402E-6819-4BAD-A38D-C19FC515A13B}"/>
    <cellStyle name="Normal 2 2 2 3 3 2 2 2 2 4" xfId="3832" xr:uid="{B99ED301-B977-4825-8E47-878085F3C81D}"/>
    <cellStyle name="Normal 2 2 2 3 3 2 2 2 2 5" xfId="3833" xr:uid="{5B11EF81-9B77-4695-A4BE-4B3B9D72D872}"/>
    <cellStyle name="Normal 2 2 2 3 3 2 2 2 2 6" xfId="3834" xr:uid="{2C975C19-D7CB-4705-95EA-23F1FBDA7AB7}"/>
    <cellStyle name="Normal 2 2 2 3 3 2 2 2 2 7" xfId="3835" xr:uid="{DC04B839-F29E-443B-99B8-9A7CE9643960}"/>
    <cellStyle name="Normal 2 2 2 3 3 2 2 2 2 8" xfId="3836" xr:uid="{E0032E1A-B4E0-4CF2-87D0-05E88360AADA}"/>
    <cellStyle name="Normal 2 2 2 3 3 2 2 2 3" xfId="3837" xr:uid="{493015D0-EA4D-4A70-A289-C265E2B2CF85}"/>
    <cellStyle name="Normal 2 2 2 3 3 2 2 2 4" xfId="3838" xr:uid="{ABC5ECFA-E803-4A32-8D8B-3B35B130D21F}"/>
    <cellStyle name="Normal 2 2 2 3 3 2 2 2 5" xfId="3839" xr:uid="{0C551452-73C4-49BC-B095-B47C34ABD68F}"/>
    <cellStyle name="Normal 2 2 2 3 3 2 2 2 6" xfId="3840" xr:uid="{FD385757-11BC-4587-960A-0F71B853354D}"/>
    <cellStyle name="Normal 2 2 2 3 3 2 2 2 7" xfId="3841" xr:uid="{7DC137D1-4E89-4971-900A-EEA84A6882AD}"/>
    <cellStyle name="Normal 2 2 2 3 3 2 2 2 8" xfId="3842" xr:uid="{22C2E968-5DBF-4E79-BFD9-8754B3966558}"/>
    <cellStyle name="Normal 2 2 2 3 3 2 2 2 9" xfId="3843" xr:uid="{6064C78D-B618-48C6-B099-E02A3F309294}"/>
    <cellStyle name="Normal 2 2 2 3 3 2 2 3" xfId="3844" xr:uid="{65957322-D58E-45AA-9CC6-904D043E2EFE}"/>
    <cellStyle name="Normal 2 2 2 3 3 2 2 4" xfId="3845" xr:uid="{DBA09904-8B4C-4E5E-87CD-146CB4F312E4}"/>
    <cellStyle name="Normal 2 2 2 3 3 2 2 4 2" xfId="3846" xr:uid="{D88AB9F9-B5E2-41D6-A717-7A618D2F3BF9}"/>
    <cellStyle name="Normal 2 2 2 3 3 2 2 4 3" xfId="3847" xr:uid="{7AF6281D-4802-4D5A-AE8E-87B6499B40BC}"/>
    <cellStyle name="Normal 2 2 2 3 3 2 2 4 4" xfId="3848" xr:uid="{19C081BD-6C74-4FF2-BF4A-DBAB38C333BA}"/>
    <cellStyle name="Normal 2 2 2 3 3 2 2 4 5" xfId="3849" xr:uid="{BA7D5034-4B60-405E-8A5C-953B64F194F8}"/>
    <cellStyle name="Normal 2 2 2 3 3 2 2 4 6" xfId="3850" xr:uid="{E5BCEC4E-6E7F-4EFD-84F0-2EA9802494B2}"/>
    <cellStyle name="Normal 2 2 2 3 3 2 2 4 7" xfId="3851" xr:uid="{CB02C681-AF8F-40D8-B5A3-B2FF10CE7800}"/>
    <cellStyle name="Normal 2 2 2 3 3 2 2 4 8" xfId="3852" xr:uid="{1ED1F2AA-1887-43E8-ADA4-A61B8E4474E0}"/>
    <cellStyle name="Normal 2 2 2 3 3 2 2 5" xfId="3853" xr:uid="{4C5B80E0-57C3-4031-BB49-B49836B5DD1D}"/>
    <cellStyle name="Normal 2 2 2 3 3 2 2 6" xfId="3854" xr:uid="{F5C22682-AF00-45E5-BF09-D7E020273AE5}"/>
    <cellStyle name="Normal 2 2 2 3 3 2 2 7" xfId="3855" xr:uid="{854F7F6C-B7E4-436B-A266-FC7D299BD54B}"/>
    <cellStyle name="Normal 2 2 2 3 3 2 2 8" xfId="3856" xr:uid="{EEFA905C-CDDC-48E7-B4C7-3FD329EF651D}"/>
    <cellStyle name="Normal 2 2 2 3 3 2 2 9" xfId="3857" xr:uid="{C27D9E68-D695-4160-87A2-E48BE1534AF5}"/>
    <cellStyle name="Normal 2 2 2 3 3 2 3" xfId="3858" xr:uid="{5A602621-B172-4EEB-ACA5-09D1314B693A}"/>
    <cellStyle name="Normal 2 2 2 3 3 2 4" xfId="3859" xr:uid="{F5D55C9C-05F3-44B2-B342-8FCA675AA3E6}"/>
    <cellStyle name="Normal 2 2 2 3 3 2 5" xfId="3860" xr:uid="{EA4DC853-73B6-44F3-AAA4-D988F5B51387}"/>
    <cellStyle name="Normal 2 2 2 3 3 2 6" xfId="3861" xr:uid="{CB3FD273-5ABE-4D9D-ACFA-7A527BED656B}"/>
    <cellStyle name="Normal 2 2 2 3 3 2 7" xfId="3862" xr:uid="{41084D88-07FB-40E9-A7DD-B8CC9C2F4CC0}"/>
    <cellStyle name="Normal 2 2 2 3 3 2 8" xfId="3863" xr:uid="{2FDEE55F-954F-423D-A36A-4C8738647B3D}"/>
    <cellStyle name="Normal 2 2 2 3 3 2 9" xfId="3864" xr:uid="{3B4A5B93-96F8-46FD-94B3-61C1A0C4CF57}"/>
    <cellStyle name="Normal 2 2 2 3 3 3" xfId="3865" xr:uid="{10CF81BB-EDDF-4E47-B3B9-78CE7B2B6ECD}"/>
    <cellStyle name="Normal 2 2 2 3 3 3 10" xfId="3866" xr:uid="{B20389F5-11F9-4E31-A507-81D19E13A83E}"/>
    <cellStyle name="Normal 2 2 2 3 3 3 2" xfId="3867" xr:uid="{9306651C-0AF1-439F-BBE7-224EBE7C96B0}"/>
    <cellStyle name="Normal 2 2 2 3 3 3 2 2" xfId="3868" xr:uid="{B6DE73A7-CE71-4D63-A553-273C48C4DF36}"/>
    <cellStyle name="Normal 2 2 2 3 3 3 2 2 2" xfId="3869" xr:uid="{B7AA1594-8A78-4E4F-823B-CEBF5935BAD2}"/>
    <cellStyle name="Normal 2 2 2 3 3 3 2 2 2 2" xfId="3870" xr:uid="{D8C05A3F-56FB-4070-B19A-672B37CB577B}"/>
    <cellStyle name="Normal 2 2 2 3 3 3 2 2 2 3" xfId="3871" xr:uid="{D250DAD6-0F4A-43BB-8D36-60CD8B808F08}"/>
    <cellStyle name="Normal 2 2 2 3 3 3 2 2 2 4" xfId="3872" xr:uid="{CFB724AC-65F0-4D9E-A964-2AC0230D0CBA}"/>
    <cellStyle name="Normal 2 2 2 3 3 3 2 2 2 5" xfId="3873" xr:uid="{5E25C544-99B5-4231-AC91-964D7BCFABC6}"/>
    <cellStyle name="Normal 2 2 2 3 3 3 2 2 2 6" xfId="3874" xr:uid="{7012707E-4FD4-43F1-BCB5-BF34E5252594}"/>
    <cellStyle name="Normal 2 2 2 3 3 3 2 2 2 7" xfId="3875" xr:uid="{5AF45028-5033-41C1-BDBC-15E45C1B0DA2}"/>
    <cellStyle name="Normal 2 2 2 3 3 3 2 2 2 8" xfId="3876" xr:uid="{2CEDE786-7B58-4687-838C-A84390B97684}"/>
    <cellStyle name="Normal 2 2 2 3 3 3 2 2 3" xfId="3877" xr:uid="{643318DD-EB90-4218-8A50-062E293FA103}"/>
    <cellStyle name="Normal 2 2 2 3 3 3 2 2 4" xfId="3878" xr:uid="{F3BE77B0-60B8-425E-8BC5-75E5D2BA998B}"/>
    <cellStyle name="Normal 2 2 2 3 3 3 2 2 5" xfId="3879" xr:uid="{DCC6D101-45B6-4B8E-8280-DFF70735EECB}"/>
    <cellStyle name="Normal 2 2 2 3 3 3 2 2 6" xfId="3880" xr:uid="{6F1CC988-9C39-480B-B275-84FBF82138BC}"/>
    <cellStyle name="Normal 2 2 2 3 3 3 2 2 7" xfId="3881" xr:uid="{5C071EDA-F928-4A19-A0D3-4B4F99C2251B}"/>
    <cellStyle name="Normal 2 2 2 3 3 3 2 2 8" xfId="3882" xr:uid="{3601076A-521E-4BE8-A519-8A6D12B474A0}"/>
    <cellStyle name="Normal 2 2 2 3 3 3 2 3" xfId="3883" xr:uid="{F76CD1E9-1C49-4120-8F7F-CDAAEEFBBE6B}"/>
    <cellStyle name="Normal 2 2 2 3 3 3 2 4" xfId="3884" xr:uid="{90C46DA3-2A1F-4FC4-ABE6-C2DF17AC12C5}"/>
    <cellStyle name="Normal 2 2 2 3 3 3 2 5" xfId="3885" xr:uid="{131CBF5A-D7C5-4623-8E5E-28DF14ACDC34}"/>
    <cellStyle name="Normal 2 2 2 3 3 3 2 6" xfId="3886" xr:uid="{0D40095B-9411-4599-8AD2-764372348B1B}"/>
    <cellStyle name="Normal 2 2 2 3 3 3 2 7" xfId="3887" xr:uid="{46AFB8EA-4A83-4562-B64A-92023299EB3A}"/>
    <cellStyle name="Normal 2 2 2 3 3 3 2 8" xfId="3888" xr:uid="{04580088-6255-4100-A319-82389336AF77}"/>
    <cellStyle name="Normal 2 2 2 3 3 3 2 9" xfId="3889" xr:uid="{5A7F8751-F360-4812-B7BB-6798111E5DAC}"/>
    <cellStyle name="Normal 2 2 2 3 3 3 3" xfId="3890" xr:uid="{332FAB8E-8776-4BCD-A500-7302826CE076}"/>
    <cellStyle name="Normal 2 2 2 3 3 3 4" xfId="3891" xr:uid="{3302668B-2638-40A6-BEA6-5A63ED999081}"/>
    <cellStyle name="Normal 2 2 2 3 3 3 4 2" xfId="3892" xr:uid="{B71F318E-B313-4F59-9BB9-7E0144F0FA9C}"/>
    <cellStyle name="Normal 2 2 2 3 3 3 4 3" xfId="3893" xr:uid="{1708E7AA-6DA4-4B7A-8692-C9B71856774E}"/>
    <cellStyle name="Normal 2 2 2 3 3 3 4 4" xfId="3894" xr:uid="{3F4D5A21-51BE-4387-80FF-D08057E02A97}"/>
    <cellStyle name="Normal 2 2 2 3 3 3 4 5" xfId="3895" xr:uid="{A1A7CC56-00B6-42EB-AE92-6BB8735085FD}"/>
    <cellStyle name="Normal 2 2 2 3 3 3 4 6" xfId="3896" xr:uid="{5E166299-DA78-4561-9F71-77575363EB26}"/>
    <cellStyle name="Normal 2 2 2 3 3 3 4 7" xfId="3897" xr:uid="{FE7551C8-E10F-4639-BC67-0BAB0557458F}"/>
    <cellStyle name="Normal 2 2 2 3 3 3 4 8" xfId="3898" xr:uid="{8385CC0B-9AE7-482D-934C-4F8F75E95140}"/>
    <cellStyle name="Normal 2 2 2 3 3 3 5" xfId="3899" xr:uid="{7917D9EE-8626-492F-B55F-E6ACBD1405CB}"/>
    <cellStyle name="Normal 2 2 2 3 3 3 6" xfId="3900" xr:uid="{85966771-6FFE-429B-AF78-FDC5E88888A2}"/>
    <cellStyle name="Normal 2 2 2 3 3 3 7" xfId="3901" xr:uid="{E8BA57E7-CC98-47DF-BE58-08BD55A3BED1}"/>
    <cellStyle name="Normal 2 2 2 3 3 3 8" xfId="3902" xr:uid="{2C119A9C-7042-4E92-8648-1D5ABD3006B7}"/>
    <cellStyle name="Normal 2 2 2 3 3 3 9" xfId="3903" xr:uid="{0BC7F5A5-5F35-4E35-8B5A-20A75B4B18DC}"/>
    <cellStyle name="Normal 2 2 2 3 3 4" xfId="3904" xr:uid="{0B9119D5-336D-4E18-9EEE-FA26B37912FA}"/>
    <cellStyle name="Normal 2 2 2 3 3 5" xfId="3905" xr:uid="{3C99D9B4-8DC4-4A13-BB7E-31C7D03D90A5}"/>
    <cellStyle name="Normal 2 2 2 3 3 6" xfId="3906" xr:uid="{D1457F6C-607E-4D47-B133-070456A281C1}"/>
    <cellStyle name="Normal 2 2 2 3 3 7" xfId="3907" xr:uid="{E69C45C8-DD01-4389-8F4C-AF4B10BB7B8B}"/>
    <cellStyle name="Normal 2 2 2 3 3 8" xfId="3908" xr:uid="{4AC5A8AE-631F-4A0C-A148-2ABD0B59145B}"/>
    <cellStyle name="Normal 2 2 2 3 3 9" xfId="3909" xr:uid="{BFAEE558-5A13-444A-9A83-BD49430BB191}"/>
    <cellStyle name="Normal 2 2 2 3 4" xfId="3910" xr:uid="{DB8B0B53-0A85-4EF2-95B4-7EE89A854D1F}"/>
    <cellStyle name="Normal 2 2 2 3 5" xfId="3911" xr:uid="{EC2F0546-D19C-47E2-ADAE-B5685ABAE970}"/>
    <cellStyle name="Normal 2 2 2 3 6" xfId="3912" xr:uid="{48663DED-9A10-4E9F-9CFF-BE3DC9C618D6}"/>
    <cellStyle name="Normal 2 2 2 3 7" xfId="3913" xr:uid="{F4C7CBFF-B99A-4FAB-BABA-31E50E72B3B6}"/>
    <cellStyle name="Normal 2 2 2 3 7 10" xfId="3914" xr:uid="{5ABED2A1-480C-4C92-81AF-CE5E5170914B}"/>
    <cellStyle name="Normal 2 2 2 3 7 2" xfId="3915" xr:uid="{7382627F-D797-46F2-97F2-88F0EDF05C72}"/>
    <cellStyle name="Normal 2 2 2 3 7 2 2" xfId="3916" xr:uid="{43A4F936-CB7C-494A-ADA4-8DD22997BFAB}"/>
    <cellStyle name="Normal 2 2 2 3 7 2 2 2" xfId="3917" xr:uid="{3FB76E1A-FAE2-4F9E-BF3A-E9A2CF5CFDEF}"/>
    <cellStyle name="Normal 2 2 2 3 7 2 2 2 2" xfId="3918" xr:uid="{3FA54F7A-2FC7-4C27-8211-D8F2F49677E0}"/>
    <cellStyle name="Normal 2 2 2 3 7 2 2 2 3" xfId="3919" xr:uid="{FC1F3DC5-6DE6-45A8-A7C4-09365556E73C}"/>
    <cellStyle name="Normal 2 2 2 3 7 2 2 2 4" xfId="3920" xr:uid="{653EE909-E828-4279-B127-3E712C55E567}"/>
    <cellStyle name="Normal 2 2 2 3 7 2 2 2 5" xfId="3921" xr:uid="{45D98022-7BC0-4AE3-8992-B94B1D7E9FB9}"/>
    <cellStyle name="Normal 2 2 2 3 7 2 2 2 6" xfId="3922" xr:uid="{334E3E87-2417-441E-84CC-B169E052689D}"/>
    <cellStyle name="Normal 2 2 2 3 7 2 2 2 7" xfId="3923" xr:uid="{6E8646E8-D2F3-4E57-A157-E2FFA9714A20}"/>
    <cellStyle name="Normal 2 2 2 3 7 2 2 2 8" xfId="3924" xr:uid="{127CC404-757F-4B83-95F5-BB4DE1D7BD43}"/>
    <cellStyle name="Normal 2 2 2 3 7 2 2 3" xfId="3925" xr:uid="{55A8226B-D94A-4D9B-8EF0-55852EAEE633}"/>
    <cellStyle name="Normal 2 2 2 3 7 2 2 4" xfId="3926" xr:uid="{42985963-B6E2-4D34-8255-A52B9570865C}"/>
    <cellStyle name="Normal 2 2 2 3 7 2 2 5" xfId="3927" xr:uid="{369A5DAA-C2EE-4800-B7BB-737ED6ED4C1D}"/>
    <cellStyle name="Normal 2 2 2 3 7 2 2 6" xfId="3928" xr:uid="{66051CE4-2FE3-47F2-B33E-032F3BF7FDF0}"/>
    <cellStyle name="Normal 2 2 2 3 7 2 2 7" xfId="3929" xr:uid="{F21968AD-C24D-4865-8E5C-1ADBD6EBE9AC}"/>
    <cellStyle name="Normal 2 2 2 3 7 2 2 8" xfId="3930" xr:uid="{B58D645E-2CC5-4536-8F2C-DBECA81D852C}"/>
    <cellStyle name="Normal 2 2 2 3 7 2 3" xfId="3931" xr:uid="{B8318FF6-53E1-4F04-B600-1E2E452A6C6C}"/>
    <cellStyle name="Normal 2 2 2 3 7 2 4" xfId="3932" xr:uid="{9379B298-DF22-4B54-BC4F-EEA26D14E425}"/>
    <cellStyle name="Normal 2 2 2 3 7 2 5" xfId="3933" xr:uid="{CD2613A6-7BE0-4A28-B32A-1492027499F5}"/>
    <cellStyle name="Normal 2 2 2 3 7 2 6" xfId="3934" xr:uid="{AAF8072B-02D9-43CA-942A-A695D8F61FA2}"/>
    <cellStyle name="Normal 2 2 2 3 7 2 7" xfId="3935" xr:uid="{D19D6344-8DFD-46C6-9287-0C8E14653A0A}"/>
    <cellStyle name="Normal 2 2 2 3 7 2 8" xfId="3936" xr:uid="{E7B12960-5B14-445E-94FC-BD4F2C07CC95}"/>
    <cellStyle name="Normal 2 2 2 3 7 2 9" xfId="3937" xr:uid="{0C9D6B2E-234D-4E53-BBEC-7C847FA94998}"/>
    <cellStyle name="Normal 2 2 2 3 7 3" xfId="3938" xr:uid="{B0FFC938-A2DF-46A4-A4FE-414CE4519E4B}"/>
    <cellStyle name="Normal 2 2 2 3 7 4" xfId="3939" xr:uid="{CB340388-B4A4-4024-B25F-66CC4C5A8376}"/>
    <cellStyle name="Normal 2 2 2 3 7 4 2" xfId="3940" xr:uid="{82A361F7-4B81-47C5-BC47-89FAC5398230}"/>
    <cellStyle name="Normal 2 2 2 3 7 4 3" xfId="3941" xr:uid="{6EDB6BA4-34A7-433F-9CBB-E3FDA7D4E006}"/>
    <cellStyle name="Normal 2 2 2 3 7 4 4" xfId="3942" xr:uid="{892901DD-B47E-4C72-88C7-A8F82FC2411C}"/>
    <cellStyle name="Normal 2 2 2 3 7 4 5" xfId="3943" xr:uid="{C27AE29D-1081-4081-8531-B500AC9716AA}"/>
    <cellStyle name="Normal 2 2 2 3 7 4 6" xfId="3944" xr:uid="{F45A2E39-CC10-408B-A302-6694D9860516}"/>
    <cellStyle name="Normal 2 2 2 3 7 4 7" xfId="3945" xr:uid="{83F1089F-F51A-4225-981F-2B69EED41CC9}"/>
    <cellStyle name="Normal 2 2 2 3 7 4 8" xfId="3946" xr:uid="{8A046F43-1398-4C5E-960D-296544A3C5E2}"/>
    <cellStyle name="Normal 2 2 2 3 7 5" xfId="3947" xr:uid="{82B19542-09A3-4E5C-9D69-A49C00E14497}"/>
    <cellStyle name="Normal 2 2 2 3 7 6" xfId="3948" xr:uid="{CB73B14B-7FF8-491E-9E51-4FB8AB557504}"/>
    <cellStyle name="Normal 2 2 2 3 7 7" xfId="3949" xr:uid="{ADAF0604-467B-4203-8D35-D930684D3B9F}"/>
    <cellStyle name="Normal 2 2 2 3 7 8" xfId="3950" xr:uid="{0391EB70-3DA2-4BD5-A43F-27193D3BB450}"/>
    <cellStyle name="Normal 2 2 2 3 7 9" xfId="3951" xr:uid="{FF4C6085-816A-4B70-AB1E-1887DFDF89FF}"/>
    <cellStyle name="Normal 2 2 2 3 8" xfId="3952" xr:uid="{B279D8DE-FEBB-4C73-8DE4-FCDEC13EB4BF}"/>
    <cellStyle name="Normal 2 2 2 3 9" xfId="3953" xr:uid="{90CD194C-F62C-4FCA-A0F5-4996B057C30A}"/>
    <cellStyle name="Normal 2 2 2 30" xfId="3954" xr:uid="{DD9B14CA-EE37-4EBA-8379-1116EE6D4CA2}"/>
    <cellStyle name="Normal 2 2 2 31" xfId="3955" xr:uid="{E5182BB6-C23E-4A18-858C-395895AED4AF}"/>
    <cellStyle name="Normal 2 2 2 32" xfId="3956" xr:uid="{3D27956C-3F7F-4318-B1BA-A593BA0E04CA}"/>
    <cellStyle name="Normal 2 2 2 33" xfId="3957" xr:uid="{6BCECB60-E53F-42B0-ACBF-BF03B1A686AE}"/>
    <cellStyle name="Normal 2 2 2 34" xfId="3958" xr:uid="{9A8262D1-1421-46D3-8F27-B41017F827E3}"/>
    <cellStyle name="Normal 2 2 2 35" xfId="3959" xr:uid="{1640B3E9-A973-4E7A-BD86-DB5548939DAD}"/>
    <cellStyle name="Normal 2 2 2 36" xfId="3960" xr:uid="{24ACA88D-3C2C-4C43-9587-607006923221}"/>
    <cellStyle name="Normal 2 2 2 36 2" xfId="3961" xr:uid="{79E43C99-6D42-4CB0-94B5-DA5725449124}"/>
    <cellStyle name="Normal 2 2 2 36 2 2" xfId="3962" xr:uid="{BABDF4E0-42D4-433D-A026-2E6A044AF466}"/>
    <cellStyle name="Normal 2 2 2 36 2 2 2" xfId="3963" xr:uid="{2D152787-0206-49C6-9865-10C1970419CA}"/>
    <cellStyle name="Normal 2 2 2 36 2 2 3" xfId="3964" xr:uid="{89C7828A-44E4-4D79-B84C-25DEBF6D5AB5}"/>
    <cellStyle name="Normal 2 2 2 36 2 2 4" xfId="3965" xr:uid="{DF9639EA-6760-4372-AC40-306F4D5D6662}"/>
    <cellStyle name="Normal 2 2 2 36 2 2 5" xfId="3966" xr:uid="{71C5047C-B15F-4594-989B-57FF5F5BF9D5}"/>
    <cellStyle name="Normal 2 2 2 36 2 2 6" xfId="3967" xr:uid="{DCB1365A-28F3-4844-9319-BBA411928350}"/>
    <cellStyle name="Normal 2 2 2 36 2 2 7" xfId="3968" xr:uid="{08B617BE-8909-4F6B-9BD1-EFBA4DDF8B57}"/>
    <cellStyle name="Normal 2 2 2 36 2 2 8" xfId="3969" xr:uid="{6644B471-3EB5-4FFA-BBE1-E28525842763}"/>
    <cellStyle name="Normal 2 2 2 36 2 3" xfId="3970" xr:uid="{9D602863-B9E7-4C66-8DCD-188E7483D5AF}"/>
    <cellStyle name="Normal 2 2 2 36 2 4" xfId="3971" xr:uid="{B36D9818-6416-4016-A0CD-4F450A5098C2}"/>
    <cellStyle name="Normal 2 2 2 36 2 5" xfId="3972" xr:uid="{571C4C35-E326-4BE3-BF10-8E6B79AD9C2D}"/>
    <cellStyle name="Normal 2 2 2 36 2 6" xfId="3973" xr:uid="{26F65AFA-2C7E-419B-B0D4-0CA3D48A9E9D}"/>
    <cellStyle name="Normal 2 2 2 36 2 7" xfId="3974" xr:uid="{9207891E-468A-4CB3-9336-DD78AAE7A4C5}"/>
    <cellStyle name="Normal 2 2 2 36 2 8" xfId="3975" xr:uid="{51A8A2A1-ED07-4093-ACF8-826B7F5133CC}"/>
    <cellStyle name="Normal 2 2 2 36 3" xfId="3976" xr:uid="{86F82F97-9B10-45E3-92A9-159996AE24DF}"/>
    <cellStyle name="Normal 2 2 2 36 4" xfId="3977" xr:uid="{793AC4B8-94FB-4A41-BB81-F68553367DC1}"/>
    <cellStyle name="Normal 2 2 2 36 5" xfId="3978" xr:uid="{B0960E7E-A5B1-4C56-BAAE-311C74E0E08D}"/>
    <cellStyle name="Normal 2 2 2 36 6" xfId="3979" xr:uid="{00EB5545-3C03-4C61-8534-0EB504BC4FBB}"/>
    <cellStyle name="Normal 2 2 2 36 7" xfId="3980" xr:uid="{CF4176DB-E54F-4945-BADC-B61CDC6CD9A9}"/>
    <cellStyle name="Normal 2 2 2 36 8" xfId="3981" xr:uid="{415A4AAB-774A-4FEA-B302-2DEFE0CAE0A5}"/>
    <cellStyle name="Normal 2 2 2 36 9" xfId="3982" xr:uid="{27A8BCC0-6CEC-44F4-AE25-667B9D4DE8E8}"/>
    <cellStyle name="Normal 2 2 2 37" xfId="3983" xr:uid="{DC3B2AFB-76A9-4903-827B-A3A7BCF186DE}"/>
    <cellStyle name="Normal 2 2 2 37 2" xfId="3984" xr:uid="{48DDD059-31CB-40BF-86E4-DC78E3383113}"/>
    <cellStyle name="Normal 2 2 2 37 3" xfId="3985" xr:uid="{C60316CD-9B53-4937-BD4F-80F098944A63}"/>
    <cellStyle name="Normal 2 2 2 37 4" xfId="3986" xr:uid="{7D6C5E8F-3175-4AC1-BACF-15CEBDC41563}"/>
    <cellStyle name="Normal 2 2 2 37 5" xfId="3987" xr:uid="{035FC8C6-BD14-4CAA-8D28-51C7256CDE8D}"/>
    <cellStyle name="Normal 2 2 2 37 6" xfId="3988" xr:uid="{B59110C6-07D9-4622-8004-93C060CCF0AD}"/>
    <cellStyle name="Normal 2 2 2 37 7" xfId="3989" xr:uid="{B1CDFD10-AA01-469E-BBC6-A23B84FFA127}"/>
    <cellStyle name="Normal 2 2 2 37 8" xfId="3990" xr:uid="{88FB0F6B-03EC-4E65-8AAD-8BC3F5A0453F}"/>
    <cellStyle name="Normal 2 2 2 38" xfId="3991" xr:uid="{681FAD40-18B8-4644-AAF2-A7002A57C95F}"/>
    <cellStyle name="Normal 2 2 2 39" xfId="3992" xr:uid="{77154852-BCAE-4DA4-A5AA-E73E14A749BC}"/>
    <cellStyle name="Normal 2 2 2 4" xfId="3993" xr:uid="{63E1A317-52EF-47D4-A9EA-E756B0BFC54C}"/>
    <cellStyle name="Normal 2 2 2 40" xfId="3994" xr:uid="{D791862E-4A39-4324-ABA3-9D51C784AC07}"/>
    <cellStyle name="Normal 2 2 2 41" xfId="3995" xr:uid="{2E2FA235-90E5-4C4D-967A-938CA5E18EA2}"/>
    <cellStyle name="Normal 2 2 2 42" xfId="3996" xr:uid="{97121D36-7100-42B9-99B7-D927BED317E8}"/>
    <cellStyle name="Normal 2 2 2 43" xfId="3997" xr:uid="{34B4910A-5E93-41D2-AA90-13FA71E0B2EA}"/>
    <cellStyle name="Normal 2 2 2 5" xfId="3998" xr:uid="{F5623A20-7D36-4A77-AC88-D6E2FD2F4C6F}"/>
    <cellStyle name="Normal 2 2 2 6" xfId="3999" xr:uid="{20FFC2C7-5F5E-4A36-841A-8475FF115ECC}"/>
    <cellStyle name="Normal 2 2 2 7" xfId="4000" xr:uid="{EAEE7B26-BD59-4914-915A-C79E749F5514}"/>
    <cellStyle name="Normal 2 2 2 8" xfId="4001" xr:uid="{16D80C38-A4C9-4F65-8A22-1EF813014AE3}"/>
    <cellStyle name="Normal 2 2 2 9" xfId="4002" xr:uid="{91B22EAB-6C64-45D8-BA37-838178ACD41E}"/>
    <cellStyle name="Normal 2 2 20" xfId="4003" xr:uid="{A83C8F82-8908-4F6D-BF48-595624F1582A}"/>
    <cellStyle name="Normal 2 2 21" xfId="4004" xr:uid="{60952C3D-F064-4FBF-AD47-06F56BED8A23}"/>
    <cellStyle name="Normal 2 2 22" xfId="4005" xr:uid="{F5333762-F651-48C8-9357-04D77FA819FA}"/>
    <cellStyle name="Normal 2 2 23" xfId="4006" xr:uid="{AE7EFADB-96C5-4F14-A99E-2A2AC9F4FE3B}"/>
    <cellStyle name="Normal 2 2 24" xfId="4007" xr:uid="{8E22B792-E4C0-4840-BEB2-30C11C56EC61}"/>
    <cellStyle name="Normal 2 2 25" xfId="4008" xr:uid="{ED4D8B83-472A-4BAD-A102-AE5E506B9FC5}"/>
    <cellStyle name="Normal 2 2 26" xfId="4009" xr:uid="{DDE0E143-64C5-4F4F-B2D4-72CE7C13A8C3}"/>
    <cellStyle name="Normal 2 2 27" xfId="4010" xr:uid="{84F73B2D-BDB3-4F67-BCF1-50F05BFB8401}"/>
    <cellStyle name="Normal 2 2 28" xfId="4011" xr:uid="{A5A9885B-90C8-4D00-9FB8-62C8259400EE}"/>
    <cellStyle name="Normal 2 2 29" xfId="4012" xr:uid="{747D3274-7927-4190-BD77-89188F0D23FB}"/>
    <cellStyle name="Normal 2 2 3" xfId="4013" xr:uid="{D5C918A3-8A76-4088-AD71-44F6A0CBFD59}"/>
    <cellStyle name="Normal 2 2 30" xfId="4014" xr:uid="{812E8BF2-CF3D-48FF-9EFF-9828A0E0349D}"/>
    <cellStyle name="Normal 2 2 31" xfId="4015" xr:uid="{109C9F7D-1F03-47C7-B0EB-3226FBF9D1CA}"/>
    <cellStyle name="Normal 2 2 32" xfId="4016" xr:uid="{17B3DF97-5E98-4ADC-B723-7B779B9E99DD}"/>
    <cellStyle name="Normal 2 2 33" xfId="4017" xr:uid="{975BC829-B752-4D4C-A801-90268AD24049}"/>
    <cellStyle name="Normal 2 2 33 10" xfId="4018" xr:uid="{B0A85050-4EDC-4728-B292-2236703F64E1}"/>
    <cellStyle name="Normal 2 2 33 10 2" xfId="4019" xr:uid="{6333FE30-39C2-461C-B06F-CAEBE03EE431}"/>
    <cellStyle name="Normal 2 2 33 10 2 2" xfId="4020" xr:uid="{B0F8DAB4-7C76-4EDD-BACA-E54E723B0A71}"/>
    <cellStyle name="Normal 2 2 33 10 2 2 2" xfId="4021" xr:uid="{58EE5EA2-2066-45FB-89B2-1C2A4B3ACC5C}"/>
    <cellStyle name="Normal 2 2 33 10 2 2 3" xfId="4022" xr:uid="{0B8454C7-93E3-4A15-9DAE-EA1BFCD48DB8}"/>
    <cellStyle name="Normal 2 2 33 10 2 2 4" xfId="4023" xr:uid="{5B0731BC-6692-44FA-B710-F800FA9C3C29}"/>
    <cellStyle name="Normal 2 2 33 10 2 2 5" xfId="4024" xr:uid="{AD881CEF-EF07-4ED6-992A-D151D83A4862}"/>
    <cellStyle name="Normal 2 2 33 10 2 2 6" xfId="4025" xr:uid="{CCC4A2A2-D283-4A4E-9AFF-ACD7D7AE3E74}"/>
    <cellStyle name="Normal 2 2 33 10 2 2 7" xfId="4026" xr:uid="{4497C219-E45D-46F9-9123-344CD088C1B6}"/>
    <cellStyle name="Normal 2 2 33 10 2 2 8" xfId="4027" xr:uid="{4D059A68-FF0A-4534-93D7-357B6A268788}"/>
    <cellStyle name="Normal 2 2 33 10 2 3" xfId="4028" xr:uid="{C2507EBC-7EC4-4C3C-BA53-D9F6F37917E1}"/>
    <cellStyle name="Normal 2 2 33 10 2 4" xfId="4029" xr:uid="{4E1ABB0B-6DF1-445A-A365-9FF1EBCFDA19}"/>
    <cellStyle name="Normal 2 2 33 10 2 5" xfId="4030" xr:uid="{013F9332-043A-424C-B5A8-1FCA7D82E810}"/>
    <cellStyle name="Normal 2 2 33 10 2 6" xfId="4031" xr:uid="{D3FF7EB9-CBA1-4629-A758-439E5008CC96}"/>
    <cellStyle name="Normal 2 2 33 10 2 7" xfId="4032" xr:uid="{553964EA-614A-489C-ACF8-4F2D91D815F9}"/>
    <cellStyle name="Normal 2 2 33 10 2 8" xfId="4033" xr:uid="{8CA3883C-4EB5-49B7-8ACD-9E2399E3D0E8}"/>
    <cellStyle name="Normal 2 2 33 10 3" xfId="4034" xr:uid="{44E1A76D-9A36-4BFF-A69D-E315935C76A8}"/>
    <cellStyle name="Normal 2 2 33 10 4" xfId="4035" xr:uid="{DE86443B-0936-4CFD-A48E-F7E5DAE6D724}"/>
    <cellStyle name="Normal 2 2 33 10 5" xfId="4036" xr:uid="{0F042F32-5E89-41E5-A436-45CDE8268454}"/>
    <cellStyle name="Normal 2 2 33 10 6" xfId="4037" xr:uid="{7FF7C275-6387-4544-A946-D0F0BA8E5F39}"/>
    <cellStyle name="Normal 2 2 33 10 7" xfId="4038" xr:uid="{2C7FCBE1-A3E3-463B-A11A-6FBA133CFF64}"/>
    <cellStyle name="Normal 2 2 33 10 8" xfId="4039" xr:uid="{CFADF1A6-16A3-4FB3-81C4-861FA7639AFB}"/>
    <cellStyle name="Normal 2 2 33 10 9" xfId="4040" xr:uid="{8A005440-9F28-4FC6-84B3-03191C37A965}"/>
    <cellStyle name="Normal 2 2 33 11" xfId="4041" xr:uid="{2DDC8EC1-2CAD-469F-A499-AAC5F123BEAE}"/>
    <cellStyle name="Normal 2 2 33 11 2" xfId="4042" xr:uid="{42E2DBA5-4E97-4CC4-B265-579B0D888809}"/>
    <cellStyle name="Normal 2 2 33 11 3" xfId="4043" xr:uid="{1998E349-62B3-423C-B405-0D4215B7A96C}"/>
    <cellStyle name="Normal 2 2 33 11 4" xfId="4044" xr:uid="{C75D12C6-7A30-4453-B971-1E5BD37E6002}"/>
    <cellStyle name="Normal 2 2 33 11 5" xfId="4045" xr:uid="{1F28881A-5F47-4938-9F1D-848026A1ACDA}"/>
    <cellStyle name="Normal 2 2 33 11 6" xfId="4046" xr:uid="{7CDC4587-7021-47EB-9DA4-B9993312D523}"/>
    <cellStyle name="Normal 2 2 33 11 7" xfId="4047" xr:uid="{7AFD38F2-7DFD-458D-9C4C-54872DC405B0}"/>
    <cellStyle name="Normal 2 2 33 11 8" xfId="4048" xr:uid="{6D5087E2-6FF1-4CB1-B442-0D915037D08A}"/>
    <cellStyle name="Normal 2 2 33 12" xfId="4049" xr:uid="{450AE27D-E8A1-467F-8FE1-26CC21B0C2F3}"/>
    <cellStyle name="Normal 2 2 33 13" xfId="4050" xr:uid="{41CAF2B2-A0E7-4571-A12A-2AE8EB1714D6}"/>
    <cellStyle name="Normal 2 2 33 14" xfId="4051" xr:uid="{7B4A1827-8568-47BB-9D60-8C206381CF9D}"/>
    <cellStyle name="Normal 2 2 33 15" xfId="4052" xr:uid="{9B02462D-5E95-4D2D-B863-DA8F3C839B20}"/>
    <cellStyle name="Normal 2 2 33 16" xfId="4053" xr:uid="{944D447D-318C-4CCB-A2B8-AE3C7146FA0B}"/>
    <cellStyle name="Normal 2 2 33 17" xfId="4054" xr:uid="{7BBA0784-12D5-45DC-AF24-94A97E26326A}"/>
    <cellStyle name="Normal 2 2 33 2" xfId="4055" xr:uid="{0BCB23F3-5327-403E-8F98-8951946FD810}"/>
    <cellStyle name="Normal 2 2 33 2 10" xfId="4056" xr:uid="{EE658278-AD7B-4171-AD1D-735FEA97C899}"/>
    <cellStyle name="Normal 2 2 33 2 10 2" xfId="4057" xr:uid="{F4C3C646-B61B-48B1-B0B1-349DF96C0B22}"/>
    <cellStyle name="Normal 2 2 33 2 10 2 2" xfId="4058" xr:uid="{FC890C68-D775-43E0-B0F9-FCA7936708C0}"/>
    <cellStyle name="Normal 2 2 33 2 10 2 2 2" xfId="4059" xr:uid="{80E73C8F-EA52-4362-8325-467A7576D0F3}"/>
    <cellStyle name="Normal 2 2 33 2 10 2 2 3" xfId="4060" xr:uid="{2182E4A4-AFA0-442F-AF74-04A2B5EBE7A6}"/>
    <cellStyle name="Normal 2 2 33 2 10 2 2 4" xfId="4061" xr:uid="{2BB321D5-A060-41EB-A39F-687EE0D54E72}"/>
    <cellStyle name="Normal 2 2 33 2 10 2 2 5" xfId="4062" xr:uid="{EB504D2C-5F13-4497-BCEF-0194E0A705A8}"/>
    <cellStyle name="Normal 2 2 33 2 10 2 2 6" xfId="4063" xr:uid="{29954B2A-A386-4EE8-8E52-FE060484879D}"/>
    <cellStyle name="Normal 2 2 33 2 10 2 2 7" xfId="4064" xr:uid="{FBE40F61-3B4C-42CC-863E-5BBE077DF55F}"/>
    <cellStyle name="Normal 2 2 33 2 10 2 2 8" xfId="4065" xr:uid="{1F506FF6-14B8-4ADA-99CD-5AA8422772FB}"/>
    <cellStyle name="Normal 2 2 33 2 10 2 3" xfId="4066" xr:uid="{59C79B6F-772C-4D8C-B535-9260CE3C5A56}"/>
    <cellStyle name="Normal 2 2 33 2 10 2 4" xfId="4067" xr:uid="{2B72EAD5-B500-48FC-8681-E2C512566368}"/>
    <cellStyle name="Normal 2 2 33 2 10 2 5" xfId="4068" xr:uid="{34C36975-9A6E-42D6-BC93-E111006C4C4E}"/>
    <cellStyle name="Normal 2 2 33 2 10 2 6" xfId="4069" xr:uid="{AF7E4E77-CF16-4583-94FA-469C1775BC99}"/>
    <cellStyle name="Normal 2 2 33 2 10 2 7" xfId="4070" xr:uid="{239686AC-2177-45AE-9BFB-772B6A62A372}"/>
    <cellStyle name="Normal 2 2 33 2 10 2 8" xfId="4071" xr:uid="{9EF94453-795C-48F5-9C50-0B8F96A35ABA}"/>
    <cellStyle name="Normal 2 2 33 2 10 3" xfId="4072" xr:uid="{2250CB6C-D4FD-487C-B73C-84CE15A0CE78}"/>
    <cellStyle name="Normal 2 2 33 2 10 4" xfId="4073" xr:uid="{E0A896CF-D354-4B41-AED8-D0F35A4DE7CF}"/>
    <cellStyle name="Normal 2 2 33 2 10 5" xfId="4074" xr:uid="{C27AD053-F4C6-45D4-A4A2-775B22E3B73A}"/>
    <cellStyle name="Normal 2 2 33 2 10 6" xfId="4075" xr:uid="{E91C2B63-FED2-429C-BE53-7140C1E45021}"/>
    <cellStyle name="Normal 2 2 33 2 10 7" xfId="4076" xr:uid="{D50B4D3F-7D4C-4457-A1E7-71316D5FED49}"/>
    <cellStyle name="Normal 2 2 33 2 10 8" xfId="4077" xr:uid="{3F5C6B39-4CC4-4469-AEE4-AD2E120A2950}"/>
    <cellStyle name="Normal 2 2 33 2 10 9" xfId="4078" xr:uid="{5CA13130-3976-4379-AC06-E8AF8EF2E317}"/>
    <cellStyle name="Normal 2 2 33 2 11" xfId="4079" xr:uid="{5D109F96-A7DE-4223-8446-0AB1F1C67B1C}"/>
    <cellStyle name="Normal 2 2 33 2 11 2" xfId="4080" xr:uid="{5E48C224-B53C-4A07-9A9A-9A83B214F90A}"/>
    <cellStyle name="Normal 2 2 33 2 11 3" xfId="4081" xr:uid="{247A6178-F0FB-4D6A-9E09-A5AAC3E16E5A}"/>
    <cellStyle name="Normal 2 2 33 2 11 4" xfId="4082" xr:uid="{8578F017-B378-4FFE-AFD5-3661573DE86B}"/>
    <cellStyle name="Normal 2 2 33 2 11 5" xfId="4083" xr:uid="{F2C2848D-327E-45E2-8A59-6512C462DDD9}"/>
    <cellStyle name="Normal 2 2 33 2 11 6" xfId="4084" xr:uid="{BAB82A16-EF91-4EB3-9369-E1A86DE8F14F}"/>
    <cellStyle name="Normal 2 2 33 2 11 7" xfId="4085" xr:uid="{8BA90E2B-99AA-48CF-94B6-E58564ADCED0}"/>
    <cellStyle name="Normal 2 2 33 2 11 8" xfId="4086" xr:uid="{1D371026-2110-4D79-9D0B-D578BCB5E256}"/>
    <cellStyle name="Normal 2 2 33 2 12" xfId="4087" xr:uid="{21CFB77D-43B7-4D49-8FD0-B7E3DBFC2C79}"/>
    <cellStyle name="Normal 2 2 33 2 13" xfId="4088" xr:uid="{FBAA1F7E-BF87-4F9B-80CD-653D39CDF870}"/>
    <cellStyle name="Normal 2 2 33 2 14" xfId="4089" xr:uid="{4BD85B73-E5D3-4243-A8C7-CFE814EC128E}"/>
    <cellStyle name="Normal 2 2 33 2 15" xfId="4090" xr:uid="{8CCED31E-4E67-4784-943C-C70D6CA59FAD}"/>
    <cellStyle name="Normal 2 2 33 2 16" xfId="4091" xr:uid="{2FFE0DB2-CC4B-437F-B990-676AED2FF2F0}"/>
    <cellStyle name="Normal 2 2 33 2 17" xfId="4092" xr:uid="{17AFE16F-C341-4293-8ADB-4B78ECE38720}"/>
    <cellStyle name="Normal 2 2 33 2 2" xfId="4093" xr:uid="{9B14D3C0-F3B2-461B-9CCC-EE37B9E6702A}"/>
    <cellStyle name="Normal 2 2 33 2 2 10" xfId="4094" xr:uid="{F1E035B8-9B77-40B9-97E6-A3F51ECD6009}"/>
    <cellStyle name="Normal 2 2 33 2 2 2" xfId="4095" xr:uid="{26841C9F-A850-40D9-A104-E2029F3163B5}"/>
    <cellStyle name="Normal 2 2 33 2 2 2 2" xfId="4096" xr:uid="{5F1B20E2-B5F8-43B9-8C13-558F3EDA45C6}"/>
    <cellStyle name="Normal 2 2 33 2 2 2 2 2" xfId="4097" xr:uid="{FB571D89-E779-41DD-91AF-364553B558AB}"/>
    <cellStyle name="Normal 2 2 33 2 2 2 2 2 2" xfId="4098" xr:uid="{B9F9A53B-8521-4857-8972-5611CB6DE846}"/>
    <cellStyle name="Normal 2 2 33 2 2 2 2 2 3" xfId="4099" xr:uid="{5E2937E0-BBE9-475F-8F35-EE6A2E7B196D}"/>
    <cellStyle name="Normal 2 2 33 2 2 2 2 2 4" xfId="4100" xr:uid="{B5A19A19-FBA4-4A4F-B711-173E8BBFFEEB}"/>
    <cellStyle name="Normal 2 2 33 2 2 2 2 2 5" xfId="4101" xr:uid="{BA64E929-879B-4EA7-817F-99D113C89744}"/>
    <cellStyle name="Normal 2 2 33 2 2 2 2 2 6" xfId="4102" xr:uid="{467C20EF-4760-45DE-A4C6-950C9E14D966}"/>
    <cellStyle name="Normal 2 2 33 2 2 2 2 2 7" xfId="4103" xr:uid="{0285ED1E-258A-4E9B-9A21-5C3F2158BF24}"/>
    <cellStyle name="Normal 2 2 33 2 2 2 2 2 8" xfId="4104" xr:uid="{58AA2E1B-E40A-439F-9176-79DBBAB96454}"/>
    <cellStyle name="Normal 2 2 33 2 2 2 2 3" xfId="4105" xr:uid="{467174BC-434A-452F-B12E-4B02430A38E1}"/>
    <cellStyle name="Normal 2 2 33 2 2 2 2 4" xfId="4106" xr:uid="{F95BE6EE-96D6-41FC-8A27-FF36CBE9D6D0}"/>
    <cellStyle name="Normal 2 2 33 2 2 2 2 5" xfId="4107" xr:uid="{874D2E49-C666-4AFC-8664-1D00A7E4AC6B}"/>
    <cellStyle name="Normal 2 2 33 2 2 2 2 6" xfId="4108" xr:uid="{A07995DE-2671-4B41-B0A1-4D72074539D1}"/>
    <cellStyle name="Normal 2 2 33 2 2 2 2 7" xfId="4109" xr:uid="{0F37A8BD-E8D2-4657-A17B-32917127D63B}"/>
    <cellStyle name="Normal 2 2 33 2 2 2 2 8" xfId="4110" xr:uid="{6E7B3895-E992-4637-88EC-FE0633F14204}"/>
    <cellStyle name="Normal 2 2 33 2 2 2 3" xfId="4111" xr:uid="{1408131A-8789-4A38-A694-61CB6D6C4A5E}"/>
    <cellStyle name="Normal 2 2 33 2 2 2 4" xfId="4112" xr:uid="{AB2BB148-BB90-4112-9A64-3AB7741EB44F}"/>
    <cellStyle name="Normal 2 2 33 2 2 2 5" xfId="4113" xr:uid="{624B4762-DFAA-4C61-8CB8-F15043C05923}"/>
    <cellStyle name="Normal 2 2 33 2 2 2 6" xfId="4114" xr:uid="{CF25EA97-5B2C-400E-8FF3-BEFA1E8B5634}"/>
    <cellStyle name="Normal 2 2 33 2 2 2 7" xfId="4115" xr:uid="{215BF7A7-123E-4305-ACD1-9E57302B51A3}"/>
    <cellStyle name="Normal 2 2 33 2 2 2 8" xfId="4116" xr:uid="{CDD83062-645A-495C-A259-46A51F0435AF}"/>
    <cellStyle name="Normal 2 2 33 2 2 2 9" xfId="4117" xr:uid="{EBFABAD9-14D3-48F2-97F7-736706EBF713}"/>
    <cellStyle name="Normal 2 2 33 2 2 3" xfId="4118" xr:uid="{87ABAC2E-C97F-41BE-B873-063AA1D75C56}"/>
    <cellStyle name="Normal 2 2 33 2 2 4" xfId="4119" xr:uid="{E77B8B5C-C014-4B73-A490-7CFD2394E179}"/>
    <cellStyle name="Normal 2 2 33 2 2 4 2" xfId="4120" xr:uid="{250CA5B4-02CF-41E8-B0F6-D5FE910F3E45}"/>
    <cellStyle name="Normal 2 2 33 2 2 4 3" xfId="4121" xr:uid="{6CBEBA0D-C2E4-45AE-AB77-7DCE7768B8BA}"/>
    <cellStyle name="Normal 2 2 33 2 2 4 4" xfId="4122" xr:uid="{81FFF88F-5098-4B58-B7BE-121ECDC3BC9A}"/>
    <cellStyle name="Normal 2 2 33 2 2 4 5" xfId="4123" xr:uid="{CDE631BD-0194-4FCF-A265-52F1B80B06E7}"/>
    <cellStyle name="Normal 2 2 33 2 2 4 6" xfId="4124" xr:uid="{A8265CBD-40B1-4298-99B0-87B460CE20B7}"/>
    <cellStyle name="Normal 2 2 33 2 2 4 7" xfId="4125" xr:uid="{9ED9E812-B40C-4D82-AC3E-A4DDBED9FACD}"/>
    <cellStyle name="Normal 2 2 33 2 2 4 8" xfId="4126" xr:uid="{B723037C-3D17-49AF-8C13-BF635807A587}"/>
    <cellStyle name="Normal 2 2 33 2 2 5" xfId="4127" xr:uid="{F701856C-6502-437D-823D-F17FC3D09A61}"/>
    <cellStyle name="Normal 2 2 33 2 2 6" xfId="4128" xr:uid="{6264EB36-B4FD-4233-8675-2754C25C01C6}"/>
    <cellStyle name="Normal 2 2 33 2 2 7" xfId="4129" xr:uid="{F9D1FD23-BE65-4F07-AD63-91F1D049A39B}"/>
    <cellStyle name="Normal 2 2 33 2 2 8" xfId="4130" xr:uid="{524FEA42-F3C2-48C1-8114-7744CAB798CE}"/>
    <cellStyle name="Normal 2 2 33 2 2 9" xfId="4131" xr:uid="{9E7D2D98-09C3-47A4-917C-CD3C0E1FB7D1}"/>
    <cellStyle name="Normal 2 2 33 2 3" xfId="4132" xr:uid="{3750EFF3-46BD-4803-B497-0FB7D8E28653}"/>
    <cellStyle name="Normal 2 2 33 2 4" xfId="4133" xr:uid="{11E98AF5-F746-43F1-B4DB-D89932147509}"/>
    <cellStyle name="Normal 2 2 33 2 5" xfId="4134" xr:uid="{F64D561E-3B94-4FD1-A939-E9EC7CB17985}"/>
    <cellStyle name="Normal 2 2 33 2 6" xfId="4135" xr:uid="{6058CBF9-AEF9-4C84-ACA1-4B30BE4EC8CD}"/>
    <cellStyle name="Normal 2 2 33 2 7" xfId="4136" xr:uid="{5BFA3CF3-3F69-4F80-98F8-88AF06E7E22B}"/>
    <cellStyle name="Normal 2 2 33 2 8" xfId="4137" xr:uid="{CE960386-7123-4E0C-96E5-25737D4B2106}"/>
    <cellStyle name="Normal 2 2 33 2 9" xfId="4138" xr:uid="{77E2F3EF-845D-4604-86C5-C87C3207BC64}"/>
    <cellStyle name="Normal 2 2 33 3" xfId="4139" xr:uid="{1EC93F87-3B8B-445C-8AC1-601459E77F0C}"/>
    <cellStyle name="Normal 2 2 33 3 10" xfId="4140" xr:uid="{B14F9837-2568-4991-BCB8-A5CF74C1A7E7}"/>
    <cellStyle name="Normal 2 2 33 3 2" xfId="4141" xr:uid="{9E1D5659-FEBD-4FBF-9BB7-072C90B8B780}"/>
    <cellStyle name="Normal 2 2 33 3 2 2" xfId="4142" xr:uid="{C9F5D729-C49D-49D4-802B-33BDF966F81D}"/>
    <cellStyle name="Normal 2 2 33 3 2 2 2" xfId="4143" xr:uid="{D2B209EE-3C9B-495E-9466-C28E307CD129}"/>
    <cellStyle name="Normal 2 2 33 3 2 2 2 2" xfId="4144" xr:uid="{B4095CE2-E59C-4A31-946D-F5E01A4FD3E1}"/>
    <cellStyle name="Normal 2 2 33 3 2 2 2 3" xfId="4145" xr:uid="{6685EBAF-66A3-45B1-A5FD-EDE49879CE7B}"/>
    <cellStyle name="Normal 2 2 33 3 2 2 2 4" xfId="4146" xr:uid="{7BB66765-6CB9-4582-A46A-CD151944773C}"/>
    <cellStyle name="Normal 2 2 33 3 2 2 2 5" xfId="4147" xr:uid="{A08AE0D8-A950-42F9-8279-694516E34CB4}"/>
    <cellStyle name="Normal 2 2 33 3 2 2 2 6" xfId="4148" xr:uid="{8BB46EA1-BC25-412D-AD91-F65F6CE7CB07}"/>
    <cellStyle name="Normal 2 2 33 3 2 2 2 7" xfId="4149" xr:uid="{37A01675-D482-4424-90D8-A573418EC773}"/>
    <cellStyle name="Normal 2 2 33 3 2 2 2 8" xfId="4150" xr:uid="{364A5E1A-9856-412D-BFEC-A8B84C02A399}"/>
    <cellStyle name="Normal 2 2 33 3 2 2 3" xfId="4151" xr:uid="{33919FF9-C1BC-4BF6-8AB4-780E312B589D}"/>
    <cellStyle name="Normal 2 2 33 3 2 2 4" xfId="4152" xr:uid="{3297040C-23C8-4D74-8A0D-7AE419411313}"/>
    <cellStyle name="Normal 2 2 33 3 2 2 5" xfId="4153" xr:uid="{A7C7F7A7-0163-4648-91E6-939CA8C9F660}"/>
    <cellStyle name="Normal 2 2 33 3 2 2 6" xfId="4154" xr:uid="{5B28A81D-652A-4561-93A6-4D0E7BF3E635}"/>
    <cellStyle name="Normal 2 2 33 3 2 2 7" xfId="4155" xr:uid="{342DA8B9-3B94-4E6B-9767-014C9E87AEE2}"/>
    <cellStyle name="Normal 2 2 33 3 2 2 8" xfId="4156" xr:uid="{03041691-29E4-4C18-86FA-75A0FF759FDB}"/>
    <cellStyle name="Normal 2 2 33 3 2 3" xfId="4157" xr:uid="{B4877C69-9C82-4BB8-A8F8-69B98DECC311}"/>
    <cellStyle name="Normal 2 2 33 3 2 4" xfId="4158" xr:uid="{E7E5E387-7541-478A-9EB6-5EAC7331071E}"/>
    <cellStyle name="Normal 2 2 33 3 2 5" xfId="4159" xr:uid="{8D1719F4-8C95-4573-B425-94AD53F68709}"/>
    <cellStyle name="Normal 2 2 33 3 2 6" xfId="4160" xr:uid="{A4975A97-1220-4839-8493-B12654D5AACB}"/>
    <cellStyle name="Normal 2 2 33 3 2 7" xfId="4161" xr:uid="{A1CBCF25-4A89-4EA8-976F-4AD47AA88233}"/>
    <cellStyle name="Normal 2 2 33 3 2 8" xfId="4162" xr:uid="{784CFC36-A094-4B67-B1D4-673F9D2A930E}"/>
    <cellStyle name="Normal 2 2 33 3 2 9" xfId="4163" xr:uid="{4C56289A-2B68-413C-841B-BAF83DB009FC}"/>
    <cellStyle name="Normal 2 2 33 3 3" xfId="4164" xr:uid="{7CDD1A05-0110-45A6-A690-6AFE705EACEF}"/>
    <cellStyle name="Normal 2 2 33 3 4" xfId="4165" xr:uid="{53F67F2E-2C99-468C-A937-B080C6F75F7E}"/>
    <cellStyle name="Normal 2 2 33 3 4 2" xfId="4166" xr:uid="{B428B7CA-70F2-444B-82A3-109E8A425AAE}"/>
    <cellStyle name="Normal 2 2 33 3 4 3" xfId="4167" xr:uid="{B27B5295-531F-4795-8145-66DFFD950EB3}"/>
    <cellStyle name="Normal 2 2 33 3 4 4" xfId="4168" xr:uid="{25866FBE-1DE0-4824-A352-CCD37B881EBF}"/>
    <cellStyle name="Normal 2 2 33 3 4 5" xfId="4169" xr:uid="{3877839B-BE16-467F-A10C-6810D941AC46}"/>
    <cellStyle name="Normal 2 2 33 3 4 6" xfId="4170" xr:uid="{2D43404B-92D4-41F0-8A93-D09A7D4C493D}"/>
    <cellStyle name="Normal 2 2 33 3 4 7" xfId="4171" xr:uid="{50F4CB66-49A0-4760-AC71-D1B49C3C64DC}"/>
    <cellStyle name="Normal 2 2 33 3 4 8" xfId="4172" xr:uid="{2ACFA835-F0BF-4E46-A2D5-707BA1C9A040}"/>
    <cellStyle name="Normal 2 2 33 3 5" xfId="4173" xr:uid="{93083621-2C24-4D40-AA61-6460C6E6BB27}"/>
    <cellStyle name="Normal 2 2 33 3 6" xfId="4174" xr:uid="{7D0C9850-462B-4DB4-B756-0B584704A81D}"/>
    <cellStyle name="Normal 2 2 33 3 7" xfId="4175" xr:uid="{429D0AF1-0439-46D1-9850-DEA108A7DEAE}"/>
    <cellStyle name="Normal 2 2 33 3 8" xfId="4176" xr:uid="{F4164ABA-A0EA-4784-B20C-73F2D990789C}"/>
    <cellStyle name="Normal 2 2 33 3 9" xfId="4177" xr:uid="{3F8899F8-1C19-488C-BA53-8602AB76069C}"/>
    <cellStyle name="Normal 2 2 33 4" xfId="4178" xr:uid="{E4779428-D368-422E-986B-93934DA3AA06}"/>
    <cellStyle name="Normal 2 2 33 5" xfId="4179" xr:uid="{222AFD2D-060C-4AB8-AFF0-9B5C635238C1}"/>
    <cellStyle name="Normal 2 2 33 6" xfId="4180" xr:uid="{E8BDAC2A-D6D2-402F-A45F-4F40BD21D432}"/>
    <cellStyle name="Normal 2 2 33 7" xfId="4181" xr:uid="{EDE4A0A2-1F51-4AA1-95B5-24608DC9EB53}"/>
    <cellStyle name="Normal 2 2 33 8" xfId="4182" xr:uid="{73A7FF86-3070-4379-B748-92F7D1A69A8C}"/>
    <cellStyle name="Normal 2 2 33 9" xfId="4183" xr:uid="{D3F2AFE5-CF07-4BDC-BDAD-F4885A8258F2}"/>
    <cellStyle name="Normal 2 2 34" xfId="4184" xr:uid="{3BFA832C-5738-4FA6-AB17-2F5AD08BAA46}"/>
    <cellStyle name="Normal 2 2 35" xfId="4185" xr:uid="{E128838C-4F82-4F93-B57B-623CDD01B04E}"/>
    <cellStyle name="Normal 2 2 36" xfId="4186" xr:uid="{D642C532-2BC2-4C00-8B46-D80A82C0FBBA}"/>
    <cellStyle name="Normal 2 2 37" xfId="4187" xr:uid="{A177A7A6-95CC-4E5E-BF36-EF6404145951}"/>
    <cellStyle name="Normal 2 2 38" xfId="4188" xr:uid="{974EF655-401C-47F3-AB2C-D2F40B961D88}"/>
    <cellStyle name="Normal 2 2 38 10" xfId="4189" xr:uid="{2E255481-857B-4B10-A7B3-D3E07EE62E10}"/>
    <cellStyle name="Normal 2 2 38 2" xfId="4190" xr:uid="{59ECA00B-0855-432B-AC97-C330FDD0977D}"/>
    <cellStyle name="Normal 2 2 38 2 2" xfId="4191" xr:uid="{16A01EB0-AC83-40FA-961B-60BB421DD8D5}"/>
    <cellStyle name="Normal 2 2 38 2 2 2" xfId="4192" xr:uid="{3828FDC4-8B9B-4B5F-8776-28D64C3F4252}"/>
    <cellStyle name="Normal 2 2 38 2 2 2 2" xfId="4193" xr:uid="{05DDA0F6-82DC-4F61-8FD7-92EE7C0A3C89}"/>
    <cellStyle name="Normal 2 2 38 2 2 2 3" xfId="4194" xr:uid="{F5FA8AC8-44D2-445F-9029-67267ED825B7}"/>
    <cellStyle name="Normal 2 2 38 2 2 2 4" xfId="4195" xr:uid="{E72033D5-7749-45CC-8892-E2B6231CA8A4}"/>
    <cellStyle name="Normal 2 2 38 2 2 2 5" xfId="4196" xr:uid="{2CBA9590-54D9-46A4-9289-36FC09475B97}"/>
    <cellStyle name="Normal 2 2 38 2 2 2 6" xfId="4197" xr:uid="{93B1DE30-5466-4F4B-91E9-583C2AE708A7}"/>
    <cellStyle name="Normal 2 2 38 2 2 2 7" xfId="4198" xr:uid="{82CC1CED-56F5-4956-8522-9CED98F99862}"/>
    <cellStyle name="Normal 2 2 38 2 2 2 8" xfId="4199" xr:uid="{63D3CA75-DED3-4271-A85F-9D8872ABF8A7}"/>
    <cellStyle name="Normal 2 2 38 2 2 3" xfId="4200" xr:uid="{086173E3-5ECE-41E4-9706-C2D411F91F95}"/>
    <cellStyle name="Normal 2 2 38 2 2 4" xfId="4201" xr:uid="{3B602E6F-C0DC-4E93-91B2-B3F928601972}"/>
    <cellStyle name="Normal 2 2 38 2 2 5" xfId="4202" xr:uid="{FF5EFEA6-9E5C-47AC-AB71-711048176F30}"/>
    <cellStyle name="Normal 2 2 38 2 2 6" xfId="4203" xr:uid="{221A3BE1-1E3B-45AE-B957-4AE0C65B8CEA}"/>
    <cellStyle name="Normal 2 2 38 2 2 7" xfId="4204" xr:uid="{6F3286C4-4CE6-4EE8-AADF-3FB537A74E11}"/>
    <cellStyle name="Normal 2 2 38 2 2 8" xfId="4205" xr:uid="{AE370F16-2A84-4DC0-93D4-00B8624D40E8}"/>
    <cellStyle name="Normal 2 2 38 2 3" xfId="4206" xr:uid="{DCBBB790-307B-4D9D-8BFC-8E23AE859EBD}"/>
    <cellStyle name="Normal 2 2 38 2 4" xfId="4207" xr:uid="{F4C1C068-842F-4199-974C-253935FE2A98}"/>
    <cellStyle name="Normal 2 2 38 2 5" xfId="4208" xr:uid="{11A5819F-1816-4BE5-9B67-B923E1F1E1D4}"/>
    <cellStyle name="Normal 2 2 38 2 6" xfId="4209" xr:uid="{F418B459-FD88-45B5-9288-6ACFB472496E}"/>
    <cellStyle name="Normal 2 2 38 2 7" xfId="4210" xr:uid="{DEF8751D-B11A-4747-AF88-DEC2BBDE974C}"/>
    <cellStyle name="Normal 2 2 38 2 8" xfId="4211" xr:uid="{1AF49199-CF00-419C-B960-2A270BE52605}"/>
    <cellStyle name="Normal 2 2 38 2 9" xfId="4212" xr:uid="{76AE54FA-0C19-4925-945E-B2459F5D5935}"/>
    <cellStyle name="Normal 2 2 38 3" xfId="4213" xr:uid="{8DF74454-30E3-4AD7-9E66-D4A01CE87420}"/>
    <cellStyle name="Normal 2 2 38 4" xfId="4214" xr:uid="{737D3783-4F48-492A-B91B-2BC06B95DE2A}"/>
    <cellStyle name="Normal 2 2 38 4 2" xfId="4215" xr:uid="{F65EF2FC-AD94-4FE7-B9A6-45A0C1140BBE}"/>
    <cellStyle name="Normal 2 2 38 4 3" xfId="4216" xr:uid="{B8FE61C2-4707-494A-90E9-82F73816C600}"/>
    <cellStyle name="Normal 2 2 38 4 4" xfId="4217" xr:uid="{8B952A74-404E-494A-9606-72DA9C6C3888}"/>
    <cellStyle name="Normal 2 2 38 4 5" xfId="4218" xr:uid="{B1B9BFA5-AA0E-4934-805B-A7933411FEB1}"/>
    <cellStyle name="Normal 2 2 38 4 6" xfId="4219" xr:uid="{C1BC9660-B7FA-4B41-990D-976572B6FD55}"/>
    <cellStyle name="Normal 2 2 38 4 7" xfId="4220" xr:uid="{362CC37F-6B3A-4913-A712-311EADEB52DC}"/>
    <cellStyle name="Normal 2 2 38 4 8" xfId="4221" xr:uid="{AB642C44-3DD9-4281-A73A-E3F113EB9BAE}"/>
    <cellStyle name="Normal 2 2 38 5" xfId="4222" xr:uid="{7657CC93-D4C6-446D-BE78-425D1B8AF7D7}"/>
    <cellStyle name="Normal 2 2 38 6" xfId="4223" xr:uid="{8A7544E3-D9EA-4271-AD7B-164ACDC5F8D1}"/>
    <cellStyle name="Normal 2 2 38 7" xfId="4224" xr:uid="{14CA591A-5720-44E5-85B2-03F76D407F33}"/>
    <cellStyle name="Normal 2 2 38 8" xfId="4225" xr:uid="{B80AEB52-484A-4233-93CF-162A3039EE44}"/>
    <cellStyle name="Normal 2 2 38 9" xfId="4226" xr:uid="{18A4F118-9516-44C6-9F61-B12AF1EBF0D9}"/>
    <cellStyle name="Normal 2 2 39" xfId="4227" xr:uid="{5F875B13-4864-4CBE-ACA1-6765D6DEDAEC}"/>
    <cellStyle name="Normal 2 2 4" xfId="4228" xr:uid="{41F78F8B-6FC4-4CB3-B59D-8433A60676BB}"/>
    <cellStyle name="Normal 2 2 40" xfId="4229" xr:uid="{674AA42A-8297-448E-948D-A7E9B2DADF1B}"/>
    <cellStyle name="Normal 2 2 41" xfId="4230" xr:uid="{5B9CC363-BB11-4FB7-8C3D-91BB01588A25}"/>
    <cellStyle name="Normal 2 2 42" xfId="4231" xr:uid="{1013A24A-D3A5-40CC-9AE2-9B2799E5DE61}"/>
    <cellStyle name="Normal 2 2 43" xfId="4232" xr:uid="{B59F9E4B-F324-415F-9080-545D13499698}"/>
    <cellStyle name="Normal 2 2 44" xfId="4233" xr:uid="{D5D1021E-61FF-4AFA-99FD-99254C258BDE}"/>
    <cellStyle name="Normal 2 2 45" xfId="4234" xr:uid="{8A68E7A2-E2CA-446C-A5BE-51423AC927B6}"/>
    <cellStyle name="Normal 2 2 46" xfId="4235" xr:uid="{A0915226-A726-49A2-B1F0-5C1FD08CB43E}"/>
    <cellStyle name="Normal 2 2 46 2" xfId="4236" xr:uid="{7E7E74EE-8279-4F09-A41E-AA43ADD0888C}"/>
    <cellStyle name="Normal 2 2 46 2 2" xfId="4237" xr:uid="{F3AD9F6E-A2B4-467E-A600-E540D5C2A493}"/>
    <cellStyle name="Normal 2 2 46 2 2 2" xfId="4238" xr:uid="{100F9F20-F010-46DC-B007-CEABC4BABBEC}"/>
    <cellStyle name="Normal 2 2 46 2 2 3" xfId="4239" xr:uid="{F9A067AB-38F0-4748-B7D6-82FC5BA97C13}"/>
    <cellStyle name="Normal 2 2 46 2 2 4" xfId="4240" xr:uid="{09EF46C3-4197-41AA-8DBA-84365200F63B}"/>
    <cellStyle name="Normal 2 2 46 2 2 5" xfId="4241" xr:uid="{3634E5CC-9A5D-4B2E-B438-44DA85978286}"/>
    <cellStyle name="Normal 2 2 46 2 2 6" xfId="4242" xr:uid="{65108598-1155-4368-9C70-34030382E1FB}"/>
    <cellStyle name="Normal 2 2 46 2 2 7" xfId="4243" xr:uid="{03046FCE-691F-4A06-B75D-3A019CDD8F0F}"/>
    <cellStyle name="Normal 2 2 46 2 2 8" xfId="4244" xr:uid="{BC8B0CD5-B232-4CA5-A030-7C6DA106D86C}"/>
    <cellStyle name="Normal 2 2 46 2 3" xfId="4245" xr:uid="{83239C40-1E34-449B-A34E-2F5A59B9E166}"/>
    <cellStyle name="Normal 2 2 46 2 4" xfId="4246" xr:uid="{F5469712-F361-47B1-AA21-5100D54496C4}"/>
    <cellStyle name="Normal 2 2 46 2 5" xfId="4247" xr:uid="{45AB8F37-E925-4255-A28C-136FD73B6F45}"/>
    <cellStyle name="Normal 2 2 46 2 6" xfId="4248" xr:uid="{FA2C5692-7B6E-4358-83DF-0A86FB8EF92E}"/>
    <cellStyle name="Normal 2 2 46 2 7" xfId="4249" xr:uid="{81AADCF7-6DD5-4585-90D0-3E93CA417E22}"/>
    <cellStyle name="Normal 2 2 46 2 8" xfId="4250" xr:uid="{176D68E1-2AFA-429D-B140-34F998CD4A6D}"/>
    <cellStyle name="Normal 2 2 46 3" xfId="4251" xr:uid="{2F16DAAE-8646-445F-B466-A7314C3C771C}"/>
    <cellStyle name="Normal 2 2 46 4" xfId="4252" xr:uid="{21AE5DD4-E8E6-4105-AE60-E30843D8F60D}"/>
    <cellStyle name="Normal 2 2 46 5" xfId="4253" xr:uid="{A3754936-99AE-4304-AEAE-F084A1C56D30}"/>
    <cellStyle name="Normal 2 2 46 6" xfId="4254" xr:uid="{88E21EAC-279E-4C6F-A59D-4156CA0DFFE1}"/>
    <cellStyle name="Normal 2 2 46 7" xfId="4255" xr:uid="{62A89DCC-4FEC-47E2-8213-24805899144D}"/>
    <cellStyle name="Normal 2 2 46 8" xfId="4256" xr:uid="{9CD5DD0F-3109-4B18-AFCF-8A5149FB3353}"/>
    <cellStyle name="Normal 2 2 46 9" xfId="4257" xr:uid="{B9D6F946-8412-4F86-8D47-3140D3553A04}"/>
    <cellStyle name="Normal 2 2 47" xfId="4258" xr:uid="{5378764E-968A-452F-A60F-BCC578F721BB}"/>
    <cellStyle name="Normal 2 2 47 2" xfId="4259" xr:uid="{63D6C7D9-AA81-452B-A589-452659427670}"/>
    <cellStyle name="Normal 2 2 47 3" xfId="4260" xr:uid="{5935AB69-EAD6-4B05-B4BD-755DC75C6C65}"/>
    <cellStyle name="Normal 2 2 47 4" xfId="4261" xr:uid="{944ED34E-C39B-47CC-B132-849BA20583DD}"/>
    <cellStyle name="Normal 2 2 47 5" xfId="4262" xr:uid="{4058ACE4-41A0-42A5-B580-7F1F73C3C691}"/>
    <cellStyle name="Normal 2 2 47 6" xfId="4263" xr:uid="{562B794A-D588-483D-8A05-0DAC941E0438}"/>
    <cellStyle name="Normal 2 2 47 7" xfId="4264" xr:uid="{6F27C7DD-A1E3-41FC-8716-F04EAC2353AA}"/>
    <cellStyle name="Normal 2 2 47 8" xfId="4265" xr:uid="{28CC4FCB-589E-4488-8913-7CCC9A03BFD2}"/>
    <cellStyle name="Normal 2 2 48" xfId="4266" xr:uid="{982CFBBF-2F49-496A-A1A9-6039A31E3636}"/>
    <cellStyle name="Normal 2 2 49" xfId="4267" xr:uid="{800FFDC7-6C22-49D4-8A32-A80CAEA16601}"/>
    <cellStyle name="Normal 2 2 5" xfId="4268" xr:uid="{016A155D-73F4-4277-8CD6-3D55EE753835}"/>
    <cellStyle name="Normal 2 2 50" xfId="4269" xr:uid="{B8FC3B95-C821-47C4-8256-AECE2366B21A}"/>
    <cellStyle name="Normal 2 2 51" xfId="4270" xr:uid="{ED39E7D5-4FEC-42B6-A584-07C0875F3E14}"/>
    <cellStyle name="Normal 2 2 52" xfId="4271" xr:uid="{1DD1651F-3B69-4B4D-A636-C8BD8F2F51B5}"/>
    <cellStyle name="Normal 2 2 53" xfId="4272" xr:uid="{8E7AF43E-5678-4246-A4CE-C8ADEB98A1DE}"/>
    <cellStyle name="Normal 2 2 6" xfId="4273" xr:uid="{134F6533-E476-49B6-9A58-F2EDB4C9CAFE}"/>
    <cellStyle name="Normal 2 2 7" xfId="4274" xr:uid="{1E4E4D0A-D97B-4AE4-8846-29BD209A27B1}"/>
    <cellStyle name="Normal 2 2 8" xfId="4275" xr:uid="{45BC3FA6-528E-41F5-9066-115E8E524995}"/>
    <cellStyle name="Normal 2 2 9" xfId="4276" xr:uid="{1052A7C9-E8B2-48FC-839E-A8975BAA7C61}"/>
    <cellStyle name="Normal 2 20" xfId="4277" xr:uid="{D6EF9F42-00E8-464C-91E2-17195D8AEA76}"/>
    <cellStyle name="Normal 2 21" xfId="4278" xr:uid="{053CF264-5F21-4613-913F-FBC69E785930}"/>
    <cellStyle name="Normal 2 22" xfId="4279" xr:uid="{02057FCB-2D7E-4BD4-A69D-11FDE6264E34}"/>
    <cellStyle name="Normal 2 23" xfId="4280" xr:uid="{D373C7DA-560F-4717-A2B8-B4A1D29CE527}"/>
    <cellStyle name="Normal 2 24" xfId="4281" xr:uid="{4E29D77D-EA89-4C36-942F-7E367412546D}"/>
    <cellStyle name="Normal 2 25" xfId="4282" xr:uid="{E291F61A-2304-44FC-82DE-6AC9FF025CC3}"/>
    <cellStyle name="Normal 2 26" xfId="4283" xr:uid="{D34FBC5B-5C9E-4396-B36C-CF2DF88187B8}"/>
    <cellStyle name="Normal 2 27" xfId="4284" xr:uid="{C4D1DF42-6392-4F32-98C0-C8ACD5F4DB38}"/>
    <cellStyle name="Normal 2 28" xfId="4285" xr:uid="{D2D494E6-F712-41A3-9B68-2B5C9D0FEAE6}"/>
    <cellStyle name="Normal 2 29" xfId="4286" xr:uid="{D36F33F7-2143-4E8E-B737-C9DC665EF6C7}"/>
    <cellStyle name="Normal 2 3" xfId="4287" xr:uid="{FDADACEE-487C-411F-969F-9CF016139EA5}"/>
    <cellStyle name="Normal 2 3 10" xfId="4288" xr:uid="{2D833CDD-6A4E-415C-BD5A-C2B5A4F36645}"/>
    <cellStyle name="Normal 2 3 11" xfId="4289" xr:uid="{BF59520C-C53D-4EC3-BBBA-AAD8B8700E75}"/>
    <cellStyle name="Normal 2 3 12" xfId="4290" xr:uid="{B242EC53-E7F5-429C-B880-81D0941A0F67}"/>
    <cellStyle name="Normal 2 3 13" xfId="4291" xr:uid="{1B86BC54-1038-4BE5-B436-83D5BC8A4CB8}"/>
    <cellStyle name="Normal 2 3 14" xfId="4292" xr:uid="{21D86184-ECE0-46C3-8CA9-659C1DE841A1}"/>
    <cellStyle name="Normal 2 3 15" xfId="4293" xr:uid="{009CB85D-8D7D-448D-9EE2-F4CF3B545D44}"/>
    <cellStyle name="Normal 2 3 16" xfId="4294" xr:uid="{C346D9EF-C84D-4CA6-A360-EA97EB74804D}"/>
    <cellStyle name="Normal 2 3 17" xfId="4295" xr:uid="{5AF30610-024B-4B14-A799-36A944D9C766}"/>
    <cellStyle name="Normal 2 3 18" xfId="4296" xr:uid="{9138D195-A6DF-4FAD-AFF3-5A131C35B188}"/>
    <cellStyle name="Normal 2 3 19" xfId="4297" xr:uid="{64AC0B09-01E4-4CE1-B908-1AA326A94B64}"/>
    <cellStyle name="Normal 2 3 2" xfId="4298" xr:uid="{A92DA894-5AF1-4F57-AB0C-FC41E789DA17}"/>
    <cellStyle name="Normal 2 3 2 10" xfId="4299" xr:uid="{CED7BCC2-2BEE-445F-BF72-0D7294B44ABC}"/>
    <cellStyle name="Normal 2 3 2 11" xfId="4300" xr:uid="{378880F1-BCC7-4112-A79F-C77A6447E585}"/>
    <cellStyle name="Normal 2 3 2 12" xfId="4301" xr:uid="{0A5F4005-7020-4C41-B0CC-8DA59C4A3ECC}"/>
    <cellStyle name="Normal 2 3 2 13" xfId="4302" xr:uid="{8F1E2BA2-C0DB-47BD-90BE-8E0E7ADBE28A}"/>
    <cellStyle name="Normal 2 3 2 14" xfId="4303" xr:uid="{89F46FB3-A3C5-4DED-9EEC-B267129F3818}"/>
    <cellStyle name="Normal 2 3 2 15" xfId="4304" xr:uid="{50C5F310-AD3B-4862-9C2A-1A1A2B5B7AEA}"/>
    <cellStyle name="Normal 2 3 2 16" xfId="4305" xr:uid="{6ABE9069-76F9-40F8-969A-1B2AD47A2E22}"/>
    <cellStyle name="Normal 2 3 2 17" xfId="4306" xr:uid="{C1F0517E-7688-462E-9339-CA5C8DC712DB}"/>
    <cellStyle name="Normal 2 3 2 18" xfId="4307" xr:uid="{4D3F78F6-494D-4E72-A168-0C6A3BE249DA}"/>
    <cellStyle name="Normal 2 3 2 19" xfId="4308" xr:uid="{6796505C-326B-44CD-A6A1-0FFFE6AA262E}"/>
    <cellStyle name="Normal 2 3 2 2" xfId="4309" xr:uid="{C161383C-69E5-416B-ADDA-ADFAB3B63287}"/>
    <cellStyle name="Normal 2 3 2 2 10" xfId="4310" xr:uid="{8770DC6E-1A7A-454D-9B47-3AF38BC0AD54}"/>
    <cellStyle name="Normal 2 3 2 2 11" xfId="4311" xr:uid="{9C706044-CCAB-4353-9847-6B4FFE0A863A}"/>
    <cellStyle name="Normal 2 3 2 2 12" xfId="4312" xr:uid="{8DE4BD47-E11B-4E80-AD3E-2DA986BDEF4B}"/>
    <cellStyle name="Normal 2 3 2 2 13" xfId="4313" xr:uid="{9987F954-B3ED-4C17-98AD-51A4EA5D10A9}"/>
    <cellStyle name="Normal 2 3 2 2 14" xfId="4314" xr:uid="{BD1820DB-82A4-4850-B6F0-B49CF680A076}"/>
    <cellStyle name="Normal 2 3 2 2 15" xfId="4315" xr:uid="{AD00CFDD-EFE2-4F6C-85A3-1EA135317653}"/>
    <cellStyle name="Normal 2 3 2 2 15 2" xfId="4316" xr:uid="{D08B1877-A66C-4236-B801-00B65408DBB8}"/>
    <cellStyle name="Normal 2 3 2 2 15 2 2" xfId="4317" xr:uid="{E29F2FB3-6780-4ACE-B695-698CF85AFD1F}"/>
    <cellStyle name="Normal 2 3 2 2 15 2 2 2" xfId="4318" xr:uid="{9F8A569E-058D-4A07-974C-61C8733821A0}"/>
    <cellStyle name="Normal 2 3 2 2 15 2 2 3" xfId="4319" xr:uid="{2706AD4B-EB00-4C28-99FC-8B8394AFA7D7}"/>
    <cellStyle name="Normal 2 3 2 2 15 2 2 4" xfId="4320" xr:uid="{916CB4C1-4617-47AE-A0AA-64E8FD4F999E}"/>
    <cellStyle name="Normal 2 3 2 2 15 2 2 5" xfId="4321" xr:uid="{0E0FC30C-BE05-4DE0-844C-909D996BBC81}"/>
    <cellStyle name="Normal 2 3 2 2 15 2 2 6" xfId="4322" xr:uid="{D80995A4-AFAF-4B26-A157-ABC7FB8C5287}"/>
    <cellStyle name="Normal 2 3 2 2 15 2 2 7" xfId="4323" xr:uid="{7BBD7B00-A185-4DA7-B5FF-F441B7FD8ABD}"/>
    <cellStyle name="Normal 2 3 2 2 15 2 2 8" xfId="4324" xr:uid="{5FBB870A-AE28-49DB-972F-3305D673FDBF}"/>
    <cellStyle name="Normal 2 3 2 2 15 2 3" xfId="4325" xr:uid="{2C88A099-1462-4605-B61B-526624AC94A2}"/>
    <cellStyle name="Normal 2 3 2 2 15 2 4" xfId="4326" xr:uid="{3C0B9D02-3C65-4CE6-9DB1-A5771B6644F5}"/>
    <cellStyle name="Normal 2 3 2 2 15 2 5" xfId="4327" xr:uid="{55AB07B8-AE2A-4CC9-A303-30C2764CC868}"/>
    <cellStyle name="Normal 2 3 2 2 15 2 6" xfId="4328" xr:uid="{D72B0832-53D6-4ABB-8810-08942D6C8830}"/>
    <cellStyle name="Normal 2 3 2 2 15 2 7" xfId="4329" xr:uid="{7F3C33A1-DBDC-4CDA-887D-EFEFA471ADC5}"/>
    <cellStyle name="Normal 2 3 2 2 15 2 8" xfId="4330" xr:uid="{1CAE2A6A-0036-4C5E-9629-6B8CC833CA2F}"/>
    <cellStyle name="Normal 2 3 2 2 15 3" xfId="4331" xr:uid="{47CE9627-D75B-40BE-BDEE-99FEE2079CDA}"/>
    <cellStyle name="Normal 2 3 2 2 15 4" xfId="4332" xr:uid="{27202E79-57F3-4063-8F94-FF4E9621A214}"/>
    <cellStyle name="Normal 2 3 2 2 15 5" xfId="4333" xr:uid="{19A88571-4527-486B-A205-65E41CF0389C}"/>
    <cellStyle name="Normal 2 3 2 2 15 6" xfId="4334" xr:uid="{59CC5BAF-3D2C-482B-9553-50F79B5D2DC0}"/>
    <cellStyle name="Normal 2 3 2 2 15 7" xfId="4335" xr:uid="{29EF110E-91CD-49A1-BE0D-4B15F08BAEE1}"/>
    <cellStyle name="Normal 2 3 2 2 15 8" xfId="4336" xr:uid="{0476ADBB-CC36-42DB-B3EE-677898FE9734}"/>
    <cellStyle name="Normal 2 3 2 2 15 9" xfId="4337" xr:uid="{F5264783-C150-4AAE-A10E-2025FBFFC7DE}"/>
    <cellStyle name="Normal 2 3 2 2 16" xfId="4338" xr:uid="{EDDCC3E6-ECE3-4A5F-8B2C-6988F8C1093D}"/>
    <cellStyle name="Normal 2 3 2 2 16 2" xfId="4339" xr:uid="{E4309819-52AB-4EAC-9473-DE00C19CE0A4}"/>
    <cellStyle name="Normal 2 3 2 2 16 3" xfId="4340" xr:uid="{E1D2A919-E7C4-4F9B-8201-5FD1AD19735B}"/>
    <cellStyle name="Normal 2 3 2 2 16 4" xfId="4341" xr:uid="{BB643A27-6D68-44A4-9F54-475F8C2C593A}"/>
    <cellStyle name="Normal 2 3 2 2 16 5" xfId="4342" xr:uid="{17871345-743F-486E-A88B-56F00B50EE14}"/>
    <cellStyle name="Normal 2 3 2 2 16 6" xfId="4343" xr:uid="{5BE07BE9-2F8F-40E1-8169-8A424D50C099}"/>
    <cellStyle name="Normal 2 3 2 2 16 7" xfId="4344" xr:uid="{4E4DED2E-8A4B-4DE8-9096-18853D987019}"/>
    <cellStyle name="Normal 2 3 2 2 16 8" xfId="4345" xr:uid="{B9038E2B-FAC0-4F15-9786-CE45C6AA6E85}"/>
    <cellStyle name="Normal 2 3 2 2 17" xfId="4346" xr:uid="{D76D6005-C443-4F2F-8A95-CA6DEEBD6EB9}"/>
    <cellStyle name="Normal 2 3 2 2 18" xfId="4347" xr:uid="{BABB56E9-3AC3-4D44-A823-2FCFD6069644}"/>
    <cellStyle name="Normal 2 3 2 2 19" xfId="4348" xr:uid="{3792FAD7-C52F-430F-BE3C-A7E774AF1680}"/>
    <cellStyle name="Normal 2 3 2 2 2" xfId="4349" xr:uid="{6E87F1D0-B111-433A-96B0-8BEBFEE4FEA0}"/>
    <cellStyle name="Normal 2 3 2 2 2 10" xfId="4350" xr:uid="{674A2301-2448-40A7-99D6-66BDFEFD1E46}"/>
    <cellStyle name="Normal 2 3 2 2 2 11" xfId="4351" xr:uid="{1AF88D8E-D603-4314-A2C5-A74928A0D97D}"/>
    <cellStyle name="Normal 2 3 2 2 2 12" xfId="4352" xr:uid="{B608DE97-41DD-4FD0-A97F-78123EECA9DD}"/>
    <cellStyle name="Normal 2 3 2 2 2 13" xfId="4353" xr:uid="{1F6D8A83-85F3-4F8C-80A1-CCDECBCB99A9}"/>
    <cellStyle name="Normal 2 3 2 2 2 14" xfId="4354" xr:uid="{E81E90FF-D957-438F-AF19-072451B10CB5}"/>
    <cellStyle name="Normal 2 3 2 2 2 15" xfId="4355" xr:uid="{9124B0DF-ABF7-419F-A9EC-983E5DE29792}"/>
    <cellStyle name="Normal 2 3 2 2 2 15 2" xfId="4356" xr:uid="{C76F9BCD-A90B-4B76-A2C5-9443C39DB86F}"/>
    <cellStyle name="Normal 2 3 2 2 2 15 2 2" xfId="4357" xr:uid="{EE471071-D875-4577-91EB-6DE5273B4E0B}"/>
    <cellStyle name="Normal 2 3 2 2 2 15 2 2 2" xfId="4358" xr:uid="{DFC92583-E9D2-43AF-AE1C-BC9E10F1D19F}"/>
    <cellStyle name="Normal 2 3 2 2 2 15 2 2 3" xfId="4359" xr:uid="{BD3168CB-10FD-4939-81FC-923A69B65596}"/>
    <cellStyle name="Normal 2 3 2 2 2 15 2 2 4" xfId="4360" xr:uid="{6B4447D8-C96B-46A4-BE96-69B306F1B6D2}"/>
    <cellStyle name="Normal 2 3 2 2 2 15 2 2 5" xfId="4361" xr:uid="{E71F76A4-3D45-4E4C-9D47-219604DB2DB1}"/>
    <cellStyle name="Normal 2 3 2 2 2 15 2 2 6" xfId="4362" xr:uid="{FFCB0375-1491-4ED0-AD59-CD3B13796D62}"/>
    <cellStyle name="Normal 2 3 2 2 2 15 2 2 7" xfId="4363" xr:uid="{C5F40B3D-74F6-4B2F-8F90-4FF851076DF8}"/>
    <cellStyle name="Normal 2 3 2 2 2 15 2 2 8" xfId="4364" xr:uid="{C9A14C0A-4362-4024-B3C0-DB724A713F80}"/>
    <cellStyle name="Normal 2 3 2 2 2 15 2 3" xfId="4365" xr:uid="{2F8D05BE-2B20-460B-A961-662FDD3DABBF}"/>
    <cellStyle name="Normal 2 3 2 2 2 15 2 4" xfId="4366" xr:uid="{6CB5AB55-CB09-4EB0-AFE6-EDAE4933A084}"/>
    <cellStyle name="Normal 2 3 2 2 2 15 2 5" xfId="4367" xr:uid="{CEDA574B-155B-45FA-9620-7DE25295F964}"/>
    <cellStyle name="Normal 2 3 2 2 2 15 2 6" xfId="4368" xr:uid="{E2BB2026-39BC-4020-A0A9-BA49E35B7938}"/>
    <cellStyle name="Normal 2 3 2 2 2 15 2 7" xfId="4369" xr:uid="{F8329091-3447-4782-828A-37E2E0E08673}"/>
    <cellStyle name="Normal 2 3 2 2 2 15 2 8" xfId="4370" xr:uid="{F204E24B-8ED0-48C2-B687-E08F10B3F4FD}"/>
    <cellStyle name="Normal 2 3 2 2 2 15 3" xfId="4371" xr:uid="{760FB922-4C82-49D1-BFDC-C87C88D282C3}"/>
    <cellStyle name="Normal 2 3 2 2 2 15 4" xfId="4372" xr:uid="{8C3524E4-8F84-40C9-978F-253A3FE27707}"/>
    <cellStyle name="Normal 2 3 2 2 2 15 5" xfId="4373" xr:uid="{4A08C988-C30E-47D7-9C7A-C1B67AFD1F0D}"/>
    <cellStyle name="Normal 2 3 2 2 2 15 6" xfId="4374" xr:uid="{0CE25C92-BD11-48FB-BA25-A98168A82F13}"/>
    <cellStyle name="Normal 2 3 2 2 2 15 7" xfId="4375" xr:uid="{091B163E-EA74-4BCC-B024-CEB9E50680D1}"/>
    <cellStyle name="Normal 2 3 2 2 2 15 8" xfId="4376" xr:uid="{D032A312-863B-439C-9B95-F01D6AB20277}"/>
    <cellStyle name="Normal 2 3 2 2 2 15 9" xfId="4377" xr:uid="{E31D0461-78F3-434F-9C69-333469E93470}"/>
    <cellStyle name="Normal 2 3 2 2 2 16" xfId="4378" xr:uid="{94528E0F-1ED1-4D56-986A-0C5490E93AF4}"/>
    <cellStyle name="Normal 2 3 2 2 2 16 2" xfId="4379" xr:uid="{A7BBEAF7-3805-46E9-A259-167F6C46D307}"/>
    <cellStyle name="Normal 2 3 2 2 2 16 3" xfId="4380" xr:uid="{70A77BA5-B801-449C-9B63-4E83512244FB}"/>
    <cellStyle name="Normal 2 3 2 2 2 16 4" xfId="4381" xr:uid="{D2A1710C-50C4-4385-AAFF-E6F939B44840}"/>
    <cellStyle name="Normal 2 3 2 2 2 16 5" xfId="4382" xr:uid="{C618F824-CAF9-4F14-84C3-419C5F43CCF5}"/>
    <cellStyle name="Normal 2 3 2 2 2 16 6" xfId="4383" xr:uid="{8F019EBD-68FC-4136-836F-5CF660C095BF}"/>
    <cellStyle name="Normal 2 3 2 2 2 16 7" xfId="4384" xr:uid="{9BCD8D93-EB8F-4032-A44F-C796C7D2705C}"/>
    <cellStyle name="Normal 2 3 2 2 2 16 8" xfId="4385" xr:uid="{3FC1CF3C-C884-43BE-93C6-E8D62D195F49}"/>
    <cellStyle name="Normal 2 3 2 2 2 17" xfId="4386" xr:uid="{87BD90A7-AC2A-4CD1-A8BE-66BB5547876F}"/>
    <cellStyle name="Normal 2 3 2 2 2 18" xfId="4387" xr:uid="{D48C7C3A-2FEE-4DBE-920E-DF1E5C9EEE61}"/>
    <cellStyle name="Normal 2 3 2 2 2 19" xfId="4388" xr:uid="{8CAF768D-706F-479D-9F79-9738B7F9F3C0}"/>
    <cellStyle name="Normal 2 3 2 2 2 2" xfId="4389" xr:uid="{F6004D49-A690-4388-AD8F-1F2176D6ADDA}"/>
    <cellStyle name="Normal 2 3 2 2 2 2 10" xfId="4390" xr:uid="{82D9CD2D-BCCE-4152-BADC-BA6DAA5BEFF3}"/>
    <cellStyle name="Normal 2 3 2 2 2 2 10 2" xfId="4391" xr:uid="{7BCA65E6-F565-47E3-B51E-F0C8FD15661C}"/>
    <cellStyle name="Normal 2 3 2 2 2 2 10 2 2" xfId="4392" xr:uid="{F22E26F0-82E1-4046-B5E0-FF5116D4B676}"/>
    <cellStyle name="Normal 2 3 2 2 2 2 10 2 2 2" xfId="4393" xr:uid="{F4744852-A9A5-4357-A529-3C3FCFCA0B6E}"/>
    <cellStyle name="Normal 2 3 2 2 2 2 10 2 2 3" xfId="4394" xr:uid="{70DE8ECE-2E37-4BEF-85A4-DAD35463C810}"/>
    <cellStyle name="Normal 2 3 2 2 2 2 10 2 2 4" xfId="4395" xr:uid="{9C80F4ED-2F24-49CF-9FEE-8810B5E46FF7}"/>
    <cellStyle name="Normal 2 3 2 2 2 2 10 2 2 5" xfId="4396" xr:uid="{2EA23E3E-5C4C-42AA-AEB2-2BAA38A28A28}"/>
    <cellStyle name="Normal 2 3 2 2 2 2 10 2 2 6" xfId="4397" xr:uid="{E26070A9-E5B7-4A4F-8D84-A964EB8A3C77}"/>
    <cellStyle name="Normal 2 3 2 2 2 2 10 2 2 7" xfId="4398" xr:uid="{57FF3389-4061-4A30-845B-BAE887387ADF}"/>
    <cellStyle name="Normal 2 3 2 2 2 2 10 2 2 8" xfId="4399" xr:uid="{E4B00CE0-C120-43ED-BE44-3DBFAB34A511}"/>
    <cellStyle name="Normal 2 3 2 2 2 2 10 2 3" xfId="4400" xr:uid="{1DAC821E-37A1-49E1-B053-6A1C6DACE7DD}"/>
    <cellStyle name="Normal 2 3 2 2 2 2 10 2 4" xfId="4401" xr:uid="{C847D6F3-5C17-432F-B17D-8269FB0F428B}"/>
    <cellStyle name="Normal 2 3 2 2 2 2 10 2 5" xfId="4402" xr:uid="{6CDF9E2E-F16E-44DB-A5FD-A70E2CAB80A5}"/>
    <cellStyle name="Normal 2 3 2 2 2 2 10 2 6" xfId="4403" xr:uid="{9F0C9DC5-0BA5-4671-A76C-5D3FA2140BB8}"/>
    <cellStyle name="Normal 2 3 2 2 2 2 10 2 7" xfId="4404" xr:uid="{EB657EE0-DD03-4F4E-B2A3-68B7A274C101}"/>
    <cellStyle name="Normal 2 3 2 2 2 2 10 2 8" xfId="4405" xr:uid="{3D096B34-70E0-4645-AAC4-267E6EDE8EFD}"/>
    <cellStyle name="Normal 2 3 2 2 2 2 10 3" xfId="4406" xr:uid="{AE59A3E0-3530-4410-92AF-830E10F17612}"/>
    <cellStyle name="Normal 2 3 2 2 2 2 10 4" xfId="4407" xr:uid="{DF87844A-7863-458D-B353-9E66A6A627C1}"/>
    <cellStyle name="Normal 2 3 2 2 2 2 10 5" xfId="4408" xr:uid="{DA8CD757-8B1E-4494-85A0-BC9276386026}"/>
    <cellStyle name="Normal 2 3 2 2 2 2 10 6" xfId="4409" xr:uid="{4A21BEB0-30BF-4C95-A09E-A1574ACAB1A0}"/>
    <cellStyle name="Normal 2 3 2 2 2 2 10 7" xfId="4410" xr:uid="{B2EF27C2-8CB4-4361-B4BF-8EF03E47FE99}"/>
    <cellStyle name="Normal 2 3 2 2 2 2 10 8" xfId="4411" xr:uid="{31E82F34-168E-4C14-A7CA-EE88F301AA10}"/>
    <cellStyle name="Normal 2 3 2 2 2 2 10 9" xfId="4412" xr:uid="{0316859F-4131-402D-83CA-68513E2FE7AD}"/>
    <cellStyle name="Normal 2 3 2 2 2 2 11" xfId="4413" xr:uid="{07F7098F-71C6-4626-BE8B-2FD0B1E682A1}"/>
    <cellStyle name="Normal 2 3 2 2 2 2 11 2" xfId="4414" xr:uid="{EB9BFF85-19B6-44C0-A7AD-D134E3E0BEE1}"/>
    <cellStyle name="Normal 2 3 2 2 2 2 11 3" xfId="4415" xr:uid="{634B8FBE-1A65-4C9E-AA4C-D7B49CAD710F}"/>
    <cellStyle name="Normal 2 3 2 2 2 2 11 4" xfId="4416" xr:uid="{40D0A1FE-36DB-42E0-A9D1-06C465E2F01F}"/>
    <cellStyle name="Normal 2 3 2 2 2 2 11 5" xfId="4417" xr:uid="{EA1C51BF-E04D-4337-8F08-25575E15079C}"/>
    <cellStyle name="Normal 2 3 2 2 2 2 11 6" xfId="4418" xr:uid="{C599AD11-8BA6-49A1-98D1-D7056B9D0243}"/>
    <cellStyle name="Normal 2 3 2 2 2 2 11 7" xfId="4419" xr:uid="{30A2BF2A-6FA3-44D7-952A-B8189B197131}"/>
    <cellStyle name="Normal 2 3 2 2 2 2 11 8" xfId="4420" xr:uid="{8BE537A5-C266-4FC6-9D2F-5DF86D707BF1}"/>
    <cellStyle name="Normal 2 3 2 2 2 2 12" xfId="4421" xr:uid="{F3E19662-443E-461F-80FE-B126509C6C44}"/>
    <cellStyle name="Normal 2 3 2 2 2 2 13" xfId="4422" xr:uid="{0DA13A24-FFAA-4211-98EF-A0B20C01B216}"/>
    <cellStyle name="Normal 2 3 2 2 2 2 14" xfId="4423" xr:uid="{BDE45B33-87E2-46C2-A25A-02E5567B36B4}"/>
    <cellStyle name="Normal 2 3 2 2 2 2 15" xfId="4424" xr:uid="{DBB06422-9F1C-427F-8C56-275071A507F7}"/>
    <cellStyle name="Normal 2 3 2 2 2 2 16" xfId="4425" xr:uid="{1F807FBF-4ABA-455C-8497-16F5CB71BB59}"/>
    <cellStyle name="Normal 2 3 2 2 2 2 17" xfId="4426" xr:uid="{33A123ED-66B6-4D5D-AD7D-6166EEAF5433}"/>
    <cellStyle name="Normal 2 3 2 2 2 2 2" xfId="4427" xr:uid="{4B1F7592-1E28-4D92-8A60-A1CFE2AAE9E6}"/>
    <cellStyle name="Normal 2 3 2 2 2 2 2 10" xfId="4428" xr:uid="{5AB98799-10AE-4382-A0BC-F7CDDC5AC773}"/>
    <cellStyle name="Normal 2 3 2 2 2 2 2 10 2" xfId="4429" xr:uid="{5548897A-3280-458E-B728-70ADB3F4A7BF}"/>
    <cellStyle name="Normal 2 3 2 2 2 2 2 10 2 2" xfId="4430" xr:uid="{94754A8E-5082-433D-9D72-01E8E6886369}"/>
    <cellStyle name="Normal 2 3 2 2 2 2 2 10 2 2 2" xfId="4431" xr:uid="{5990F15E-CF8F-4131-AB10-2D2DFAB3F2CE}"/>
    <cellStyle name="Normal 2 3 2 2 2 2 2 10 2 2 3" xfId="4432" xr:uid="{6CE0C137-BF41-4B14-8EC1-DD44C7E6D0C3}"/>
    <cellStyle name="Normal 2 3 2 2 2 2 2 10 2 2 4" xfId="4433" xr:uid="{24E244E3-694A-49A2-A497-2AEC6B376934}"/>
    <cellStyle name="Normal 2 3 2 2 2 2 2 10 2 2 5" xfId="4434" xr:uid="{B9FEFCC1-97CB-4CFD-9678-56CB454A269A}"/>
    <cellStyle name="Normal 2 3 2 2 2 2 2 10 2 2 6" xfId="4435" xr:uid="{ED19678B-6B9F-4C04-B46D-88405CB209BE}"/>
    <cellStyle name="Normal 2 3 2 2 2 2 2 10 2 2 7" xfId="4436" xr:uid="{10B13CDA-7D33-4189-B655-F5C10134F3E9}"/>
    <cellStyle name="Normal 2 3 2 2 2 2 2 10 2 2 8" xfId="4437" xr:uid="{FD8165FB-B90E-4EDD-BA2B-27300C3DF672}"/>
    <cellStyle name="Normal 2 3 2 2 2 2 2 10 2 3" xfId="4438" xr:uid="{A3D25BAA-58CD-4937-A7D3-481E758D8E1A}"/>
    <cellStyle name="Normal 2 3 2 2 2 2 2 10 2 4" xfId="4439" xr:uid="{D5E7B2F5-9334-409B-99B8-38D1105C38AB}"/>
    <cellStyle name="Normal 2 3 2 2 2 2 2 10 2 5" xfId="4440" xr:uid="{92D8A5D4-6CF0-4F60-BEB6-F302751EAC6B}"/>
    <cellStyle name="Normal 2 3 2 2 2 2 2 10 2 6" xfId="4441" xr:uid="{E5832749-7D81-4A6F-B5F6-AA87668BEAD0}"/>
    <cellStyle name="Normal 2 3 2 2 2 2 2 10 2 7" xfId="4442" xr:uid="{734BB8C7-596C-4908-836E-A6D9027E7F42}"/>
    <cellStyle name="Normal 2 3 2 2 2 2 2 10 2 8" xfId="4443" xr:uid="{1A306C8D-3526-4584-915C-D775EDB99EE4}"/>
    <cellStyle name="Normal 2 3 2 2 2 2 2 10 3" xfId="4444" xr:uid="{84E5C395-5289-482E-BAC0-E421E874BFAC}"/>
    <cellStyle name="Normal 2 3 2 2 2 2 2 10 4" xfId="4445" xr:uid="{61962E67-7F58-4A56-B0C8-932C2787976E}"/>
    <cellStyle name="Normal 2 3 2 2 2 2 2 10 5" xfId="4446" xr:uid="{982E3E05-CA96-4895-A3F3-C8FB8EFAF0E8}"/>
    <cellStyle name="Normal 2 3 2 2 2 2 2 10 6" xfId="4447" xr:uid="{FBFA43E7-85B9-40CF-AA53-CF473E0D14FC}"/>
    <cellStyle name="Normal 2 3 2 2 2 2 2 10 7" xfId="4448" xr:uid="{E4042DBF-B580-4F69-A97B-75574AF44B2F}"/>
    <cellStyle name="Normal 2 3 2 2 2 2 2 10 8" xfId="4449" xr:uid="{67FC18F0-A26F-43AE-B27C-9FEC6A72937D}"/>
    <cellStyle name="Normal 2 3 2 2 2 2 2 10 9" xfId="4450" xr:uid="{E741381A-0041-446F-BFAD-99D2FE57461C}"/>
    <cellStyle name="Normal 2 3 2 2 2 2 2 11" xfId="4451" xr:uid="{8518A2D3-2D88-4546-AD71-F66EF39AABB5}"/>
    <cellStyle name="Normal 2 3 2 2 2 2 2 11 2" xfId="4452" xr:uid="{1B1E9ED6-DEA3-4E38-9095-18CA5D9BD856}"/>
    <cellStyle name="Normal 2 3 2 2 2 2 2 11 3" xfId="4453" xr:uid="{48990542-7D0F-4819-89E1-9882CDDC2F57}"/>
    <cellStyle name="Normal 2 3 2 2 2 2 2 11 4" xfId="4454" xr:uid="{590ACF57-01A9-497D-B59E-94FFEDC7E086}"/>
    <cellStyle name="Normal 2 3 2 2 2 2 2 11 5" xfId="4455" xr:uid="{165DA915-A45C-421A-B9B2-C75A44236A2A}"/>
    <cellStyle name="Normal 2 3 2 2 2 2 2 11 6" xfId="4456" xr:uid="{24836EDF-6FA9-4D6A-A9A6-60B441B2A3F5}"/>
    <cellStyle name="Normal 2 3 2 2 2 2 2 11 7" xfId="4457" xr:uid="{7AAAD53C-A5DE-4A14-BB48-20D6EFF7C76B}"/>
    <cellStyle name="Normal 2 3 2 2 2 2 2 11 8" xfId="4458" xr:uid="{B98E7786-DA37-4DAB-952E-B536E47FDFFB}"/>
    <cellStyle name="Normal 2 3 2 2 2 2 2 12" xfId="4459" xr:uid="{283D4DE4-A2E9-4A89-A2AB-AB12C275FCBE}"/>
    <cellStyle name="Normal 2 3 2 2 2 2 2 13" xfId="4460" xr:uid="{D793C2FF-A2A5-400F-8341-674E67B8C177}"/>
    <cellStyle name="Normal 2 3 2 2 2 2 2 14" xfId="4461" xr:uid="{7FCF1CC5-E7A7-427A-9721-AA528AE54F63}"/>
    <cellStyle name="Normal 2 3 2 2 2 2 2 15" xfId="4462" xr:uid="{4C086374-F675-4F3E-B507-C9741020AE8F}"/>
    <cellStyle name="Normal 2 3 2 2 2 2 2 16" xfId="4463" xr:uid="{B8483D29-BC52-4BC9-8914-EDC206022FF3}"/>
    <cellStyle name="Normal 2 3 2 2 2 2 2 17" xfId="4464" xr:uid="{32966CC4-AF5C-413B-A708-34E591BB714D}"/>
    <cellStyle name="Normal 2 3 2 2 2 2 2 2" xfId="4465" xr:uid="{03726E3B-9DE2-428B-85E6-96D05933D806}"/>
    <cellStyle name="Normal 2 3 2 2 2 2 2 2 10" xfId="4466" xr:uid="{D7A7F066-88E4-4B6D-AB44-A4D5271BF7C1}"/>
    <cellStyle name="Normal 2 3 2 2 2 2 2 2 2" xfId="4467" xr:uid="{C11F82BC-37A3-4B41-B798-440DB251B353}"/>
    <cellStyle name="Normal 2 3 2 2 2 2 2 2 2 2" xfId="4468" xr:uid="{CD6EE05F-455D-4708-A9E9-51206A003DF2}"/>
    <cellStyle name="Normal 2 3 2 2 2 2 2 2 2 2 2" xfId="4469" xr:uid="{86C850CF-32A6-4774-927C-0B4D93F57BFA}"/>
    <cellStyle name="Normal 2 3 2 2 2 2 2 2 2 2 2 2" xfId="4470" xr:uid="{D8AB32A0-EA26-445B-9BC2-8EE2D6C8CD9D}"/>
    <cellStyle name="Normal 2 3 2 2 2 2 2 2 2 2 2 3" xfId="4471" xr:uid="{1D81E138-835B-4E29-BDC7-F78BD0DA8BE7}"/>
    <cellStyle name="Normal 2 3 2 2 2 2 2 2 2 2 2 4" xfId="4472" xr:uid="{C141B49D-C054-439A-B66D-5DCD1AD00CD4}"/>
    <cellStyle name="Normal 2 3 2 2 2 2 2 2 2 2 2 5" xfId="4473" xr:uid="{3C06BEAA-6737-4397-9853-EC5945432341}"/>
    <cellStyle name="Normal 2 3 2 2 2 2 2 2 2 2 2 6" xfId="4474" xr:uid="{E9221D7C-19CD-43AF-B8A7-D2C23DF66160}"/>
    <cellStyle name="Normal 2 3 2 2 2 2 2 2 2 2 2 7" xfId="4475" xr:uid="{AE00A84E-3EDA-4D1B-B963-8C94055CF89E}"/>
    <cellStyle name="Normal 2 3 2 2 2 2 2 2 2 2 2 8" xfId="4476" xr:uid="{CBC5E355-1B21-4CB7-89A9-29618907267C}"/>
    <cellStyle name="Normal 2 3 2 2 2 2 2 2 2 2 3" xfId="4477" xr:uid="{DD0463D0-BF3F-4C36-A9B7-1A5CA7F2BA03}"/>
    <cellStyle name="Normal 2 3 2 2 2 2 2 2 2 2 4" xfId="4478" xr:uid="{40D271FD-3EA2-454E-85AD-12F503014037}"/>
    <cellStyle name="Normal 2 3 2 2 2 2 2 2 2 2 5" xfId="4479" xr:uid="{C6DEEC6C-A0AA-4075-9BD1-6623F7E03CBF}"/>
    <cellStyle name="Normal 2 3 2 2 2 2 2 2 2 2 6" xfId="4480" xr:uid="{5D92F5D9-9906-422D-A174-25E3BB91A1A7}"/>
    <cellStyle name="Normal 2 3 2 2 2 2 2 2 2 2 7" xfId="4481" xr:uid="{E5AD6043-A640-4963-8855-09C124FD4058}"/>
    <cellStyle name="Normal 2 3 2 2 2 2 2 2 2 2 8" xfId="4482" xr:uid="{235B21A7-9978-487E-8A00-304BF063D9B4}"/>
    <cellStyle name="Normal 2 3 2 2 2 2 2 2 2 3" xfId="4483" xr:uid="{9683539A-C255-46E9-8718-0031FB897F1F}"/>
    <cellStyle name="Normal 2 3 2 2 2 2 2 2 2 4" xfId="4484" xr:uid="{AC0DE951-0F7C-4DFA-847C-8ADAC9C98A48}"/>
    <cellStyle name="Normal 2 3 2 2 2 2 2 2 2 5" xfId="4485" xr:uid="{544EEA31-9693-4C4C-91AD-5A47EB3DFC6C}"/>
    <cellStyle name="Normal 2 3 2 2 2 2 2 2 2 6" xfId="4486" xr:uid="{295039B5-95E6-46A0-9594-CCAA52497269}"/>
    <cellStyle name="Normal 2 3 2 2 2 2 2 2 2 7" xfId="4487" xr:uid="{AA9034BB-2A51-446F-8923-C17E1A70A066}"/>
    <cellStyle name="Normal 2 3 2 2 2 2 2 2 2 8" xfId="4488" xr:uid="{D06B3FB4-08CB-4D59-A52F-2286D30E72D0}"/>
    <cellStyle name="Normal 2 3 2 2 2 2 2 2 2 9" xfId="4489" xr:uid="{F52C61F6-1125-4ADD-97C2-D2E52715B518}"/>
    <cellStyle name="Normal 2 3 2 2 2 2 2 2 3" xfId="4490" xr:uid="{E831867B-03EE-4B4F-9065-87BF8DD8FCDA}"/>
    <cellStyle name="Normal 2 3 2 2 2 2 2 2 4" xfId="4491" xr:uid="{DD1724F6-2E57-4330-A730-8A34619B17F2}"/>
    <cellStyle name="Normal 2 3 2 2 2 2 2 2 4 2" xfId="4492" xr:uid="{79FB1F87-CFC3-4C1C-8423-4DDB8E556F16}"/>
    <cellStyle name="Normal 2 3 2 2 2 2 2 2 4 3" xfId="4493" xr:uid="{A06FEC53-1725-4FEC-BD2E-385B4351AD79}"/>
    <cellStyle name="Normal 2 3 2 2 2 2 2 2 4 4" xfId="4494" xr:uid="{9F467151-42DF-4C2D-A1F3-D9C4A8659B20}"/>
    <cellStyle name="Normal 2 3 2 2 2 2 2 2 4 5" xfId="4495" xr:uid="{148F3558-05D2-4328-9A74-A25A2476749C}"/>
    <cellStyle name="Normal 2 3 2 2 2 2 2 2 4 6" xfId="4496" xr:uid="{02A22716-02E7-41BF-BE3A-A02B2116C483}"/>
    <cellStyle name="Normal 2 3 2 2 2 2 2 2 4 7" xfId="4497" xr:uid="{364FEA0D-95B0-4710-9522-A635BDF7F1C4}"/>
    <cellStyle name="Normal 2 3 2 2 2 2 2 2 4 8" xfId="4498" xr:uid="{6BD2EDF8-B6BF-4F23-A565-4735B2159616}"/>
    <cellStyle name="Normal 2 3 2 2 2 2 2 2 5" xfId="4499" xr:uid="{37811908-6736-4CD8-A218-7B6E94789B05}"/>
    <cellStyle name="Normal 2 3 2 2 2 2 2 2 6" xfId="4500" xr:uid="{F0759120-D8A8-4C03-AEF8-8C12AD87B185}"/>
    <cellStyle name="Normal 2 3 2 2 2 2 2 2 7" xfId="4501" xr:uid="{67FA1308-A6E7-44EE-9A3C-47B59F00034E}"/>
    <cellStyle name="Normal 2 3 2 2 2 2 2 2 8" xfId="4502" xr:uid="{44D88EAB-F59B-4975-A75E-87AB9A8B31F6}"/>
    <cellStyle name="Normal 2 3 2 2 2 2 2 2 9" xfId="4503" xr:uid="{02014FC7-4E70-4ED9-B4F9-D2744CCE3265}"/>
    <cellStyle name="Normal 2 3 2 2 2 2 2 3" xfId="4504" xr:uid="{520972EB-7AB3-4A98-B6EE-D225CD06FE60}"/>
    <cellStyle name="Normal 2 3 2 2 2 2 2 4" xfId="4505" xr:uid="{04B1B4DE-AE26-4475-B237-E38D7BCAAF55}"/>
    <cellStyle name="Normal 2 3 2 2 2 2 2 5" xfId="4506" xr:uid="{9D81390C-27CF-4B35-A767-24183AA50B10}"/>
    <cellStyle name="Normal 2 3 2 2 2 2 2 6" xfId="4507" xr:uid="{F58C0157-D274-45A8-A640-54D5BFD60B48}"/>
    <cellStyle name="Normal 2 3 2 2 2 2 2 7" xfId="4508" xr:uid="{3841EDC4-81AD-4D10-948D-AB102A5F892A}"/>
    <cellStyle name="Normal 2 3 2 2 2 2 2 8" xfId="4509" xr:uid="{188B29BB-2658-4502-961F-8EC603527BE9}"/>
    <cellStyle name="Normal 2 3 2 2 2 2 2 9" xfId="4510" xr:uid="{9C6F1837-5048-4210-A4B5-8A4B0FC22D44}"/>
    <cellStyle name="Normal 2 3 2 2 2 2 3" xfId="4511" xr:uid="{C178BABA-15F5-4B58-9D7E-BE9104E58648}"/>
    <cellStyle name="Normal 2 3 2 2 2 2 3 10" xfId="4512" xr:uid="{7ECD1F95-D9FD-438B-804D-6C3F7CB73602}"/>
    <cellStyle name="Normal 2 3 2 2 2 2 3 2" xfId="4513" xr:uid="{C56F7397-5989-419A-BCFA-AAA4A5C8B0E0}"/>
    <cellStyle name="Normal 2 3 2 2 2 2 3 2 2" xfId="4514" xr:uid="{DA3EBB0B-0C4C-4B41-9B9E-721927FC47C0}"/>
    <cellStyle name="Normal 2 3 2 2 2 2 3 2 2 2" xfId="4515" xr:uid="{1FCDBEE8-D6B7-4B0A-8F43-8C35B29F2B79}"/>
    <cellStyle name="Normal 2 3 2 2 2 2 3 2 2 2 2" xfId="4516" xr:uid="{4B2DA675-0A20-48CF-9DFC-29D952E8C82A}"/>
    <cellStyle name="Normal 2 3 2 2 2 2 3 2 2 2 3" xfId="4517" xr:uid="{AD3BED04-25EA-4FAD-81C9-14FD991542DE}"/>
    <cellStyle name="Normal 2 3 2 2 2 2 3 2 2 2 4" xfId="4518" xr:uid="{D6F8142F-E61B-46AC-BEB2-D50E1A5A2088}"/>
    <cellStyle name="Normal 2 3 2 2 2 2 3 2 2 2 5" xfId="4519" xr:uid="{599D67DB-5877-4E44-8E66-8AD0E723B066}"/>
    <cellStyle name="Normal 2 3 2 2 2 2 3 2 2 2 6" xfId="4520" xr:uid="{52AEC094-F66A-4A3A-ACDD-FA58F1FDA580}"/>
    <cellStyle name="Normal 2 3 2 2 2 2 3 2 2 2 7" xfId="4521" xr:uid="{268E88FE-A006-43B5-902B-0D1A824C4A63}"/>
    <cellStyle name="Normal 2 3 2 2 2 2 3 2 2 2 8" xfId="4522" xr:uid="{BA009373-8BFF-4D46-8AC5-ACFCD5373A58}"/>
    <cellStyle name="Normal 2 3 2 2 2 2 3 2 2 3" xfId="4523" xr:uid="{DDBC9BA7-927A-4734-B28A-4ED5301D9478}"/>
    <cellStyle name="Normal 2 3 2 2 2 2 3 2 2 4" xfId="4524" xr:uid="{65F3C24D-DE05-49BF-83CF-56CFC10D02DB}"/>
    <cellStyle name="Normal 2 3 2 2 2 2 3 2 2 5" xfId="4525" xr:uid="{BB872E2A-FE6B-4279-8C1E-63B622793EE8}"/>
    <cellStyle name="Normal 2 3 2 2 2 2 3 2 2 6" xfId="4526" xr:uid="{20C093BF-DFF3-4D5D-8E80-DE906DFD69A0}"/>
    <cellStyle name="Normal 2 3 2 2 2 2 3 2 2 7" xfId="4527" xr:uid="{2B16DC79-CFFD-4AA7-A7B2-554AE4C06383}"/>
    <cellStyle name="Normal 2 3 2 2 2 2 3 2 2 8" xfId="4528" xr:uid="{361F349E-3047-49D4-992D-8F1977EB5868}"/>
    <cellStyle name="Normal 2 3 2 2 2 2 3 2 3" xfId="4529" xr:uid="{3F200F27-54DE-451D-AE69-E7DD8A0C01CC}"/>
    <cellStyle name="Normal 2 3 2 2 2 2 3 2 4" xfId="4530" xr:uid="{15773AFB-1B82-4F48-9D26-E2266D3B70C8}"/>
    <cellStyle name="Normal 2 3 2 2 2 2 3 2 5" xfId="4531" xr:uid="{3C4A8B6F-510C-428C-ACB1-2E1F4B339E1A}"/>
    <cellStyle name="Normal 2 3 2 2 2 2 3 2 6" xfId="4532" xr:uid="{64EEE0C1-3933-4FAE-9651-8E662AAB62BD}"/>
    <cellStyle name="Normal 2 3 2 2 2 2 3 2 7" xfId="4533" xr:uid="{E1250745-5AE6-4611-8989-0B1018D3F892}"/>
    <cellStyle name="Normal 2 3 2 2 2 2 3 2 8" xfId="4534" xr:uid="{F2F867AE-3420-419E-98DF-634A42F9A780}"/>
    <cellStyle name="Normal 2 3 2 2 2 2 3 2 9" xfId="4535" xr:uid="{E03639F6-9CF2-4AB4-AE0B-3474EDEF45CB}"/>
    <cellStyle name="Normal 2 3 2 2 2 2 3 3" xfId="4536" xr:uid="{8D5FE8F0-B5CE-4407-83E9-91EC45A61923}"/>
    <cellStyle name="Normal 2 3 2 2 2 2 3 4" xfId="4537" xr:uid="{0CE2F282-8F44-45BA-B40A-73DEF86CD5B8}"/>
    <cellStyle name="Normal 2 3 2 2 2 2 3 4 2" xfId="4538" xr:uid="{FE2217CB-3072-4488-8B32-91B8B51A7327}"/>
    <cellStyle name="Normal 2 3 2 2 2 2 3 4 3" xfId="4539" xr:uid="{14BBC20B-CBCF-4C36-A73C-09B6DA7128E5}"/>
    <cellStyle name="Normal 2 3 2 2 2 2 3 4 4" xfId="4540" xr:uid="{E4D72D89-D52E-4012-9A4D-20A49BD30925}"/>
    <cellStyle name="Normal 2 3 2 2 2 2 3 4 5" xfId="4541" xr:uid="{EA9004F6-F30C-4507-B749-189A45653996}"/>
    <cellStyle name="Normal 2 3 2 2 2 2 3 4 6" xfId="4542" xr:uid="{C97AA168-76DB-49F3-B825-FECCA87C786A}"/>
    <cellStyle name="Normal 2 3 2 2 2 2 3 4 7" xfId="4543" xr:uid="{D9618881-2669-41D2-82BD-700702BE0E9A}"/>
    <cellStyle name="Normal 2 3 2 2 2 2 3 4 8" xfId="4544" xr:uid="{FC0F55E1-BF96-4193-B3BC-D699B55E8741}"/>
    <cellStyle name="Normal 2 3 2 2 2 2 3 5" xfId="4545" xr:uid="{2A5BCD40-A5D3-40D0-8B45-EB08865861B4}"/>
    <cellStyle name="Normal 2 3 2 2 2 2 3 6" xfId="4546" xr:uid="{06A771A4-53DB-4246-8202-2CCAAF1E2757}"/>
    <cellStyle name="Normal 2 3 2 2 2 2 3 7" xfId="4547" xr:uid="{639B6C01-2222-4EB3-B99A-4C2BFB06C323}"/>
    <cellStyle name="Normal 2 3 2 2 2 2 3 8" xfId="4548" xr:uid="{141525A7-BF29-47C4-9726-1140533A1BC7}"/>
    <cellStyle name="Normal 2 3 2 2 2 2 3 9" xfId="4549" xr:uid="{6211B0D6-CE94-4C6B-AD51-ADAC2D662BE8}"/>
    <cellStyle name="Normal 2 3 2 2 2 2 4" xfId="4550" xr:uid="{A26351FB-75A5-4E78-9AF1-3EFE99483122}"/>
    <cellStyle name="Normal 2 3 2 2 2 2 5" xfId="4551" xr:uid="{42C91D62-5AB3-43A0-BD6B-AE274183F48C}"/>
    <cellStyle name="Normal 2 3 2 2 2 2 6" xfId="4552" xr:uid="{3E5A587F-89C5-4D0A-9F86-FB9DC199DF75}"/>
    <cellStyle name="Normal 2 3 2 2 2 2 7" xfId="4553" xr:uid="{0018659C-67B3-4EA1-B791-AA94E463CF46}"/>
    <cellStyle name="Normal 2 3 2 2 2 2 8" xfId="4554" xr:uid="{90FB4F5E-5C63-43CC-9118-BB13CCD2AFF5}"/>
    <cellStyle name="Normal 2 3 2 2 2 2 9" xfId="4555" xr:uid="{DAC1DEFB-3AE3-4349-8CED-AABB598F328A}"/>
    <cellStyle name="Normal 2 3 2 2 2 20" xfId="4556" xr:uid="{0306C12F-6A63-4E2F-9A58-B6BED0271AD8}"/>
    <cellStyle name="Normal 2 3 2 2 2 21" xfId="4557" xr:uid="{3FFA95B8-2030-478F-8419-A59B623B6383}"/>
    <cellStyle name="Normal 2 3 2 2 2 22" xfId="4558" xr:uid="{2048725B-EB0D-4E0B-999F-2AE2B3963327}"/>
    <cellStyle name="Normal 2 3 2 2 2 3" xfId="4559" xr:uid="{ECA4FEFA-7F39-4482-948B-8B67E9E620B4}"/>
    <cellStyle name="Normal 2 3 2 2 2 4" xfId="4560" xr:uid="{ED5F7FAF-348A-487F-A34E-8787C6E17B6F}"/>
    <cellStyle name="Normal 2 3 2 2 2 5" xfId="4561" xr:uid="{8E30BCC6-1432-44CB-A4D2-CC7DC326C5A5}"/>
    <cellStyle name="Normal 2 3 2 2 2 6" xfId="4562" xr:uid="{99C388F8-D1AB-47B7-A6CB-55112589BFD1}"/>
    <cellStyle name="Normal 2 3 2 2 2 7" xfId="4563" xr:uid="{12133521-254F-4F9C-A170-A1E26F1B64C8}"/>
    <cellStyle name="Normal 2 3 2 2 2 7 10" xfId="4564" xr:uid="{51169B68-BD17-45CB-A0D5-426C99D82A93}"/>
    <cellStyle name="Normal 2 3 2 2 2 7 2" xfId="4565" xr:uid="{07B82A0D-1F07-44F2-B340-F4C42074563F}"/>
    <cellStyle name="Normal 2 3 2 2 2 7 2 2" xfId="4566" xr:uid="{97E0C08B-F0A4-4D50-A6FD-748F25A71958}"/>
    <cellStyle name="Normal 2 3 2 2 2 7 2 2 2" xfId="4567" xr:uid="{35763184-B5C7-4C29-A8DE-710910A80DFA}"/>
    <cellStyle name="Normal 2 3 2 2 2 7 2 2 2 2" xfId="4568" xr:uid="{48A6ACFE-8A64-4FEB-8DF3-9FD3C0AAA8E0}"/>
    <cellStyle name="Normal 2 3 2 2 2 7 2 2 2 3" xfId="4569" xr:uid="{C97DFBED-B938-4F07-8BFC-5D1C7C9239E9}"/>
    <cellStyle name="Normal 2 3 2 2 2 7 2 2 2 4" xfId="4570" xr:uid="{AE85FEAD-20B0-42D4-BBC8-0B172F39CB2D}"/>
    <cellStyle name="Normal 2 3 2 2 2 7 2 2 2 5" xfId="4571" xr:uid="{D3F3C5BE-DD96-427B-B95E-592B7D6306E6}"/>
    <cellStyle name="Normal 2 3 2 2 2 7 2 2 2 6" xfId="4572" xr:uid="{3AD9ABC5-5EEA-4AEB-8B3D-65B83E7C2165}"/>
    <cellStyle name="Normal 2 3 2 2 2 7 2 2 2 7" xfId="4573" xr:uid="{45A37C63-2AA7-48BC-B935-2C0CFC78E858}"/>
    <cellStyle name="Normal 2 3 2 2 2 7 2 2 2 8" xfId="4574" xr:uid="{3E117704-D3C7-48B9-A226-8794CC28F994}"/>
    <cellStyle name="Normal 2 3 2 2 2 7 2 2 3" xfId="4575" xr:uid="{6CFCA863-7B3C-40E3-8CBE-B850E0563C0F}"/>
    <cellStyle name="Normal 2 3 2 2 2 7 2 2 4" xfId="4576" xr:uid="{54DD563E-4670-4688-A30D-D03E48585F70}"/>
    <cellStyle name="Normal 2 3 2 2 2 7 2 2 5" xfId="4577" xr:uid="{5032A25C-11E9-45F1-8AB9-B294D96BF474}"/>
    <cellStyle name="Normal 2 3 2 2 2 7 2 2 6" xfId="4578" xr:uid="{173F3CE2-EB1F-4625-9C0F-508933CED4D5}"/>
    <cellStyle name="Normal 2 3 2 2 2 7 2 2 7" xfId="4579" xr:uid="{017BDFF1-C41A-46B4-B600-B2DC2F46840C}"/>
    <cellStyle name="Normal 2 3 2 2 2 7 2 2 8" xfId="4580" xr:uid="{22105C85-3E06-4162-A881-16870DAB2468}"/>
    <cellStyle name="Normal 2 3 2 2 2 7 2 3" xfId="4581" xr:uid="{3A89BB91-5B4F-4F82-811A-18B537878A39}"/>
    <cellStyle name="Normal 2 3 2 2 2 7 2 4" xfId="4582" xr:uid="{4CC29D84-1573-4B3F-9D78-2AB81702669A}"/>
    <cellStyle name="Normal 2 3 2 2 2 7 2 5" xfId="4583" xr:uid="{415237D1-5FC3-405E-BF99-4B7DED91110A}"/>
    <cellStyle name="Normal 2 3 2 2 2 7 2 6" xfId="4584" xr:uid="{F00246A1-2B50-491D-8EBD-E2C44069E171}"/>
    <cellStyle name="Normal 2 3 2 2 2 7 2 7" xfId="4585" xr:uid="{17D10441-EBC6-474D-AF1C-EB60FED50089}"/>
    <cellStyle name="Normal 2 3 2 2 2 7 2 8" xfId="4586" xr:uid="{84192B16-986F-4D2E-A6B8-31B6FDD79F1A}"/>
    <cellStyle name="Normal 2 3 2 2 2 7 2 9" xfId="4587" xr:uid="{F1A1A1B0-7664-46A6-AB43-63425A5B285F}"/>
    <cellStyle name="Normal 2 3 2 2 2 7 3" xfId="4588" xr:uid="{74DBDB26-03CD-4BC4-A7DC-F35BA424C56C}"/>
    <cellStyle name="Normal 2 3 2 2 2 7 4" xfId="4589" xr:uid="{D1995046-F5D0-41FC-81FA-C7F47F2361E8}"/>
    <cellStyle name="Normal 2 3 2 2 2 7 4 2" xfId="4590" xr:uid="{C6E6D915-1316-4AF9-AAE2-B8E171AB91E1}"/>
    <cellStyle name="Normal 2 3 2 2 2 7 4 3" xfId="4591" xr:uid="{DF23C91A-D3AA-4991-840D-86FEF3A129F5}"/>
    <cellStyle name="Normal 2 3 2 2 2 7 4 4" xfId="4592" xr:uid="{99CF5F3B-4E50-4794-A6B1-AB3F40F2830D}"/>
    <cellStyle name="Normal 2 3 2 2 2 7 4 5" xfId="4593" xr:uid="{7D2A690A-2328-4BA0-97A1-64EF507FBF79}"/>
    <cellStyle name="Normal 2 3 2 2 2 7 4 6" xfId="4594" xr:uid="{698414AA-0F82-4470-AE05-54FD6E5BE1EF}"/>
    <cellStyle name="Normal 2 3 2 2 2 7 4 7" xfId="4595" xr:uid="{950E751A-4CF2-4B33-A3D2-023BE335B348}"/>
    <cellStyle name="Normal 2 3 2 2 2 7 4 8" xfId="4596" xr:uid="{697E079F-E804-4D43-A674-ECFF78F13376}"/>
    <cellStyle name="Normal 2 3 2 2 2 7 5" xfId="4597" xr:uid="{77B1E15E-47A4-40FF-A749-24BFA6349BD4}"/>
    <cellStyle name="Normal 2 3 2 2 2 7 6" xfId="4598" xr:uid="{DFC43553-68F9-484A-A530-660F2CB14E05}"/>
    <cellStyle name="Normal 2 3 2 2 2 7 7" xfId="4599" xr:uid="{8B5EE7B1-7690-4F86-A262-87295D89DDFF}"/>
    <cellStyle name="Normal 2 3 2 2 2 7 8" xfId="4600" xr:uid="{ACBC65DC-91F9-4CB6-AAEF-58CBDEADCDEF}"/>
    <cellStyle name="Normal 2 3 2 2 2 7 9" xfId="4601" xr:uid="{A688B6BF-9010-45A1-8F0C-E8B5501F1DAB}"/>
    <cellStyle name="Normal 2 3 2 2 2 8" xfId="4602" xr:uid="{71E426E5-54B9-49B7-B01C-5002186193AC}"/>
    <cellStyle name="Normal 2 3 2 2 2 9" xfId="4603" xr:uid="{38D389E9-5160-4965-8CB1-942272B5A664}"/>
    <cellStyle name="Normal 2 3 2 2 20" xfId="4604" xr:uid="{7075FDB8-2FF4-4F70-AB85-254A58E1D818}"/>
    <cellStyle name="Normal 2 3 2 2 21" xfId="4605" xr:uid="{6981F25E-405E-4341-AA46-8203A318A14D}"/>
    <cellStyle name="Normal 2 3 2 2 22" xfId="4606" xr:uid="{8EDCF015-6F2F-4FD3-8201-1F17C6FB9534}"/>
    <cellStyle name="Normal 2 3 2 2 3" xfId="4607" xr:uid="{863FCDCE-D4F1-4B10-A867-9A374CF2554D}"/>
    <cellStyle name="Normal 2 3 2 2 3 10" xfId="4608" xr:uid="{70AC36BE-1432-448C-8F67-2BD996300D44}"/>
    <cellStyle name="Normal 2 3 2 2 3 10 2" xfId="4609" xr:uid="{BEF42AA9-A4F6-4B9D-BFC6-24342D63855F}"/>
    <cellStyle name="Normal 2 3 2 2 3 10 2 2" xfId="4610" xr:uid="{BF647D01-6450-4314-AD5C-A65D261CA8AA}"/>
    <cellStyle name="Normal 2 3 2 2 3 10 2 2 2" xfId="4611" xr:uid="{6FA7E903-5B7A-42AE-B79C-9102D7F994AF}"/>
    <cellStyle name="Normal 2 3 2 2 3 10 2 2 3" xfId="4612" xr:uid="{98F17654-6299-42C6-B521-DF6D3F20BE89}"/>
    <cellStyle name="Normal 2 3 2 2 3 10 2 2 4" xfId="4613" xr:uid="{743A26E5-85E7-4C13-A30B-EB4762469BF7}"/>
    <cellStyle name="Normal 2 3 2 2 3 10 2 2 5" xfId="4614" xr:uid="{AD87A789-51F2-4BEB-BED9-20BC7113D719}"/>
    <cellStyle name="Normal 2 3 2 2 3 10 2 2 6" xfId="4615" xr:uid="{45AE627A-8ACB-4A5F-8655-7B904407B3DA}"/>
    <cellStyle name="Normal 2 3 2 2 3 10 2 2 7" xfId="4616" xr:uid="{669F209B-20B6-4C8E-BB05-75FB447D6649}"/>
    <cellStyle name="Normal 2 3 2 2 3 10 2 2 8" xfId="4617" xr:uid="{31DFB746-89FD-4EAD-A613-477E78A9C8D4}"/>
    <cellStyle name="Normal 2 3 2 2 3 10 2 3" xfId="4618" xr:uid="{1DCCD878-95FB-4B10-8A57-3B7F4EA94D40}"/>
    <cellStyle name="Normal 2 3 2 2 3 10 2 4" xfId="4619" xr:uid="{8D95DF98-31E2-4C82-9677-AA19DCEFF973}"/>
    <cellStyle name="Normal 2 3 2 2 3 10 2 5" xfId="4620" xr:uid="{3CEB7755-783C-4A24-8895-39D56383109C}"/>
    <cellStyle name="Normal 2 3 2 2 3 10 2 6" xfId="4621" xr:uid="{FDD011FE-4797-49CD-B02B-7AAD3925A3D2}"/>
    <cellStyle name="Normal 2 3 2 2 3 10 2 7" xfId="4622" xr:uid="{E5DA5156-6C56-4F58-9CE3-CDFB63D8CB2A}"/>
    <cellStyle name="Normal 2 3 2 2 3 10 2 8" xfId="4623" xr:uid="{CB770279-59E2-4C73-AFBC-85A7EB7FF460}"/>
    <cellStyle name="Normal 2 3 2 2 3 10 3" xfId="4624" xr:uid="{8AF9A11A-4907-4BC5-940C-256B223E0A43}"/>
    <cellStyle name="Normal 2 3 2 2 3 10 4" xfId="4625" xr:uid="{F6B9D15B-4726-46EA-96FA-04F5456B73F0}"/>
    <cellStyle name="Normal 2 3 2 2 3 10 5" xfId="4626" xr:uid="{C9D99623-28D5-4535-BC0E-18F0D8CE141D}"/>
    <cellStyle name="Normal 2 3 2 2 3 10 6" xfId="4627" xr:uid="{BB92D159-8168-47B0-A949-40DF6DA56412}"/>
    <cellStyle name="Normal 2 3 2 2 3 10 7" xfId="4628" xr:uid="{EE16E8C1-B43D-403C-91FA-8E24F3B300A9}"/>
    <cellStyle name="Normal 2 3 2 2 3 10 8" xfId="4629" xr:uid="{0692D412-1F70-4992-9368-65D8CDF374E1}"/>
    <cellStyle name="Normal 2 3 2 2 3 10 9" xfId="4630" xr:uid="{9A4B51D3-145E-4B72-944A-805E02F94CEE}"/>
    <cellStyle name="Normal 2 3 2 2 3 11" xfId="4631" xr:uid="{E829C17D-27BB-48C6-9DCC-901245D3F91F}"/>
    <cellStyle name="Normal 2 3 2 2 3 11 2" xfId="4632" xr:uid="{AF065E72-30AD-4A9A-B5AC-C85CE6B39C8B}"/>
    <cellStyle name="Normal 2 3 2 2 3 11 3" xfId="4633" xr:uid="{4C86B89C-B730-4F4B-92D6-9837987DB4F5}"/>
    <cellStyle name="Normal 2 3 2 2 3 11 4" xfId="4634" xr:uid="{3CB111CC-A98B-437D-9D61-C0D8091FB8BA}"/>
    <cellStyle name="Normal 2 3 2 2 3 11 5" xfId="4635" xr:uid="{AA9C8015-14FF-4E33-A7A5-EF246BE73ED8}"/>
    <cellStyle name="Normal 2 3 2 2 3 11 6" xfId="4636" xr:uid="{62A8C6BD-8127-44F0-8595-EB852FFE06EA}"/>
    <cellStyle name="Normal 2 3 2 2 3 11 7" xfId="4637" xr:uid="{6A594924-0855-4AB7-A146-27B9839AABB1}"/>
    <cellStyle name="Normal 2 3 2 2 3 11 8" xfId="4638" xr:uid="{7B5A5F56-FE4F-49A1-9096-7E4282D89DE8}"/>
    <cellStyle name="Normal 2 3 2 2 3 12" xfId="4639" xr:uid="{98F741BA-70CE-42A7-8F78-6943D566A007}"/>
    <cellStyle name="Normal 2 3 2 2 3 13" xfId="4640" xr:uid="{4C09DE75-350B-4061-850C-9F7F8225B708}"/>
    <cellStyle name="Normal 2 3 2 2 3 14" xfId="4641" xr:uid="{E90712CE-EF87-4CBC-B5C2-DFDADEEFBB9C}"/>
    <cellStyle name="Normal 2 3 2 2 3 15" xfId="4642" xr:uid="{43C3E3B3-02A7-44D6-BCA0-0C5203CDBB50}"/>
    <cellStyle name="Normal 2 3 2 2 3 16" xfId="4643" xr:uid="{25FAF757-1DC4-4634-8392-63876ED85E3C}"/>
    <cellStyle name="Normal 2 3 2 2 3 17" xfId="4644" xr:uid="{2141FF60-A94D-44DC-90A4-C1F1D8695512}"/>
    <cellStyle name="Normal 2 3 2 2 3 2" xfId="4645" xr:uid="{41ACDA03-BEB8-4E45-ACA6-57BB79E3E89F}"/>
    <cellStyle name="Normal 2 3 2 2 3 2 10" xfId="4646" xr:uid="{432822CE-5AA9-46E8-97E3-2008D5CF5E7B}"/>
    <cellStyle name="Normal 2 3 2 2 3 2 10 2" xfId="4647" xr:uid="{9B613803-A59C-4A7A-A116-67931A238BC3}"/>
    <cellStyle name="Normal 2 3 2 2 3 2 10 2 2" xfId="4648" xr:uid="{2B712A95-8495-4341-B07E-BC559E24FC15}"/>
    <cellStyle name="Normal 2 3 2 2 3 2 10 2 2 2" xfId="4649" xr:uid="{6B85A925-1C90-4B34-9893-5516309BDFF3}"/>
    <cellStyle name="Normal 2 3 2 2 3 2 10 2 2 3" xfId="4650" xr:uid="{E9B3948F-432E-4A8B-94C1-2A849470004E}"/>
    <cellStyle name="Normal 2 3 2 2 3 2 10 2 2 4" xfId="4651" xr:uid="{B33D4E1C-D56F-42BA-83DC-8A91A46707AD}"/>
    <cellStyle name="Normal 2 3 2 2 3 2 10 2 2 5" xfId="4652" xr:uid="{72E10AFA-F1AC-464A-BD02-46402E6B1FC0}"/>
    <cellStyle name="Normal 2 3 2 2 3 2 10 2 2 6" xfId="4653" xr:uid="{576B206E-CA75-4C0E-B5FD-34FB5A5E581B}"/>
    <cellStyle name="Normal 2 3 2 2 3 2 10 2 2 7" xfId="4654" xr:uid="{18B3C041-0764-496C-B32F-1C3473956F6C}"/>
    <cellStyle name="Normal 2 3 2 2 3 2 10 2 2 8" xfId="4655" xr:uid="{89B5B5CA-8C34-4C0D-A4E8-F5E6BA21D451}"/>
    <cellStyle name="Normal 2 3 2 2 3 2 10 2 3" xfId="4656" xr:uid="{C669D85E-8E20-4F74-AB93-D8E00A228B20}"/>
    <cellStyle name="Normal 2 3 2 2 3 2 10 2 4" xfId="4657" xr:uid="{E9473DA4-E89D-47A7-AD31-AFA07ED4921A}"/>
    <cellStyle name="Normal 2 3 2 2 3 2 10 2 5" xfId="4658" xr:uid="{A8A101C0-D362-4F02-813C-3E7991D62A63}"/>
    <cellStyle name="Normal 2 3 2 2 3 2 10 2 6" xfId="4659" xr:uid="{C1DCE633-5979-463F-82B2-8A4470FB6789}"/>
    <cellStyle name="Normal 2 3 2 2 3 2 10 2 7" xfId="4660" xr:uid="{932B7DF9-7DAB-45FA-940F-235466076C50}"/>
    <cellStyle name="Normal 2 3 2 2 3 2 10 2 8" xfId="4661" xr:uid="{A7F6B563-2526-438D-98FB-EA872702AC4F}"/>
    <cellStyle name="Normal 2 3 2 2 3 2 10 3" xfId="4662" xr:uid="{21B0765A-DFEC-4507-A38A-280D6E1F814C}"/>
    <cellStyle name="Normal 2 3 2 2 3 2 10 4" xfId="4663" xr:uid="{01B4E813-FEAC-4810-88F3-7378837CD20F}"/>
    <cellStyle name="Normal 2 3 2 2 3 2 10 5" xfId="4664" xr:uid="{A2833AE9-7424-43C8-B5CC-09E84622C4A3}"/>
    <cellStyle name="Normal 2 3 2 2 3 2 10 6" xfId="4665" xr:uid="{CC5788A0-122D-4811-A971-934190B1D22B}"/>
    <cellStyle name="Normal 2 3 2 2 3 2 10 7" xfId="4666" xr:uid="{F950C76D-3944-466C-9EAE-6CAFA8FB198C}"/>
    <cellStyle name="Normal 2 3 2 2 3 2 10 8" xfId="4667" xr:uid="{5826A809-0CF2-4EFE-81F4-3A4CF9718ED0}"/>
    <cellStyle name="Normal 2 3 2 2 3 2 10 9" xfId="4668" xr:uid="{7715B2AA-2307-451C-A5D5-14FE1279C26F}"/>
    <cellStyle name="Normal 2 3 2 2 3 2 11" xfId="4669" xr:uid="{60482186-5FFD-48C0-A0C1-0C148CA2F1DC}"/>
    <cellStyle name="Normal 2 3 2 2 3 2 11 2" xfId="4670" xr:uid="{D89ECB88-EF67-4DB0-8EFF-65031530EE52}"/>
    <cellStyle name="Normal 2 3 2 2 3 2 11 3" xfId="4671" xr:uid="{BAEF4FF0-C737-4746-9B07-D93EAD553798}"/>
    <cellStyle name="Normal 2 3 2 2 3 2 11 4" xfId="4672" xr:uid="{36D00D3D-59E8-43E1-A0D6-4DBD915A455A}"/>
    <cellStyle name="Normal 2 3 2 2 3 2 11 5" xfId="4673" xr:uid="{CA1DC2F8-3D3E-4108-A8B1-41571FA3A4A2}"/>
    <cellStyle name="Normal 2 3 2 2 3 2 11 6" xfId="4674" xr:uid="{3A512482-D575-44C2-9738-4CE0ED78632D}"/>
    <cellStyle name="Normal 2 3 2 2 3 2 11 7" xfId="4675" xr:uid="{2EA2FD45-BFFB-4AE1-A3F8-51BA59D8EE0D}"/>
    <cellStyle name="Normal 2 3 2 2 3 2 11 8" xfId="4676" xr:uid="{B2B20E79-2526-4DEF-8441-CE8E8FCAD83B}"/>
    <cellStyle name="Normal 2 3 2 2 3 2 12" xfId="4677" xr:uid="{79AE4126-C5DD-4C5C-9C45-B9F342D0ADA2}"/>
    <cellStyle name="Normal 2 3 2 2 3 2 13" xfId="4678" xr:uid="{C94FBD25-3D52-4FCB-AB9D-FD7D5C36A444}"/>
    <cellStyle name="Normal 2 3 2 2 3 2 14" xfId="4679" xr:uid="{CE762610-989B-4CFD-8B07-84B737B036D9}"/>
    <cellStyle name="Normal 2 3 2 2 3 2 15" xfId="4680" xr:uid="{A0A2B4D4-12D0-4AF7-B24F-2773D9D0FEF3}"/>
    <cellStyle name="Normal 2 3 2 2 3 2 16" xfId="4681" xr:uid="{C0D58996-DD49-4F32-A324-ADE8D33A548F}"/>
    <cellStyle name="Normal 2 3 2 2 3 2 17" xfId="4682" xr:uid="{E2F4C123-8542-4CA3-974B-2DB2978CF365}"/>
    <cellStyle name="Normal 2 3 2 2 3 2 2" xfId="4683" xr:uid="{191F5B20-4690-49F2-8889-242AC49405B9}"/>
    <cellStyle name="Normal 2 3 2 2 3 2 2 10" xfId="4684" xr:uid="{6077A8D0-338F-4558-8AF3-CFC63AC38A52}"/>
    <cellStyle name="Normal 2 3 2 2 3 2 2 2" xfId="4685" xr:uid="{81D9A0D7-BA43-4BCF-B0B2-43416A7A70C0}"/>
    <cellStyle name="Normal 2 3 2 2 3 2 2 2 2" xfId="4686" xr:uid="{04229124-89F7-4E4F-8DAE-60FFCEC81640}"/>
    <cellStyle name="Normal 2 3 2 2 3 2 2 2 2 2" xfId="4687" xr:uid="{0A381543-D5BD-4694-9BEA-DEDA809B2984}"/>
    <cellStyle name="Normal 2 3 2 2 3 2 2 2 2 2 2" xfId="4688" xr:uid="{11847200-A92F-4AFE-8785-96FBF0F5472F}"/>
    <cellStyle name="Normal 2 3 2 2 3 2 2 2 2 2 3" xfId="4689" xr:uid="{45C8878B-3F9F-4921-8045-0158CE0F6876}"/>
    <cellStyle name="Normal 2 3 2 2 3 2 2 2 2 2 4" xfId="4690" xr:uid="{71F94311-9534-4D7A-B8B5-E8C8184A7249}"/>
    <cellStyle name="Normal 2 3 2 2 3 2 2 2 2 2 5" xfId="4691" xr:uid="{B1290CD9-5A3F-47CC-ABED-284B536EBDF1}"/>
    <cellStyle name="Normal 2 3 2 2 3 2 2 2 2 2 6" xfId="4692" xr:uid="{24E32904-5414-47A5-9390-D0610F4775DC}"/>
    <cellStyle name="Normal 2 3 2 2 3 2 2 2 2 2 7" xfId="4693" xr:uid="{E6857236-B0E1-4E29-88BF-C0542839E308}"/>
    <cellStyle name="Normal 2 3 2 2 3 2 2 2 2 2 8" xfId="4694" xr:uid="{4CC77E66-88B3-4B16-86FB-BEDC2423D370}"/>
    <cellStyle name="Normal 2 3 2 2 3 2 2 2 2 3" xfId="4695" xr:uid="{31173C44-77E0-4B91-8450-BD6F60229FA9}"/>
    <cellStyle name="Normal 2 3 2 2 3 2 2 2 2 4" xfId="4696" xr:uid="{B1D22FF0-980B-432E-A75B-E4D6CC2A8065}"/>
    <cellStyle name="Normal 2 3 2 2 3 2 2 2 2 5" xfId="4697" xr:uid="{8D77F5D0-F804-4F5A-B031-D337FE1BE6D8}"/>
    <cellStyle name="Normal 2 3 2 2 3 2 2 2 2 6" xfId="4698" xr:uid="{B334C4C9-4A39-415F-BC7E-6AEEBFED3740}"/>
    <cellStyle name="Normal 2 3 2 2 3 2 2 2 2 7" xfId="4699" xr:uid="{670A18AA-8D6C-4DA6-B393-F06E8344F8F0}"/>
    <cellStyle name="Normal 2 3 2 2 3 2 2 2 2 8" xfId="4700" xr:uid="{22BE7F94-3B36-49B4-876E-6617751DA088}"/>
    <cellStyle name="Normal 2 3 2 2 3 2 2 2 3" xfId="4701" xr:uid="{BC156988-8004-4912-85D0-D5A8C0657F7C}"/>
    <cellStyle name="Normal 2 3 2 2 3 2 2 2 4" xfId="4702" xr:uid="{F5E3AE13-5F63-457E-ACAF-95B3DE763176}"/>
    <cellStyle name="Normal 2 3 2 2 3 2 2 2 5" xfId="4703" xr:uid="{660DF1B9-717B-4F1A-B5AE-EEC351BF5E86}"/>
    <cellStyle name="Normal 2 3 2 2 3 2 2 2 6" xfId="4704" xr:uid="{A8522B61-0F18-432B-AEB7-67D83DA9BF61}"/>
    <cellStyle name="Normal 2 3 2 2 3 2 2 2 7" xfId="4705" xr:uid="{6F5C17A0-14C2-40B0-A392-FD670FEBEDF8}"/>
    <cellStyle name="Normal 2 3 2 2 3 2 2 2 8" xfId="4706" xr:uid="{6DC1EC10-AFA5-4F8D-8EF0-09CAD9FDC0AC}"/>
    <cellStyle name="Normal 2 3 2 2 3 2 2 2 9" xfId="4707" xr:uid="{E7B96AA1-2E54-4BC1-82B3-4A132180BC80}"/>
    <cellStyle name="Normal 2 3 2 2 3 2 2 3" xfId="4708" xr:uid="{C71D5B72-51B8-46F6-98A1-955F79D6E20B}"/>
    <cellStyle name="Normal 2 3 2 2 3 2 2 4" xfId="4709" xr:uid="{B0C474EA-6CBA-4853-B5A2-1D7C333ABCA8}"/>
    <cellStyle name="Normal 2 3 2 2 3 2 2 4 2" xfId="4710" xr:uid="{439B9F3B-861F-42B1-930A-A5DDAD4EBC8B}"/>
    <cellStyle name="Normal 2 3 2 2 3 2 2 4 3" xfId="4711" xr:uid="{F586E802-ACCF-4FD1-AC1B-20C316FD0760}"/>
    <cellStyle name="Normal 2 3 2 2 3 2 2 4 4" xfId="4712" xr:uid="{53B99E74-5229-4DD4-B4A7-C5F62463EC41}"/>
    <cellStyle name="Normal 2 3 2 2 3 2 2 4 5" xfId="4713" xr:uid="{F10CFD60-814B-4E8D-BAB6-A7B42B5728B4}"/>
    <cellStyle name="Normal 2 3 2 2 3 2 2 4 6" xfId="4714" xr:uid="{F611E57B-FE29-482B-8645-83AA6D557A52}"/>
    <cellStyle name="Normal 2 3 2 2 3 2 2 4 7" xfId="4715" xr:uid="{BB87E789-270D-43D5-BEBB-65BA363D91F8}"/>
    <cellStyle name="Normal 2 3 2 2 3 2 2 4 8" xfId="4716" xr:uid="{F4F67717-4EB7-4951-9211-9486E358DC19}"/>
    <cellStyle name="Normal 2 3 2 2 3 2 2 5" xfId="4717" xr:uid="{F811F4C2-CF86-4344-834C-C00328EB5B96}"/>
    <cellStyle name="Normal 2 3 2 2 3 2 2 6" xfId="4718" xr:uid="{18219CB8-5E6A-472A-AF3C-E45E4ADD643A}"/>
    <cellStyle name="Normal 2 3 2 2 3 2 2 7" xfId="4719" xr:uid="{03F7F245-734B-4B8E-8FD0-28A5CF0D7B06}"/>
    <cellStyle name="Normal 2 3 2 2 3 2 2 8" xfId="4720" xr:uid="{686FA449-AF3E-4B12-BE45-79D7F51A975A}"/>
    <cellStyle name="Normal 2 3 2 2 3 2 2 9" xfId="4721" xr:uid="{6ADB900B-9F30-4A3C-9201-5F824ED62332}"/>
    <cellStyle name="Normal 2 3 2 2 3 2 3" xfId="4722" xr:uid="{BE88E2EC-C609-489F-9210-14F6E7251C1B}"/>
    <cellStyle name="Normal 2 3 2 2 3 2 4" xfId="4723" xr:uid="{32931EC4-5484-4D86-846B-6A84F3621033}"/>
    <cellStyle name="Normal 2 3 2 2 3 2 5" xfId="4724" xr:uid="{0AA1FF53-8E35-4045-AE38-751448FC4EAC}"/>
    <cellStyle name="Normal 2 3 2 2 3 2 6" xfId="4725" xr:uid="{E570351A-AC67-4AF9-BD99-EF448B47E502}"/>
    <cellStyle name="Normal 2 3 2 2 3 2 7" xfId="4726" xr:uid="{627A7E56-7B0E-4F86-8283-C62F6B9C9BE7}"/>
    <cellStyle name="Normal 2 3 2 2 3 2 8" xfId="4727" xr:uid="{B6C89E7E-7F28-43C8-A67B-2EFD8154B8BA}"/>
    <cellStyle name="Normal 2 3 2 2 3 2 9" xfId="4728" xr:uid="{702E042F-0400-445E-B11D-38A9B478B973}"/>
    <cellStyle name="Normal 2 3 2 2 3 3" xfId="4729" xr:uid="{FB6AF13D-8BDD-483B-8A25-4C4A3CCB7DBE}"/>
    <cellStyle name="Normal 2 3 2 2 3 3 10" xfId="4730" xr:uid="{DF5F96FA-1E59-4F8E-9F19-40B1D96E8991}"/>
    <cellStyle name="Normal 2 3 2 2 3 3 2" xfId="4731" xr:uid="{929B8504-0B0E-4294-AD1B-BEBEAB6755D9}"/>
    <cellStyle name="Normal 2 3 2 2 3 3 2 2" xfId="4732" xr:uid="{0CDB3434-BF4F-47A6-AD5D-50812AB605CD}"/>
    <cellStyle name="Normal 2 3 2 2 3 3 2 2 2" xfId="4733" xr:uid="{5BFB8C2B-E587-4C2E-B57A-376413EE58BA}"/>
    <cellStyle name="Normal 2 3 2 2 3 3 2 2 2 2" xfId="4734" xr:uid="{8F8FA1B6-162D-44B3-85EB-C9C3E8334822}"/>
    <cellStyle name="Normal 2 3 2 2 3 3 2 2 2 3" xfId="4735" xr:uid="{BD97A41D-9203-40FC-A8C4-677921DC4FDC}"/>
    <cellStyle name="Normal 2 3 2 2 3 3 2 2 2 4" xfId="4736" xr:uid="{CD5D4E93-8C31-4496-B151-82F4019D6BCC}"/>
    <cellStyle name="Normal 2 3 2 2 3 3 2 2 2 5" xfId="4737" xr:uid="{193C7123-1E0A-40C8-B8B8-8E90A013C781}"/>
    <cellStyle name="Normal 2 3 2 2 3 3 2 2 2 6" xfId="4738" xr:uid="{109B982B-DD2E-4CFD-ADA3-20BD5D260B09}"/>
    <cellStyle name="Normal 2 3 2 2 3 3 2 2 2 7" xfId="4739" xr:uid="{27F8F03F-B7DA-4A64-9CFE-D537D89C9996}"/>
    <cellStyle name="Normal 2 3 2 2 3 3 2 2 2 8" xfId="4740" xr:uid="{CD34CBB6-1446-4106-A619-A35A34FC635F}"/>
    <cellStyle name="Normal 2 3 2 2 3 3 2 2 3" xfId="4741" xr:uid="{5C3944B8-AA22-4EAB-B157-73F1FCED5C9E}"/>
    <cellStyle name="Normal 2 3 2 2 3 3 2 2 4" xfId="4742" xr:uid="{31867898-A2DF-4DF0-8DB2-2FB5859B3692}"/>
    <cellStyle name="Normal 2 3 2 2 3 3 2 2 5" xfId="4743" xr:uid="{E4A1A1C1-A5D6-4973-94A3-721ABDAA1083}"/>
    <cellStyle name="Normal 2 3 2 2 3 3 2 2 6" xfId="4744" xr:uid="{F77AC09D-90AB-4191-8D7D-0BA0CEA4BAE1}"/>
    <cellStyle name="Normal 2 3 2 2 3 3 2 2 7" xfId="4745" xr:uid="{749AF3EE-C9B1-4586-8A2E-F4004D746BB1}"/>
    <cellStyle name="Normal 2 3 2 2 3 3 2 2 8" xfId="4746" xr:uid="{901CBBC7-3C16-4F7B-A9AB-4D1C38AB3A57}"/>
    <cellStyle name="Normal 2 3 2 2 3 3 2 3" xfId="4747" xr:uid="{2FF08E2D-5B7F-46A3-815E-3DF3FE204AF5}"/>
    <cellStyle name="Normal 2 3 2 2 3 3 2 4" xfId="4748" xr:uid="{E3EDA05E-8E32-4AB8-899F-CD4B825688FC}"/>
    <cellStyle name="Normal 2 3 2 2 3 3 2 5" xfId="4749" xr:uid="{E1E04F0B-2C4E-4CA7-BB58-F2A682DD8790}"/>
    <cellStyle name="Normal 2 3 2 2 3 3 2 6" xfId="4750" xr:uid="{7A98CD7B-D790-4DED-BD79-E45DA0CF9C1F}"/>
    <cellStyle name="Normal 2 3 2 2 3 3 2 7" xfId="4751" xr:uid="{C2EB8A34-9B9F-4CA7-95FC-40259B70DCCE}"/>
    <cellStyle name="Normal 2 3 2 2 3 3 2 8" xfId="4752" xr:uid="{9E4EA207-529A-4B4D-AE19-ADD3D5F35773}"/>
    <cellStyle name="Normal 2 3 2 2 3 3 2 9" xfId="4753" xr:uid="{59794B3C-C633-43F8-BAA5-788780FE5695}"/>
    <cellStyle name="Normal 2 3 2 2 3 3 3" xfId="4754" xr:uid="{3E0C4063-CCD4-49AC-A68C-29CEC40F90B8}"/>
    <cellStyle name="Normal 2 3 2 2 3 3 4" xfId="4755" xr:uid="{7BB0C7A2-55E2-411D-A4CE-EBA8E3FFE735}"/>
    <cellStyle name="Normal 2 3 2 2 3 3 4 2" xfId="4756" xr:uid="{1E969DD7-031F-47AF-B49C-8B006D74ABB8}"/>
    <cellStyle name="Normal 2 3 2 2 3 3 4 3" xfId="4757" xr:uid="{32AE3BF1-6DE2-43B5-B3D9-CFABE80D5A18}"/>
    <cellStyle name="Normal 2 3 2 2 3 3 4 4" xfId="4758" xr:uid="{29175BB9-EC16-4331-A940-FCE35BD8BCCF}"/>
    <cellStyle name="Normal 2 3 2 2 3 3 4 5" xfId="4759" xr:uid="{95403D2B-5DCD-4CB6-8465-887D85C25999}"/>
    <cellStyle name="Normal 2 3 2 2 3 3 4 6" xfId="4760" xr:uid="{83BFB7EB-4E64-424A-B6FB-9F7C27C722B5}"/>
    <cellStyle name="Normal 2 3 2 2 3 3 4 7" xfId="4761" xr:uid="{64A4FCE6-A227-400A-BAC6-573EAAEC3784}"/>
    <cellStyle name="Normal 2 3 2 2 3 3 4 8" xfId="4762" xr:uid="{8E227063-F614-4D4B-94B9-598378A81C59}"/>
    <cellStyle name="Normal 2 3 2 2 3 3 5" xfId="4763" xr:uid="{C863251E-3F61-4C3C-90AD-72BFA6C1C068}"/>
    <cellStyle name="Normal 2 3 2 2 3 3 6" xfId="4764" xr:uid="{D8515B58-4736-4F95-BEB2-53B8DE043566}"/>
    <cellStyle name="Normal 2 3 2 2 3 3 7" xfId="4765" xr:uid="{A8C4C4B1-6A07-4AF8-B277-09B209EE1E12}"/>
    <cellStyle name="Normal 2 3 2 2 3 3 8" xfId="4766" xr:uid="{AAC81D34-9391-48B5-96F8-B57CD07CF2D9}"/>
    <cellStyle name="Normal 2 3 2 2 3 3 9" xfId="4767" xr:uid="{9EB0EDCD-DF6D-4B1E-AC17-26D8493B9821}"/>
    <cellStyle name="Normal 2 3 2 2 3 4" xfId="4768" xr:uid="{E68837F1-E5D5-4F1B-8527-9DDB09DD63BD}"/>
    <cellStyle name="Normal 2 3 2 2 3 5" xfId="4769" xr:uid="{59E2C6F9-DA78-4A51-8A62-10E6FE678183}"/>
    <cellStyle name="Normal 2 3 2 2 3 6" xfId="4770" xr:uid="{FDE2503B-B206-4AAE-9306-FA0AEFCCBF38}"/>
    <cellStyle name="Normal 2 3 2 2 3 7" xfId="4771" xr:uid="{8508FA9F-30C0-46C5-913F-654AEA1FB2DF}"/>
    <cellStyle name="Normal 2 3 2 2 3 8" xfId="4772" xr:uid="{460058EC-E80A-4C8A-B1A3-59C1D8F00C2F}"/>
    <cellStyle name="Normal 2 3 2 2 3 9" xfId="4773" xr:uid="{CC2CC402-D0DD-445E-8F89-B60497A75121}"/>
    <cellStyle name="Normal 2 3 2 2 4" xfId="4774" xr:uid="{9FC86548-93D7-4DCF-9FA3-58517B6314FC}"/>
    <cellStyle name="Normal 2 3 2 2 5" xfId="4775" xr:uid="{8CB5CBFD-2E3B-4BFD-B853-1A2CDA5EF2DB}"/>
    <cellStyle name="Normal 2 3 2 2 6" xfId="4776" xr:uid="{AA522A20-E82C-4184-B5D9-1C26BC10B998}"/>
    <cellStyle name="Normal 2 3 2 2 7" xfId="4777" xr:uid="{5CC7836E-2903-4779-B401-5022DD2A589A}"/>
    <cellStyle name="Normal 2 3 2 2 7 10" xfId="4778" xr:uid="{4E9CDCBE-CAA3-45A0-B1A6-896C7A3BC44C}"/>
    <cellStyle name="Normal 2 3 2 2 7 2" xfId="4779" xr:uid="{ED3E895B-425B-44D8-8643-7A6B0AA65823}"/>
    <cellStyle name="Normal 2 3 2 2 7 2 2" xfId="4780" xr:uid="{7233F499-4123-46D4-9FA9-4CFA5F5AC6B8}"/>
    <cellStyle name="Normal 2 3 2 2 7 2 2 2" xfId="4781" xr:uid="{F9E9C564-FD96-4B12-ACDD-468EA776B5A5}"/>
    <cellStyle name="Normal 2 3 2 2 7 2 2 2 2" xfId="4782" xr:uid="{276376B9-E751-4386-AB02-DAFA283CA706}"/>
    <cellStyle name="Normal 2 3 2 2 7 2 2 2 3" xfId="4783" xr:uid="{C8D19275-55CD-4125-BCD2-F8E8B82984C0}"/>
    <cellStyle name="Normal 2 3 2 2 7 2 2 2 4" xfId="4784" xr:uid="{E913CA25-E1CB-4E79-B113-7FC36417B64C}"/>
    <cellStyle name="Normal 2 3 2 2 7 2 2 2 5" xfId="4785" xr:uid="{7FEBE54F-6561-47C8-A307-B790097338AF}"/>
    <cellStyle name="Normal 2 3 2 2 7 2 2 2 6" xfId="4786" xr:uid="{9BD1E55F-9434-4DC4-A74F-B6A1EAE68E2A}"/>
    <cellStyle name="Normal 2 3 2 2 7 2 2 2 7" xfId="4787" xr:uid="{46D3B778-4095-449F-9BE5-5F039C337EC1}"/>
    <cellStyle name="Normal 2 3 2 2 7 2 2 2 8" xfId="4788" xr:uid="{BA931A73-3EC1-4813-AD1F-A3509609F357}"/>
    <cellStyle name="Normal 2 3 2 2 7 2 2 3" xfId="4789" xr:uid="{D0E5F33A-10C1-4C7A-BC91-096708C99E12}"/>
    <cellStyle name="Normal 2 3 2 2 7 2 2 4" xfId="4790" xr:uid="{C83D56F6-094E-4236-85FA-E948B5C12A5E}"/>
    <cellStyle name="Normal 2 3 2 2 7 2 2 5" xfId="4791" xr:uid="{674188D8-0E02-482A-9DF3-A1B08397F660}"/>
    <cellStyle name="Normal 2 3 2 2 7 2 2 6" xfId="4792" xr:uid="{C2AA20E7-D146-4CB1-9935-14979F178546}"/>
    <cellStyle name="Normal 2 3 2 2 7 2 2 7" xfId="4793" xr:uid="{DABB9EFC-E5D2-4820-AD58-43B271C457DB}"/>
    <cellStyle name="Normal 2 3 2 2 7 2 2 8" xfId="4794" xr:uid="{D3E839F9-3F61-4B6B-9506-F41593DE17FF}"/>
    <cellStyle name="Normal 2 3 2 2 7 2 3" xfId="4795" xr:uid="{3C7305F7-9E45-4B78-B000-3AC26D457303}"/>
    <cellStyle name="Normal 2 3 2 2 7 2 4" xfId="4796" xr:uid="{9182F555-8795-4B68-8998-DA8625E8B907}"/>
    <cellStyle name="Normal 2 3 2 2 7 2 5" xfId="4797" xr:uid="{E24889A9-1BDE-46C2-8D9D-30F7BE577510}"/>
    <cellStyle name="Normal 2 3 2 2 7 2 6" xfId="4798" xr:uid="{686505F2-22E1-410A-AAD6-754EE86FECAA}"/>
    <cellStyle name="Normal 2 3 2 2 7 2 7" xfId="4799" xr:uid="{DE736695-A9DA-41C7-8922-5BC69E665DA3}"/>
    <cellStyle name="Normal 2 3 2 2 7 2 8" xfId="4800" xr:uid="{D3D08F61-4000-463B-8156-6A6AC8630D3B}"/>
    <cellStyle name="Normal 2 3 2 2 7 2 9" xfId="4801" xr:uid="{B959B327-3A83-48AD-A001-72CAA21495C7}"/>
    <cellStyle name="Normal 2 3 2 2 7 3" xfId="4802" xr:uid="{1DB619BD-6BA0-4D19-B762-299A40CDCFCA}"/>
    <cellStyle name="Normal 2 3 2 2 7 4" xfId="4803" xr:uid="{D1391FD6-322C-4994-A545-750D446A21C1}"/>
    <cellStyle name="Normal 2 3 2 2 7 4 2" xfId="4804" xr:uid="{E4C080FD-8726-46BE-87F0-34F5F99871AE}"/>
    <cellStyle name="Normal 2 3 2 2 7 4 3" xfId="4805" xr:uid="{7BAB4D54-4EB6-4578-AA24-780ABB61BBDB}"/>
    <cellStyle name="Normal 2 3 2 2 7 4 4" xfId="4806" xr:uid="{3DC5E748-DC66-4734-BFA4-EB99BA5BE383}"/>
    <cellStyle name="Normal 2 3 2 2 7 4 5" xfId="4807" xr:uid="{DED6DFE4-5F60-4F8F-B05B-9E43079D84D1}"/>
    <cellStyle name="Normal 2 3 2 2 7 4 6" xfId="4808" xr:uid="{1615AD25-CA26-4C24-801C-7FFC71B7B9A3}"/>
    <cellStyle name="Normal 2 3 2 2 7 4 7" xfId="4809" xr:uid="{89347F90-79D6-4B7F-9FD1-398A3FCA589A}"/>
    <cellStyle name="Normal 2 3 2 2 7 4 8" xfId="4810" xr:uid="{6597EC99-1EF7-49D8-B53C-8261A2E1DD7D}"/>
    <cellStyle name="Normal 2 3 2 2 7 5" xfId="4811" xr:uid="{C33816F4-B4A8-4670-AA5F-13BCAE5F61A8}"/>
    <cellStyle name="Normal 2 3 2 2 7 6" xfId="4812" xr:uid="{31580A11-4BCB-4B76-93DC-DBB70924B718}"/>
    <cellStyle name="Normal 2 3 2 2 7 7" xfId="4813" xr:uid="{99368E41-FB48-42C7-A660-A272C7D27F03}"/>
    <cellStyle name="Normal 2 3 2 2 7 8" xfId="4814" xr:uid="{025014AD-EA43-4AF9-B1FC-2B2AD7940D83}"/>
    <cellStyle name="Normal 2 3 2 2 7 9" xfId="4815" xr:uid="{950EE3D8-93F2-4768-8CEF-E2073EB08026}"/>
    <cellStyle name="Normal 2 3 2 2 8" xfId="4816" xr:uid="{DC048E6E-42E8-4FE7-9309-7C46D2E57EAD}"/>
    <cellStyle name="Normal 2 3 2 2 9" xfId="4817" xr:uid="{52010447-1636-4146-AB12-3EDF7E28805A}"/>
    <cellStyle name="Normal 2 3 2 20" xfId="4818" xr:uid="{6902E1BA-89E1-4614-9AB1-7C157E6114EC}"/>
    <cellStyle name="Normal 2 3 2 21" xfId="4819" xr:uid="{2C7442A1-9643-412C-A1F3-B4BF9944D4F1}"/>
    <cellStyle name="Normal 2 3 2 22" xfId="4820" xr:uid="{40D3A1C8-F128-4641-B787-438F22F9357B}"/>
    <cellStyle name="Normal 2 3 2 23" xfId="4821" xr:uid="{FA5F0266-22C3-414F-8793-48C9122F051C}"/>
    <cellStyle name="Normal 2 3 2 23 10" xfId="4822" xr:uid="{61D5829F-F7F8-4E1A-B738-2032671419C9}"/>
    <cellStyle name="Normal 2 3 2 23 10 2" xfId="4823" xr:uid="{0AF1A2D9-1C47-4FF5-9E3E-47ED76B488F3}"/>
    <cellStyle name="Normal 2 3 2 23 10 2 2" xfId="4824" xr:uid="{B7792704-7944-48E6-B686-CA966A3B4B20}"/>
    <cellStyle name="Normal 2 3 2 23 10 2 2 2" xfId="4825" xr:uid="{735DC100-AA7E-4E8B-A903-E7592BC15CAB}"/>
    <cellStyle name="Normal 2 3 2 23 10 2 2 3" xfId="4826" xr:uid="{9E036097-2C7F-4F36-AA25-A2C48A7D24E8}"/>
    <cellStyle name="Normal 2 3 2 23 10 2 2 4" xfId="4827" xr:uid="{ECDD8BB7-88E6-439B-9CA6-4A72D075FAA1}"/>
    <cellStyle name="Normal 2 3 2 23 10 2 2 5" xfId="4828" xr:uid="{474AEEAC-4F6F-42CF-9117-CF0EE368FCB9}"/>
    <cellStyle name="Normal 2 3 2 23 10 2 2 6" xfId="4829" xr:uid="{FE53705D-02EC-4158-A5A2-7F18BC0E6287}"/>
    <cellStyle name="Normal 2 3 2 23 10 2 2 7" xfId="4830" xr:uid="{B63A334B-CC8A-4DA0-8083-3AD56EFC7CCD}"/>
    <cellStyle name="Normal 2 3 2 23 10 2 2 8" xfId="4831" xr:uid="{AC3D333B-FA08-4017-89D1-61D684F0FB66}"/>
    <cellStyle name="Normal 2 3 2 23 10 2 3" xfId="4832" xr:uid="{3759ED61-EE2F-4D93-9A8C-04AC038DA5E9}"/>
    <cellStyle name="Normal 2 3 2 23 10 2 4" xfId="4833" xr:uid="{F209EE72-B9A8-4CA6-A1F3-8A18E81CA0C4}"/>
    <cellStyle name="Normal 2 3 2 23 10 2 5" xfId="4834" xr:uid="{5018DCE9-F07A-4864-AFBF-7C6257E00D9E}"/>
    <cellStyle name="Normal 2 3 2 23 10 2 6" xfId="4835" xr:uid="{3EF5692A-CBF6-4BD4-93DD-2CDD1C773FB9}"/>
    <cellStyle name="Normal 2 3 2 23 10 2 7" xfId="4836" xr:uid="{CB4E7DA5-FD0F-4A48-8265-C07CE8177F22}"/>
    <cellStyle name="Normal 2 3 2 23 10 2 8" xfId="4837" xr:uid="{DEB95B44-8D89-4C94-885B-BC4CEC80BD15}"/>
    <cellStyle name="Normal 2 3 2 23 10 3" xfId="4838" xr:uid="{38F92192-3B57-4489-A01A-E58D6B4C132A}"/>
    <cellStyle name="Normal 2 3 2 23 10 4" xfId="4839" xr:uid="{2E9EB2C2-7DC0-4447-9FDB-C09F12DE1316}"/>
    <cellStyle name="Normal 2 3 2 23 10 5" xfId="4840" xr:uid="{BD0AB671-ACF0-427E-812A-3355376C563A}"/>
    <cellStyle name="Normal 2 3 2 23 10 6" xfId="4841" xr:uid="{8D72599A-2A21-4D67-B120-1E2AF8956C45}"/>
    <cellStyle name="Normal 2 3 2 23 10 7" xfId="4842" xr:uid="{2999AB24-805F-410B-BBF3-F00FAA81A7D1}"/>
    <cellStyle name="Normal 2 3 2 23 10 8" xfId="4843" xr:uid="{AF27CED7-F086-4D29-A7B3-881A7165B4EA}"/>
    <cellStyle name="Normal 2 3 2 23 10 9" xfId="4844" xr:uid="{9FB8FFD7-F684-4AE5-AC8B-B79CEB7288F3}"/>
    <cellStyle name="Normal 2 3 2 23 11" xfId="4845" xr:uid="{E8564A46-1D13-4D17-AFAC-B331F8554698}"/>
    <cellStyle name="Normal 2 3 2 23 11 2" xfId="4846" xr:uid="{E90D3F98-83C6-4918-98AD-0EE23BB89C8C}"/>
    <cellStyle name="Normal 2 3 2 23 11 3" xfId="4847" xr:uid="{EDFB9BFD-5891-4869-9E7C-38542C01844A}"/>
    <cellStyle name="Normal 2 3 2 23 11 4" xfId="4848" xr:uid="{98510A74-4F5B-4A55-A18D-511C86951979}"/>
    <cellStyle name="Normal 2 3 2 23 11 5" xfId="4849" xr:uid="{33158928-4799-4A46-85E0-A7AC15B32F05}"/>
    <cellStyle name="Normal 2 3 2 23 11 6" xfId="4850" xr:uid="{4D265518-E6EE-4972-8DAA-B1B085723DBA}"/>
    <cellStyle name="Normal 2 3 2 23 11 7" xfId="4851" xr:uid="{CCB3E7D1-B484-4FD4-870B-282C13CED6D9}"/>
    <cellStyle name="Normal 2 3 2 23 11 8" xfId="4852" xr:uid="{636894D5-7512-49D5-8C5C-94AA76336240}"/>
    <cellStyle name="Normal 2 3 2 23 12" xfId="4853" xr:uid="{FD109A19-901E-4967-AF63-229C4668D5A7}"/>
    <cellStyle name="Normal 2 3 2 23 13" xfId="4854" xr:uid="{32C8C695-9717-40A2-AF5C-163C5266F6A5}"/>
    <cellStyle name="Normal 2 3 2 23 14" xfId="4855" xr:uid="{F807DF45-B318-4F4E-8093-CA7FF72D0672}"/>
    <cellStyle name="Normal 2 3 2 23 15" xfId="4856" xr:uid="{7D18A576-CF25-4A9E-A766-EFC1D708F876}"/>
    <cellStyle name="Normal 2 3 2 23 16" xfId="4857" xr:uid="{E3269DBE-3E0B-40F7-8933-FACB9C2B3F8D}"/>
    <cellStyle name="Normal 2 3 2 23 17" xfId="4858" xr:uid="{44912331-EE8B-40A8-A303-457C146142FA}"/>
    <cellStyle name="Normal 2 3 2 23 2" xfId="4859" xr:uid="{83316484-B202-4696-A686-E03B1D8CB062}"/>
    <cellStyle name="Normal 2 3 2 23 2 10" xfId="4860" xr:uid="{F8713662-0F78-499E-B930-0A5D2CBBD347}"/>
    <cellStyle name="Normal 2 3 2 23 2 10 2" xfId="4861" xr:uid="{2960C2DD-C6FA-496D-A41C-5FC39CBA2CEA}"/>
    <cellStyle name="Normal 2 3 2 23 2 10 2 2" xfId="4862" xr:uid="{1297DFDA-7E6D-4FE9-8F41-645A8879B72C}"/>
    <cellStyle name="Normal 2 3 2 23 2 10 2 2 2" xfId="4863" xr:uid="{632CB78B-F7C8-496B-87ED-E00DF046CB9A}"/>
    <cellStyle name="Normal 2 3 2 23 2 10 2 2 3" xfId="4864" xr:uid="{F60B8F4E-8838-4EC0-A93D-14E71489BC90}"/>
    <cellStyle name="Normal 2 3 2 23 2 10 2 2 4" xfId="4865" xr:uid="{8FC5A1DA-34DE-42B6-B66C-E2C7DCD63A77}"/>
    <cellStyle name="Normal 2 3 2 23 2 10 2 2 5" xfId="4866" xr:uid="{A4E772BA-E8BB-4CB3-AD24-47641C1FB510}"/>
    <cellStyle name="Normal 2 3 2 23 2 10 2 2 6" xfId="4867" xr:uid="{7D143CDA-EEFC-4041-8690-080DAC8AFC1F}"/>
    <cellStyle name="Normal 2 3 2 23 2 10 2 2 7" xfId="4868" xr:uid="{024D177B-BCE4-4CB0-8B8C-BBB229D22834}"/>
    <cellStyle name="Normal 2 3 2 23 2 10 2 2 8" xfId="4869" xr:uid="{C8B80731-BCC8-42C4-AB52-6BA857E62DB7}"/>
    <cellStyle name="Normal 2 3 2 23 2 10 2 3" xfId="4870" xr:uid="{99B05991-3223-49F5-8343-F1EE169C4F4F}"/>
    <cellStyle name="Normal 2 3 2 23 2 10 2 4" xfId="4871" xr:uid="{4663DE36-7628-4E85-9249-2BF1CAF59458}"/>
    <cellStyle name="Normal 2 3 2 23 2 10 2 5" xfId="4872" xr:uid="{79837A59-9960-4E9D-A8B9-148051BB6A4A}"/>
    <cellStyle name="Normal 2 3 2 23 2 10 2 6" xfId="4873" xr:uid="{F729B8FE-5FAE-4876-BFA5-B80ED7FF3F24}"/>
    <cellStyle name="Normal 2 3 2 23 2 10 2 7" xfId="4874" xr:uid="{000A1411-7A83-47ED-B336-CBAA22B692CC}"/>
    <cellStyle name="Normal 2 3 2 23 2 10 2 8" xfId="4875" xr:uid="{F034A9B7-5E1E-4B64-BF71-11496437BC75}"/>
    <cellStyle name="Normal 2 3 2 23 2 10 3" xfId="4876" xr:uid="{F64F4118-73DC-4A82-90E1-E3CE4C32BCF8}"/>
    <cellStyle name="Normal 2 3 2 23 2 10 4" xfId="4877" xr:uid="{839C9A51-EE3C-45CE-8356-5A9EFC4468CF}"/>
    <cellStyle name="Normal 2 3 2 23 2 10 5" xfId="4878" xr:uid="{D64945E7-1386-4BB6-8515-25F25D2F40B7}"/>
    <cellStyle name="Normal 2 3 2 23 2 10 6" xfId="4879" xr:uid="{213B35CD-4112-4487-9EAF-DD0CD2B1E72E}"/>
    <cellStyle name="Normal 2 3 2 23 2 10 7" xfId="4880" xr:uid="{D7A1DA9A-9DC8-4BA0-81C8-BA185C323404}"/>
    <cellStyle name="Normal 2 3 2 23 2 10 8" xfId="4881" xr:uid="{3AD3AB38-E605-4463-9CF7-F74B870DFC30}"/>
    <cellStyle name="Normal 2 3 2 23 2 10 9" xfId="4882" xr:uid="{885A01DD-6498-4620-8D6A-292BDE7739FD}"/>
    <cellStyle name="Normal 2 3 2 23 2 11" xfId="4883" xr:uid="{793F3E17-16B5-4799-87BE-55123E74C283}"/>
    <cellStyle name="Normal 2 3 2 23 2 11 2" xfId="4884" xr:uid="{11BDB417-70EF-4837-8E7C-1223C3C9AB2B}"/>
    <cellStyle name="Normal 2 3 2 23 2 11 3" xfId="4885" xr:uid="{2338B8BF-68C6-483D-9E6F-588BA27D2B85}"/>
    <cellStyle name="Normal 2 3 2 23 2 11 4" xfId="4886" xr:uid="{075B0C8B-863B-4C1E-A3D0-04ACF73976D8}"/>
    <cellStyle name="Normal 2 3 2 23 2 11 5" xfId="4887" xr:uid="{41DBEC7F-9013-404D-83D5-D8EB14A344E7}"/>
    <cellStyle name="Normal 2 3 2 23 2 11 6" xfId="4888" xr:uid="{F9F7D8C7-694F-4CE3-AE4E-8C37282C44FC}"/>
    <cellStyle name="Normal 2 3 2 23 2 11 7" xfId="4889" xr:uid="{FBDBC195-9FBB-4C35-84AF-D2A5CD4D8A26}"/>
    <cellStyle name="Normal 2 3 2 23 2 11 8" xfId="4890" xr:uid="{F2DD92DF-F691-4DE4-ADEF-25DECA9B0EF9}"/>
    <cellStyle name="Normal 2 3 2 23 2 12" xfId="4891" xr:uid="{60B90019-7495-4C5D-A29F-2949E538AAFF}"/>
    <cellStyle name="Normal 2 3 2 23 2 13" xfId="4892" xr:uid="{1C91C29E-8761-4986-BA9E-6E555251F6FF}"/>
    <cellStyle name="Normal 2 3 2 23 2 14" xfId="4893" xr:uid="{300ADBAD-35B0-46A5-928C-ACBD35E62BBB}"/>
    <cellStyle name="Normal 2 3 2 23 2 15" xfId="4894" xr:uid="{0AE6B7DA-D07B-4E06-BF0B-7044AB2380C3}"/>
    <cellStyle name="Normal 2 3 2 23 2 16" xfId="4895" xr:uid="{3690FB27-E36A-491A-AE4D-A8AD4F09015C}"/>
    <cellStyle name="Normal 2 3 2 23 2 17" xfId="4896" xr:uid="{0736990C-A0F0-4A2A-ABD5-4AE731DBD6D9}"/>
    <cellStyle name="Normal 2 3 2 23 2 2" xfId="4897" xr:uid="{8F28A0CE-4F94-4338-9888-A94B4E705550}"/>
    <cellStyle name="Normal 2 3 2 23 2 2 10" xfId="4898" xr:uid="{9E1D0B45-5F2C-4B9E-8BDD-A728F260293B}"/>
    <cellStyle name="Normal 2 3 2 23 2 2 2" xfId="4899" xr:uid="{220F2D70-F072-4FA4-9196-31425337A5FF}"/>
    <cellStyle name="Normal 2 3 2 23 2 2 2 2" xfId="4900" xr:uid="{82C858F6-1FF5-459D-A7C7-BAA15BAC7ADD}"/>
    <cellStyle name="Normal 2 3 2 23 2 2 2 2 2" xfId="4901" xr:uid="{352D829B-07EC-4047-BCD6-98A77D5884FF}"/>
    <cellStyle name="Normal 2 3 2 23 2 2 2 2 2 2" xfId="4902" xr:uid="{176502C6-D1E5-4315-B191-097CF8D81695}"/>
    <cellStyle name="Normal 2 3 2 23 2 2 2 2 2 3" xfId="4903" xr:uid="{02AA997D-ED48-4E98-A991-74CA71033248}"/>
    <cellStyle name="Normal 2 3 2 23 2 2 2 2 2 4" xfId="4904" xr:uid="{C6EE3E6D-5AAE-437E-9A03-0F9D8D2D340D}"/>
    <cellStyle name="Normal 2 3 2 23 2 2 2 2 2 5" xfId="4905" xr:uid="{A048A9CB-DDFE-490C-B539-580F3B4432EA}"/>
    <cellStyle name="Normal 2 3 2 23 2 2 2 2 2 6" xfId="4906" xr:uid="{F03BB262-7026-4282-991A-7F335FD94F91}"/>
    <cellStyle name="Normal 2 3 2 23 2 2 2 2 2 7" xfId="4907" xr:uid="{D05DCFA4-BACC-4D5E-82AF-491C48302435}"/>
    <cellStyle name="Normal 2 3 2 23 2 2 2 2 2 8" xfId="4908" xr:uid="{21FBE87C-56A3-4604-B73F-774C6B3FD420}"/>
    <cellStyle name="Normal 2 3 2 23 2 2 2 2 3" xfId="4909" xr:uid="{D9CCD65F-4AA0-4BE0-8857-A5D3505E59F9}"/>
    <cellStyle name="Normal 2 3 2 23 2 2 2 2 4" xfId="4910" xr:uid="{0F9EB2C6-48A3-4DEC-AEF7-C67B3CEBD139}"/>
    <cellStyle name="Normal 2 3 2 23 2 2 2 2 5" xfId="4911" xr:uid="{CE604709-07B5-421F-8B6D-8C7F7A03F4C7}"/>
    <cellStyle name="Normal 2 3 2 23 2 2 2 2 6" xfId="4912" xr:uid="{3CB1256E-E903-4BB0-B051-16E368571789}"/>
    <cellStyle name="Normal 2 3 2 23 2 2 2 2 7" xfId="4913" xr:uid="{6BF6F169-41F9-4483-B4A2-A57EE19178CD}"/>
    <cellStyle name="Normal 2 3 2 23 2 2 2 2 8" xfId="4914" xr:uid="{B12054DF-35DB-4682-9D6B-E3AB1F30F934}"/>
    <cellStyle name="Normal 2 3 2 23 2 2 2 3" xfId="4915" xr:uid="{9AF86700-1FB6-4588-B05B-CCE5B6001171}"/>
    <cellStyle name="Normal 2 3 2 23 2 2 2 4" xfId="4916" xr:uid="{C7D244AE-2C42-4D38-B69D-2B528DD3672D}"/>
    <cellStyle name="Normal 2 3 2 23 2 2 2 5" xfId="4917" xr:uid="{D7DA0699-00D7-4A3E-9760-0CD872F65ECD}"/>
    <cellStyle name="Normal 2 3 2 23 2 2 2 6" xfId="4918" xr:uid="{6576BFB6-33CB-47A8-9589-B6CEAE0853E4}"/>
    <cellStyle name="Normal 2 3 2 23 2 2 2 7" xfId="4919" xr:uid="{8E89EA75-992B-4C48-B017-BF784798BCC5}"/>
    <cellStyle name="Normal 2 3 2 23 2 2 2 8" xfId="4920" xr:uid="{394BE51C-69E7-46BD-A5FE-7E35FFE0D469}"/>
    <cellStyle name="Normal 2 3 2 23 2 2 2 9" xfId="4921" xr:uid="{F8F2D3CF-65B5-475C-B96E-8FB713ABBF80}"/>
    <cellStyle name="Normal 2 3 2 23 2 2 3" xfId="4922" xr:uid="{A3B1CC94-F25E-4EE8-AA71-CBDEAD6410C3}"/>
    <cellStyle name="Normal 2 3 2 23 2 2 4" xfId="4923" xr:uid="{293EC276-59B0-47EB-AEDA-F92981A51057}"/>
    <cellStyle name="Normal 2 3 2 23 2 2 4 2" xfId="4924" xr:uid="{AD728E36-A81F-4BAE-88B1-7CD36E61B618}"/>
    <cellStyle name="Normal 2 3 2 23 2 2 4 3" xfId="4925" xr:uid="{B4C964A5-32FD-4129-B029-E95FEBD9D445}"/>
    <cellStyle name="Normal 2 3 2 23 2 2 4 4" xfId="4926" xr:uid="{7D2C6CB9-BEF1-4108-808D-7E7CA694B212}"/>
    <cellStyle name="Normal 2 3 2 23 2 2 4 5" xfId="4927" xr:uid="{78FFAC0F-1AA0-45BC-A070-2CBEDFB3A86C}"/>
    <cellStyle name="Normal 2 3 2 23 2 2 4 6" xfId="4928" xr:uid="{7E6D6B57-0845-4FA0-9E2A-5C6E935F58B2}"/>
    <cellStyle name="Normal 2 3 2 23 2 2 4 7" xfId="4929" xr:uid="{CCA0452F-D78D-4A12-996B-08E874625E26}"/>
    <cellStyle name="Normal 2 3 2 23 2 2 4 8" xfId="4930" xr:uid="{E3AD480A-BF14-47F6-8329-BAB97C41CD9D}"/>
    <cellStyle name="Normal 2 3 2 23 2 2 5" xfId="4931" xr:uid="{0F495CA5-1A90-40BA-80BF-03AE3C5C4F53}"/>
    <cellStyle name="Normal 2 3 2 23 2 2 6" xfId="4932" xr:uid="{C69CB6ED-26F0-4608-86A2-DAD6714E0B23}"/>
    <cellStyle name="Normal 2 3 2 23 2 2 7" xfId="4933" xr:uid="{936B753D-3F02-48B1-B1C0-7506B4D23309}"/>
    <cellStyle name="Normal 2 3 2 23 2 2 8" xfId="4934" xr:uid="{ECA0ED77-FD39-49E4-9CF1-CD54ACBF80B9}"/>
    <cellStyle name="Normal 2 3 2 23 2 2 9" xfId="4935" xr:uid="{90E80CEF-AA26-4C8D-BF06-1BAE12C98FB2}"/>
    <cellStyle name="Normal 2 3 2 23 2 3" xfId="4936" xr:uid="{9190B7FC-16A9-4EB3-939B-EB08464D05AC}"/>
    <cellStyle name="Normal 2 3 2 23 2 4" xfId="4937" xr:uid="{68DD815B-082C-41C4-AD89-6CFA1EBC5517}"/>
    <cellStyle name="Normal 2 3 2 23 2 5" xfId="4938" xr:uid="{0BB8C372-6AEF-4F36-B62C-6230D51B6220}"/>
    <cellStyle name="Normal 2 3 2 23 2 6" xfId="4939" xr:uid="{A6742893-332F-4477-B033-AEF721A9058F}"/>
    <cellStyle name="Normal 2 3 2 23 2 7" xfId="4940" xr:uid="{E8186AB1-3C6B-42EF-B9B7-25305B53DACF}"/>
    <cellStyle name="Normal 2 3 2 23 2 8" xfId="4941" xr:uid="{1441D03D-3AA1-4545-B3B3-4C1EF6F9EAB4}"/>
    <cellStyle name="Normal 2 3 2 23 2 9" xfId="4942" xr:uid="{2D2C097E-895C-4F11-917C-CE33D44F8FCD}"/>
    <cellStyle name="Normal 2 3 2 23 3" xfId="4943" xr:uid="{E9E17A19-EABB-43C5-A3FE-F7B5FF4BD90E}"/>
    <cellStyle name="Normal 2 3 2 23 3 10" xfId="4944" xr:uid="{7D2D4B35-3C25-45DF-9F7E-7F6BA3A7B281}"/>
    <cellStyle name="Normal 2 3 2 23 3 2" xfId="4945" xr:uid="{318F91DF-6FC1-495E-94A7-9CECB3623781}"/>
    <cellStyle name="Normal 2 3 2 23 3 2 2" xfId="4946" xr:uid="{A10A825A-48D6-4674-9693-1B0533706676}"/>
    <cellStyle name="Normal 2 3 2 23 3 2 2 2" xfId="4947" xr:uid="{FC968697-9C58-46A3-A44F-E43DC20FB969}"/>
    <cellStyle name="Normal 2 3 2 23 3 2 2 2 2" xfId="4948" xr:uid="{471ECF56-EAF7-4860-84B7-84058877F0EA}"/>
    <cellStyle name="Normal 2 3 2 23 3 2 2 2 3" xfId="4949" xr:uid="{7DB3B514-C236-43E1-A971-0C497DCF0DF9}"/>
    <cellStyle name="Normal 2 3 2 23 3 2 2 2 4" xfId="4950" xr:uid="{6994AC4B-518A-4B9B-B1D3-A4C3D48388BB}"/>
    <cellStyle name="Normal 2 3 2 23 3 2 2 2 5" xfId="4951" xr:uid="{E68ACF98-B793-4CC0-BA8F-ABF4279913AA}"/>
    <cellStyle name="Normal 2 3 2 23 3 2 2 2 6" xfId="4952" xr:uid="{7575BD00-AFC8-415F-A9DD-A7B00E3D3E76}"/>
    <cellStyle name="Normal 2 3 2 23 3 2 2 2 7" xfId="4953" xr:uid="{471AF8B0-C974-4A88-B7EE-697537D1DA02}"/>
    <cellStyle name="Normal 2 3 2 23 3 2 2 2 8" xfId="4954" xr:uid="{34B7F763-4D0D-4216-9B52-AD9BE598E499}"/>
    <cellStyle name="Normal 2 3 2 23 3 2 2 3" xfId="4955" xr:uid="{B9C5385A-E07E-4C78-ADFD-ED09FF37A045}"/>
    <cellStyle name="Normal 2 3 2 23 3 2 2 4" xfId="4956" xr:uid="{EF28D1D2-5585-403E-95BB-1D89B3F8CF72}"/>
    <cellStyle name="Normal 2 3 2 23 3 2 2 5" xfId="4957" xr:uid="{82DE134B-C026-4B11-9D9C-F9CAF9C7D37F}"/>
    <cellStyle name="Normal 2 3 2 23 3 2 2 6" xfId="4958" xr:uid="{E9833971-FF0F-4406-B10C-F8A109C88ED2}"/>
    <cellStyle name="Normal 2 3 2 23 3 2 2 7" xfId="4959" xr:uid="{2F844305-C24E-4D91-B8E0-FB0254631EC2}"/>
    <cellStyle name="Normal 2 3 2 23 3 2 2 8" xfId="4960" xr:uid="{6E878C2D-607E-4292-9986-4386E5243269}"/>
    <cellStyle name="Normal 2 3 2 23 3 2 3" xfId="4961" xr:uid="{411D8960-F10C-48F9-89B3-56CC95A3A3E2}"/>
    <cellStyle name="Normal 2 3 2 23 3 2 4" xfId="4962" xr:uid="{EC4762C5-3EC4-4719-89C6-12C59426211C}"/>
    <cellStyle name="Normal 2 3 2 23 3 2 5" xfId="4963" xr:uid="{60397232-4669-4F6F-8220-89D1179BB442}"/>
    <cellStyle name="Normal 2 3 2 23 3 2 6" xfId="4964" xr:uid="{3C75EA87-C3E4-421F-BB6D-2F40928DC495}"/>
    <cellStyle name="Normal 2 3 2 23 3 2 7" xfId="4965" xr:uid="{89BB516F-D631-4634-9F49-079B52E4AB5B}"/>
    <cellStyle name="Normal 2 3 2 23 3 2 8" xfId="4966" xr:uid="{AEE62467-7EAD-4CEA-A9BD-E586BA364C5A}"/>
    <cellStyle name="Normal 2 3 2 23 3 2 9" xfId="4967" xr:uid="{3DB39A8E-8DC3-40F7-9DF4-772A46F0AC5F}"/>
    <cellStyle name="Normal 2 3 2 23 3 3" xfId="4968" xr:uid="{665FB6FC-AC94-4F84-BB69-2D570EAE5665}"/>
    <cellStyle name="Normal 2 3 2 23 3 4" xfId="4969" xr:uid="{9B44F4D4-8AB2-475D-ABA0-130356A5D04E}"/>
    <cellStyle name="Normal 2 3 2 23 3 4 2" xfId="4970" xr:uid="{0843497D-F9FB-4324-8138-B19404023FAB}"/>
    <cellStyle name="Normal 2 3 2 23 3 4 3" xfId="4971" xr:uid="{8BDCE0D5-F28E-4F8E-A06A-CFA796D9642C}"/>
    <cellStyle name="Normal 2 3 2 23 3 4 4" xfId="4972" xr:uid="{16F7F9E0-8089-41D8-8DEF-459D28139917}"/>
    <cellStyle name="Normal 2 3 2 23 3 4 5" xfId="4973" xr:uid="{2DF2672D-43F7-4256-9B51-6E57FC0A596E}"/>
    <cellStyle name="Normal 2 3 2 23 3 4 6" xfId="4974" xr:uid="{F83FCDE3-CD7E-48CD-9861-30D8A216CD70}"/>
    <cellStyle name="Normal 2 3 2 23 3 4 7" xfId="4975" xr:uid="{CD13D52B-10A3-46CD-BF01-634294D02F06}"/>
    <cellStyle name="Normal 2 3 2 23 3 4 8" xfId="4976" xr:uid="{14AAB45B-ED24-4FED-9802-CB968C43DA97}"/>
    <cellStyle name="Normal 2 3 2 23 3 5" xfId="4977" xr:uid="{8EE45A3B-4D8F-41F6-A5F9-E048052A83DA}"/>
    <cellStyle name="Normal 2 3 2 23 3 6" xfId="4978" xr:uid="{AB192F73-C687-4312-BD41-6C7865890FBF}"/>
    <cellStyle name="Normal 2 3 2 23 3 7" xfId="4979" xr:uid="{1EA655A9-6BB4-4828-B070-CAA7557CFA44}"/>
    <cellStyle name="Normal 2 3 2 23 3 8" xfId="4980" xr:uid="{8EB36693-7D02-42DE-87CF-C011FFE31044}"/>
    <cellStyle name="Normal 2 3 2 23 3 9" xfId="4981" xr:uid="{D569BF12-26F1-4689-9DB0-B1D39F901286}"/>
    <cellStyle name="Normal 2 3 2 23 4" xfId="4982" xr:uid="{36377367-E866-4155-AB39-7FE2DD359D30}"/>
    <cellStyle name="Normal 2 3 2 23 5" xfId="4983" xr:uid="{670AA56B-45F6-4A58-83DF-7541562E4374}"/>
    <cellStyle name="Normal 2 3 2 23 6" xfId="4984" xr:uid="{61A39B41-17FB-457A-B7F8-6FC1E438E61A}"/>
    <cellStyle name="Normal 2 3 2 23 7" xfId="4985" xr:uid="{A2713DA2-A924-494C-B44F-4369C2710349}"/>
    <cellStyle name="Normal 2 3 2 23 8" xfId="4986" xr:uid="{377572E7-4F5E-4947-BA7C-785B68296ACD}"/>
    <cellStyle name="Normal 2 3 2 23 9" xfId="4987" xr:uid="{3E1DDAB6-8F04-4D10-BF5D-6C5A9D13D16C}"/>
    <cellStyle name="Normal 2 3 2 24" xfId="4988" xr:uid="{6D333FDB-9E96-47CF-86F6-D5BC6314BAEC}"/>
    <cellStyle name="Normal 2 3 2 25" xfId="4989" xr:uid="{6168DFA5-1048-4AAF-8F2D-690BFD71241C}"/>
    <cellStyle name="Normal 2 3 2 26" xfId="4990" xr:uid="{42940F7B-64EE-4D1C-869F-C96042932E67}"/>
    <cellStyle name="Normal 2 3 2 27" xfId="4991" xr:uid="{5444369E-639F-4E55-9128-F49971B14C9C}"/>
    <cellStyle name="Normal 2 3 2 28" xfId="4992" xr:uid="{E62AF0BD-7540-473F-99CB-49CD6CD15AC3}"/>
    <cellStyle name="Normal 2 3 2 28 10" xfId="4993" xr:uid="{0ACF70E0-35D8-4B4B-A368-C03EC1566DFC}"/>
    <cellStyle name="Normal 2 3 2 28 2" xfId="4994" xr:uid="{A4655695-BA05-476A-9307-B369C27B3DE5}"/>
    <cellStyle name="Normal 2 3 2 28 2 2" xfId="4995" xr:uid="{6A1B09C7-F124-4892-B4F6-3EB849E13227}"/>
    <cellStyle name="Normal 2 3 2 28 2 2 2" xfId="4996" xr:uid="{E36454F1-2DEF-4668-85EC-F5EF5166FEA1}"/>
    <cellStyle name="Normal 2 3 2 28 2 2 2 2" xfId="4997" xr:uid="{CFCFEC87-18E0-4B4D-804D-CAC3F0272C9E}"/>
    <cellStyle name="Normal 2 3 2 28 2 2 2 3" xfId="4998" xr:uid="{FCD4F9A7-7B4D-4222-AFD4-61D073191551}"/>
    <cellStyle name="Normal 2 3 2 28 2 2 2 4" xfId="4999" xr:uid="{7412A62A-A79B-4855-AA66-D2F625A96EB4}"/>
    <cellStyle name="Normal 2 3 2 28 2 2 2 5" xfId="5000" xr:uid="{94705E91-CDE7-4CE8-92B9-1E673F8C94F8}"/>
    <cellStyle name="Normal 2 3 2 28 2 2 2 6" xfId="5001" xr:uid="{22D74050-1A5D-48A9-90CE-4BD1A1026CBB}"/>
    <cellStyle name="Normal 2 3 2 28 2 2 2 7" xfId="5002" xr:uid="{B455D72B-374A-49C1-B3D7-36A7120D005C}"/>
    <cellStyle name="Normal 2 3 2 28 2 2 2 8" xfId="5003" xr:uid="{56AA283B-CD93-4017-95F8-A8C3286FF464}"/>
    <cellStyle name="Normal 2 3 2 28 2 2 3" xfId="5004" xr:uid="{A1E09139-FE4C-45DA-A6F0-6111B347724C}"/>
    <cellStyle name="Normal 2 3 2 28 2 2 4" xfId="5005" xr:uid="{1BCC75A2-5AC4-403D-B619-2989149F7859}"/>
    <cellStyle name="Normal 2 3 2 28 2 2 5" xfId="5006" xr:uid="{659B278F-42C3-40E8-B796-AC9F661FC1AF}"/>
    <cellStyle name="Normal 2 3 2 28 2 2 6" xfId="5007" xr:uid="{2691BCF1-5907-47EA-826A-7E8FF6105625}"/>
    <cellStyle name="Normal 2 3 2 28 2 2 7" xfId="5008" xr:uid="{DDE4A4C5-9F55-4614-BE19-D3D7F7C92E56}"/>
    <cellStyle name="Normal 2 3 2 28 2 2 8" xfId="5009" xr:uid="{5CD47BF6-9409-4C56-938B-29300D8D3908}"/>
    <cellStyle name="Normal 2 3 2 28 2 3" xfId="5010" xr:uid="{69CE2E71-8DBA-4EB4-9DD1-4C90E0459BA8}"/>
    <cellStyle name="Normal 2 3 2 28 2 4" xfId="5011" xr:uid="{C6C9B937-1CAE-4F34-B626-288784734042}"/>
    <cellStyle name="Normal 2 3 2 28 2 5" xfId="5012" xr:uid="{52380ADF-BC63-4947-8102-433E3EB521B3}"/>
    <cellStyle name="Normal 2 3 2 28 2 6" xfId="5013" xr:uid="{A39AAA8B-9E54-44C3-A91E-C84A29389F37}"/>
    <cellStyle name="Normal 2 3 2 28 2 7" xfId="5014" xr:uid="{544021E7-D82E-4331-981D-78595242FC4F}"/>
    <cellStyle name="Normal 2 3 2 28 2 8" xfId="5015" xr:uid="{E916529A-C76C-49B4-8F8D-5354B95C118F}"/>
    <cellStyle name="Normal 2 3 2 28 2 9" xfId="5016" xr:uid="{D653047F-1523-40B5-8120-3CA55E7741FD}"/>
    <cellStyle name="Normal 2 3 2 28 3" xfId="5017" xr:uid="{61AD79E3-EDD1-46F2-A383-24940882D93D}"/>
    <cellStyle name="Normal 2 3 2 28 4" xfId="5018" xr:uid="{0DAB8BD9-D70B-43A7-BBCC-7641B7463833}"/>
    <cellStyle name="Normal 2 3 2 28 4 2" xfId="5019" xr:uid="{2A69219F-5F98-482D-A190-52E6AA6BC204}"/>
    <cellStyle name="Normal 2 3 2 28 4 3" xfId="5020" xr:uid="{2328FF71-C167-49F8-9442-02C05CCD7AF8}"/>
    <cellStyle name="Normal 2 3 2 28 4 4" xfId="5021" xr:uid="{76311069-2B88-4325-97DF-FD0CC3760CCD}"/>
    <cellStyle name="Normal 2 3 2 28 4 5" xfId="5022" xr:uid="{3D0B85FD-53EF-41CA-B85A-49C55335181A}"/>
    <cellStyle name="Normal 2 3 2 28 4 6" xfId="5023" xr:uid="{596A26B3-489B-4D06-B2F2-5C63BD723E17}"/>
    <cellStyle name="Normal 2 3 2 28 4 7" xfId="5024" xr:uid="{A5980191-A48C-4AB3-8D41-6CBF53F3EB7E}"/>
    <cellStyle name="Normal 2 3 2 28 4 8" xfId="5025" xr:uid="{0ACD28FB-A6E7-4A32-AEA3-C6F35E24E3CF}"/>
    <cellStyle name="Normal 2 3 2 28 5" xfId="5026" xr:uid="{060539FE-1915-4F40-8EEA-216E68C105A1}"/>
    <cellStyle name="Normal 2 3 2 28 6" xfId="5027" xr:uid="{D3EF3A0A-242B-430D-AB87-C84F59A55C36}"/>
    <cellStyle name="Normal 2 3 2 28 7" xfId="5028" xr:uid="{E1E01C7E-8C90-4332-94D8-77E6DBBABADD}"/>
    <cellStyle name="Normal 2 3 2 28 8" xfId="5029" xr:uid="{F7E4FB74-5AEC-489E-99DD-47161E8E1714}"/>
    <cellStyle name="Normal 2 3 2 28 9" xfId="5030" xr:uid="{91BD5522-82EC-4E29-A976-8846B38A40C5}"/>
    <cellStyle name="Normal 2 3 2 29" xfId="5031" xr:uid="{C11DCF1B-CED3-4615-BDB0-D5D2EBC352CD}"/>
    <cellStyle name="Normal 2 3 2 3" xfId="5032" xr:uid="{8757FDD6-C78C-4673-9DB8-7A7D8B11D2EF}"/>
    <cellStyle name="Normal 2 3 2 30" xfId="5033" xr:uid="{9C17818F-FBF0-4296-90E6-C8FEC493E263}"/>
    <cellStyle name="Normal 2 3 2 31" xfId="5034" xr:uid="{8317D1A1-C049-4B21-8507-3ACBA112563B}"/>
    <cellStyle name="Normal 2 3 2 32" xfId="5035" xr:uid="{E06CF03A-B232-4C33-8636-CFB8D78DDA85}"/>
    <cellStyle name="Normal 2 3 2 33" xfId="5036" xr:uid="{F7A04F6D-4042-41B2-82ED-EB3D2779A9E6}"/>
    <cellStyle name="Normal 2 3 2 34" xfId="5037" xr:uid="{55CCD819-FFCA-46D6-A562-BACC0B799967}"/>
    <cellStyle name="Normal 2 3 2 35" xfId="5038" xr:uid="{F6824FC3-393E-4AF4-9276-D82FAFB2B6A2}"/>
    <cellStyle name="Normal 2 3 2 36" xfId="5039" xr:uid="{90E0D3FD-34ED-4AC7-93AD-233F3FDC0828}"/>
    <cellStyle name="Normal 2 3 2 36 2" xfId="5040" xr:uid="{BF2636D2-0B22-4461-899F-58A2D6FB0445}"/>
    <cellStyle name="Normal 2 3 2 36 2 2" xfId="5041" xr:uid="{221D2DE5-E429-4E82-A924-B0CA95230777}"/>
    <cellStyle name="Normal 2 3 2 36 2 2 2" xfId="5042" xr:uid="{FCC39BA8-A647-48DF-8B2C-B5E0E562A91D}"/>
    <cellStyle name="Normal 2 3 2 36 2 2 3" xfId="5043" xr:uid="{75759D7F-71A0-4CE4-BEAA-A187AEBE27C2}"/>
    <cellStyle name="Normal 2 3 2 36 2 2 4" xfId="5044" xr:uid="{CFA1D624-8381-417F-B162-8078CF9E4EF4}"/>
    <cellStyle name="Normal 2 3 2 36 2 2 5" xfId="5045" xr:uid="{6AD27D36-B664-444A-AEC6-56213883EA48}"/>
    <cellStyle name="Normal 2 3 2 36 2 2 6" xfId="5046" xr:uid="{E9CCCDE6-2930-4D39-A2CD-9301D4A77B44}"/>
    <cellStyle name="Normal 2 3 2 36 2 2 7" xfId="5047" xr:uid="{46EFF55F-799D-4A49-981B-385DAAA71A05}"/>
    <cellStyle name="Normal 2 3 2 36 2 2 8" xfId="5048" xr:uid="{68C0ADF0-0856-47D3-B865-4B0D5343C123}"/>
    <cellStyle name="Normal 2 3 2 36 2 3" xfId="5049" xr:uid="{441821CB-7B33-46D3-8A25-BDEA31203B52}"/>
    <cellStyle name="Normal 2 3 2 36 2 4" xfId="5050" xr:uid="{F361E634-FAFF-410F-93F2-6A7A38ED18AB}"/>
    <cellStyle name="Normal 2 3 2 36 2 5" xfId="5051" xr:uid="{8811BBAC-D0F2-4A1D-B122-FBE1341BAF69}"/>
    <cellStyle name="Normal 2 3 2 36 2 6" xfId="5052" xr:uid="{F8E51C2F-720A-4D97-BAD5-CD6DA52474C2}"/>
    <cellStyle name="Normal 2 3 2 36 2 7" xfId="5053" xr:uid="{EE076CAD-4889-42D4-AA66-DE9E25BA049B}"/>
    <cellStyle name="Normal 2 3 2 36 2 8" xfId="5054" xr:uid="{8C8F980B-7546-4E36-B75E-F7DD90E8EAC9}"/>
    <cellStyle name="Normal 2 3 2 36 3" xfId="5055" xr:uid="{ADC7193A-5C58-429D-A2E2-C7F706757696}"/>
    <cellStyle name="Normal 2 3 2 36 4" xfId="5056" xr:uid="{76C37ACE-D2EA-46B6-91D1-1D22141E4567}"/>
    <cellStyle name="Normal 2 3 2 36 5" xfId="5057" xr:uid="{BE259745-FD7A-4387-9BBC-C05E51349BD8}"/>
    <cellStyle name="Normal 2 3 2 36 6" xfId="5058" xr:uid="{1F2BE642-4E9B-4F2F-80FB-06B70BD8E6AF}"/>
    <cellStyle name="Normal 2 3 2 36 7" xfId="5059" xr:uid="{B91DAE71-A185-4FE7-9DAB-D7F8754AF328}"/>
    <cellStyle name="Normal 2 3 2 36 8" xfId="5060" xr:uid="{45EA7BC1-8F2A-4FB7-9A21-40BA83D16657}"/>
    <cellStyle name="Normal 2 3 2 36 9" xfId="5061" xr:uid="{AA13DFD3-01A5-4F68-B4C9-43BDD90DB7D7}"/>
    <cellStyle name="Normal 2 3 2 37" xfId="5062" xr:uid="{320480B2-074A-484F-8DFC-2DA3BB094018}"/>
    <cellStyle name="Normal 2 3 2 37 2" xfId="5063" xr:uid="{B510B6B7-7FE7-422B-9A33-5F116D6F0429}"/>
    <cellStyle name="Normal 2 3 2 37 3" xfId="5064" xr:uid="{D6112D05-1162-43C4-881D-5AC17BEE5F99}"/>
    <cellStyle name="Normal 2 3 2 37 4" xfId="5065" xr:uid="{9563590F-EC2E-4373-A1F9-B433F094EB7A}"/>
    <cellStyle name="Normal 2 3 2 37 5" xfId="5066" xr:uid="{8E2EA4AE-C007-41D3-8D49-A483B1CF7C46}"/>
    <cellStyle name="Normal 2 3 2 37 6" xfId="5067" xr:uid="{83F27C50-420A-4ADC-9851-8FE0826316FF}"/>
    <cellStyle name="Normal 2 3 2 37 7" xfId="5068" xr:uid="{7B922597-2FEB-459D-9541-D380396920F5}"/>
    <cellStyle name="Normal 2 3 2 37 8" xfId="5069" xr:uid="{426D3BDF-61E8-4847-B6AB-3977B9C7F46B}"/>
    <cellStyle name="Normal 2 3 2 38" xfId="5070" xr:uid="{DA65B81D-28E6-4BB7-BA30-61DE3F50388F}"/>
    <cellStyle name="Normal 2 3 2 39" xfId="5071" xr:uid="{3C2D5BAB-C543-4129-A14F-FC63F8738F74}"/>
    <cellStyle name="Normal 2 3 2 4" xfId="5072" xr:uid="{426942B1-B9C3-41CB-ABAB-1ECE052FEC04}"/>
    <cellStyle name="Normal 2 3 2 40" xfId="5073" xr:uid="{8A7941D0-CA1C-493C-ACD5-2A24771239A1}"/>
    <cellStyle name="Normal 2 3 2 41" xfId="5074" xr:uid="{4B89CDBA-16B8-4C3E-9BE2-458171F11452}"/>
    <cellStyle name="Normal 2 3 2 42" xfId="5075" xr:uid="{DFCED4A0-8889-4062-9DF0-0D6F46B28C60}"/>
    <cellStyle name="Normal 2 3 2 43" xfId="5076" xr:uid="{3E07E4E3-EBE5-4241-81CB-DA14DACCAB5E}"/>
    <cellStyle name="Normal 2 3 2 5" xfId="5077" xr:uid="{352A5244-0E4A-453C-878F-0F5DF72AD262}"/>
    <cellStyle name="Normal 2 3 2 6" xfId="5078" xr:uid="{1D64A326-DABF-4BA3-8588-2E133971C143}"/>
    <cellStyle name="Normal 2 3 2 7" xfId="5079" xr:uid="{AF964A85-5831-4601-8900-85F4F8438F44}"/>
    <cellStyle name="Normal 2 3 2 8" xfId="5080" xr:uid="{7ACE572F-5A59-46AD-9205-16A5CCAD39E5}"/>
    <cellStyle name="Normal 2 3 2 9" xfId="5081" xr:uid="{FEE6A169-60B7-4957-B09B-6A1C1E57B158}"/>
    <cellStyle name="Normal 2 3 20" xfId="5082" xr:uid="{12AF3DF7-5DE3-45A0-88EA-AF681A7D7A3D}"/>
    <cellStyle name="Normal 2 3 21" xfId="5083" xr:uid="{49E4A5CC-C709-4ECF-AC21-087B13D8041D}"/>
    <cellStyle name="Normal 2 3 22" xfId="5084" xr:uid="{995AB5D9-8852-4086-BDC3-9419000CDE1F}"/>
    <cellStyle name="Normal 2 3 23" xfId="5085" xr:uid="{DBD32822-4556-4ADC-B586-C57C1DBE54A1}"/>
    <cellStyle name="Normal 2 3 23 10" xfId="5086" xr:uid="{1256CA16-5198-4EDE-8970-031A8737C537}"/>
    <cellStyle name="Normal 2 3 23 10 2" xfId="5087" xr:uid="{178100C8-3DB0-4ADC-B180-A56ACE998727}"/>
    <cellStyle name="Normal 2 3 23 10 2 2" xfId="5088" xr:uid="{ABB5FB5D-BB6A-4DBD-BEE0-C022AE1C4009}"/>
    <cellStyle name="Normal 2 3 23 10 2 2 2" xfId="5089" xr:uid="{B0071965-A681-4725-8B66-B3236F12AD67}"/>
    <cellStyle name="Normal 2 3 23 10 2 2 3" xfId="5090" xr:uid="{9F088C6D-D1C7-4331-AB43-1DC06B7D7029}"/>
    <cellStyle name="Normal 2 3 23 10 2 2 4" xfId="5091" xr:uid="{99666748-50D6-4169-BE6C-AA204E3410C1}"/>
    <cellStyle name="Normal 2 3 23 10 2 2 5" xfId="5092" xr:uid="{D69AC2A1-259B-4232-A313-C601F3E992C7}"/>
    <cellStyle name="Normal 2 3 23 10 2 2 6" xfId="5093" xr:uid="{50B88AE9-650E-4759-8EE8-CE7438518349}"/>
    <cellStyle name="Normal 2 3 23 10 2 2 7" xfId="5094" xr:uid="{12071CBB-B394-475E-845A-0EC7D549AD04}"/>
    <cellStyle name="Normal 2 3 23 10 2 2 8" xfId="5095" xr:uid="{1820DF0A-66DC-4B66-9F61-3EB4E56F3D28}"/>
    <cellStyle name="Normal 2 3 23 10 2 3" xfId="5096" xr:uid="{E677E6BE-D7D4-4005-8EDC-51419C1D8BAD}"/>
    <cellStyle name="Normal 2 3 23 10 2 4" xfId="5097" xr:uid="{2100BF10-7008-470F-9D3B-CD240C38265F}"/>
    <cellStyle name="Normal 2 3 23 10 2 5" xfId="5098" xr:uid="{FAA0695B-C799-459C-BF27-F7F93B04D39F}"/>
    <cellStyle name="Normal 2 3 23 10 2 6" xfId="5099" xr:uid="{5792CA97-5C4F-4354-9B3F-DE0567B8CB09}"/>
    <cellStyle name="Normal 2 3 23 10 2 7" xfId="5100" xr:uid="{BCB75E11-575E-42C9-895C-A771659B222E}"/>
    <cellStyle name="Normal 2 3 23 10 2 8" xfId="5101" xr:uid="{313496AD-5C18-4EF6-9ACD-3760BC6D27E6}"/>
    <cellStyle name="Normal 2 3 23 10 3" xfId="5102" xr:uid="{60D2E91A-198C-4F7E-899E-3FF136746F94}"/>
    <cellStyle name="Normal 2 3 23 10 4" xfId="5103" xr:uid="{77E4FAA5-AAFA-4AD1-9D0E-5B472B7D2E03}"/>
    <cellStyle name="Normal 2 3 23 10 5" xfId="5104" xr:uid="{B5E6A2F3-A467-4175-BFC7-CFA05B343298}"/>
    <cellStyle name="Normal 2 3 23 10 6" xfId="5105" xr:uid="{66D34572-15AC-43E0-8F35-592381198539}"/>
    <cellStyle name="Normal 2 3 23 10 7" xfId="5106" xr:uid="{F9EBDAD8-CA9D-4CFA-82F3-5C26FE68E610}"/>
    <cellStyle name="Normal 2 3 23 10 8" xfId="5107" xr:uid="{AE718ACA-492D-4A0C-9C5B-8B126442BB08}"/>
    <cellStyle name="Normal 2 3 23 10 9" xfId="5108" xr:uid="{598FDB56-BAE2-458D-9AA8-9D2B00A4B372}"/>
    <cellStyle name="Normal 2 3 23 11" xfId="5109" xr:uid="{6383A602-1A65-4E88-B60E-65C2758E32D1}"/>
    <cellStyle name="Normal 2 3 23 11 2" xfId="5110" xr:uid="{E4A3DBEA-4766-4930-B89F-ECFF43D98610}"/>
    <cellStyle name="Normal 2 3 23 11 3" xfId="5111" xr:uid="{171DE479-FCB7-4A8B-9E7F-1DC4FF8CD1E2}"/>
    <cellStyle name="Normal 2 3 23 11 4" xfId="5112" xr:uid="{A7C9FFA9-00E7-4A74-B1E6-D70484F04219}"/>
    <cellStyle name="Normal 2 3 23 11 5" xfId="5113" xr:uid="{C9E4D6C8-E1B3-4F27-8CB5-3C07674AFAAC}"/>
    <cellStyle name="Normal 2 3 23 11 6" xfId="5114" xr:uid="{B3C70592-F36D-49AF-A2B5-6390342EC461}"/>
    <cellStyle name="Normal 2 3 23 11 7" xfId="5115" xr:uid="{2BB5C752-A163-4671-9089-1F1C454F7EF4}"/>
    <cellStyle name="Normal 2 3 23 11 8" xfId="5116" xr:uid="{E807883A-7333-43EB-8F0E-C3655F74948D}"/>
    <cellStyle name="Normal 2 3 23 12" xfId="5117" xr:uid="{8A9C625A-8A07-466E-8690-EB721403B31E}"/>
    <cellStyle name="Normal 2 3 23 13" xfId="5118" xr:uid="{0901729F-C140-493A-BC95-304AFD8023D7}"/>
    <cellStyle name="Normal 2 3 23 14" xfId="5119" xr:uid="{7A4F78FF-E989-40F8-8578-806DB05AC4F2}"/>
    <cellStyle name="Normal 2 3 23 15" xfId="5120" xr:uid="{9853B105-1A9E-4F80-9904-278AFBDA0F41}"/>
    <cellStyle name="Normal 2 3 23 16" xfId="5121" xr:uid="{37DECC72-9A9F-4BB3-A27E-C024AACEB703}"/>
    <cellStyle name="Normal 2 3 23 17" xfId="5122" xr:uid="{0558567D-B4F1-4E08-AEB4-E2DE8C27B623}"/>
    <cellStyle name="Normal 2 3 23 2" xfId="5123" xr:uid="{810F5C99-D98C-4773-B259-41C0E0BE9977}"/>
    <cellStyle name="Normal 2 3 23 2 10" xfId="5124" xr:uid="{F6A2B4F6-D04D-4366-93EF-C5F7102B06C1}"/>
    <cellStyle name="Normal 2 3 23 2 10 2" xfId="5125" xr:uid="{41258A0C-E209-4BC1-8FCB-ED1188E74EF3}"/>
    <cellStyle name="Normal 2 3 23 2 10 2 2" xfId="5126" xr:uid="{C91707E9-6E91-4845-94AC-C3FE762D381C}"/>
    <cellStyle name="Normal 2 3 23 2 10 2 2 2" xfId="5127" xr:uid="{D15C0663-5F03-484C-8CB7-D0FD0837BB62}"/>
    <cellStyle name="Normal 2 3 23 2 10 2 2 3" xfId="5128" xr:uid="{A992DC0A-517A-436F-B368-FFC3520C6A9F}"/>
    <cellStyle name="Normal 2 3 23 2 10 2 2 4" xfId="5129" xr:uid="{D04B1014-C915-4D52-B234-14ACFC86DB5A}"/>
    <cellStyle name="Normal 2 3 23 2 10 2 2 5" xfId="5130" xr:uid="{F61936ED-13E8-4FB1-AE36-A165EEDE31BB}"/>
    <cellStyle name="Normal 2 3 23 2 10 2 2 6" xfId="5131" xr:uid="{4BB70D50-EDC3-4E2E-A2F4-2CFCD77325D7}"/>
    <cellStyle name="Normal 2 3 23 2 10 2 2 7" xfId="5132" xr:uid="{CD66A144-73BA-4FFC-8804-7576493F1904}"/>
    <cellStyle name="Normal 2 3 23 2 10 2 2 8" xfId="5133" xr:uid="{06B4AED3-C8CB-42B3-8649-0E9D0515699F}"/>
    <cellStyle name="Normal 2 3 23 2 10 2 3" xfId="5134" xr:uid="{3900A05A-7C02-42E9-A3A1-139FE0D37AF1}"/>
    <cellStyle name="Normal 2 3 23 2 10 2 4" xfId="5135" xr:uid="{1AE67CA2-6B72-447E-8427-2C05E9B1B29D}"/>
    <cellStyle name="Normal 2 3 23 2 10 2 5" xfId="5136" xr:uid="{46C33356-5A19-4584-B250-BEA22FCEC0F8}"/>
    <cellStyle name="Normal 2 3 23 2 10 2 6" xfId="5137" xr:uid="{9E41C335-C62F-4BCD-8775-766325B91458}"/>
    <cellStyle name="Normal 2 3 23 2 10 2 7" xfId="5138" xr:uid="{42FC2E3A-3E09-4671-B83E-D61E829424FB}"/>
    <cellStyle name="Normal 2 3 23 2 10 2 8" xfId="5139" xr:uid="{ECC9FF9A-C392-4D3D-B35B-D145621E06E7}"/>
    <cellStyle name="Normal 2 3 23 2 10 3" xfId="5140" xr:uid="{B0C67A23-70C8-48EA-A83B-08B2CA05C219}"/>
    <cellStyle name="Normal 2 3 23 2 10 4" xfId="5141" xr:uid="{8F2CA8F4-CBDB-4CB1-A7C5-A514944A9356}"/>
    <cellStyle name="Normal 2 3 23 2 10 5" xfId="5142" xr:uid="{B62746AF-9009-43F2-A28C-9C09F60958BE}"/>
    <cellStyle name="Normal 2 3 23 2 10 6" xfId="5143" xr:uid="{DB5A2778-6A2E-406C-A77A-DB411E1E579C}"/>
    <cellStyle name="Normal 2 3 23 2 10 7" xfId="5144" xr:uid="{A7331A5C-A070-46F7-9A31-5CF50EE9D78A}"/>
    <cellStyle name="Normal 2 3 23 2 10 8" xfId="5145" xr:uid="{0D7ED46A-E109-4E0D-B70E-A65BCEA5A176}"/>
    <cellStyle name="Normal 2 3 23 2 10 9" xfId="5146" xr:uid="{55708A97-9970-4F8B-AF7F-EE722FFE28BE}"/>
    <cellStyle name="Normal 2 3 23 2 11" xfId="5147" xr:uid="{860A22B8-AFCC-4BF9-9435-B8C04D005066}"/>
    <cellStyle name="Normal 2 3 23 2 11 2" xfId="5148" xr:uid="{11D59D27-9DAA-444E-A878-6CAF84D0432A}"/>
    <cellStyle name="Normal 2 3 23 2 11 3" xfId="5149" xr:uid="{D1EF6EA0-117D-40A5-A26A-B8ECBFF66DEA}"/>
    <cellStyle name="Normal 2 3 23 2 11 4" xfId="5150" xr:uid="{6BD9A5E0-35E6-4D77-ACAC-79BFF2E814F1}"/>
    <cellStyle name="Normal 2 3 23 2 11 5" xfId="5151" xr:uid="{F3B565D8-E4D5-4967-B29F-526205FCCA08}"/>
    <cellStyle name="Normal 2 3 23 2 11 6" xfId="5152" xr:uid="{CF65E5BB-BD93-4DEB-AA10-924F62996B72}"/>
    <cellStyle name="Normal 2 3 23 2 11 7" xfId="5153" xr:uid="{C0B27D1C-C2C0-4A7F-924D-21548AB50E36}"/>
    <cellStyle name="Normal 2 3 23 2 11 8" xfId="5154" xr:uid="{7AD51827-CD3B-4582-9B0A-E48263517074}"/>
    <cellStyle name="Normal 2 3 23 2 12" xfId="5155" xr:uid="{4966EA15-4018-49EB-924A-919C4E4AE146}"/>
    <cellStyle name="Normal 2 3 23 2 13" xfId="5156" xr:uid="{C657F815-DE89-4003-8121-360AF8AD8EDB}"/>
    <cellStyle name="Normal 2 3 23 2 14" xfId="5157" xr:uid="{D2CEF051-29EC-4057-A259-9960797BA6CF}"/>
    <cellStyle name="Normal 2 3 23 2 15" xfId="5158" xr:uid="{0B40A69C-6918-4A2F-8DC2-E23A26F519DF}"/>
    <cellStyle name="Normal 2 3 23 2 16" xfId="5159" xr:uid="{B51964F5-7569-4712-B90B-B5219F968D51}"/>
    <cellStyle name="Normal 2 3 23 2 17" xfId="5160" xr:uid="{38B71E47-5BE1-48E8-94AC-E93BA1EC8B5B}"/>
    <cellStyle name="Normal 2 3 23 2 2" xfId="5161" xr:uid="{9F975374-C3FB-47ED-B2A1-CCF3A77DCE5A}"/>
    <cellStyle name="Normal 2 3 23 2 2 10" xfId="5162" xr:uid="{D7EE9D06-F773-4CC7-BCBB-10E9603DA8E3}"/>
    <cellStyle name="Normal 2 3 23 2 2 2" xfId="5163" xr:uid="{C002439C-D760-42C0-A238-34E036E96052}"/>
    <cellStyle name="Normal 2 3 23 2 2 2 2" xfId="5164" xr:uid="{39E2FCB9-C9B4-4C50-9FA6-7CA329A39D0E}"/>
    <cellStyle name="Normal 2 3 23 2 2 2 2 2" xfId="5165" xr:uid="{1662A1C2-A1D7-4A79-87D4-5FA851782903}"/>
    <cellStyle name="Normal 2 3 23 2 2 2 2 2 2" xfId="5166" xr:uid="{EFDF06E2-5FBD-4220-9258-621C0E3CF28C}"/>
    <cellStyle name="Normal 2 3 23 2 2 2 2 2 3" xfId="5167" xr:uid="{F515EC94-88CA-469F-8298-C6261C6CEEC3}"/>
    <cellStyle name="Normal 2 3 23 2 2 2 2 2 4" xfId="5168" xr:uid="{0C4BB7F3-A4DB-4234-A366-07C899B4F15C}"/>
    <cellStyle name="Normal 2 3 23 2 2 2 2 2 5" xfId="5169" xr:uid="{679442DA-B1C8-4E79-A8CE-F34145BE0D0C}"/>
    <cellStyle name="Normal 2 3 23 2 2 2 2 2 6" xfId="5170" xr:uid="{DF441F45-31AC-448C-A953-19CC563D7BD0}"/>
    <cellStyle name="Normal 2 3 23 2 2 2 2 2 7" xfId="5171" xr:uid="{1C37BD5C-2325-4C10-82B1-AF33725C647A}"/>
    <cellStyle name="Normal 2 3 23 2 2 2 2 2 8" xfId="5172" xr:uid="{70DD0165-ECAF-415C-9344-8BE4D57F1449}"/>
    <cellStyle name="Normal 2 3 23 2 2 2 2 3" xfId="5173" xr:uid="{ECD0031A-CCB9-4929-893A-9BA9A4DDB253}"/>
    <cellStyle name="Normal 2 3 23 2 2 2 2 4" xfId="5174" xr:uid="{37E6472A-9075-46ED-8C33-85885F927D5C}"/>
    <cellStyle name="Normal 2 3 23 2 2 2 2 5" xfId="5175" xr:uid="{21D28F6B-C321-401E-8C7C-A7F0FB349CA9}"/>
    <cellStyle name="Normal 2 3 23 2 2 2 2 6" xfId="5176" xr:uid="{A3A2DF95-EABB-4787-8C14-7E4982A16E19}"/>
    <cellStyle name="Normal 2 3 23 2 2 2 2 7" xfId="5177" xr:uid="{A4267A62-8365-4C0E-82A4-D7BB5A6E3A90}"/>
    <cellStyle name="Normal 2 3 23 2 2 2 2 8" xfId="5178" xr:uid="{E7C4F7A3-BEED-4CE9-B57A-98977CABDFF0}"/>
    <cellStyle name="Normal 2 3 23 2 2 2 3" xfId="5179" xr:uid="{22E8C996-BA8C-479C-94F4-862EFEA58E04}"/>
    <cellStyle name="Normal 2 3 23 2 2 2 4" xfId="5180" xr:uid="{9E367B6F-6CFE-4935-B083-66EB105A68C9}"/>
    <cellStyle name="Normal 2 3 23 2 2 2 5" xfId="5181" xr:uid="{4463CE24-4F33-43EF-A83A-734FF87FEE03}"/>
    <cellStyle name="Normal 2 3 23 2 2 2 6" xfId="5182" xr:uid="{310F35C1-6430-4309-AB6B-18AA517A413F}"/>
    <cellStyle name="Normal 2 3 23 2 2 2 7" xfId="5183" xr:uid="{A1D787A6-6485-4FDC-8857-12940253D2F4}"/>
    <cellStyle name="Normal 2 3 23 2 2 2 8" xfId="5184" xr:uid="{4CE332A2-4D43-437A-9610-980FBC1D925B}"/>
    <cellStyle name="Normal 2 3 23 2 2 2 9" xfId="5185" xr:uid="{7780BAFE-C433-4EEE-A825-F9D309259061}"/>
    <cellStyle name="Normal 2 3 23 2 2 3" xfId="5186" xr:uid="{2B661E07-85CF-4609-9EE7-8931E86FB514}"/>
    <cellStyle name="Normal 2 3 23 2 2 4" xfId="5187" xr:uid="{2A87E08C-EEE4-4278-AA33-CCC87FC97E94}"/>
    <cellStyle name="Normal 2 3 23 2 2 4 2" xfId="5188" xr:uid="{3234E864-07D8-4260-9D88-D8FF2931C4A7}"/>
    <cellStyle name="Normal 2 3 23 2 2 4 3" xfId="5189" xr:uid="{47BB6369-881C-49ED-A50C-2922BAEEF851}"/>
    <cellStyle name="Normal 2 3 23 2 2 4 4" xfId="5190" xr:uid="{DD339E2A-92BC-49E0-A78F-B5E290B3D018}"/>
    <cellStyle name="Normal 2 3 23 2 2 4 5" xfId="5191" xr:uid="{6D4CA566-F9F5-4F3F-B4A6-E675D2C690D1}"/>
    <cellStyle name="Normal 2 3 23 2 2 4 6" xfId="5192" xr:uid="{1E7A0526-ABEC-4EF6-A47B-0CE716261E99}"/>
    <cellStyle name="Normal 2 3 23 2 2 4 7" xfId="5193" xr:uid="{2F71C1F9-F0FD-44A2-A8DF-BA4C69FB1F74}"/>
    <cellStyle name="Normal 2 3 23 2 2 4 8" xfId="5194" xr:uid="{8B9BC796-790F-460C-BCE0-6A2B57AB6003}"/>
    <cellStyle name="Normal 2 3 23 2 2 5" xfId="5195" xr:uid="{000B19B1-B7E6-4B27-9367-BDE67C57C3A9}"/>
    <cellStyle name="Normal 2 3 23 2 2 6" xfId="5196" xr:uid="{F647C7AA-582E-44B2-8E91-8C25C0851E28}"/>
    <cellStyle name="Normal 2 3 23 2 2 7" xfId="5197" xr:uid="{C9752F9A-C040-4A11-BEC1-C048BE7B10BE}"/>
    <cellStyle name="Normal 2 3 23 2 2 8" xfId="5198" xr:uid="{959C4640-C818-4C38-A5BA-F44039B0171A}"/>
    <cellStyle name="Normal 2 3 23 2 2 9" xfId="5199" xr:uid="{75EB4957-0502-47B0-894E-5BC60B084707}"/>
    <cellStyle name="Normal 2 3 23 2 3" xfId="5200" xr:uid="{11A992DC-185A-4FC3-A254-45F88C1D3AF9}"/>
    <cellStyle name="Normal 2 3 23 2 4" xfId="5201" xr:uid="{273FEAD1-5296-4BF3-AD3A-1029D262CD60}"/>
    <cellStyle name="Normal 2 3 23 2 5" xfId="5202" xr:uid="{026AE131-F403-4751-85A8-A7B9596B100F}"/>
    <cellStyle name="Normal 2 3 23 2 6" xfId="5203" xr:uid="{10B5CDAB-7A58-4EAF-8F57-0DF3781D5703}"/>
    <cellStyle name="Normal 2 3 23 2 7" xfId="5204" xr:uid="{B54E0F18-8E23-4722-AB84-B8FA895CA164}"/>
    <cellStyle name="Normal 2 3 23 2 8" xfId="5205" xr:uid="{2BCFA26A-FF09-4EA7-A2DB-8157D32783F0}"/>
    <cellStyle name="Normal 2 3 23 2 9" xfId="5206" xr:uid="{30C232B1-2725-433D-A083-C61DF14117BC}"/>
    <cellStyle name="Normal 2 3 23 3" xfId="5207" xr:uid="{435770C4-168A-498C-97F7-C4FBA80B5CAF}"/>
    <cellStyle name="Normal 2 3 23 3 10" xfId="5208" xr:uid="{53915E1A-1C2B-4976-B3F4-50DA7477CDA6}"/>
    <cellStyle name="Normal 2 3 23 3 2" xfId="5209" xr:uid="{AB8D4524-CED2-4A4F-870C-0601D491FF9D}"/>
    <cellStyle name="Normal 2 3 23 3 2 2" xfId="5210" xr:uid="{5592E899-F314-4B9E-A577-9179720E087D}"/>
    <cellStyle name="Normal 2 3 23 3 2 2 2" xfId="5211" xr:uid="{992A242E-EE87-48BE-962D-684E6A55A666}"/>
    <cellStyle name="Normal 2 3 23 3 2 2 2 2" xfId="5212" xr:uid="{7700F465-E631-4767-85F9-1685893722E5}"/>
    <cellStyle name="Normal 2 3 23 3 2 2 2 3" xfId="5213" xr:uid="{6AA32EB5-A8F3-4784-B911-C0BE4E93E457}"/>
    <cellStyle name="Normal 2 3 23 3 2 2 2 4" xfId="5214" xr:uid="{F093C9B4-B1A6-4A23-9E3B-30EE8569FEB4}"/>
    <cellStyle name="Normal 2 3 23 3 2 2 2 5" xfId="5215" xr:uid="{C855F7A2-DEE7-41DA-A0F7-DC58B8DB1FA8}"/>
    <cellStyle name="Normal 2 3 23 3 2 2 2 6" xfId="5216" xr:uid="{917DC036-3335-4917-BF17-EE3AD7BC222C}"/>
    <cellStyle name="Normal 2 3 23 3 2 2 2 7" xfId="5217" xr:uid="{9AAE3DAD-2D5F-4DC4-A9C9-B5709FB91CB7}"/>
    <cellStyle name="Normal 2 3 23 3 2 2 2 8" xfId="5218" xr:uid="{4B3EE9DE-BF4C-476F-958D-3618BB0A98A9}"/>
    <cellStyle name="Normal 2 3 23 3 2 2 3" xfId="5219" xr:uid="{0F88CD13-153C-4074-A6EF-DDCCD87C3C44}"/>
    <cellStyle name="Normal 2 3 23 3 2 2 4" xfId="5220" xr:uid="{4A999674-AB5B-4CD9-8A47-4DD088124DCA}"/>
    <cellStyle name="Normal 2 3 23 3 2 2 5" xfId="5221" xr:uid="{51B9C9ED-DE73-4C80-B2BC-28247FDAE675}"/>
    <cellStyle name="Normal 2 3 23 3 2 2 6" xfId="5222" xr:uid="{6D1F9067-CA4E-41AA-A1EA-0141C93A0A9E}"/>
    <cellStyle name="Normal 2 3 23 3 2 2 7" xfId="5223" xr:uid="{25A4540B-447E-4A15-B63C-84B23AAA3A85}"/>
    <cellStyle name="Normal 2 3 23 3 2 2 8" xfId="5224" xr:uid="{A9BF4F30-A94C-47A0-87C6-2E98CB4EB902}"/>
    <cellStyle name="Normal 2 3 23 3 2 3" xfId="5225" xr:uid="{C0B827DF-4368-4452-9B9E-55A88FD70688}"/>
    <cellStyle name="Normal 2 3 23 3 2 4" xfId="5226" xr:uid="{EBE705A4-8389-4524-BC88-D2463F599CD2}"/>
    <cellStyle name="Normal 2 3 23 3 2 5" xfId="5227" xr:uid="{A05DEAB1-B5A9-4D2F-9660-884BC5EFA53D}"/>
    <cellStyle name="Normal 2 3 23 3 2 6" xfId="5228" xr:uid="{60C0635C-0C0A-489B-A8EC-29DC8FCA3D49}"/>
    <cellStyle name="Normal 2 3 23 3 2 7" xfId="5229" xr:uid="{B8F3A17B-2326-4EB2-9ADF-9874C7DD079D}"/>
    <cellStyle name="Normal 2 3 23 3 2 8" xfId="5230" xr:uid="{16B72776-8E39-48CF-8A91-EA71F5E39DAF}"/>
    <cellStyle name="Normal 2 3 23 3 2 9" xfId="5231" xr:uid="{4BB3F925-0896-43D2-8714-7564C09CFE7E}"/>
    <cellStyle name="Normal 2 3 23 3 3" xfId="5232" xr:uid="{F828EFF8-3F8A-4D3C-8CDF-4D22FC59BC82}"/>
    <cellStyle name="Normal 2 3 23 3 4" xfId="5233" xr:uid="{28CD1953-1936-439A-B6BA-DFC4D0BED02F}"/>
    <cellStyle name="Normal 2 3 23 3 4 2" xfId="5234" xr:uid="{3722882B-88AD-4EE8-B037-A5E1A9371839}"/>
    <cellStyle name="Normal 2 3 23 3 4 3" xfId="5235" xr:uid="{5732AE01-844A-4AE7-BD55-E925AD5835AD}"/>
    <cellStyle name="Normal 2 3 23 3 4 4" xfId="5236" xr:uid="{02B2D02B-A705-41D5-9BAF-6E38EEE71969}"/>
    <cellStyle name="Normal 2 3 23 3 4 5" xfId="5237" xr:uid="{3F4FEEB1-8B25-4831-9943-424B154A40BC}"/>
    <cellStyle name="Normal 2 3 23 3 4 6" xfId="5238" xr:uid="{23084C28-F306-4897-8C23-EF532C4383D4}"/>
    <cellStyle name="Normal 2 3 23 3 4 7" xfId="5239" xr:uid="{F0B8B1E5-908F-4621-AE3C-422BAA1F4C6F}"/>
    <cellStyle name="Normal 2 3 23 3 4 8" xfId="5240" xr:uid="{648F5434-5784-44F0-BF83-DAF00A47ED05}"/>
    <cellStyle name="Normal 2 3 23 3 5" xfId="5241" xr:uid="{D7497F48-2D91-4C0A-B6EE-88B8B8A1DB3B}"/>
    <cellStyle name="Normal 2 3 23 3 6" xfId="5242" xr:uid="{6FB5DF80-C43E-4829-8620-08A9E671CD28}"/>
    <cellStyle name="Normal 2 3 23 3 7" xfId="5243" xr:uid="{2868EF46-89DF-4E94-838C-8727D2FF9EB6}"/>
    <cellStyle name="Normal 2 3 23 3 8" xfId="5244" xr:uid="{E72B281A-1D4D-43AB-B0F0-9F1ECA97AE79}"/>
    <cellStyle name="Normal 2 3 23 3 9" xfId="5245" xr:uid="{C6B79947-985E-402A-AEC2-8403CBEB72AA}"/>
    <cellStyle name="Normal 2 3 23 4" xfId="5246" xr:uid="{D9CB2B38-0075-4266-B537-D18842F06CC5}"/>
    <cellStyle name="Normal 2 3 23 5" xfId="5247" xr:uid="{2F99390D-16B4-4C1D-9A97-952C1943D589}"/>
    <cellStyle name="Normal 2 3 23 6" xfId="5248" xr:uid="{9D24340D-E8D7-43D4-BB22-A03DABD4D814}"/>
    <cellStyle name="Normal 2 3 23 7" xfId="5249" xr:uid="{5EAE0740-670E-4128-B0FC-F8D8E728ABC7}"/>
    <cellStyle name="Normal 2 3 23 8" xfId="5250" xr:uid="{1F9FA50C-7F98-4390-A5C5-2AC80EEFE12A}"/>
    <cellStyle name="Normal 2 3 23 9" xfId="5251" xr:uid="{AEC5620D-5597-4AF8-ADB5-E303953F534A}"/>
    <cellStyle name="Normal 2 3 24" xfId="5252" xr:uid="{6AF09521-63A9-413E-A459-FB0D108054DE}"/>
    <cellStyle name="Normal 2 3 25" xfId="5253" xr:uid="{E7B8B935-F122-48CE-81B7-578B00268F57}"/>
    <cellStyle name="Normal 2 3 26" xfId="5254" xr:uid="{41D5C050-5D9D-4EEB-90A2-07FCD7718123}"/>
    <cellStyle name="Normal 2 3 27" xfId="5255" xr:uid="{851E66DA-06D4-45C8-A243-77C0ED4C2272}"/>
    <cellStyle name="Normal 2 3 28" xfId="5256" xr:uid="{6A620490-9EF2-472C-9F43-3FD93CB5B704}"/>
    <cellStyle name="Normal 2 3 28 10" xfId="5257" xr:uid="{F84510B6-4F5A-44FD-B24E-23BC2F673227}"/>
    <cellStyle name="Normal 2 3 28 2" xfId="5258" xr:uid="{63B47EC2-D8BF-4E56-AB2C-8E08500EDCE0}"/>
    <cellStyle name="Normal 2 3 28 2 2" xfId="5259" xr:uid="{A94CBA5D-F568-4830-9AE7-A3F7090EA16F}"/>
    <cellStyle name="Normal 2 3 28 2 2 2" xfId="5260" xr:uid="{0BD91F0A-2C26-44B0-A8EF-458FD1FACA44}"/>
    <cellStyle name="Normal 2 3 28 2 2 2 2" xfId="5261" xr:uid="{5CC8BBF4-A285-439A-B75B-5C251762811A}"/>
    <cellStyle name="Normal 2 3 28 2 2 2 3" xfId="5262" xr:uid="{FB3658F2-F7C1-4BB4-BC6A-7AF6865DBD49}"/>
    <cellStyle name="Normal 2 3 28 2 2 2 4" xfId="5263" xr:uid="{D7237197-3A9B-43B3-917A-E42026A1FFCC}"/>
    <cellStyle name="Normal 2 3 28 2 2 2 5" xfId="5264" xr:uid="{8F3322FE-654A-4000-A61B-3890EA5FBE7F}"/>
    <cellStyle name="Normal 2 3 28 2 2 2 6" xfId="5265" xr:uid="{B5FBD769-0599-48D6-984E-1C056E1B69DB}"/>
    <cellStyle name="Normal 2 3 28 2 2 2 7" xfId="5266" xr:uid="{6DE26BAD-46E5-432C-88BF-E8ABFA20C31E}"/>
    <cellStyle name="Normal 2 3 28 2 2 2 8" xfId="5267" xr:uid="{92749506-3C76-43B8-9130-4999ABA034C3}"/>
    <cellStyle name="Normal 2 3 28 2 2 3" xfId="5268" xr:uid="{F5204204-EDC2-45E1-8E39-D84F5AE681FD}"/>
    <cellStyle name="Normal 2 3 28 2 2 4" xfId="5269" xr:uid="{B63882D5-41B7-4285-B673-70AC5AC4DADB}"/>
    <cellStyle name="Normal 2 3 28 2 2 5" xfId="5270" xr:uid="{AD7AED21-0825-4B3C-AEFD-C6F102E36E32}"/>
    <cellStyle name="Normal 2 3 28 2 2 6" xfId="5271" xr:uid="{F51BA0DB-8CB5-4CCE-AE2C-3BC1BFDE5316}"/>
    <cellStyle name="Normal 2 3 28 2 2 7" xfId="5272" xr:uid="{45423C46-81BC-414A-9F65-3D2CC306BB8B}"/>
    <cellStyle name="Normal 2 3 28 2 2 8" xfId="5273" xr:uid="{509D29AA-A4A2-47CE-B8D2-A039AE3DA276}"/>
    <cellStyle name="Normal 2 3 28 2 3" xfId="5274" xr:uid="{F264E41F-CCE6-401F-908E-BB88D571F9A2}"/>
    <cellStyle name="Normal 2 3 28 2 4" xfId="5275" xr:uid="{7167EEE8-7C64-4306-9DBE-963DAE178159}"/>
    <cellStyle name="Normal 2 3 28 2 5" xfId="5276" xr:uid="{E2BBE25E-8DAA-415B-BA7B-E5A139BA56C9}"/>
    <cellStyle name="Normal 2 3 28 2 6" xfId="5277" xr:uid="{91E474A8-37C2-4D3D-8544-F399BF5E265B}"/>
    <cellStyle name="Normal 2 3 28 2 7" xfId="5278" xr:uid="{9EDB107B-923B-4F0B-8E7A-CA8E24724E3B}"/>
    <cellStyle name="Normal 2 3 28 2 8" xfId="5279" xr:uid="{C8696145-E497-4C63-BF4D-9874F5676268}"/>
    <cellStyle name="Normal 2 3 28 2 9" xfId="5280" xr:uid="{1350B448-0CA3-4B17-B96F-EC4F432D0700}"/>
    <cellStyle name="Normal 2 3 28 3" xfId="5281" xr:uid="{ECD5B8B4-5E42-42A2-A71A-11E42ECBF5BA}"/>
    <cellStyle name="Normal 2 3 28 4" xfId="5282" xr:uid="{60CB27CA-7E97-4982-98BE-2F7BDB0D8B22}"/>
    <cellStyle name="Normal 2 3 28 4 2" xfId="5283" xr:uid="{726362D1-AE9F-488C-A3CF-6E41F5E2B7FE}"/>
    <cellStyle name="Normal 2 3 28 4 3" xfId="5284" xr:uid="{A0B65079-178B-4BAD-BF33-45482444C0BA}"/>
    <cellStyle name="Normal 2 3 28 4 4" xfId="5285" xr:uid="{89E84C98-52CE-4899-A6AE-374BEBB64D59}"/>
    <cellStyle name="Normal 2 3 28 4 5" xfId="5286" xr:uid="{E11A96F8-8486-4741-A58D-7DB999C93E77}"/>
    <cellStyle name="Normal 2 3 28 4 6" xfId="5287" xr:uid="{10D5DD14-E47A-4400-9967-94E721329330}"/>
    <cellStyle name="Normal 2 3 28 4 7" xfId="5288" xr:uid="{F31CCD39-DDA8-41B3-AF8D-8AC3256ADEC2}"/>
    <cellStyle name="Normal 2 3 28 4 8" xfId="5289" xr:uid="{2525EF72-363B-4591-A478-E9C1A1C4B9F4}"/>
    <cellStyle name="Normal 2 3 28 5" xfId="5290" xr:uid="{55842401-6F3F-4933-B5C0-46DD7575A82C}"/>
    <cellStyle name="Normal 2 3 28 6" xfId="5291" xr:uid="{4A7D6F79-D95E-420F-901C-71BD6D92056C}"/>
    <cellStyle name="Normal 2 3 28 7" xfId="5292" xr:uid="{C21D74CC-EC52-45DA-B7EE-195AE3FD813B}"/>
    <cellStyle name="Normal 2 3 28 8" xfId="5293" xr:uid="{09656A5E-90A0-41DC-B15E-44762DFA3FBB}"/>
    <cellStyle name="Normal 2 3 28 9" xfId="5294" xr:uid="{51FBCF56-3206-41F2-AAB4-55462E664C2F}"/>
    <cellStyle name="Normal 2 3 29" xfId="5295" xr:uid="{0CCA27DA-BB3E-4738-BD19-FAF891B15C9B}"/>
    <cellStyle name="Normal 2 3 3" xfId="5296" xr:uid="{C2754F0B-7CFA-450A-BB26-EBC2D8603B7F}"/>
    <cellStyle name="Normal 2 3 3 10" xfId="5297" xr:uid="{02A95131-4C0B-4620-9002-F08FB78C47E3}"/>
    <cellStyle name="Normal 2 3 3 11" xfId="5298" xr:uid="{A1841AF9-0DB5-42C7-97A5-B25C29ED6AFA}"/>
    <cellStyle name="Normal 2 3 3 12" xfId="5299" xr:uid="{96760B4D-9ABA-4747-B3AB-0F061B264894}"/>
    <cellStyle name="Normal 2 3 3 13" xfId="5300" xr:uid="{7CF7C0BE-1DF3-49C9-B68B-09321343F5DF}"/>
    <cellStyle name="Normal 2 3 3 14" xfId="5301" xr:uid="{0878CFE2-413B-4198-9875-CADC001DB5C1}"/>
    <cellStyle name="Normal 2 3 3 15" xfId="5302" xr:uid="{29AD5C61-F189-46F3-B57B-180AD700F7CC}"/>
    <cellStyle name="Normal 2 3 3 15 2" xfId="5303" xr:uid="{FB53F3B1-0BB2-4D98-8731-E3E0D0A4AEFE}"/>
    <cellStyle name="Normal 2 3 3 15 2 2" xfId="5304" xr:uid="{64FD2A99-370F-4A91-AD0F-90CB9498804B}"/>
    <cellStyle name="Normal 2 3 3 15 2 2 2" xfId="5305" xr:uid="{820C0AC1-41D4-4C10-8A28-A456D3E5CC4F}"/>
    <cellStyle name="Normal 2 3 3 15 2 2 3" xfId="5306" xr:uid="{95F080AC-863A-489A-8EF9-155F32509D76}"/>
    <cellStyle name="Normal 2 3 3 15 2 2 4" xfId="5307" xr:uid="{53C87E52-B38F-449C-93C4-123FE88B07B7}"/>
    <cellStyle name="Normal 2 3 3 15 2 2 5" xfId="5308" xr:uid="{CDF03BFF-E1F6-48B7-8EE9-2900EDFECCB3}"/>
    <cellStyle name="Normal 2 3 3 15 2 2 6" xfId="5309" xr:uid="{59C3EF5D-4C28-4C2B-93B1-282EE2B867C4}"/>
    <cellStyle name="Normal 2 3 3 15 2 2 7" xfId="5310" xr:uid="{3604AA3D-293E-4B22-A6A4-AB64655C2D35}"/>
    <cellStyle name="Normal 2 3 3 15 2 2 8" xfId="5311" xr:uid="{E6793226-E4B7-486D-B9C6-722C612B58FE}"/>
    <cellStyle name="Normal 2 3 3 15 2 3" xfId="5312" xr:uid="{6F2E7D3E-7FED-4047-948F-86E47CDC242B}"/>
    <cellStyle name="Normal 2 3 3 15 2 4" xfId="5313" xr:uid="{AE8EF55D-D7FC-4B93-B4E4-B663FE63CB8A}"/>
    <cellStyle name="Normal 2 3 3 15 2 5" xfId="5314" xr:uid="{49C1631E-BD4A-483B-87A6-B94983399D0B}"/>
    <cellStyle name="Normal 2 3 3 15 2 6" xfId="5315" xr:uid="{4A031818-D239-4B8A-9B7C-574BBC58EB11}"/>
    <cellStyle name="Normal 2 3 3 15 2 7" xfId="5316" xr:uid="{A8C7DE1C-714D-4F8A-8CB8-3BFA475D8767}"/>
    <cellStyle name="Normal 2 3 3 15 2 8" xfId="5317" xr:uid="{CA4D2906-56A6-43FF-830B-0FB987A6B3CC}"/>
    <cellStyle name="Normal 2 3 3 15 3" xfId="5318" xr:uid="{AD9A9936-6F8D-4381-B7FE-758C173BE1E5}"/>
    <cellStyle name="Normal 2 3 3 15 4" xfId="5319" xr:uid="{6BA6BCDC-70AB-4AF1-901A-821700796C26}"/>
    <cellStyle name="Normal 2 3 3 15 5" xfId="5320" xr:uid="{9EA9FAD2-2701-41E4-8D80-BE02CB7C2D1F}"/>
    <cellStyle name="Normal 2 3 3 15 6" xfId="5321" xr:uid="{49277DA3-B8C7-448E-B2C0-007957D6115B}"/>
    <cellStyle name="Normal 2 3 3 15 7" xfId="5322" xr:uid="{5E9855CE-76DD-44BD-B183-FC444F2B6F5E}"/>
    <cellStyle name="Normal 2 3 3 15 8" xfId="5323" xr:uid="{90DFE795-A063-4175-B920-25F66ACDA76A}"/>
    <cellStyle name="Normal 2 3 3 15 9" xfId="5324" xr:uid="{7EFB7344-EF42-471C-AF08-95184F3D460E}"/>
    <cellStyle name="Normal 2 3 3 16" xfId="5325" xr:uid="{01B18007-4A6C-4A3E-885E-CE10ADF00414}"/>
    <cellStyle name="Normal 2 3 3 16 2" xfId="5326" xr:uid="{67E8A9DF-C576-484A-BA82-BE332A5430C8}"/>
    <cellStyle name="Normal 2 3 3 16 3" xfId="5327" xr:uid="{19961BE1-C72D-4003-8C58-268AB1AA8EBE}"/>
    <cellStyle name="Normal 2 3 3 16 4" xfId="5328" xr:uid="{DE9A9B43-A6D3-4ED7-9430-7DDB742EB8CB}"/>
    <cellStyle name="Normal 2 3 3 16 5" xfId="5329" xr:uid="{B3A94C85-583B-41F6-A354-B51E6AFE8DF8}"/>
    <cellStyle name="Normal 2 3 3 16 6" xfId="5330" xr:uid="{F819BC61-CCD3-4882-BDDF-550AD602DF36}"/>
    <cellStyle name="Normal 2 3 3 16 7" xfId="5331" xr:uid="{34094312-2549-41DC-A3B6-2C2858F72ABE}"/>
    <cellStyle name="Normal 2 3 3 16 8" xfId="5332" xr:uid="{7F18FAF6-64F3-4C93-B816-003B9F0EBCB4}"/>
    <cellStyle name="Normal 2 3 3 17" xfId="5333" xr:uid="{3EB3F19C-D9C9-4A18-8C25-F8D25524758F}"/>
    <cellStyle name="Normal 2 3 3 18" xfId="5334" xr:uid="{F64BBE67-338C-4BA9-94C6-B7DF55FF91A0}"/>
    <cellStyle name="Normal 2 3 3 19" xfId="5335" xr:uid="{2037AE5B-84E0-4950-AAE9-5F4A563D84CD}"/>
    <cellStyle name="Normal 2 3 3 2" xfId="5336" xr:uid="{26A0519E-E2EA-482E-91A4-4C6D3DB40966}"/>
    <cellStyle name="Normal 2 3 3 2 10" xfId="5337" xr:uid="{9186F3CC-36FD-4F73-81B6-93A056122062}"/>
    <cellStyle name="Normal 2 3 3 2 11" xfId="5338" xr:uid="{B010A2E2-8EBF-41ED-9089-765C0820C932}"/>
    <cellStyle name="Normal 2 3 3 2 12" xfId="5339" xr:uid="{1F106BEC-5924-4732-8D14-32093CF9C93B}"/>
    <cellStyle name="Normal 2 3 3 2 13" xfId="5340" xr:uid="{E84C253F-CE92-45CD-93B5-02A496FBC16D}"/>
    <cellStyle name="Normal 2 3 3 2 14" xfId="5341" xr:uid="{F1398FD8-A604-4DDA-ABED-09F2BEBD7B3E}"/>
    <cellStyle name="Normal 2 3 3 2 15" xfId="5342" xr:uid="{ABCFABD1-B9E4-43A5-BE30-89DC6314F997}"/>
    <cellStyle name="Normal 2 3 3 2 15 2" xfId="5343" xr:uid="{F3306F76-115C-45C0-976D-CC419685A750}"/>
    <cellStyle name="Normal 2 3 3 2 15 2 2" xfId="5344" xr:uid="{668190F9-6E5F-4C9F-8BE3-E74E6A71B8DA}"/>
    <cellStyle name="Normal 2 3 3 2 15 2 2 2" xfId="5345" xr:uid="{6843ADF6-34F3-4110-9D96-A47E345A1A91}"/>
    <cellStyle name="Normal 2 3 3 2 15 2 2 3" xfId="5346" xr:uid="{4BCBF2D1-7E22-43E5-9F24-BDA25E61B16C}"/>
    <cellStyle name="Normal 2 3 3 2 15 2 2 4" xfId="5347" xr:uid="{6611C6F6-8607-49A1-B5AA-922C5D3C30D8}"/>
    <cellStyle name="Normal 2 3 3 2 15 2 2 5" xfId="5348" xr:uid="{8A850448-D8F7-4FD7-AAF1-A50DE8CCE4CB}"/>
    <cellStyle name="Normal 2 3 3 2 15 2 2 6" xfId="5349" xr:uid="{EBFDA5FA-1D8D-4498-8A2F-D15923AB9804}"/>
    <cellStyle name="Normal 2 3 3 2 15 2 2 7" xfId="5350" xr:uid="{208438E7-66A9-435D-AC1D-646357550F2D}"/>
    <cellStyle name="Normal 2 3 3 2 15 2 2 8" xfId="5351" xr:uid="{A941F93F-E03A-4B63-88EC-FC588D48DE6D}"/>
    <cellStyle name="Normal 2 3 3 2 15 2 3" xfId="5352" xr:uid="{35231360-BDF4-4307-B252-1F3D750F0E17}"/>
    <cellStyle name="Normal 2 3 3 2 15 2 4" xfId="5353" xr:uid="{49B3153F-1128-4BBD-8721-BFF177D7358F}"/>
    <cellStyle name="Normal 2 3 3 2 15 2 5" xfId="5354" xr:uid="{C397DB4D-E7C4-40F7-BBC3-FE6A36AB90BF}"/>
    <cellStyle name="Normal 2 3 3 2 15 2 6" xfId="5355" xr:uid="{38BDAC8B-424E-4569-810A-44F8CF286B50}"/>
    <cellStyle name="Normal 2 3 3 2 15 2 7" xfId="5356" xr:uid="{1AD28E51-DE66-45C6-AB6F-C87EAC7490F6}"/>
    <cellStyle name="Normal 2 3 3 2 15 2 8" xfId="5357" xr:uid="{100C9B7D-AC33-47FA-9E92-CF76141EE2DE}"/>
    <cellStyle name="Normal 2 3 3 2 15 3" xfId="5358" xr:uid="{0D2BB822-7520-461B-90B2-EE5F6D3B9E50}"/>
    <cellStyle name="Normal 2 3 3 2 15 4" xfId="5359" xr:uid="{62203E82-8C1A-4B08-AC0A-68004D9DCF5D}"/>
    <cellStyle name="Normal 2 3 3 2 15 5" xfId="5360" xr:uid="{C748C7A7-CE3C-4326-A4FC-31E020A70F2C}"/>
    <cellStyle name="Normal 2 3 3 2 15 6" xfId="5361" xr:uid="{29ADE621-7461-4F20-9530-FEA33289856E}"/>
    <cellStyle name="Normal 2 3 3 2 15 7" xfId="5362" xr:uid="{E7E7F4C9-766A-4E17-AD0E-8C7B08A8F921}"/>
    <cellStyle name="Normal 2 3 3 2 15 8" xfId="5363" xr:uid="{F8798547-D23B-4E83-98BA-CCD4541C3424}"/>
    <cellStyle name="Normal 2 3 3 2 15 9" xfId="5364" xr:uid="{B1686A1A-B3C2-457F-A609-BE5C76F4F515}"/>
    <cellStyle name="Normal 2 3 3 2 16" xfId="5365" xr:uid="{0F27419B-0A82-4F18-8FD1-62610BCAD398}"/>
    <cellStyle name="Normal 2 3 3 2 16 2" xfId="5366" xr:uid="{9A5240C7-FCBC-45A7-A945-232C5312CCDC}"/>
    <cellStyle name="Normal 2 3 3 2 16 3" xfId="5367" xr:uid="{D0BCCEDB-67FA-4A96-A15A-889DDF3CDAA5}"/>
    <cellStyle name="Normal 2 3 3 2 16 4" xfId="5368" xr:uid="{FD1C2551-9DF3-4D23-B018-7C23E4462D52}"/>
    <cellStyle name="Normal 2 3 3 2 16 5" xfId="5369" xr:uid="{BA54F1CE-9BA8-460F-B2DF-7F9BA6726864}"/>
    <cellStyle name="Normal 2 3 3 2 16 6" xfId="5370" xr:uid="{9CE2E5B4-055F-4F7F-AF16-AD43A83214AF}"/>
    <cellStyle name="Normal 2 3 3 2 16 7" xfId="5371" xr:uid="{96E68F0C-BA51-4C18-BDB6-7E740DEE81DE}"/>
    <cellStyle name="Normal 2 3 3 2 16 8" xfId="5372" xr:uid="{0A3AB6CA-58A5-4193-B7B5-B25B708F9E1C}"/>
    <cellStyle name="Normal 2 3 3 2 17" xfId="5373" xr:uid="{52558DDB-6F32-4EC5-BC3C-7EF0A20CD634}"/>
    <cellStyle name="Normal 2 3 3 2 18" xfId="5374" xr:uid="{5C02C87F-013E-4370-82A3-973EA4043C6E}"/>
    <cellStyle name="Normal 2 3 3 2 19" xfId="5375" xr:uid="{883DF9E3-5E87-44F5-AE1A-D23189797EE1}"/>
    <cellStyle name="Normal 2 3 3 2 2" xfId="5376" xr:uid="{26F909E5-0ACC-4961-80E0-F4A1659DFA85}"/>
    <cellStyle name="Normal 2 3 3 2 2 10" xfId="5377" xr:uid="{EF336E91-2742-428B-936B-5083AE5DD05A}"/>
    <cellStyle name="Normal 2 3 3 2 2 10 2" xfId="5378" xr:uid="{7755AF7B-6054-45C6-A790-256BD4F8CA4F}"/>
    <cellStyle name="Normal 2 3 3 2 2 10 2 2" xfId="5379" xr:uid="{86577863-E913-45E6-BB87-D8C678CE6AFC}"/>
    <cellStyle name="Normal 2 3 3 2 2 10 2 2 2" xfId="5380" xr:uid="{D4A8125B-F3EC-47A5-893E-705E89159226}"/>
    <cellStyle name="Normal 2 3 3 2 2 10 2 2 3" xfId="5381" xr:uid="{727B9640-6F3F-454D-9231-405CAE0DB182}"/>
    <cellStyle name="Normal 2 3 3 2 2 10 2 2 4" xfId="5382" xr:uid="{D4273653-4283-48C5-88DD-F16A46E2C8D5}"/>
    <cellStyle name="Normal 2 3 3 2 2 10 2 2 5" xfId="5383" xr:uid="{B05C4E09-0A7B-450C-9758-B5239E2994C4}"/>
    <cellStyle name="Normal 2 3 3 2 2 10 2 2 6" xfId="5384" xr:uid="{3D1E7B97-4F23-4E63-B376-85B0A74CF8BD}"/>
    <cellStyle name="Normal 2 3 3 2 2 10 2 2 7" xfId="5385" xr:uid="{A41EC246-0DBE-49A7-89D8-3F85C9E0909F}"/>
    <cellStyle name="Normal 2 3 3 2 2 10 2 2 8" xfId="5386" xr:uid="{0D01D64A-E794-4AF2-A5AC-4232560779D4}"/>
    <cellStyle name="Normal 2 3 3 2 2 10 2 3" xfId="5387" xr:uid="{6F659DB7-73D8-43D1-AFBF-78FDB5E68CD0}"/>
    <cellStyle name="Normal 2 3 3 2 2 10 2 4" xfId="5388" xr:uid="{6D10F906-BBEB-438A-8684-B6A30BBC83CE}"/>
    <cellStyle name="Normal 2 3 3 2 2 10 2 5" xfId="5389" xr:uid="{7F3EC53C-E6EF-46E4-92CA-3D83361F3B97}"/>
    <cellStyle name="Normal 2 3 3 2 2 10 2 6" xfId="5390" xr:uid="{2A5B00E2-4D1F-4863-B4E9-E959665F5BC8}"/>
    <cellStyle name="Normal 2 3 3 2 2 10 2 7" xfId="5391" xr:uid="{A56AD20A-1768-47B1-9095-A63C1AD4F797}"/>
    <cellStyle name="Normal 2 3 3 2 2 10 2 8" xfId="5392" xr:uid="{F691350A-83C1-4C93-A4EA-FB146CE68CB7}"/>
    <cellStyle name="Normal 2 3 3 2 2 10 3" xfId="5393" xr:uid="{F823DE43-02F3-412E-95A3-56510DEB133B}"/>
    <cellStyle name="Normal 2 3 3 2 2 10 4" xfId="5394" xr:uid="{0A621829-E32A-4BB8-80D8-9E56C414BBF6}"/>
    <cellStyle name="Normal 2 3 3 2 2 10 5" xfId="5395" xr:uid="{E06DE4C5-7487-46A4-937D-50FFE570A8BF}"/>
    <cellStyle name="Normal 2 3 3 2 2 10 6" xfId="5396" xr:uid="{A3B57E3A-EB9F-43E8-9A80-1B9551A2DD47}"/>
    <cellStyle name="Normal 2 3 3 2 2 10 7" xfId="5397" xr:uid="{0CEC936B-2519-4E35-A4AF-016DE22F0C88}"/>
    <cellStyle name="Normal 2 3 3 2 2 10 8" xfId="5398" xr:uid="{3599639E-39A1-4D7B-BF42-5356927B92D1}"/>
    <cellStyle name="Normal 2 3 3 2 2 10 9" xfId="5399" xr:uid="{7BE89AC9-3049-47C8-9F95-AA7E386EEE12}"/>
    <cellStyle name="Normal 2 3 3 2 2 11" xfId="5400" xr:uid="{22337671-8DE6-41BF-940F-628D32A9B988}"/>
    <cellStyle name="Normal 2 3 3 2 2 11 2" xfId="5401" xr:uid="{4EBD982B-240E-42A8-B229-F1C3C220F3A9}"/>
    <cellStyle name="Normal 2 3 3 2 2 11 3" xfId="5402" xr:uid="{52CD8822-1FDC-401B-9805-E2EB739A831B}"/>
    <cellStyle name="Normal 2 3 3 2 2 11 4" xfId="5403" xr:uid="{FE6A7C89-051A-4106-8017-25E80DFF4FD1}"/>
    <cellStyle name="Normal 2 3 3 2 2 11 5" xfId="5404" xr:uid="{CC4D4579-6018-43DC-9DE2-55A79077E77E}"/>
    <cellStyle name="Normal 2 3 3 2 2 11 6" xfId="5405" xr:uid="{55E3A6ED-59E8-418E-9CC7-2BA7A470D446}"/>
    <cellStyle name="Normal 2 3 3 2 2 11 7" xfId="5406" xr:uid="{8495F630-856D-4AA9-959F-F59834F467C4}"/>
    <cellStyle name="Normal 2 3 3 2 2 11 8" xfId="5407" xr:uid="{7FF875FE-F8D7-4463-9890-1B6ED6759E17}"/>
    <cellStyle name="Normal 2 3 3 2 2 12" xfId="5408" xr:uid="{47FD5841-DA74-43D6-8B10-DDF8356C8B87}"/>
    <cellStyle name="Normal 2 3 3 2 2 13" xfId="5409" xr:uid="{3E14E53A-D795-46E8-BD0C-960057DE86E3}"/>
    <cellStyle name="Normal 2 3 3 2 2 14" xfId="5410" xr:uid="{8ACF721E-7EA1-4FAC-BD59-C389849AE71B}"/>
    <cellStyle name="Normal 2 3 3 2 2 15" xfId="5411" xr:uid="{ED856A08-6B65-40F2-A311-982DF908E841}"/>
    <cellStyle name="Normal 2 3 3 2 2 16" xfId="5412" xr:uid="{0610893C-3513-4B3A-AE93-10E239DD2421}"/>
    <cellStyle name="Normal 2 3 3 2 2 17" xfId="5413" xr:uid="{3B84D5BA-CE50-47E2-B7E1-252B09874D6C}"/>
    <cellStyle name="Normal 2 3 3 2 2 2" xfId="5414" xr:uid="{14B8FE54-46C3-49A1-BA7A-A09BB0CAF600}"/>
    <cellStyle name="Normal 2 3 3 2 2 2 10" xfId="5415" xr:uid="{9B8A29A5-CFEC-4106-92C2-8DD113544573}"/>
    <cellStyle name="Normal 2 3 3 2 2 2 10 2" xfId="5416" xr:uid="{149E859E-9CE5-4824-8E50-65AD76FA3030}"/>
    <cellStyle name="Normal 2 3 3 2 2 2 10 2 2" xfId="5417" xr:uid="{8ED7AB27-E0C2-4FA5-A929-C031049C7D6A}"/>
    <cellStyle name="Normal 2 3 3 2 2 2 10 2 2 2" xfId="5418" xr:uid="{D9E8B6D4-62B1-4584-94B0-AD5F0F519828}"/>
    <cellStyle name="Normal 2 3 3 2 2 2 10 2 2 3" xfId="5419" xr:uid="{789B8B5F-98F5-4479-B809-5BCDB353B263}"/>
    <cellStyle name="Normal 2 3 3 2 2 2 10 2 2 4" xfId="5420" xr:uid="{5DC300FE-299D-4847-9D14-EC8F4E95E2D6}"/>
    <cellStyle name="Normal 2 3 3 2 2 2 10 2 2 5" xfId="5421" xr:uid="{0B05FA9E-AD46-4389-B768-D665DB8D3AE9}"/>
    <cellStyle name="Normal 2 3 3 2 2 2 10 2 2 6" xfId="5422" xr:uid="{B86D8DE6-1F7F-4805-9E09-81ABE9DCD396}"/>
    <cellStyle name="Normal 2 3 3 2 2 2 10 2 2 7" xfId="5423" xr:uid="{59EA3963-DE4F-4164-969E-7E0CC3400713}"/>
    <cellStyle name="Normal 2 3 3 2 2 2 10 2 2 8" xfId="5424" xr:uid="{16D8CDEC-32EF-4A37-B80B-D2B03DEC2CA6}"/>
    <cellStyle name="Normal 2 3 3 2 2 2 10 2 3" xfId="5425" xr:uid="{A79B7C48-585E-4754-8130-BB4066558B29}"/>
    <cellStyle name="Normal 2 3 3 2 2 2 10 2 4" xfId="5426" xr:uid="{79B9825C-AAFE-4039-B9C8-481151DE9B3A}"/>
    <cellStyle name="Normal 2 3 3 2 2 2 10 2 5" xfId="5427" xr:uid="{58A0E125-46E9-4CDF-9BA5-1E9DCC79E9E9}"/>
    <cellStyle name="Normal 2 3 3 2 2 2 10 2 6" xfId="5428" xr:uid="{7A2E88B2-A241-4B52-AA30-1F4ADC02D464}"/>
    <cellStyle name="Normal 2 3 3 2 2 2 10 2 7" xfId="5429" xr:uid="{8C6C7F32-D27F-4A43-A453-83F6BD549977}"/>
    <cellStyle name="Normal 2 3 3 2 2 2 10 2 8" xfId="5430" xr:uid="{575DFCAD-6A46-4574-B253-06D82A97CADC}"/>
    <cellStyle name="Normal 2 3 3 2 2 2 10 3" xfId="5431" xr:uid="{5454F9A2-E815-4366-B654-92D43E89211F}"/>
    <cellStyle name="Normal 2 3 3 2 2 2 10 4" xfId="5432" xr:uid="{693AF7F2-1FFC-4F0B-BE13-26A144D73F63}"/>
    <cellStyle name="Normal 2 3 3 2 2 2 10 5" xfId="5433" xr:uid="{32E2F9F3-8AD7-4C25-8530-57F12F02E715}"/>
    <cellStyle name="Normal 2 3 3 2 2 2 10 6" xfId="5434" xr:uid="{E2F2BC86-9043-40B1-8650-54453B4E237B}"/>
    <cellStyle name="Normal 2 3 3 2 2 2 10 7" xfId="5435" xr:uid="{35E051FC-4595-433D-BC94-A41433545DA7}"/>
    <cellStyle name="Normal 2 3 3 2 2 2 10 8" xfId="5436" xr:uid="{1A84300E-B701-4A12-B22A-F49066613B02}"/>
    <cellStyle name="Normal 2 3 3 2 2 2 10 9" xfId="5437" xr:uid="{99459645-DF1D-4E3C-9AEA-2752815395D6}"/>
    <cellStyle name="Normal 2 3 3 2 2 2 11" xfId="5438" xr:uid="{F2295E42-F5DF-4569-8C1A-22DBCAAC3A1D}"/>
    <cellStyle name="Normal 2 3 3 2 2 2 11 2" xfId="5439" xr:uid="{BB4150F3-3898-4F92-9F9C-34B2D336BB62}"/>
    <cellStyle name="Normal 2 3 3 2 2 2 11 3" xfId="5440" xr:uid="{2265E6B6-454E-4E27-8EAB-6F61CE18704D}"/>
    <cellStyle name="Normal 2 3 3 2 2 2 11 4" xfId="5441" xr:uid="{23E38687-B5D7-4767-BD73-A4E35E23C50C}"/>
    <cellStyle name="Normal 2 3 3 2 2 2 11 5" xfId="5442" xr:uid="{84F423BA-0354-4CE0-B435-A6F3776D6238}"/>
    <cellStyle name="Normal 2 3 3 2 2 2 11 6" xfId="5443" xr:uid="{6FB4788E-26CD-4793-9A38-4AFBD066CEBC}"/>
    <cellStyle name="Normal 2 3 3 2 2 2 11 7" xfId="5444" xr:uid="{BED38200-6EB5-4ACF-99EB-F1CBC5F0646D}"/>
    <cellStyle name="Normal 2 3 3 2 2 2 11 8" xfId="5445" xr:uid="{78CE85B8-F161-4263-859A-42932E307364}"/>
    <cellStyle name="Normal 2 3 3 2 2 2 12" xfId="5446" xr:uid="{140CB224-E01F-400A-976A-A94D041DE926}"/>
    <cellStyle name="Normal 2 3 3 2 2 2 13" xfId="5447" xr:uid="{DCF32752-B852-428A-AB35-92D47A61B542}"/>
    <cellStyle name="Normal 2 3 3 2 2 2 14" xfId="5448" xr:uid="{33875D95-17B3-406B-A3FA-6691D254FEFB}"/>
    <cellStyle name="Normal 2 3 3 2 2 2 15" xfId="5449" xr:uid="{EC86AD8A-A79E-431A-8BD4-8F7820779D08}"/>
    <cellStyle name="Normal 2 3 3 2 2 2 16" xfId="5450" xr:uid="{866A6D7E-465C-4C7E-86E5-D8A38B6DE3E3}"/>
    <cellStyle name="Normal 2 3 3 2 2 2 17" xfId="5451" xr:uid="{AE52A84F-C0EB-42B2-BCDD-8EC6BE009631}"/>
    <cellStyle name="Normal 2 3 3 2 2 2 2" xfId="5452" xr:uid="{952ADAE7-12B4-4F19-AD2B-3B8E3B0A7231}"/>
    <cellStyle name="Normal 2 3 3 2 2 2 2 10" xfId="5453" xr:uid="{C383FF7C-EC85-4CD7-8884-FAAD2B212D88}"/>
    <cellStyle name="Normal 2 3 3 2 2 2 2 2" xfId="5454" xr:uid="{3808815D-2DD9-4AB7-91B6-59C8CFAA7EFB}"/>
    <cellStyle name="Normal 2 3 3 2 2 2 2 2 2" xfId="5455" xr:uid="{343CED0A-565B-4421-A307-861C9AD66BF9}"/>
    <cellStyle name="Normal 2 3 3 2 2 2 2 2 2 2" xfId="5456" xr:uid="{4CE4EE14-C894-4FE5-914A-ADF525CDE2FD}"/>
    <cellStyle name="Normal 2 3 3 2 2 2 2 2 2 2 2" xfId="5457" xr:uid="{AB37BE02-959A-4A63-A248-9BBE97941BF6}"/>
    <cellStyle name="Normal 2 3 3 2 2 2 2 2 2 2 3" xfId="5458" xr:uid="{2AE3ABF5-BB8F-4998-A1E8-5D018C65707D}"/>
    <cellStyle name="Normal 2 3 3 2 2 2 2 2 2 2 4" xfId="5459" xr:uid="{51D7DA2F-F83A-4796-9F1C-8453C775C937}"/>
    <cellStyle name="Normal 2 3 3 2 2 2 2 2 2 2 5" xfId="5460" xr:uid="{A99798E3-22E0-4BC1-903D-EAC51DF2A250}"/>
    <cellStyle name="Normal 2 3 3 2 2 2 2 2 2 2 6" xfId="5461" xr:uid="{2C32EA4C-1EE7-4884-9E09-CDB1CC090299}"/>
    <cellStyle name="Normal 2 3 3 2 2 2 2 2 2 2 7" xfId="5462" xr:uid="{FE0B3F26-B0F2-498A-936E-C369771061E5}"/>
    <cellStyle name="Normal 2 3 3 2 2 2 2 2 2 2 8" xfId="5463" xr:uid="{8AE42715-75D5-4ECE-AEE4-AC31BA08BEA0}"/>
    <cellStyle name="Normal 2 3 3 2 2 2 2 2 2 3" xfId="5464" xr:uid="{8B23B187-88B6-4378-8849-79160E587124}"/>
    <cellStyle name="Normal 2 3 3 2 2 2 2 2 2 4" xfId="5465" xr:uid="{C563CEDC-7B69-4583-8B89-22A51C55155C}"/>
    <cellStyle name="Normal 2 3 3 2 2 2 2 2 2 5" xfId="5466" xr:uid="{DA3C8328-B7A8-4A04-BF33-34421CF473CB}"/>
    <cellStyle name="Normal 2 3 3 2 2 2 2 2 2 6" xfId="5467" xr:uid="{04AB313E-5631-4905-B16C-D324DD2CE454}"/>
    <cellStyle name="Normal 2 3 3 2 2 2 2 2 2 7" xfId="5468" xr:uid="{A76247AD-ECC7-46EE-9A01-8D94AD25EA43}"/>
    <cellStyle name="Normal 2 3 3 2 2 2 2 2 2 8" xfId="5469" xr:uid="{415EE7CB-AF57-41EA-8492-A2E2522489D3}"/>
    <cellStyle name="Normal 2 3 3 2 2 2 2 2 3" xfId="5470" xr:uid="{46BBEBE1-B638-4E67-90A6-60E8B1A414E9}"/>
    <cellStyle name="Normal 2 3 3 2 2 2 2 2 4" xfId="5471" xr:uid="{7FF83FA5-89DE-4BD3-A851-B09FB82BBD81}"/>
    <cellStyle name="Normal 2 3 3 2 2 2 2 2 5" xfId="5472" xr:uid="{1DC6C1D8-E29D-48C0-B044-1D378B802065}"/>
    <cellStyle name="Normal 2 3 3 2 2 2 2 2 6" xfId="5473" xr:uid="{8B04C1B0-AE48-405A-9159-35516DB12D7D}"/>
    <cellStyle name="Normal 2 3 3 2 2 2 2 2 7" xfId="5474" xr:uid="{5A01823D-D314-444A-8FDA-E655CDC0DFCE}"/>
    <cellStyle name="Normal 2 3 3 2 2 2 2 2 8" xfId="5475" xr:uid="{70C4E981-7FC6-47AD-A59D-9E912DC6388B}"/>
    <cellStyle name="Normal 2 3 3 2 2 2 2 2 9" xfId="5476" xr:uid="{D9A3B2FA-F6D8-42C4-99AE-09EB0AD0AD8A}"/>
    <cellStyle name="Normal 2 3 3 2 2 2 2 3" xfId="5477" xr:uid="{0733F35D-EC85-4C02-B264-6C84FAC01A80}"/>
    <cellStyle name="Normal 2 3 3 2 2 2 2 4" xfId="5478" xr:uid="{A0F4CC43-9954-4A88-8706-2521B88A3BAE}"/>
    <cellStyle name="Normal 2 3 3 2 2 2 2 4 2" xfId="5479" xr:uid="{94CFE0CC-7285-443B-A02D-D24A5C8D2844}"/>
    <cellStyle name="Normal 2 3 3 2 2 2 2 4 3" xfId="5480" xr:uid="{7B97C740-C38E-4AEB-BF73-41062564ED2E}"/>
    <cellStyle name="Normal 2 3 3 2 2 2 2 4 4" xfId="5481" xr:uid="{AA994C6A-FC3B-4C1A-A20D-262C2CFCFD00}"/>
    <cellStyle name="Normal 2 3 3 2 2 2 2 4 5" xfId="5482" xr:uid="{E9EF0092-3543-437C-9285-2151BD319F59}"/>
    <cellStyle name="Normal 2 3 3 2 2 2 2 4 6" xfId="5483" xr:uid="{DC63A14F-1251-4AEF-963E-EFA7A0A2F0F1}"/>
    <cellStyle name="Normal 2 3 3 2 2 2 2 4 7" xfId="5484" xr:uid="{5C30DFCD-9D6A-49F5-B006-95AB1BECF169}"/>
    <cellStyle name="Normal 2 3 3 2 2 2 2 4 8" xfId="5485" xr:uid="{29E59F12-D0CA-4180-BBD7-D1D625943AF0}"/>
    <cellStyle name="Normal 2 3 3 2 2 2 2 5" xfId="5486" xr:uid="{F4C28187-4AFD-40A3-8508-6AE6A935BE7A}"/>
    <cellStyle name="Normal 2 3 3 2 2 2 2 6" xfId="5487" xr:uid="{50A71861-97BF-4726-8314-1B9A6BBAFE1F}"/>
    <cellStyle name="Normal 2 3 3 2 2 2 2 7" xfId="5488" xr:uid="{0374615D-B4AC-4C16-83E3-DEFCF97B76DE}"/>
    <cellStyle name="Normal 2 3 3 2 2 2 2 8" xfId="5489" xr:uid="{DBB0C58D-758D-4BB4-A4A5-7542B5EEB51B}"/>
    <cellStyle name="Normal 2 3 3 2 2 2 2 9" xfId="5490" xr:uid="{BE0BAAF1-FCFE-4EE3-AB43-AA00936519BA}"/>
    <cellStyle name="Normal 2 3 3 2 2 2 3" xfId="5491" xr:uid="{05AC6606-A27D-4BC5-BA6E-CF24D2D12484}"/>
    <cellStyle name="Normal 2 3 3 2 2 2 4" xfId="5492" xr:uid="{21E2E4C1-7FBC-4951-A2B8-8668AF08BEAE}"/>
    <cellStyle name="Normal 2 3 3 2 2 2 5" xfId="5493" xr:uid="{6CB85CE2-C354-493B-B5EC-F8A5E6D530C8}"/>
    <cellStyle name="Normal 2 3 3 2 2 2 6" xfId="5494" xr:uid="{90C6BD7A-F097-410B-843B-16F446100B0F}"/>
    <cellStyle name="Normal 2 3 3 2 2 2 7" xfId="5495" xr:uid="{32E30ED2-088C-4F27-AACA-A53BFA3892F8}"/>
    <cellStyle name="Normal 2 3 3 2 2 2 8" xfId="5496" xr:uid="{63F9D458-03A2-4C12-8282-FD5287B9F5D2}"/>
    <cellStyle name="Normal 2 3 3 2 2 2 9" xfId="5497" xr:uid="{A84C36F1-0C10-40CE-9CC4-840A446A92F6}"/>
    <cellStyle name="Normal 2 3 3 2 2 3" xfId="5498" xr:uid="{630E20C7-4834-47DF-84F3-EC26213829E5}"/>
    <cellStyle name="Normal 2 3 3 2 2 3 10" xfId="5499" xr:uid="{49A26807-D7C2-4CD3-8C96-64CEFBE198A7}"/>
    <cellStyle name="Normal 2 3 3 2 2 3 2" xfId="5500" xr:uid="{1F6E0FC7-E6FF-49D4-B371-C14E2B8F4461}"/>
    <cellStyle name="Normal 2 3 3 2 2 3 2 2" xfId="5501" xr:uid="{E4A3876A-A357-4FD5-8F4D-A84596DA71C2}"/>
    <cellStyle name="Normal 2 3 3 2 2 3 2 2 2" xfId="5502" xr:uid="{6F74DA33-268C-480F-8D09-5A8849BB4AFC}"/>
    <cellStyle name="Normal 2 3 3 2 2 3 2 2 2 2" xfId="5503" xr:uid="{283CA3C2-7A55-457C-A77C-304FC172AD6E}"/>
    <cellStyle name="Normal 2 3 3 2 2 3 2 2 2 3" xfId="5504" xr:uid="{E21B0DC0-1F2B-4645-9BF7-4915DFE63FC0}"/>
    <cellStyle name="Normal 2 3 3 2 2 3 2 2 2 4" xfId="5505" xr:uid="{D6AD4F57-0635-4901-8B7D-388492318670}"/>
    <cellStyle name="Normal 2 3 3 2 2 3 2 2 2 5" xfId="5506" xr:uid="{78944605-425D-4547-A90E-CA27ACB6DB0A}"/>
    <cellStyle name="Normal 2 3 3 2 2 3 2 2 2 6" xfId="5507" xr:uid="{6DF64832-4E27-493C-8653-869BA740D4D6}"/>
    <cellStyle name="Normal 2 3 3 2 2 3 2 2 2 7" xfId="5508" xr:uid="{D386ED8D-C516-44AF-A912-9FDEEC7C1B7B}"/>
    <cellStyle name="Normal 2 3 3 2 2 3 2 2 2 8" xfId="5509" xr:uid="{1336A353-9A82-467B-8649-6B667335FA53}"/>
    <cellStyle name="Normal 2 3 3 2 2 3 2 2 3" xfId="5510" xr:uid="{4DC6E8BE-C737-4113-B1B8-60D9D53E0857}"/>
    <cellStyle name="Normal 2 3 3 2 2 3 2 2 4" xfId="5511" xr:uid="{4F471FBE-6E6E-4E0C-B9A0-46FF210D3AC3}"/>
    <cellStyle name="Normal 2 3 3 2 2 3 2 2 5" xfId="5512" xr:uid="{F5814354-5050-4323-8C1D-F0643E156697}"/>
    <cellStyle name="Normal 2 3 3 2 2 3 2 2 6" xfId="5513" xr:uid="{82B61EB9-5DF8-4874-BA70-63D763320183}"/>
    <cellStyle name="Normal 2 3 3 2 2 3 2 2 7" xfId="5514" xr:uid="{A381EAB7-2A7F-4383-9531-A8836A48E862}"/>
    <cellStyle name="Normal 2 3 3 2 2 3 2 2 8" xfId="5515" xr:uid="{B6BB92EE-1103-47A7-8574-04EF255B692B}"/>
    <cellStyle name="Normal 2 3 3 2 2 3 2 3" xfId="5516" xr:uid="{B4430164-E11A-4039-AA09-800102A62045}"/>
    <cellStyle name="Normal 2 3 3 2 2 3 2 4" xfId="5517" xr:uid="{F949668E-2D6E-4151-B03A-1C709A0FDA6F}"/>
    <cellStyle name="Normal 2 3 3 2 2 3 2 5" xfId="5518" xr:uid="{B2F18AF4-3375-4898-91BD-680FD5862421}"/>
    <cellStyle name="Normal 2 3 3 2 2 3 2 6" xfId="5519" xr:uid="{5E0328EB-7AAE-4781-80A8-0B6CA68E3B49}"/>
    <cellStyle name="Normal 2 3 3 2 2 3 2 7" xfId="5520" xr:uid="{6159A6FD-4642-435C-ADF7-84BFDB2279E5}"/>
    <cellStyle name="Normal 2 3 3 2 2 3 2 8" xfId="5521" xr:uid="{A545C733-F629-4302-915D-CE513CEC22CE}"/>
    <cellStyle name="Normal 2 3 3 2 2 3 2 9" xfId="5522" xr:uid="{FA906557-232D-4420-8B15-4A5DCBE19A33}"/>
    <cellStyle name="Normal 2 3 3 2 2 3 3" xfId="5523" xr:uid="{4D97A20F-A7A4-4308-A6A6-BA21D0EB51AA}"/>
    <cellStyle name="Normal 2 3 3 2 2 3 4" xfId="5524" xr:uid="{D6994638-6396-4276-A98E-7693C37E2887}"/>
    <cellStyle name="Normal 2 3 3 2 2 3 4 2" xfId="5525" xr:uid="{84B743BC-6D13-48F5-B9F9-F0F29D27CCAC}"/>
    <cellStyle name="Normal 2 3 3 2 2 3 4 3" xfId="5526" xr:uid="{C9AEF775-CD8C-41EA-8EAA-3C02C8B39AD5}"/>
    <cellStyle name="Normal 2 3 3 2 2 3 4 4" xfId="5527" xr:uid="{203FBA6E-318A-4E19-9A96-F888C203064D}"/>
    <cellStyle name="Normal 2 3 3 2 2 3 4 5" xfId="5528" xr:uid="{5312C3B3-83DD-45E7-B56E-96C243C77F24}"/>
    <cellStyle name="Normal 2 3 3 2 2 3 4 6" xfId="5529" xr:uid="{979CF596-816F-47FA-9D9B-1362D339D17C}"/>
    <cellStyle name="Normal 2 3 3 2 2 3 4 7" xfId="5530" xr:uid="{821B5DC6-0546-409E-8E2A-28F956E10A38}"/>
    <cellStyle name="Normal 2 3 3 2 2 3 4 8" xfId="5531" xr:uid="{70FF1D84-77A5-48E0-BDCB-C54E3DF1DC0C}"/>
    <cellStyle name="Normal 2 3 3 2 2 3 5" xfId="5532" xr:uid="{43C88901-BFC8-4021-9F26-7FCAEE96DFA3}"/>
    <cellStyle name="Normal 2 3 3 2 2 3 6" xfId="5533" xr:uid="{26112D68-CBE2-4EA8-94E9-4E917184FF82}"/>
    <cellStyle name="Normal 2 3 3 2 2 3 7" xfId="5534" xr:uid="{5B486995-097E-486C-9DCC-6D5E4E020EBD}"/>
    <cellStyle name="Normal 2 3 3 2 2 3 8" xfId="5535" xr:uid="{097373E6-8C09-4FAB-A57B-7AB568611CB6}"/>
    <cellStyle name="Normal 2 3 3 2 2 3 9" xfId="5536" xr:uid="{203A8DF7-92D6-428E-AD38-E1288201CA6D}"/>
    <cellStyle name="Normal 2 3 3 2 2 4" xfId="5537" xr:uid="{6EEAE16F-99B2-47A6-81C1-DB5B49154A71}"/>
    <cellStyle name="Normal 2 3 3 2 2 5" xfId="5538" xr:uid="{1DBB9BC5-6CE4-4E83-9EB6-6570C84F1269}"/>
    <cellStyle name="Normal 2 3 3 2 2 6" xfId="5539" xr:uid="{9B8514D7-1DE2-429C-B5D5-06EF70358EAB}"/>
    <cellStyle name="Normal 2 3 3 2 2 7" xfId="5540" xr:uid="{0F7B37B4-BF96-4715-BE7E-C25FC2638489}"/>
    <cellStyle name="Normal 2 3 3 2 2 8" xfId="5541" xr:uid="{B7CEEE1E-FA71-408D-8174-93DBE2563E16}"/>
    <cellStyle name="Normal 2 3 3 2 2 9" xfId="5542" xr:uid="{C3C1DEC9-B634-441C-969E-702C2AF9512E}"/>
    <cellStyle name="Normal 2 3 3 2 20" xfId="5543" xr:uid="{5945F5E0-49D9-46C4-B8FB-EC64602F79C9}"/>
    <cellStyle name="Normal 2 3 3 2 21" xfId="5544" xr:uid="{C321B3FC-7704-40CF-9473-27ED2A8B73AF}"/>
    <cellStyle name="Normal 2 3 3 2 22" xfId="5545" xr:uid="{9EA22769-9552-4017-8BC4-BD1A5897E42F}"/>
    <cellStyle name="Normal 2 3 3 2 3" xfId="5546" xr:uid="{38C5A4E0-00F2-49EF-9810-A237E3535F05}"/>
    <cellStyle name="Normal 2 3 3 2 4" xfId="5547" xr:uid="{6FD5A380-2575-41C3-8404-10B7D65A664A}"/>
    <cellStyle name="Normal 2 3 3 2 5" xfId="5548" xr:uid="{12BF57F4-9607-4769-8DBF-997EABB01DDD}"/>
    <cellStyle name="Normal 2 3 3 2 6" xfId="5549" xr:uid="{3C9527EE-5F8D-4B09-B1EA-CA62A10F4889}"/>
    <cellStyle name="Normal 2 3 3 2 7" xfId="5550" xr:uid="{AF365FD5-51C4-4356-A4F6-60E46F9AD388}"/>
    <cellStyle name="Normal 2 3 3 2 7 10" xfId="5551" xr:uid="{9507038D-9B42-4050-843B-A99FD8CC63EB}"/>
    <cellStyle name="Normal 2 3 3 2 7 2" xfId="5552" xr:uid="{09DDE223-908F-4ABA-BFF6-20B7752501DC}"/>
    <cellStyle name="Normal 2 3 3 2 7 2 2" xfId="5553" xr:uid="{C19C0493-7E96-4145-A122-2F756DBF16CF}"/>
    <cellStyle name="Normal 2 3 3 2 7 2 2 2" xfId="5554" xr:uid="{00374316-6A9D-4400-B34E-5D6BE26BB1FC}"/>
    <cellStyle name="Normal 2 3 3 2 7 2 2 2 2" xfId="5555" xr:uid="{02034082-2291-4C8B-AD2C-E55865EC34D2}"/>
    <cellStyle name="Normal 2 3 3 2 7 2 2 2 3" xfId="5556" xr:uid="{823E7EA1-3456-45BA-AEA3-F4387C3D3666}"/>
    <cellStyle name="Normal 2 3 3 2 7 2 2 2 4" xfId="5557" xr:uid="{A0795C87-844E-4A1D-872F-B56977409557}"/>
    <cellStyle name="Normal 2 3 3 2 7 2 2 2 5" xfId="5558" xr:uid="{773CD7EE-2DCB-42ED-B843-5518545349C2}"/>
    <cellStyle name="Normal 2 3 3 2 7 2 2 2 6" xfId="5559" xr:uid="{568EAB18-436A-4790-9FB3-6FA43BC7CD85}"/>
    <cellStyle name="Normal 2 3 3 2 7 2 2 2 7" xfId="5560" xr:uid="{7E726D01-1620-489E-BDF0-2156B5F3B3E3}"/>
    <cellStyle name="Normal 2 3 3 2 7 2 2 2 8" xfId="5561" xr:uid="{EE1D1323-379A-4E59-9829-32AEBB7EA983}"/>
    <cellStyle name="Normal 2 3 3 2 7 2 2 3" xfId="5562" xr:uid="{96918DC9-C87D-4046-A4E4-5CCA61AF474A}"/>
    <cellStyle name="Normal 2 3 3 2 7 2 2 4" xfId="5563" xr:uid="{A4523C7E-E7E1-4876-8E31-8BB813C56072}"/>
    <cellStyle name="Normal 2 3 3 2 7 2 2 5" xfId="5564" xr:uid="{740C605D-A2F6-48D2-A93E-2DEFC675C52F}"/>
    <cellStyle name="Normal 2 3 3 2 7 2 2 6" xfId="5565" xr:uid="{BDC2BDAC-AFCD-49A6-A18E-0FCDEE1DB214}"/>
    <cellStyle name="Normal 2 3 3 2 7 2 2 7" xfId="5566" xr:uid="{6771DD15-EA00-4A0E-9F7F-2516466B8515}"/>
    <cellStyle name="Normal 2 3 3 2 7 2 2 8" xfId="5567" xr:uid="{ACC06052-3785-423A-AACC-92BA6D807965}"/>
    <cellStyle name="Normal 2 3 3 2 7 2 3" xfId="5568" xr:uid="{0E836856-4F42-48C9-B3DE-37284B0C3436}"/>
    <cellStyle name="Normal 2 3 3 2 7 2 4" xfId="5569" xr:uid="{43E546B0-9755-4C65-9643-859150209B9F}"/>
    <cellStyle name="Normal 2 3 3 2 7 2 5" xfId="5570" xr:uid="{CECF30C3-B8DF-4F0A-910F-CA88CD9BC03C}"/>
    <cellStyle name="Normal 2 3 3 2 7 2 6" xfId="5571" xr:uid="{5634C1FB-51FE-45EE-8EC5-92FD7DB76B33}"/>
    <cellStyle name="Normal 2 3 3 2 7 2 7" xfId="5572" xr:uid="{C2CBCF0A-F21A-4FE2-9324-A27BB4C6C3C3}"/>
    <cellStyle name="Normal 2 3 3 2 7 2 8" xfId="5573" xr:uid="{71FBFD1A-F3EF-4ECA-81E5-059C5BDDA8BE}"/>
    <cellStyle name="Normal 2 3 3 2 7 2 9" xfId="5574" xr:uid="{7F7CBEB0-4AF9-469E-9213-7921141C0994}"/>
    <cellStyle name="Normal 2 3 3 2 7 3" xfId="5575" xr:uid="{8EF0DE37-404B-496E-B2EA-6FE53F25313C}"/>
    <cellStyle name="Normal 2 3 3 2 7 4" xfId="5576" xr:uid="{BE167C17-6648-49CF-95C4-610381DC37C2}"/>
    <cellStyle name="Normal 2 3 3 2 7 4 2" xfId="5577" xr:uid="{1E7CFE7B-38C0-47BC-B41A-F8E330EBA973}"/>
    <cellStyle name="Normal 2 3 3 2 7 4 3" xfId="5578" xr:uid="{EBC4920F-43EC-461D-806B-4C647FFC5A92}"/>
    <cellStyle name="Normal 2 3 3 2 7 4 4" xfId="5579" xr:uid="{4B7447EB-1F2C-4267-B2D6-CEF11971FB96}"/>
    <cellStyle name="Normal 2 3 3 2 7 4 5" xfId="5580" xr:uid="{835814A3-C7E9-44E6-BFF0-48EEEFBD78FE}"/>
    <cellStyle name="Normal 2 3 3 2 7 4 6" xfId="5581" xr:uid="{16F72475-C980-42C6-944B-144812019D01}"/>
    <cellStyle name="Normal 2 3 3 2 7 4 7" xfId="5582" xr:uid="{553D5B37-3DDC-4F42-94E3-1553C105D5D0}"/>
    <cellStyle name="Normal 2 3 3 2 7 4 8" xfId="5583" xr:uid="{F8F8D350-99F1-452B-9C0A-A9198421FE92}"/>
    <cellStyle name="Normal 2 3 3 2 7 5" xfId="5584" xr:uid="{0FB72D7B-CA4F-4925-A295-4E1E0E1BAF27}"/>
    <cellStyle name="Normal 2 3 3 2 7 6" xfId="5585" xr:uid="{E5CEB332-6700-4F30-8C14-8DE11B5BE28F}"/>
    <cellStyle name="Normal 2 3 3 2 7 7" xfId="5586" xr:uid="{10A61CFF-FED7-471A-AEC3-EEC6474B13F6}"/>
    <cellStyle name="Normal 2 3 3 2 7 8" xfId="5587" xr:uid="{0BFDC617-817E-4FC6-9BEE-92C8D4EDABA2}"/>
    <cellStyle name="Normal 2 3 3 2 7 9" xfId="5588" xr:uid="{0F8C9109-5CED-4BEA-8EEE-015DEB14645F}"/>
    <cellStyle name="Normal 2 3 3 2 8" xfId="5589" xr:uid="{14BFBD47-5122-4A73-9EF5-CB407DD8ECE5}"/>
    <cellStyle name="Normal 2 3 3 2 9" xfId="5590" xr:uid="{3BC2FA00-83C3-49A0-99E3-5701342A14E0}"/>
    <cellStyle name="Normal 2 3 3 20" xfId="5591" xr:uid="{468623D9-D452-449C-BC68-D9A10005B2A8}"/>
    <cellStyle name="Normal 2 3 3 21" xfId="5592" xr:uid="{4D58518E-BCC8-480B-98EA-978C976C44E3}"/>
    <cellStyle name="Normal 2 3 3 22" xfId="5593" xr:uid="{73D21A38-FEE0-4B9A-B258-7F1F6F3D4046}"/>
    <cellStyle name="Normal 2 3 3 3" xfId="5594" xr:uid="{E9353DFB-AAD3-4F7F-9CB9-58BAFA0373AC}"/>
    <cellStyle name="Normal 2 3 3 3 10" xfId="5595" xr:uid="{5AA25D32-74E6-484F-8C0B-897BA5D2509C}"/>
    <cellStyle name="Normal 2 3 3 3 10 2" xfId="5596" xr:uid="{2EBCB4F3-8E90-401E-91AC-C2744B30A9EA}"/>
    <cellStyle name="Normal 2 3 3 3 10 2 2" xfId="5597" xr:uid="{70C6BB23-BB88-4F7C-8CCE-ACFBB63B1E15}"/>
    <cellStyle name="Normal 2 3 3 3 10 2 2 2" xfId="5598" xr:uid="{108B3BEF-050D-443D-A532-1BB2F2E913A3}"/>
    <cellStyle name="Normal 2 3 3 3 10 2 2 3" xfId="5599" xr:uid="{9C7099EB-8512-46DE-B6C2-8FE699135140}"/>
    <cellStyle name="Normal 2 3 3 3 10 2 2 4" xfId="5600" xr:uid="{BDF35720-418F-4E5C-B01E-81AE8AC25787}"/>
    <cellStyle name="Normal 2 3 3 3 10 2 2 5" xfId="5601" xr:uid="{B4FF0F8C-4AAB-468B-8DBF-35D635384515}"/>
    <cellStyle name="Normal 2 3 3 3 10 2 2 6" xfId="5602" xr:uid="{08F7FC47-157F-4B80-A572-E386B8893B3B}"/>
    <cellStyle name="Normal 2 3 3 3 10 2 2 7" xfId="5603" xr:uid="{7DA283B5-47A6-442B-9C61-C19B1E4CFF90}"/>
    <cellStyle name="Normal 2 3 3 3 10 2 2 8" xfId="5604" xr:uid="{6D4D72C3-4AFF-4633-B5F0-F2190DDBAE91}"/>
    <cellStyle name="Normal 2 3 3 3 10 2 3" xfId="5605" xr:uid="{AB299085-0FFE-4017-A5DD-F780AE2D6F8A}"/>
    <cellStyle name="Normal 2 3 3 3 10 2 4" xfId="5606" xr:uid="{CB91DE38-E396-442B-A49A-9DAFFF33BA71}"/>
    <cellStyle name="Normal 2 3 3 3 10 2 5" xfId="5607" xr:uid="{81AAF3AA-770B-44D7-9FB6-868AB3B5CE4A}"/>
    <cellStyle name="Normal 2 3 3 3 10 2 6" xfId="5608" xr:uid="{27D4C8AF-7EDF-486E-AAD0-DC6F9472DF7E}"/>
    <cellStyle name="Normal 2 3 3 3 10 2 7" xfId="5609" xr:uid="{071C56D9-6DD0-4E19-8A1E-9A00B592171F}"/>
    <cellStyle name="Normal 2 3 3 3 10 2 8" xfId="5610" xr:uid="{DDBCD84D-ECBD-4224-B883-A555B6F6C6AB}"/>
    <cellStyle name="Normal 2 3 3 3 10 3" xfId="5611" xr:uid="{0A4D365A-81B1-4A86-8AC2-D9B9B8F47CA9}"/>
    <cellStyle name="Normal 2 3 3 3 10 4" xfId="5612" xr:uid="{D3493173-6451-4C10-8A54-86422F04F5BC}"/>
    <cellStyle name="Normal 2 3 3 3 10 5" xfId="5613" xr:uid="{DC6AED13-88D2-4DE7-A45E-01E96EE31E83}"/>
    <cellStyle name="Normal 2 3 3 3 10 6" xfId="5614" xr:uid="{83411F06-7E00-4433-9CE7-3A2B60120A16}"/>
    <cellStyle name="Normal 2 3 3 3 10 7" xfId="5615" xr:uid="{0D670825-1B7B-4E68-814A-6106BEAEBCF6}"/>
    <cellStyle name="Normal 2 3 3 3 10 8" xfId="5616" xr:uid="{B879577B-A766-4EF1-8F0E-53A18F8249AD}"/>
    <cellStyle name="Normal 2 3 3 3 10 9" xfId="5617" xr:uid="{4ED43F99-E938-41AD-A9FB-8B90F0790255}"/>
    <cellStyle name="Normal 2 3 3 3 11" xfId="5618" xr:uid="{64A5326E-F6AA-4C3F-A652-F54536E01E01}"/>
    <cellStyle name="Normal 2 3 3 3 11 2" xfId="5619" xr:uid="{8D55AD5B-DE68-4184-99AB-F78952F27D6E}"/>
    <cellStyle name="Normal 2 3 3 3 11 3" xfId="5620" xr:uid="{4A30CC49-5F8E-4621-95C4-30D746BF81C4}"/>
    <cellStyle name="Normal 2 3 3 3 11 4" xfId="5621" xr:uid="{2317327D-A7F9-4482-8FDD-BBD031296412}"/>
    <cellStyle name="Normal 2 3 3 3 11 5" xfId="5622" xr:uid="{DAB364FD-44BB-40FC-BDCD-F31389C92FF0}"/>
    <cellStyle name="Normal 2 3 3 3 11 6" xfId="5623" xr:uid="{6256B4FE-2C2C-4A4E-92A3-C7111367A7DB}"/>
    <cellStyle name="Normal 2 3 3 3 11 7" xfId="5624" xr:uid="{647C5FD5-5FF6-4F29-B332-E16E58352A7D}"/>
    <cellStyle name="Normal 2 3 3 3 11 8" xfId="5625" xr:uid="{C0AE6EA3-580A-4DBE-875D-4EC7D4C12E5F}"/>
    <cellStyle name="Normal 2 3 3 3 12" xfId="5626" xr:uid="{3DD8C422-2267-40A4-B6BF-92A85FF79E54}"/>
    <cellStyle name="Normal 2 3 3 3 13" xfId="5627" xr:uid="{0A3B67C5-2EA4-4206-8F8A-3D63497F0039}"/>
    <cellStyle name="Normal 2 3 3 3 14" xfId="5628" xr:uid="{E62BD8D7-87CF-4E51-A4BD-8DF3B24CBB33}"/>
    <cellStyle name="Normal 2 3 3 3 15" xfId="5629" xr:uid="{759CE7AF-D22D-4E98-AE23-5E7E8AA7A8BD}"/>
    <cellStyle name="Normal 2 3 3 3 16" xfId="5630" xr:uid="{B9A9DA1E-9CA8-49B7-8157-EB6CF4F04C82}"/>
    <cellStyle name="Normal 2 3 3 3 17" xfId="5631" xr:uid="{7A65E12F-101A-4145-89E2-291C4A94F911}"/>
    <cellStyle name="Normal 2 3 3 3 2" xfId="5632" xr:uid="{496651A5-BE50-47BB-882E-54530277A164}"/>
    <cellStyle name="Normal 2 3 3 3 2 10" xfId="5633" xr:uid="{487A86FD-1192-4564-874F-F49732E64B48}"/>
    <cellStyle name="Normal 2 3 3 3 2 10 2" xfId="5634" xr:uid="{60A715CF-76B3-4A75-A584-24AFF9DA5AFA}"/>
    <cellStyle name="Normal 2 3 3 3 2 10 2 2" xfId="5635" xr:uid="{B6F1358E-106D-462D-8D3B-5C602F2231D9}"/>
    <cellStyle name="Normal 2 3 3 3 2 10 2 2 2" xfId="5636" xr:uid="{9EE60221-EA9C-4896-ACC2-F2F4B504CB3D}"/>
    <cellStyle name="Normal 2 3 3 3 2 10 2 2 3" xfId="5637" xr:uid="{E3C5BCFF-FF09-47C6-AA5E-90D928A5CD87}"/>
    <cellStyle name="Normal 2 3 3 3 2 10 2 2 4" xfId="5638" xr:uid="{61849C5F-882C-4935-A92E-FF82BA9CB0A9}"/>
    <cellStyle name="Normal 2 3 3 3 2 10 2 2 5" xfId="5639" xr:uid="{4551A89A-A6BE-4B96-A0EC-9316A8A102C4}"/>
    <cellStyle name="Normal 2 3 3 3 2 10 2 2 6" xfId="5640" xr:uid="{B3D9B155-989F-4B43-97E8-BFA6944A9F9E}"/>
    <cellStyle name="Normal 2 3 3 3 2 10 2 2 7" xfId="5641" xr:uid="{28697EB7-629E-45E2-921F-7CB07F8871C3}"/>
    <cellStyle name="Normal 2 3 3 3 2 10 2 2 8" xfId="5642" xr:uid="{4C93D0BC-266C-438C-8B1E-9DA2F234B95D}"/>
    <cellStyle name="Normal 2 3 3 3 2 10 2 3" xfId="5643" xr:uid="{81B20B2B-BFDA-4833-A77C-19888C9DE0B0}"/>
    <cellStyle name="Normal 2 3 3 3 2 10 2 4" xfId="5644" xr:uid="{5AC7EC01-95D9-4CF3-AF7A-D9AF35CB971C}"/>
    <cellStyle name="Normal 2 3 3 3 2 10 2 5" xfId="5645" xr:uid="{70479B56-819D-4863-8805-28FE15B3FE6A}"/>
    <cellStyle name="Normal 2 3 3 3 2 10 2 6" xfId="5646" xr:uid="{F5A55CA3-E76F-47EE-ADC7-B58BA231EC1F}"/>
    <cellStyle name="Normal 2 3 3 3 2 10 2 7" xfId="5647" xr:uid="{D8758E20-4D69-4A50-8AE6-6F012C785BB4}"/>
    <cellStyle name="Normal 2 3 3 3 2 10 2 8" xfId="5648" xr:uid="{5A87EC24-1995-4115-9586-A74C12F59B94}"/>
    <cellStyle name="Normal 2 3 3 3 2 10 3" xfId="5649" xr:uid="{BD1B918A-4A49-42FD-AE4F-0ECB7DE2F9BF}"/>
    <cellStyle name="Normal 2 3 3 3 2 10 4" xfId="5650" xr:uid="{8ADFF98A-239C-4757-BD3E-8A9A9E4F6524}"/>
    <cellStyle name="Normal 2 3 3 3 2 10 5" xfId="5651" xr:uid="{825D54FA-BFB1-4995-AC2B-711FA4F3F8D6}"/>
    <cellStyle name="Normal 2 3 3 3 2 10 6" xfId="5652" xr:uid="{A9FCFA87-06B8-4B74-AF7C-464E03150A04}"/>
    <cellStyle name="Normal 2 3 3 3 2 10 7" xfId="5653" xr:uid="{E1F977FB-BC9B-4374-BBEC-737CD0EC3A1E}"/>
    <cellStyle name="Normal 2 3 3 3 2 10 8" xfId="5654" xr:uid="{B6E3D190-CEC9-4F0C-8663-213BE9B9670C}"/>
    <cellStyle name="Normal 2 3 3 3 2 10 9" xfId="5655" xr:uid="{EBAE684B-934F-4A5D-B9F5-F854DA25ADD1}"/>
    <cellStyle name="Normal 2 3 3 3 2 11" xfId="5656" xr:uid="{F4B4085D-7121-46D2-9C22-DECFC88190EE}"/>
    <cellStyle name="Normal 2 3 3 3 2 11 2" xfId="5657" xr:uid="{B262A0AD-B3A8-49D7-8895-2EF3934752E9}"/>
    <cellStyle name="Normal 2 3 3 3 2 11 3" xfId="5658" xr:uid="{DDDD31B2-62AA-42E4-B09D-15F1768D041F}"/>
    <cellStyle name="Normal 2 3 3 3 2 11 4" xfId="5659" xr:uid="{1CCE17F1-4537-40B2-A18C-1A5BF6E4EDF5}"/>
    <cellStyle name="Normal 2 3 3 3 2 11 5" xfId="5660" xr:uid="{8A1A18EB-EAD5-496E-95D0-ACE0C79F8B44}"/>
    <cellStyle name="Normal 2 3 3 3 2 11 6" xfId="5661" xr:uid="{680202D7-F549-48DE-809A-C395DFA99C5E}"/>
    <cellStyle name="Normal 2 3 3 3 2 11 7" xfId="5662" xr:uid="{712813D0-2917-4F54-BBA5-E4B4A33E1966}"/>
    <cellStyle name="Normal 2 3 3 3 2 11 8" xfId="5663" xr:uid="{C63A5DFC-652B-4494-B787-DFA1173F1AD9}"/>
    <cellStyle name="Normal 2 3 3 3 2 12" xfId="5664" xr:uid="{F20471D9-D4B7-42C0-882F-4EC0F35F7054}"/>
    <cellStyle name="Normal 2 3 3 3 2 13" xfId="5665" xr:uid="{C60147C1-40C3-49DE-8810-105E7E6F396E}"/>
    <cellStyle name="Normal 2 3 3 3 2 14" xfId="5666" xr:uid="{16931596-D814-46C9-8F97-686713A52FDD}"/>
    <cellStyle name="Normal 2 3 3 3 2 15" xfId="5667" xr:uid="{D2EBBE20-7044-41D3-8B61-26AA172D156E}"/>
    <cellStyle name="Normal 2 3 3 3 2 16" xfId="5668" xr:uid="{7E450901-420B-4D2A-B4C3-0FC2E7406EF7}"/>
    <cellStyle name="Normal 2 3 3 3 2 17" xfId="5669" xr:uid="{2720A229-2FF2-4D9D-9F0D-CE725A7AC4EE}"/>
    <cellStyle name="Normal 2 3 3 3 2 2" xfId="5670" xr:uid="{BEF16CB4-E9F7-4A05-BC12-596D68892C04}"/>
    <cellStyle name="Normal 2 3 3 3 2 2 10" xfId="5671" xr:uid="{74B13425-E1FD-4259-A53B-231F5122CBB0}"/>
    <cellStyle name="Normal 2 3 3 3 2 2 2" xfId="5672" xr:uid="{E0F6BE3F-8B9D-4F8A-8E0B-7CCF02544A5B}"/>
    <cellStyle name="Normal 2 3 3 3 2 2 2 2" xfId="5673" xr:uid="{5E29B147-964D-482D-BAF4-14E39638868B}"/>
    <cellStyle name="Normal 2 3 3 3 2 2 2 2 2" xfId="5674" xr:uid="{599F99F9-5F2A-4E46-B76A-8A47EB97BA6B}"/>
    <cellStyle name="Normal 2 3 3 3 2 2 2 2 2 2" xfId="5675" xr:uid="{162E3B6B-CAC1-4ED8-8E94-513378EABA2F}"/>
    <cellStyle name="Normal 2 3 3 3 2 2 2 2 2 3" xfId="5676" xr:uid="{237B0C54-BF11-4127-9A65-BA747F622695}"/>
    <cellStyle name="Normal 2 3 3 3 2 2 2 2 2 4" xfId="5677" xr:uid="{7EFEABDA-24A0-4EC3-B90B-F039028220D0}"/>
    <cellStyle name="Normal 2 3 3 3 2 2 2 2 2 5" xfId="5678" xr:uid="{B5AF6F04-7D2A-4EB0-8E49-6484A90597AA}"/>
    <cellStyle name="Normal 2 3 3 3 2 2 2 2 2 6" xfId="5679" xr:uid="{DD82A228-82EA-460A-BD46-6D69097DFF91}"/>
    <cellStyle name="Normal 2 3 3 3 2 2 2 2 2 7" xfId="5680" xr:uid="{A7D7E426-DA55-4391-AFCB-AE374FE02D4D}"/>
    <cellStyle name="Normal 2 3 3 3 2 2 2 2 2 8" xfId="5681" xr:uid="{9C3E6381-73E3-4823-8C45-41DAE85F722A}"/>
    <cellStyle name="Normal 2 3 3 3 2 2 2 2 3" xfId="5682" xr:uid="{E4B065DE-06E8-43A0-8C34-92320243482E}"/>
    <cellStyle name="Normal 2 3 3 3 2 2 2 2 4" xfId="5683" xr:uid="{62B19084-286A-4DD3-B9E0-C9BB40D05833}"/>
    <cellStyle name="Normal 2 3 3 3 2 2 2 2 5" xfId="5684" xr:uid="{366EB357-E3C4-42E7-891D-101F324626DE}"/>
    <cellStyle name="Normal 2 3 3 3 2 2 2 2 6" xfId="5685" xr:uid="{E39CB81B-483C-4EFB-8413-C89934951692}"/>
    <cellStyle name="Normal 2 3 3 3 2 2 2 2 7" xfId="5686" xr:uid="{76E97C41-1B0C-4261-8508-825DD55985F4}"/>
    <cellStyle name="Normal 2 3 3 3 2 2 2 2 8" xfId="5687" xr:uid="{837F835F-2564-4806-AA54-AAD046B439DC}"/>
    <cellStyle name="Normal 2 3 3 3 2 2 2 3" xfId="5688" xr:uid="{1A451CB1-6E32-4DB5-9932-F79A837419DB}"/>
    <cellStyle name="Normal 2 3 3 3 2 2 2 4" xfId="5689" xr:uid="{3CE1F886-C484-482A-B659-0E60F1D4F4DF}"/>
    <cellStyle name="Normal 2 3 3 3 2 2 2 5" xfId="5690" xr:uid="{12097015-1DBB-4652-8B6F-0C846EDDC6EC}"/>
    <cellStyle name="Normal 2 3 3 3 2 2 2 6" xfId="5691" xr:uid="{0A335E65-3CB6-459F-83F6-B7F86AB3FE8F}"/>
    <cellStyle name="Normal 2 3 3 3 2 2 2 7" xfId="5692" xr:uid="{C1E1484D-D501-490A-B8D7-681425BF4D43}"/>
    <cellStyle name="Normal 2 3 3 3 2 2 2 8" xfId="5693" xr:uid="{564494D4-CF76-483E-A1D6-8D74C1B79C4B}"/>
    <cellStyle name="Normal 2 3 3 3 2 2 2 9" xfId="5694" xr:uid="{18D3DF77-60D3-4E7B-8942-B5595D46200E}"/>
    <cellStyle name="Normal 2 3 3 3 2 2 3" xfId="5695" xr:uid="{BDC4C701-D70F-4D39-B46F-1BC45BEC2D40}"/>
    <cellStyle name="Normal 2 3 3 3 2 2 4" xfId="5696" xr:uid="{2B82DB85-208C-4660-B87D-3C65FB09C1AF}"/>
    <cellStyle name="Normal 2 3 3 3 2 2 4 2" xfId="5697" xr:uid="{ED8EBD54-C13B-4175-ABE8-76F3F5B46980}"/>
    <cellStyle name="Normal 2 3 3 3 2 2 4 3" xfId="5698" xr:uid="{C819BD00-8EB8-4405-BB5B-FDFD00C58B5A}"/>
    <cellStyle name="Normal 2 3 3 3 2 2 4 4" xfId="5699" xr:uid="{0867A23C-AE11-41BE-9079-3D079693A682}"/>
    <cellStyle name="Normal 2 3 3 3 2 2 4 5" xfId="5700" xr:uid="{D8EC1992-4CCA-41CE-995D-36B3E06DBDBA}"/>
    <cellStyle name="Normal 2 3 3 3 2 2 4 6" xfId="5701" xr:uid="{F52C6AB6-2822-4818-AAF3-D5E8FE17E650}"/>
    <cellStyle name="Normal 2 3 3 3 2 2 4 7" xfId="5702" xr:uid="{AAC39112-2684-41D4-9A36-1D8924222116}"/>
    <cellStyle name="Normal 2 3 3 3 2 2 4 8" xfId="5703" xr:uid="{CF8DDC60-CF52-4D9C-836B-558CF8AB3C59}"/>
    <cellStyle name="Normal 2 3 3 3 2 2 5" xfId="5704" xr:uid="{6EAA8F43-D9E1-4964-99E4-100B4C88180B}"/>
    <cellStyle name="Normal 2 3 3 3 2 2 6" xfId="5705" xr:uid="{3AA9EC3E-1B60-4E6F-BE2F-25A210BF8D5C}"/>
    <cellStyle name="Normal 2 3 3 3 2 2 7" xfId="5706" xr:uid="{5E93BEE8-67FC-4D15-BD1B-0B8CF72EB4C4}"/>
    <cellStyle name="Normal 2 3 3 3 2 2 8" xfId="5707" xr:uid="{740E3113-7A41-490B-9B95-33530D1E3B16}"/>
    <cellStyle name="Normal 2 3 3 3 2 2 9" xfId="5708" xr:uid="{91328EEB-5A2E-4805-9235-D0ADFCD1A0CC}"/>
    <cellStyle name="Normal 2 3 3 3 2 3" xfId="5709" xr:uid="{59AF71C9-B1F7-4F6E-8348-6FCA68D8EA85}"/>
    <cellStyle name="Normal 2 3 3 3 2 4" xfId="5710" xr:uid="{1126A4BD-D502-419B-A54C-2371E25FF2B0}"/>
    <cellStyle name="Normal 2 3 3 3 2 5" xfId="5711" xr:uid="{A24462D3-9DC4-441A-8C6A-96D197793645}"/>
    <cellStyle name="Normal 2 3 3 3 2 6" xfId="5712" xr:uid="{B17D689F-B8AB-4723-A670-98E7B958A68E}"/>
    <cellStyle name="Normal 2 3 3 3 2 7" xfId="5713" xr:uid="{ECF57928-C908-4B1E-96AA-88A00088F9FB}"/>
    <cellStyle name="Normal 2 3 3 3 2 8" xfId="5714" xr:uid="{AADAA7DB-0599-465D-BF73-05C92CF5BB09}"/>
    <cellStyle name="Normal 2 3 3 3 2 9" xfId="5715" xr:uid="{6B07DB32-237F-4579-A282-347204DE4C6C}"/>
    <cellStyle name="Normal 2 3 3 3 3" xfId="5716" xr:uid="{897A2173-D3AD-4E0B-A46F-7A7B6FA3F742}"/>
    <cellStyle name="Normal 2 3 3 3 3 10" xfId="5717" xr:uid="{D3868AEB-79EA-47AF-9BC2-2C658C9D0286}"/>
    <cellStyle name="Normal 2 3 3 3 3 2" xfId="5718" xr:uid="{2D9BAD56-F0C5-4939-A913-18CC360FA9D0}"/>
    <cellStyle name="Normal 2 3 3 3 3 2 2" xfId="5719" xr:uid="{F565A0AB-9548-4286-8A56-1F7B1ED4A9BF}"/>
    <cellStyle name="Normal 2 3 3 3 3 2 2 2" xfId="5720" xr:uid="{AC4FF57C-A66B-487C-9779-DD2302EDEA75}"/>
    <cellStyle name="Normal 2 3 3 3 3 2 2 2 2" xfId="5721" xr:uid="{5DE1D411-6433-4541-A726-8ED504587598}"/>
    <cellStyle name="Normal 2 3 3 3 3 2 2 2 3" xfId="5722" xr:uid="{85663CD1-270A-4C12-8671-B398BC5E7001}"/>
    <cellStyle name="Normal 2 3 3 3 3 2 2 2 4" xfId="5723" xr:uid="{DEC9E5F2-9900-4CFE-B11C-491BF35E901A}"/>
    <cellStyle name="Normal 2 3 3 3 3 2 2 2 5" xfId="5724" xr:uid="{88C1DF91-18A3-4998-8640-3067FA2BBD8B}"/>
    <cellStyle name="Normal 2 3 3 3 3 2 2 2 6" xfId="5725" xr:uid="{1ABFDD69-05F7-4690-9CF7-90942B5C5384}"/>
    <cellStyle name="Normal 2 3 3 3 3 2 2 2 7" xfId="5726" xr:uid="{59651EB2-D011-47DB-B597-C38195E97EAD}"/>
    <cellStyle name="Normal 2 3 3 3 3 2 2 2 8" xfId="5727" xr:uid="{B651CAE5-099B-4097-B86E-350FC7DFB3CE}"/>
    <cellStyle name="Normal 2 3 3 3 3 2 2 3" xfId="5728" xr:uid="{6E235E53-2CC7-49DA-855B-4F3B091675A2}"/>
    <cellStyle name="Normal 2 3 3 3 3 2 2 4" xfId="5729" xr:uid="{3B37CE47-8D8C-4162-A7E3-BD299C9A52D9}"/>
    <cellStyle name="Normal 2 3 3 3 3 2 2 5" xfId="5730" xr:uid="{B4607E9C-705C-430A-A20E-5484ED0E8A2C}"/>
    <cellStyle name="Normal 2 3 3 3 3 2 2 6" xfId="5731" xr:uid="{8D969750-B9AA-448D-A4A1-6517E6602A00}"/>
    <cellStyle name="Normal 2 3 3 3 3 2 2 7" xfId="5732" xr:uid="{F334D5B0-6977-451A-A1ED-032AD2E1DC1D}"/>
    <cellStyle name="Normal 2 3 3 3 3 2 2 8" xfId="5733" xr:uid="{45EACF18-793F-4901-800D-446A57E061DF}"/>
    <cellStyle name="Normal 2 3 3 3 3 2 3" xfId="5734" xr:uid="{CB07FE25-BE77-4E27-9E29-58509CF09077}"/>
    <cellStyle name="Normal 2 3 3 3 3 2 4" xfId="5735" xr:uid="{B8B5EB2F-E6B2-447E-8A68-2A4303178849}"/>
    <cellStyle name="Normal 2 3 3 3 3 2 5" xfId="5736" xr:uid="{72ED06C2-2755-4A61-A9C4-3116BA96219F}"/>
    <cellStyle name="Normal 2 3 3 3 3 2 6" xfId="5737" xr:uid="{165CA95B-D10B-4F76-A241-7543D2BA5F6F}"/>
    <cellStyle name="Normal 2 3 3 3 3 2 7" xfId="5738" xr:uid="{FAB2486D-BAB2-43F6-9428-613976DC15F0}"/>
    <cellStyle name="Normal 2 3 3 3 3 2 8" xfId="5739" xr:uid="{F5C29620-BA5D-4EE0-A0AE-EBEA26F3041E}"/>
    <cellStyle name="Normal 2 3 3 3 3 2 9" xfId="5740" xr:uid="{E37DDC95-7741-490E-9D48-0920FDD925E2}"/>
    <cellStyle name="Normal 2 3 3 3 3 3" xfId="5741" xr:uid="{CED61B10-4448-4838-B063-5B9FCE979A62}"/>
    <cellStyle name="Normal 2 3 3 3 3 4" xfId="5742" xr:uid="{34E1418D-698E-4F15-8D70-C1EF3AFEFA43}"/>
    <cellStyle name="Normal 2 3 3 3 3 4 2" xfId="5743" xr:uid="{EC1B4251-161A-4969-9EDC-88D672DEA323}"/>
    <cellStyle name="Normal 2 3 3 3 3 4 3" xfId="5744" xr:uid="{AB3CC688-241C-44E3-800F-D76F3F2454E9}"/>
    <cellStyle name="Normal 2 3 3 3 3 4 4" xfId="5745" xr:uid="{728CF951-B88E-4233-861A-DD8FAB9B8668}"/>
    <cellStyle name="Normal 2 3 3 3 3 4 5" xfId="5746" xr:uid="{BC65CA57-4027-4587-A9DE-7DF966F5B453}"/>
    <cellStyle name="Normal 2 3 3 3 3 4 6" xfId="5747" xr:uid="{29812211-74CB-4FC2-8B3F-B9A2585AFCCD}"/>
    <cellStyle name="Normal 2 3 3 3 3 4 7" xfId="5748" xr:uid="{370C8B75-D650-46FE-B1E4-DDC6228B9F53}"/>
    <cellStyle name="Normal 2 3 3 3 3 4 8" xfId="5749" xr:uid="{1F8890A6-4F0A-46B9-A3C9-AE62A5052860}"/>
    <cellStyle name="Normal 2 3 3 3 3 5" xfId="5750" xr:uid="{3AC53AE7-9B1C-4448-8ED8-C6FAA8A25DFC}"/>
    <cellStyle name="Normal 2 3 3 3 3 6" xfId="5751" xr:uid="{8224F0A7-D157-470A-9B7D-213C833A347F}"/>
    <cellStyle name="Normal 2 3 3 3 3 7" xfId="5752" xr:uid="{CF8B66DE-FBCE-4C9D-B79D-D1C59509C74E}"/>
    <cellStyle name="Normal 2 3 3 3 3 8" xfId="5753" xr:uid="{1D769BD4-A707-4A8F-9E47-F68500D09B0E}"/>
    <cellStyle name="Normal 2 3 3 3 3 9" xfId="5754" xr:uid="{751548B0-ECB9-40DF-877C-9D9B6C204A61}"/>
    <cellStyle name="Normal 2 3 3 3 4" xfId="5755" xr:uid="{60BF5C8B-9F39-4DA0-A6B1-FCD656E2C90D}"/>
    <cellStyle name="Normal 2 3 3 3 5" xfId="5756" xr:uid="{A708BBB9-9232-4220-87AB-F06A040CBD61}"/>
    <cellStyle name="Normal 2 3 3 3 6" xfId="5757" xr:uid="{0F7C229F-2A15-4A72-B1DD-AB8932E99B60}"/>
    <cellStyle name="Normal 2 3 3 3 7" xfId="5758" xr:uid="{EB7ACF7B-7918-48E2-A78C-FB3FE78EFD8F}"/>
    <cellStyle name="Normal 2 3 3 3 8" xfId="5759" xr:uid="{C79DF67D-75B2-43FC-8B47-1A3D345D80BF}"/>
    <cellStyle name="Normal 2 3 3 3 9" xfId="5760" xr:uid="{E0BEB809-8348-4932-A512-96D73BF32AD8}"/>
    <cellStyle name="Normal 2 3 3 4" xfId="5761" xr:uid="{C2CCCAD1-3D38-4210-A665-C5C0176A89AB}"/>
    <cellStyle name="Normal 2 3 3 5" xfId="5762" xr:uid="{66C5CF77-A542-4317-A8CA-DA4B571D4761}"/>
    <cellStyle name="Normal 2 3 3 6" xfId="5763" xr:uid="{B896CC9E-EF0F-4197-89B9-619A0F55FF6F}"/>
    <cellStyle name="Normal 2 3 3 7" xfId="5764" xr:uid="{A1C815CB-4870-4FAD-B5D2-80BCA416352D}"/>
    <cellStyle name="Normal 2 3 3 7 10" xfId="5765" xr:uid="{DD0D1D30-24D4-4687-9A37-C060C9009B37}"/>
    <cellStyle name="Normal 2 3 3 7 2" xfId="5766" xr:uid="{E9925CD8-E512-4386-B5F0-60784D98A9FB}"/>
    <cellStyle name="Normal 2 3 3 7 2 2" xfId="5767" xr:uid="{1AE0D3B9-68AF-465C-84AD-BB38DA426551}"/>
    <cellStyle name="Normal 2 3 3 7 2 2 2" xfId="5768" xr:uid="{DD3B77DB-A92E-4B87-A191-E9CDF4CB4544}"/>
    <cellStyle name="Normal 2 3 3 7 2 2 2 2" xfId="5769" xr:uid="{E627DF36-E6AB-4434-8CF1-710EDAB29EE3}"/>
    <cellStyle name="Normal 2 3 3 7 2 2 2 3" xfId="5770" xr:uid="{D86DD415-B0ED-4A21-BB3D-52F8A4EAC89B}"/>
    <cellStyle name="Normal 2 3 3 7 2 2 2 4" xfId="5771" xr:uid="{04E1EAFA-C0F5-4C24-9D3F-186A6CD4796F}"/>
    <cellStyle name="Normal 2 3 3 7 2 2 2 5" xfId="5772" xr:uid="{708AF73E-70DC-46C7-AE05-06673C70B449}"/>
    <cellStyle name="Normal 2 3 3 7 2 2 2 6" xfId="5773" xr:uid="{D42AD89E-B73F-4379-A811-FAD3BAEBF65E}"/>
    <cellStyle name="Normal 2 3 3 7 2 2 2 7" xfId="5774" xr:uid="{7835E52B-65FE-4CA0-B49F-66DBC0D88639}"/>
    <cellStyle name="Normal 2 3 3 7 2 2 2 8" xfId="5775" xr:uid="{61AFE6D3-4955-47DB-AC76-C9BBD9102972}"/>
    <cellStyle name="Normal 2 3 3 7 2 2 3" xfId="5776" xr:uid="{A09F7924-84A4-4884-8356-88852CB234ED}"/>
    <cellStyle name="Normal 2 3 3 7 2 2 4" xfId="5777" xr:uid="{CE2BC6AA-147E-4687-A704-9F1F99516C4E}"/>
    <cellStyle name="Normal 2 3 3 7 2 2 5" xfId="5778" xr:uid="{91E17097-95D7-4346-815D-18A2ACF8115D}"/>
    <cellStyle name="Normal 2 3 3 7 2 2 6" xfId="5779" xr:uid="{417637DD-F423-4B1E-9591-548772B9214F}"/>
    <cellStyle name="Normal 2 3 3 7 2 2 7" xfId="5780" xr:uid="{E5F3F165-5881-450D-AE6B-EE517C58DA99}"/>
    <cellStyle name="Normal 2 3 3 7 2 2 8" xfId="5781" xr:uid="{216588D7-CCD7-4520-9F68-CF4F4DC6AFCD}"/>
    <cellStyle name="Normal 2 3 3 7 2 3" xfId="5782" xr:uid="{A190CBC9-5B6A-41CB-86E5-6F5141C291D0}"/>
    <cellStyle name="Normal 2 3 3 7 2 4" xfId="5783" xr:uid="{60C1BBB8-A25F-428B-8633-75CDF65F88A0}"/>
    <cellStyle name="Normal 2 3 3 7 2 5" xfId="5784" xr:uid="{CE4F40F0-0626-4F84-9021-6F980D462C8F}"/>
    <cellStyle name="Normal 2 3 3 7 2 6" xfId="5785" xr:uid="{F72AABCE-6870-4D50-8AC6-A3C15502AE35}"/>
    <cellStyle name="Normal 2 3 3 7 2 7" xfId="5786" xr:uid="{2513C724-0204-4655-83BA-B9DB050B562E}"/>
    <cellStyle name="Normal 2 3 3 7 2 8" xfId="5787" xr:uid="{936B4D3C-25E8-46FE-8A80-41F186FA8CF4}"/>
    <cellStyle name="Normal 2 3 3 7 2 9" xfId="5788" xr:uid="{A53762D0-4DFE-4B4A-BFC4-9D694A32D413}"/>
    <cellStyle name="Normal 2 3 3 7 3" xfId="5789" xr:uid="{C979BA85-084A-478F-8B4B-EA047989C4B3}"/>
    <cellStyle name="Normal 2 3 3 7 4" xfId="5790" xr:uid="{D3D8F889-A096-470F-83BF-9FF49CD1DF7D}"/>
    <cellStyle name="Normal 2 3 3 7 4 2" xfId="5791" xr:uid="{EA6B52DB-1D17-40C8-AD7B-66DD1596110D}"/>
    <cellStyle name="Normal 2 3 3 7 4 3" xfId="5792" xr:uid="{4E168724-8C24-495E-A553-1AD4F1A5C345}"/>
    <cellStyle name="Normal 2 3 3 7 4 4" xfId="5793" xr:uid="{488CBAEE-FCCA-46CA-BB1E-5A827F2DE434}"/>
    <cellStyle name="Normal 2 3 3 7 4 5" xfId="5794" xr:uid="{6A63710C-0976-45DD-BA67-8F5659EA7744}"/>
    <cellStyle name="Normal 2 3 3 7 4 6" xfId="5795" xr:uid="{15FD20FF-766C-4F08-9672-CFD7BF569B1B}"/>
    <cellStyle name="Normal 2 3 3 7 4 7" xfId="5796" xr:uid="{8C5D2FA6-6ECC-4F85-8FA3-111290295165}"/>
    <cellStyle name="Normal 2 3 3 7 4 8" xfId="5797" xr:uid="{39989D1E-9C31-4959-B3D2-9342DA8DBEC4}"/>
    <cellStyle name="Normal 2 3 3 7 5" xfId="5798" xr:uid="{FC9AD1D3-4144-473B-A6EA-834E871DFBCA}"/>
    <cellStyle name="Normal 2 3 3 7 6" xfId="5799" xr:uid="{B60F52D4-BF27-4FF5-8E5F-A9B0FEA0C02D}"/>
    <cellStyle name="Normal 2 3 3 7 7" xfId="5800" xr:uid="{8F2324FD-F76D-406C-8BDF-9AA2EEB9B4E2}"/>
    <cellStyle name="Normal 2 3 3 7 8" xfId="5801" xr:uid="{889C7977-2CE8-4B9C-A6DC-83FA721BC904}"/>
    <cellStyle name="Normal 2 3 3 7 9" xfId="5802" xr:uid="{9599166A-4C70-41A9-98B6-94A36E152885}"/>
    <cellStyle name="Normal 2 3 3 8" xfId="5803" xr:uid="{C76C594B-9789-4755-8072-A9322849161B}"/>
    <cellStyle name="Normal 2 3 3 9" xfId="5804" xr:uid="{96D00946-3AD0-42F3-A071-9DDF7C433DCF}"/>
    <cellStyle name="Normal 2 3 30" xfId="5805" xr:uid="{C3BCB0F7-27F4-41E5-8E65-AEC12C71B73A}"/>
    <cellStyle name="Normal 2 3 31" xfId="5806" xr:uid="{21156F81-7824-45A8-B9A2-DFD0284FB31B}"/>
    <cellStyle name="Normal 2 3 32" xfId="5807" xr:uid="{E5FF9375-CC6D-4903-9F9C-F6B1DD50C6E1}"/>
    <cellStyle name="Normal 2 3 33" xfId="5808" xr:uid="{30B16F83-C1C9-4550-8DFE-65E27961F924}"/>
    <cellStyle name="Normal 2 3 34" xfId="5809" xr:uid="{7219DEC4-5FEE-4101-A299-AA65699DE803}"/>
    <cellStyle name="Normal 2 3 35" xfId="5810" xr:uid="{61BA0E4E-087F-41D3-B9FC-BBA0280AD627}"/>
    <cellStyle name="Normal 2 3 36" xfId="5811" xr:uid="{50C3B938-0127-44CA-B2CE-6433B0B26D2C}"/>
    <cellStyle name="Normal 2 3 36 2" xfId="5812" xr:uid="{AEEEE16C-C644-45C7-B96C-A17898687600}"/>
    <cellStyle name="Normal 2 3 36 2 2" xfId="5813" xr:uid="{9A712DFE-8169-4B44-A821-9C1DFCA2483B}"/>
    <cellStyle name="Normal 2 3 36 2 2 2" xfId="5814" xr:uid="{EE14BA95-B45A-4888-8CA2-5C8D2191A7DC}"/>
    <cellStyle name="Normal 2 3 36 2 2 3" xfId="5815" xr:uid="{90077D5C-3E0E-47A8-A87B-B029730F286A}"/>
    <cellStyle name="Normal 2 3 36 2 2 4" xfId="5816" xr:uid="{0BE0B8DA-0C54-4CD3-86E8-D5DDEFFCEC20}"/>
    <cellStyle name="Normal 2 3 36 2 2 5" xfId="5817" xr:uid="{90B30855-08D7-4951-A4B3-805146F77F45}"/>
    <cellStyle name="Normal 2 3 36 2 2 6" xfId="5818" xr:uid="{7D8F90F9-10BB-479A-9337-FA601DAA0BCF}"/>
    <cellStyle name="Normal 2 3 36 2 2 7" xfId="5819" xr:uid="{A269CB8B-0F56-49EF-AD30-6F5676790FFD}"/>
    <cellStyle name="Normal 2 3 36 2 2 8" xfId="5820" xr:uid="{DDB3CDC9-B2D6-4059-889B-E30B1DB2C791}"/>
    <cellStyle name="Normal 2 3 36 2 3" xfId="5821" xr:uid="{3F9553EF-2B70-469E-AD34-660629F18B88}"/>
    <cellStyle name="Normal 2 3 36 2 4" xfId="5822" xr:uid="{9A8567EC-BC89-4E0E-9AB1-77CAD45030A4}"/>
    <cellStyle name="Normal 2 3 36 2 5" xfId="5823" xr:uid="{D7FA0D56-C70C-4AD9-B4D2-B9E692C08A0F}"/>
    <cellStyle name="Normal 2 3 36 2 6" xfId="5824" xr:uid="{3CCE4BFA-A965-422D-875B-52E6197C0071}"/>
    <cellStyle name="Normal 2 3 36 2 7" xfId="5825" xr:uid="{26D2330C-3993-4256-8E7F-8F0DC3225357}"/>
    <cellStyle name="Normal 2 3 36 2 8" xfId="5826" xr:uid="{3C18FCBE-2723-462D-AB7C-8752700B24D5}"/>
    <cellStyle name="Normal 2 3 36 3" xfId="5827" xr:uid="{F0775EC1-30A7-46C9-88AE-E62FE4D64B81}"/>
    <cellStyle name="Normal 2 3 36 4" xfId="5828" xr:uid="{87BDA9A5-FF72-4FB4-96A6-980F63BC755D}"/>
    <cellStyle name="Normal 2 3 36 5" xfId="5829" xr:uid="{1DCC78A4-0BAE-4569-8FDB-0C03E22FD840}"/>
    <cellStyle name="Normal 2 3 36 6" xfId="5830" xr:uid="{2A788D10-DB31-4295-9CB7-37E0337D5949}"/>
    <cellStyle name="Normal 2 3 36 7" xfId="5831" xr:uid="{BDB687E7-EE67-48C8-99BA-2CA21EE0C46D}"/>
    <cellStyle name="Normal 2 3 36 8" xfId="5832" xr:uid="{D90D9217-ECFC-4845-97B0-B5FE89071847}"/>
    <cellStyle name="Normal 2 3 36 9" xfId="5833" xr:uid="{7150AC31-61E8-41FC-81EF-B8B534D00426}"/>
    <cellStyle name="Normal 2 3 37" xfId="5834" xr:uid="{D0C6CB94-D222-4E44-A58B-FE5AEE303DB1}"/>
    <cellStyle name="Normal 2 3 37 2" xfId="5835" xr:uid="{61469F75-4AEE-4913-90D0-455E76DD77C0}"/>
    <cellStyle name="Normal 2 3 37 3" xfId="5836" xr:uid="{B76C38B7-F103-4E28-87F1-C9573698E7B4}"/>
    <cellStyle name="Normal 2 3 37 4" xfId="5837" xr:uid="{AE56B36F-AF7D-4B0D-93CB-739DF31CEA5B}"/>
    <cellStyle name="Normal 2 3 37 5" xfId="5838" xr:uid="{5B25C53B-F254-4061-9E69-7B8A7E26DBD8}"/>
    <cellStyle name="Normal 2 3 37 6" xfId="5839" xr:uid="{6FFD4359-13DB-4431-ABC9-BF764AAA5C6B}"/>
    <cellStyle name="Normal 2 3 37 7" xfId="5840" xr:uid="{94AC99E1-B938-473E-977B-FC6BD0C1935C}"/>
    <cellStyle name="Normal 2 3 37 8" xfId="5841" xr:uid="{165BB32F-F827-4EB0-8380-919E0B574113}"/>
    <cellStyle name="Normal 2 3 38" xfId="5842" xr:uid="{86858407-DCF2-4695-A4D0-C8CFD9983587}"/>
    <cellStyle name="Normal 2 3 39" xfId="5843" xr:uid="{DB1833BB-C3CD-4877-B1AD-1F89E3A42AE9}"/>
    <cellStyle name="Normal 2 3 4" xfId="5844" xr:uid="{2FF128BB-316B-4A9D-97BC-07D6058BD02D}"/>
    <cellStyle name="Normal 2 3 40" xfId="5845" xr:uid="{3FE6FFD7-9558-4040-90A7-89D378349865}"/>
    <cellStyle name="Normal 2 3 41" xfId="5846" xr:uid="{9ABDB985-8BDD-4FB8-A5B2-71EF41241E01}"/>
    <cellStyle name="Normal 2 3 42" xfId="5847" xr:uid="{729ABEB2-BCE0-43AD-B33D-FF45BF3CFDB3}"/>
    <cellStyle name="Normal 2 3 43" xfId="5848" xr:uid="{6CEE2E66-CD7E-49C6-A4B0-C7ED964CD660}"/>
    <cellStyle name="Normal 2 3 5" xfId="5849" xr:uid="{B4F4ADE6-E725-42E2-B771-7FF65A845B53}"/>
    <cellStyle name="Normal 2 3 6" xfId="5850" xr:uid="{D317554C-C82E-46C8-9493-5485F51C53CC}"/>
    <cellStyle name="Normal 2 3 7" xfId="5851" xr:uid="{B4CBD1E0-21C0-4013-8ED3-098159CE5D7D}"/>
    <cellStyle name="Normal 2 3 8" xfId="5852" xr:uid="{FB4FA382-95F8-45BF-ADFA-9930DEB3D38C}"/>
    <cellStyle name="Normal 2 3 9" xfId="5853" xr:uid="{313F6CB5-A204-424D-8674-47F1E730DC04}"/>
    <cellStyle name="Normal 2 30" xfId="5854" xr:uid="{7844823F-965C-47D4-8D5C-D55C94F0C18E}"/>
    <cellStyle name="Normal 2 31" xfId="5855" xr:uid="{D8C11EC3-CD9E-4A3B-8C0A-C3B8E1C4FC44}"/>
    <cellStyle name="Normal 2 32" xfId="5856" xr:uid="{B76E2D09-8F55-417A-B9EC-D652549C614D}"/>
    <cellStyle name="Normal 2 33" xfId="5857" xr:uid="{CBAFA604-97BE-4D15-A5C1-21B26A1D606F}"/>
    <cellStyle name="Normal 2 33 10" xfId="5858" xr:uid="{BD507226-F1F5-42D0-8882-7001DF420D09}"/>
    <cellStyle name="Normal 2 33 10 2" xfId="5859" xr:uid="{FF348132-89AF-4870-ADD0-69A20DDEF673}"/>
    <cellStyle name="Normal 2 33 10 2 2" xfId="5860" xr:uid="{3B9BDD47-77DE-4F10-91DF-83BFC989DF1C}"/>
    <cellStyle name="Normal 2 33 10 2 2 2" xfId="5861" xr:uid="{D48FFBE4-D7A2-42D9-978D-6F7BEECBAF9B}"/>
    <cellStyle name="Normal 2 33 10 2 2 3" xfId="5862" xr:uid="{27E7E0EF-8FE9-455A-8482-38D0395FF7C8}"/>
    <cellStyle name="Normal 2 33 10 2 2 4" xfId="5863" xr:uid="{B74A9180-504F-41A5-8E9E-583246ECF57A}"/>
    <cellStyle name="Normal 2 33 10 2 2 5" xfId="5864" xr:uid="{82C4D46D-F173-41E4-B3FA-39BD6A896EBA}"/>
    <cellStyle name="Normal 2 33 10 2 2 6" xfId="5865" xr:uid="{2614EA7C-4792-43E6-9842-21168243D713}"/>
    <cellStyle name="Normal 2 33 10 2 2 7" xfId="5866" xr:uid="{C586577B-E081-46F7-9D7B-225B7B501A34}"/>
    <cellStyle name="Normal 2 33 10 2 2 8" xfId="5867" xr:uid="{66B810A0-6634-4A48-9080-6607E99AFC91}"/>
    <cellStyle name="Normal 2 33 10 2 3" xfId="5868" xr:uid="{3CE4FBC0-030E-44C7-8F74-683B2F28D326}"/>
    <cellStyle name="Normal 2 33 10 2 4" xfId="5869" xr:uid="{8D5DAEED-CDC4-4DF1-A3D2-4284889FA9CF}"/>
    <cellStyle name="Normal 2 33 10 2 5" xfId="5870" xr:uid="{FFEEBA06-E22C-4422-8CCF-EECBE2269E8B}"/>
    <cellStyle name="Normal 2 33 10 2 6" xfId="5871" xr:uid="{197B0C49-86D2-40F9-90AF-96EC65AF8809}"/>
    <cellStyle name="Normal 2 33 10 2 7" xfId="5872" xr:uid="{FDA28B15-5140-49A5-9DA0-C9132671466C}"/>
    <cellStyle name="Normal 2 33 10 2 8" xfId="5873" xr:uid="{BE62DF2D-74CE-4D97-9BFA-B2123F6A385A}"/>
    <cellStyle name="Normal 2 33 10 3" xfId="5874" xr:uid="{144D13BB-29AD-44D2-A7DF-6C131CD0E137}"/>
    <cellStyle name="Normal 2 33 10 4" xfId="5875" xr:uid="{2DFBEDD2-E84D-4A13-BAEB-933062336186}"/>
    <cellStyle name="Normal 2 33 10 5" xfId="5876" xr:uid="{C59718F9-E214-4986-9AC8-00E19D55DB8A}"/>
    <cellStyle name="Normal 2 33 10 6" xfId="5877" xr:uid="{EE873D79-302A-47B1-B2E1-752F57D0E431}"/>
    <cellStyle name="Normal 2 33 10 7" xfId="5878" xr:uid="{D7C02110-0C9A-4BD5-A37B-406DC844564A}"/>
    <cellStyle name="Normal 2 33 10 8" xfId="5879" xr:uid="{7B6B9E04-147B-42A8-9A45-E19EB712E18B}"/>
    <cellStyle name="Normal 2 33 10 9" xfId="5880" xr:uid="{DEF08E46-C244-47C7-BE57-20B8CB7F0180}"/>
    <cellStyle name="Normal 2 33 11" xfId="5881" xr:uid="{DCAEC194-36E1-42A4-B92E-61662E860D31}"/>
    <cellStyle name="Normal 2 33 11 2" xfId="5882" xr:uid="{4B709432-D921-476D-B488-7DC85F326C0B}"/>
    <cellStyle name="Normal 2 33 11 3" xfId="5883" xr:uid="{4BDDBA1E-1046-410C-8E12-E941ED974618}"/>
    <cellStyle name="Normal 2 33 11 4" xfId="5884" xr:uid="{476A1218-ADF8-48A4-A787-4575E38D6DDC}"/>
    <cellStyle name="Normal 2 33 11 5" xfId="5885" xr:uid="{D2B1AA15-E635-4655-88F0-92AA401F4917}"/>
    <cellStyle name="Normal 2 33 11 6" xfId="5886" xr:uid="{EB82C325-0EFC-4876-AF55-74573F8FF96B}"/>
    <cellStyle name="Normal 2 33 11 7" xfId="5887" xr:uid="{12C786CD-2B8A-4FF5-A257-A16095047F0D}"/>
    <cellStyle name="Normal 2 33 11 8" xfId="5888" xr:uid="{856D3484-2AD3-4E0C-A4B9-BB2D47FA414D}"/>
    <cellStyle name="Normal 2 33 12" xfId="5889" xr:uid="{43D7087D-B5F2-42F8-A273-9FA00C8AD684}"/>
    <cellStyle name="Normal 2 33 13" xfId="5890" xr:uid="{16A4B640-4F95-41FD-AA70-1E22C3703A78}"/>
    <cellStyle name="Normal 2 33 14" xfId="5891" xr:uid="{3F1423FF-2A8B-4E0E-AB55-884D3CCD59AB}"/>
    <cellStyle name="Normal 2 33 15" xfId="5892" xr:uid="{E782F0B2-BB50-45C1-9D87-D24EDCEA99C8}"/>
    <cellStyle name="Normal 2 33 16" xfId="5893" xr:uid="{CC8CCE3C-77E7-4709-8A5C-7702A2D3AA63}"/>
    <cellStyle name="Normal 2 33 17" xfId="5894" xr:uid="{53D863D7-1FE5-43D4-ADDA-768423EA6B91}"/>
    <cellStyle name="Normal 2 33 2" xfId="5895" xr:uid="{82D88C0C-F91A-4721-A681-98D553592506}"/>
    <cellStyle name="Normal 2 33 2 10" xfId="5896" xr:uid="{5ACFD3E1-9EC1-4375-A9F9-AC489BC32D73}"/>
    <cellStyle name="Normal 2 33 2 10 2" xfId="5897" xr:uid="{1682A371-CBEF-4F7C-94A5-EA8D6009AE92}"/>
    <cellStyle name="Normal 2 33 2 10 2 2" xfId="5898" xr:uid="{E4D38944-A443-4B0C-BBD0-EA665E96A2B2}"/>
    <cellStyle name="Normal 2 33 2 10 2 2 2" xfId="5899" xr:uid="{10B8C691-7685-41FF-8AD6-B99DBCF6EA06}"/>
    <cellStyle name="Normal 2 33 2 10 2 2 3" xfId="5900" xr:uid="{F57E90B9-C2D5-4834-AC59-3D7DA3EF59F6}"/>
    <cellStyle name="Normal 2 33 2 10 2 2 4" xfId="5901" xr:uid="{EAAB62FF-2A23-46A1-9D6A-C894A0FCD1D6}"/>
    <cellStyle name="Normal 2 33 2 10 2 2 5" xfId="5902" xr:uid="{989F6068-505D-4037-B826-A66EF10890E3}"/>
    <cellStyle name="Normal 2 33 2 10 2 2 6" xfId="5903" xr:uid="{D840A340-9377-4C5D-8144-FEE5B0DCFB40}"/>
    <cellStyle name="Normal 2 33 2 10 2 2 7" xfId="5904" xr:uid="{EF3E972B-9DB7-47E7-880A-2F2C66063412}"/>
    <cellStyle name="Normal 2 33 2 10 2 2 8" xfId="5905" xr:uid="{B0E3D711-40B9-42EB-8A79-A7E8532847A7}"/>
    <cellStyle name="Normal 2 33 2 10 2 3" xfId="5906" xr:uid="{10DC1406-5A50-422C-9CF8-D1B56273D385}"/>
    <cellStyle name="Normal 2 33 2 10 2 4" xfId="5907" xr:uid="{8BA01D1B-2D8D-445F-9C23-7455CEAB228A}"/>
    <cellStyle name="Normal 2 33 2 10 2 5" xfId="5908" xr:uid="{AC4C3E3C-7652-415F-BEEB-5BAA2799E079}"/>
    <cellStyle name="Normal 2 33 2 10 2 6" xfId="5909" xr:uid="{2C5A7E26-044F-4CF8-9DC4-295A59E36DFD}"/>
    <cellStyle name="Normal 2 33 2 10 2 7" xfId="5910" xr:uid="{37C92AD6-5044-4D7D-A02A-E95255032706}"/>
    <cellStyle name="Normal 2 33 2 10 2 8" xfId="5911" xr:uid="{676C32B7-804A-4E6E-B887-0901AF23C0F0}"/>
    <cellStyle name="Normal 2 33 2 10 3" xfId="5912" xr:uid="{FA05BE74-351A-4B91-B371-B45C19D5E5FF}"/>
    <cellStyle name="Normal 2 33 2 10 4" xfId="5913" xr:uid="{1E4BDD8F-A117-4823-8825-EAC25F3D3167}"/>
    <cellStyle name="Normal 2 33 2 10 5" xfId="5914" xr:uid="{E79FC396-6CA7-45BA-8387-07E5E04606AE}"/>
    <cellStyle name="Normal 2 33 2 10 6" xfId="5915" xr:uid="{DFF5E22B-688B-4DB4-B892-FE8BED2D4072}"/>
    <cellStyle name="Normal 2 33 2 10 7" xfId="5916" xr:uid="{3B7A52B1-AEE0-4239-B7EE-210A2DC182EF}"/>
    <cellStyle name="Normal 2 33 2 10 8" xfId="5917" xr:uid="{94E077BB-1308-4F86-98B5-C4028A2C25E4}"/>
    <cellStyle name="Normal 2 33 2 10 9" xfId="5918" xr:uid="{B4D93AFB-1E70-4CFF-8725-A9F046DC3C53}"/>
    <cellStyle name="Normal 2 33 2 11" xfId="5919" xr:uid="{D48D07C6-904A-437F-A6C6-AC100AC7ECB4}"/>
    <cellStyle name="Normal 2 33 2 11 2" xfId="5920" xr:uid="{77B9ACD0-62A1-454D-B923-3B4974A7AB1E}"/>
    <cellStyle name="Normal 2 33 2 11 3" xfId="5921" xr:uid="{8C182040-696A-495E-89E9-7AA056C2784C}"/>
    <cellStyle name="Normal 2 33 2 11 4" xfId="5922" xr:uid="{3642B721-B766-4765-839D-8E9579870451}"/>
    <cellStyle name="Normal 2 33 2 11 5" xfId="5923" xr:uid="{D0C4FED6-0490-4725-B583-73B4D842380D}"/>
    <cellStyle name="Normal 2 33 2 11 6" xfId="5924" xr:uid="{A1121E3A-2A12-4D26-8196-6EA3C01B65A8}"/>
    <cellStyle name="Normal 2 33 2 11 7" xfId="5925" xr:uid="{1C1874C6-41FF-48FC-A8DC-343BC0C57569}"/>
    <cellStyle name="Normal 2 33 2 11 8" xfId="5926" xr:uid="{97CD1E75-AF6B-4D04-B505-88D19A8A3DE4}"/>
    <cellStyle name="Normal 2 33 2 12" xfId="5927" xr:uid="{BBB1A654-2B3F-4487-A81D-6ABBFBBABEA0}"/>
    <cellStyle name="Normal 2 33 2 13" xfId="5928" xr:uid="{732F4E23-BA8E-40D7-A79E-AC56B52E28BD}"/>
    <cellStyle name="Normal 2 33 2 14" xfId="5929" xr:uid="{738DC86A-879F-4D2B-BE2A-2AFBF898468C}"/>
    <cellStyle name="Normal 2 33 2 15" xfId="5930" xr:uid="{47EE8E75-256B-415E-9879-788BDFF15B45}"/>
    <cellStyle name="Normal 2 33 2 16" xfId="5931" xr:uid="{093AE0AB-0BBE-491E-80F0-424B6334FE53}"/>
    <cellStyle name="Normal 2 33 2 17" xfId="5932" xr:uid="{20730C78-54E5-4F30-A9DA-5E424A816F0A}"/>
    <cellStyle name="Normal 2 33 2 2" xfId="5933" xr:uid="{014A0A69-18CE-49ED-B027-4B2DF6CEF4CA}"/>
    <cellStyle name="Normal 2 33 2 2 10" xfId="5934" xr:uid="{AB8C04B2-B5F3-4050-977B-D23DF349300A}"/>
    <cellStyle name="Normal 2 33 2 2 2" xfId="5935" xr:uid="{15CBB366-D2DF-433E-9869-351D3EC09EA3}"/>
    <cellStyle name="Normal 2 33 2 2 2 2" xfId="5936" xr:uid="{85AF358A-FDA7-4114-B2E4-81CF9AFDA8A1}"/>
    <cellStyle name="Normal 2 33 2 2 2 2 2" xfId="5937" xr:uid="{F886E0E5-3225-4FFE-98FB-102A53A0EBC3}"/>
    <cellStyle name="Normal 2 33 2 2 2 2 2 2" xfId="5938" xr:uid="{492E41C0-A0C9-4D51-9065-538DC60174F3}"/>
    <cellStyle name="Normal 2 33 2 2 2 2 2 3" xfId="5939" xr:uid="{B9168EBB-DCE9-46B1-A48E-BEE43E26577D}"/>
    <cellStyle name="Normal 2 33 2 2 2 2 2 4" xfId="5940" xr:uid="{7E13EE89-F3D8-4AFE-A37E-716F4EC1A6E3}"/>
    <cellStyle name="Normal 2 33 2 2 2 2 2 5" xfId="5941" xr:uid="{34B54A10-64C6-46DB-A08B-CC0120B90149}"/>
    <cellStyle name="Normal 2 33 2 2 2 2 2 6" xfId="5942" xr:uid="{6A2EC2F9-DDAC-4F15-8188-09B25AED986B}"/>
    <cellStyle name="Normal 2 33 2 2 2 2 2 7" xfId="5943" xr:uid="{C74298F2-3987-4F04-8D58-08CF46E534FE}"/>
    <cellStyle name="Normal 2 33 2 2 2 2 2 8" xfId="5944" xr:uid="{2F20F4AA-2E9B-4992-A1B5-6811765D3E4D}"/>
    <cellStyle name="Normal 2 33 2 2 2 2 3" xfId="5945" xr:uid="{585DDF85-E945-4BCA-940F-22493757F8FF}"/>
    <cellStyle name="Normal 2 33 2 2 2 2 4" xfId="5946" xr:uid="{A366B54D-B738-452C-A94D-F37DC3DBCD38}"/>
    <cellStyle name="Normal 2 33 2 2 2 2 5" xfId="5947" xr:uid="{FAD9833B-8ADF-4D7A-94BB-299EF04383C1}"/>
    <cellStyle name="Normal 2 33 2 2 2 2 6" xfId="5948" xr:uid="{BDEA6C64-91D8-48B0-9CBE-36A619894485}"/>
    <cellStyle name="Normal 2 33 2 2 2 2 7" xfId="5949" xr:uid="{38EF618B-5A04-4765-A5EF-895F152F96E3}"/>
    <cellStyle name="Normal 2 33 2 2 2 2 8" xfId="5950" xr:uid="{6DCE91FF-7DF9-4DFF-A191-495D9022B9F0}"/>
    <cellStyle name="Normal 2 33 2 2 2 3" xfId="5951" xr:uid="{F3694221-90E2-4948-A8E4-CA82376208EA}"/>
    <cellStyle name="Normal 2 33 2 2 2 4" xfId="5952" xr:uid="{63CE793D-DC95-4A25-9ABD-8A2FD034E2BE}"/>
    <cellStyle name="Normal 2 33 2 2 2 5" xfId="5953" xr:uid="{25F7D48C-C1DA-4F20-9D0B-A344C3D54A3C}"/>
    <cellStyle name="Normal 2 33 2 2 2 6" xfId="5954" xr:uid="{F30D55F9-99C9-463E-94F0-9BDA6236C8F2}"/>
    <cellStyle name="Normal 2 33 2 2 2 7" xfId="5955" xr:uid="{DDF4A65E-F0D3-4F3B-9A4A-D7977CE4B8B7}"/>
    <cellStyle name="Normal 2 33 2 2 2 8" xfId="5956" xr:uid="{28C684AE-A048-4466-A9B3-4E868D50DCCF}"/>
    <cellStyle name="Normal 2 33 2 2 2 9" xfId="5957" xr:uid="{FDA4AA2C-04EC-49EB-8812-B13D4AD79451}"/>
    <cellStyle name="Normal 2 33 2 2 3" xfId="5958" xr:uid="{309108FE-2193-4AAF-845A-302B636F3652}"/>
    <cellStyle name="Normal 2 33 2 2 4" xfId="5959" xr:uid="{3E649EAD-DE78-436B-8891-3E81E98518D6}"/>
    <cellStyle name="Normal 2 33 2 2 4 2" xfId="5960" xr:uid="{AB87666C-1C89-4CE7-BB0A-1362CF0D38B9}"/>
    <cellStyle name="Normal 2 33 2 2 4 3" xfId="5961" xr:uid="{B1149FED-15E4-4B10-89C6-9AD31EE3F95E}"/>
    <cellStyle name="Normal 2 33 2 2 4 4" xfId="5962" xr:uid="{256CA1B4-A6C7-4378-828E-5692E72D0CF0}"/>
    <cellStyle name="Normal 2 33 2 2 4 5" xfId="5963" xr:uid="{938D0D8B-83D3-4187-8D97-72D329303DAF}"/>
    <cellStyle name="Normal 2 33 2 2 4 6" xfId="5964" xr:uid="{72DDE1C2-BF9C-4196-91E8-67A327DE3FCC}"/>
    <cellStyle name="Normal 2 33 2 2 4 7" xfId="5965" xr:uid="{18827D9B-CE99-40E5-B7F0-5C4D447DE04A}"/>
    <cellStyle name="Normal 2 33 2 2 4 8" xfId="5966" xr:uid="{071E234D-A0EF-4B4E-B1E7-BF0317ED6235}"/>
    <cellStyle name="Normal 2 33 2 2 5" xfId="5967" xr:uid="{AE2E310A-03E4-46C5-AD95-2845D2A32670}"/>
    <cellStyle name="Normal 2 33 2 2 6" xfId="5968" xr:uid="{0CA786B2-ABB9-4B07-AF3F-7A9059F965D5}"/>
    <cellStyle name="Normal 2 33 2 2 7" xfId="5969" xr:uid="{18B4A56F-5F14-4D80-BC50-F6210736423F}"/>
    <cellStyle name="Normal 2 33 2 2 8" xfId="5970" xr:uid="{FEAEB21F-39DB-4355-A797-ADCD3C61A1FF}"/>
    <cellStyle name="Normal 2 33 2 2 9" xfId="5971" xr:uid="{93DB8102-2FBD-4BB4-B799-A7307E3A1D12}"/>
    <cellStyle name="Normal 2 33 2 3" xfId="5972" xr:uid="{227EA32E-2583-4B83-B07D-604EF4E54C23}"/>
    <cellStyle name="Normal 2 33 2 4" xfId="5973" xr:uid="{3ED2DA4B-BF03-4632-8829-973EC0C450AB}"/>
    <cellStyle name="Normal 2 33 2 5" xfId="5974" xr:uid="{BE68255A-9F16-4D09-B0F7-E76F2FE8B79E}"/>
    <cellStyle name="Normal 2 33 2 6" xfId="5975" xr:uid="{BEA18100-5F22-4008-BBFB-460D3CBA2A43}"/>
    <cellStyle name="Normal 2 33 2 7" xfId="5976" xr:uid="{873D121F-9C6C-4182-AD54-59190B518167}"/>
    <cellStyle name="Normal 2 33 2 8" xfId="5977" xr:uid="{336EE865-7A19-42BD-A02D-8119E5C8C6F6}"/>
    <cellStyle name="Normal 2 33 2 9" xfId="5978" xr:uid="{EAA8436D-4443-4FFE-9F34-C4E3ABCD5C6A}"/>
    <cellStyle name="Normal 2 33 3" xfId="5979" xr:uid="{9B8D24F8-799F-46C6-8E18-AED92B93C4C6}"/>
    <cellStyle name="Normal 2 33 3 10" xfId="5980" xr:uid="{D058C606-08CE-44DA-81B5-43F7D6D6A21B}"/>
    <cellStyle name="Normal 2 33 3 2" xfId="5981" xr:uid="{2F5E3224-BEC5-402B-93CD-CF29D32866D3}"/>
    <cellStyle name="Normal 2 33 3 2 2" xfId="5982" xr:uid="{B85F2300-C920-4B56-9D88-878287B45C55}"/>
    <cellStyle name="Normal 2 33 3 2 2 2" xfId="5983" xr:uid="{31643115-A60D-4F1A-8BC0-65B5EA2872AB}"/>
    <cellStyle name="Normal 2 33 3 2 2 2 2" xfId="5984" xr:uid="{5F06D191-D28C-4123-A8A0-64142F671165}"/>
    <cellStyle name="Normal 2 33 3 2 2 2 3" xfId="5985" xr:uid="{6D2B813D-FDCB-41B5-AFDB-C1FDBACA66D3}"/>
    <cellStyle name="Normal 2 33 3 2 2 2 4" xfId="5986" xr:uid="{34523BFC-9EBA-49E3-95FC-8981C18BBA54}"/>
    <cellStyle name="Normal 2 33 3 2 2 2 5" xfId="5987" xr:uid="{22311B4D-D124-45E5-B279-67CE86B705EB}"/>
    <cellStyle name="Normal 2 33 3 2 2 2 6" xfId="5988" xr:uid="{5D0E4570-4C76-47AA-9942-559CF9DA1163}"/>
    <cellStyle name="Normal 2 33 3 2 2 2 7" xfId="5989" xr:uid="{1620A0B6-B029-48D1-819A-CFB513F9B768}"/>
    <cellStyle name="Normal 2 33 3 2 2 2 8" xfId="5990" xr:uid="{962859D0-C866-42F9-9EEC-7792ED3A6182}"/>
    <cellStyle name="Normal 2 33 3 2 2 3" xfId="5991" xr:uid="{C9960719-BF27-4B65-A7E7-7801C2879615}"/>
    <cellStyle name="Normal 2 33 3 2 2 4" xfId="5992" xr:uid="{9B20D50E-5AE3-4CA8-9570-A7309FEE067F}"/>
    <cellStyle name="Normal 2 33 3 2 2 5" xfId="5993" xr:uid="{133ED152-17FD-48D3-9D50-9D7813A4E8BB}"/>
    <cellStyle name="Normal 2 33 3 2 2 6" xfId="5994" xr:uid="{1B9F58FE-CCED-449B-A36F-A06FAC1C67A5}"/>
    <cellStyle name="Normal 2 33 3 2 2 7" xfId="5995" xr:uid="{A04BCECC-B236-4F3E-93DC-3E46DB90D1C8}"/>
    <cellStyle name="Normal 2 33 3 2 2 8" xfId="5996" xr:uid="{3A94E44C-EF78-41BF-B3D1-73C0EE7C3345}"/>
    <cellStyle name="Normal 2 33 3 2 3" xfId="5997" xr:uid="{18F12FC4-89D8-48AB-9AA1-BBA98EF7D547}"/>
    <cellStyle name="Normal 2 33 3 2 4" xfId="5998" xr:uid="{A674FD50-6945-493F-8DB5-8075EF11B3F7}"/>
    <cellStyle name="Normal 2 33 3 2 5" xfId="5999" xr:uid="{B54AA368-30C1-480F-BA0C-DCE3A21B329C}"/>
    <cellStyle name="Normal 2 33 3 2 6" xfId="6000" xr:uid="{65163949-EE59-409C-9718-784F9609C801}"/>
    <cellStyle name="Normal 2 33 3 2 7" xfId="6001" xr:uid="{0A227C2A-DF49-4F0B-8B45-06C7C3038014}"/>
    <cellStyle name="Normal 2 33 3 2 8" xfId="6002" xr:uid="{40E24FA2-0030-4336-A254-A2688B143CD5}"/>
    <cellStyle name="Normal 2 33 3 2 9" xfId="6003" xr:uid="{B4D2B651-0C8C-4A56-B79D-A150797D3FFC}"/>
    <cellStyle name="Normal 2 33 3 3" xfId="6004" xr:uid="{8954E5C1-FBDC-4961-B31F-16C0032945CD}"/>
    <cellStyle name="Normal 2 33 3 4" xfId="6005" xr:uid="{E4B285C6-D669-4380-9D37-2EBF27D89CA2}"/>
    <cellStyle name="Normal 2 33 3 4 2" xfId="6006" xr:uid="{3611955C-28AC-4719-BAF3-C531963DD57B}"/>
    <cellStyle name="Normal 2 33 3 4 3" xfId="6007" xr:uid="{10669447-EC87-4240-BE03-41D82E3EE2F9}"/>
    <cellStyle name="Normal 2 33 3 4 4" xfId="6008" xr:uid="{A8995246-2432-4CC4-B13C-B8B3DB87C873}"/>
    <cellStyle name="Normal 2 33 3 4 5" xfId="6009" xr:uid="{66C1C6BE-9C03-40F9-A2F7-5A80208F1343}"/>
    <cellStyle name="Normal 2 33 3 4 6" xfId="6010" xr:uid="{8D347FFD-19C3-403D-9FBC-9680D605BF37}"/>
    <cellStyle name="Normal 2 33 3 4 7" xfId="6011" xr:uid="{A2F59ADF-755D-404D-80C8-B3F1D0292E7E}"/>
    <cellStyle name="Normal 2 33 3 4 8" xfId="6012" xr:uid="{149E6057-F61A-4785-8653-010422EAEB55}"/>
    <cellStyle name="Normal 2 33 3 5" xfId="6013" xr:uid="{14FCD99F-2C2A-457E-AE67-AC9F18A41508}"/>
    <cellStyle name="Normal 2 33 3 6" xfId="6014" xr:uid="{1C124738-FF8A-4B0A-9F25-64D356E2BC6E}"/>
    <cellStyle name="Normal 2 33 3 7" xfId="6015" xr:uid="{E9959CB8-4DFE-4880-9C06-03A99B1F16F9}"/>
    <cellStyle name="Normal 2 33 3 8" xfId="6016" xr:uid="{B0719437-BD7C-4259-A366-A91DBBE30FA7}"/>
    <cellStyle name="Normal 2 33 3 9" xfId="6017" xr:uid="{549C6F61-6142-44C0-83F9-5EAD4D77B783}"/>
    <cellStyle name="Normal 2 33 4" xfId="6018" xr:uid="{DE9F72B9-EB0A-4D92-AE95-5613FFBEC989}"/>
    <cellStyle name="Normal 2 33 5" xfId="6019" xr:uid="{B9791FBA-C944-4891-B6BE-016252A7CB42}"/>
    <cellStyle name="Normal 2 33 6" xfId="6020" xr:uid="{00BA0AAA-7CA6-40B0-A6B7-B5D059F3CA18}"/>
    <cellStyle name="Normal 2 33 7" xfId="6021" xr:uid="{C9B8F0D1-C850-40E0-B843-1C3C0C33FC11}"/>
    <cellStyle name="Normal 2 33 8" xfId="6022" xr:uid="{C93AD0BE-0DB4-4F68-83D4-45F73983EEC5}"/>
    <cellStyle name="Normal 2 33 9" xfId="6023" xr:uid="{28A77F23-317C-41B5-B889-338BF4A21A04}"/>
    <cellStyle name="Normal 2 34" xfId="6024" xr:uid="{0BA9351F-D358-48FC-8A4A-64929DB94A77}"/>
    <cellStyle name="Normal 2 35" xfId="6025" xr:uid="{AB3DE3B9-4ECE-4B14-B408-AC1EFCAB0801}"/>
    <cellStyle name="Normal 2 36" xfId="6026" xr:uid="{609ED91E-34FF-437B-8E98-6CC5966DB198}"/>
    <cellStyle name="Normal 2 37" xfId="6027" xr:uid="{179937FB-2C70-4675-9BD4-AB69C056C690}"/>
    <cellStyle name="Normal 2 38" xfId="6028" xr:uid="{8321E393-B477-41EE-977C-E84C890A68C4}"/>
    <cellStyle name="Normal 2 38 10" xfId="6029" xr:uid="{CA356B3A-7182-405A-A17C-99060BBD0E68}"/>
    <cellStyle name="Normal 2 38 2" xfId="6030" xr:uid="{9736E12E-1F63-49E0-BE6B-1DCC6330B295}"/>
    <cellStyle name="Normal 2 38 2 2" xfId="6031" xr:uid="{E8D28101-82BA-4D04-9F49-C35455333E8D}"/>
    <cellStyle name="Normal 2 38 2 2 2" xfId="6032" xr:uid="{4522B43B-0A2E-4753-8781-EA4A0B743D88}"/>
    <cellStyle name="Normal 2 38 2 2 2 2" xfId="6033" xr:uid="{A77396E0-721C-4F63-BD13-39FBF8DE6D18}"/>
    <cellStyle name="Normal 2 38 2 2 2 3" xfId="6034" xr:uid="{1D7A894E-FA94-4857-AEFA-B0EECAB29519}"/>
    <cellStyle name="Normal 2 38 2 2 2 4" xfId="6035" xr:uid="{9545914D-A8D7-4B49-B8D4-B62F5ED27C8B}"/>
    <cellStyle name="Normal 2 38 2 2 2 5" xfId="6036" xr:uid="{3ED45949-0CEA-41D0-A0EA-4E456E9B4B0B}"/>
    <cellStyle name="Normal 2 38 2 2 2 6" xfId="6037" xr:uid="{E4B37EF2-F765-4B56-BADD-7A52FB9C949B}"/>
    <cellStyle name="Normal 2 38 2 2 2 7" xfId="6038" xr:uid="{96BDE0F8-B1AE-4B1A-8AEF-37D4BA2D8680}"/>
    <cellStyle name="Normal 2 38 2 2 2 8" xfId="6039" xr:uid="{B8A06644-29D0-4150-8DC8-5A4F4FC437DF}"/>
    <cellStyle name="Normal 2 38 2 2 3" xfId="6040" xr:uid="{78B69294-33D4-4774-92BC-D84848922B2E}"/>
    <cellStyle name="Normal 2 38 2 2 4" xfId="6041" xr:uid="{00014EA0-795C-45FE-A018-6C4F55A01FBF}"/>
    <cellStyle name="Normal 2 38 2 2 5" xfId="6042" xr:uid="{6841CE89-366B-492E-98A2-36031D152D9F}"/>
    <cellStyle name="Normal 2 38 2 2 6" xfId="6043" xr:uid="{B8575C59-A1B8-4CDC-9F81-E9CED9EE5286}"/>
    <cellStyle name="Normal 2 38 2 2 7" xfId="6044" xr:uid="{154E6823-5FCF-4BB5-994D-F23333553E9F}"/>
    <cellStyle name="Normal 2 38 2 2 8" xfId="6045" xr:uid="{4BE8331C-A6E7-44F2-8693-71C01F4AA88C}"/>
    <cellStyle name="Normal 2 38 2 3" xfId="6046" xr:uid="{351BF144-976D-4AC2-9B18-6471BA9A0C64}"/>
    <cellStyle name="Normal 2 38 2 4" xfId="6047" xr:uid="{009828D1-B584-4943-B6A8-225F80F1CD94}"/>
    <cellStyle name="Normal 2 38 2 5" xfId="6048" xr:uid="{D1DD7487-D6AD-4A7C-8243-F7A3B6BAA924}"/>
    <cellStyle name="Normal 2 38 2 6" xfId="6049" xr:uid="{8B43C621-F7C9-42CE-8C88-6C1BE537090F}"/>
    <cellStyle name="Normal 2 38 2 7" xfId="6050" xr:uid="{4B4F2C1B-B31F-4DEB-904B-7F05CFFEE94A}"/>
    <cellStyle name="Normal 2 38 2 8" xfId="6051" xr:uid="{89DEDBA3-7B7B-45B6-9D67-F33261A69DDF}"/>
    <cellStyle name="Normal 2 38 2 9" xfId="6052" xr:uid="{6E4E1606-6F6B-44E9-9004-8862A6DA00F9}"/>
    <cellStyle name="Normal 2 38 3" xfId="6053" xr:uid="{E586A998-6F5D-4975-B75B-8712AE59D74E}"/>
    <cellStyle name="Normal 2 38 4" xfId="6054" xr:uid="{ECFBA919-A17C-491B-8C40-E1C4F1665FFF}"/>
    <cellStyle name="Normal 2 38 4 2" xfId="6055" xr:uid="{F47DAD4C-16D9-4604-B178-E2E490DD0C33}"/>
    <cellStyle name="Normal 2 38 4 3" xfId="6056" xr:uid="{324DEC24-80B4-4122-9C9D-53F1C29FC130}"/>
    <cellStyle name="Normal 2 38 4 4" xfId="6057" xr:uid="{FEC8B29B-BC9B-4CCE-9C6D-5F78B1FC29F6}"/>
    <cellStyle name="Normal 2 38 4 5" xfId="6058" xr:uid="{01E7139C-A314-42DB-8601-5ED130D219F0}"/>
    <cellStyle name="Normal 2 38 4 6" xfId="6059" xr:uid="{B1E05C1A-12F4-4CC2-B365-3EB20C49B2B1}"/>
    <cellStyle name="Normal 2 38 4 7" xfId="6060" xr:uid="{E9E21E07-C700-4B3F-9EEF-590896A99E8B}"/>
    <cellStyle name="Normal 2 38 4 8" xfId="6061" xr:uid="{A8429F86-682E-4635-B153-0902F93FA67D}"/>
    <cellStyle name="Normal 2 38 5" xfId="6062" xr:uid="{8E69F2ED-77F5-45C7-B0BB-42DD33228FFF}"/>
    <cellStyle name="Normal 2 38 6" xfId="6063" xr:uid="{3F70D305-F457-4B0C-BA61-4C14815D2E80}"/>
    <cellStyle name="Normal 2 38 7" xfId="6064" xr:uid="{5054E0A5-50A2-4F38-BF8C-8F3BD7B44950}"/>
    <cellStyle name="Normal 2 38 8" xfId="6065" xr:uid="{A8574250-6328-4E03-82DD-2EC05839E370}"/>
    <cellStyle name="Normal 2 38 9" xfId="6066" xr:uid="{9D95FD60-9A37-40FF-ACE7-9533716C5AEF}"/>
    <cellStyle name="Normal 2 39" xfId="6067" xr:uid="{C3561ABB-992F-4CB9-BD6D-AFEE1868AC08}"/>
    <cellStyle name="Normal 2 4" xfId="6068" xr:uid="{3A9F3210-77FB-4600-A999-733D58B17677}"/>
    <cellStyle name="Normal 2 4 2" xfId="13692" xr:uid="{849317D0-8A7D-4EC6-9ADE-E8F7CD4731E9}"/>
    <cellStyle name="Normal 2 40" xfId="6069" xr:uid="{A4E6E689-6235-4B34-835B-5C20BC9C9A91}"/>
    <cellStyle name="Normal 2 41" xfId="6070" xr:uid="{74C4E09F-F2A7-4496-8D77-692674E39EAD}"/>
    <cellStyle name="Normal 2 42" xfId="6071" xr:uid="{2BDE0AD6-F751-4529-889E-8ADC3544C508}"/>
    <cellStyle name="Normal 2 43" xfId="6072" xr:uid="{00810830-E82B-421D-AA13-7EB7EAD4CA92}"/>
    <cellStyle name="Normal 2 44" xfId="6073" xr:uid="{913BDC07-56CA-4238-AB8F-1C64B57C8E8B}"/>
    <cellStyle name="Normal 2 45" xfId="6074" xr:uid="{99D58E4C-0308-4863-80BD-8104369AB4DE}"/>
    <cellStyle name="Normal 2 46" xfId="6075" xr:uid="{39ED0F3B-1A52-4709-A81E-A33BA0BFDB4A}"/>
    <cellStyle name="Normal 2 46 2" xfId="6076" xr:uid="{304EDB4E-5DB3-4188-830F-FFBD3C4D4E20}"/>
    <cellStyle name="Normal 2 46 2 2" xfId="6077" xr:uid="{16A177C0-8236-4CB4-B4CB-E463AC563260}"/>
    <cellStyle name="Normal 2 46 2 2 2" xfId="6078" xr:uid="{E0E0D635-E95E-4533-9066-EBB290EFE9A1}"/>
    <cellStyle name="Normal 2 46 2 2 3" xfId="6079" xr:uid="{8DCB12E9-12E5-489E-964E-F65FC06BC101}"/>
    <cellStyle name="Normal 2 46 2 2 4" xfId="6080" xr:uid="{20BF8F46-AB67-4EAB-AE2B-85CA22D18E1A}"/>
    <cellStyle name="Normal 2 46 2 2 5" xfId="6081" xr:uid="{18A3F748-1971-4156-950B-A574F96AD738}"/>
    <cellStyle name="Normal 2 46 2 2 6" xfId="6082" xr:uid="{FFC61195-02CC-460B-B570-B53A703AB463}"/>
    <cellStyle name="Normal 2 46 2 2 7" xfId="6083" xr:uid="{1BDC5FE5-C2D0-42C7-A5C8-F1A20055AD9D}"/>
    <cellStyle name="Normal 2 46 2 2 8" xfId="6084" xr:uid="{C449D798-450E-49D2-B00E-4860EB490DA0}"/>
    <cellStyle name="Normal 2 46 2 3" xfId="6085" xr:uid="{76097775-DF65-4556-89E8-D96E2D5096BB}"/>
    <cellStyle name="Normal 2 46 2 4" xfId="6086" xr:uid="{DC555C55-F85E-4B74-86FD-3951AC35AE6A}"/>
    <cellStyle name="Normal 2 46 2 5" xfId="6087" xr:uid="{BC61D578-9E6E-428D-8E01-7B8CCD356DBE}"/>
    <cellStyle name="Normal 2 46 2 6" xfId="6088" xr:uid="{32FB041F-0314-4C0A-B05D-427D97B4AFA1}"/>
    <cellStyle name="Normal 2 46 2 7" xfId="6089" xr:uid="{E1768E52-365E-4E19-8C1C-58EA7DF2CEA5}"/>
    <cellStyle name="Normal 2 46 2 8" xfId="6090" xr:uid="{6909D08E-E76C-4D85-A95F-0F09EA5F46A4}"/>
    <cellStyle name="Normal 2 46 3" xfId="6091" xr:uid="{288FBA1E-30C4-4FF4-A829-F6D5979E95CD}"/>
    <cellStyle name="Normal 2 46 4" xfId="6092" xr:uid="{179EAFA7-9016-485E-8746-C0BFD2B62D23}"/>
    <cellStyle name="Normal 2 46 5" xfId="6093" xr:uid="{346C1D96-7D8D-410A-B959-18EA9963CE93}"/>
    <cellStyle name="Normal 2 46 6" xfId="6094" xr:uid="{8390D99C-11FD-46D7-8F5A-D29270C309BE}"/>
    <cellStyle name="Normal 2 46 7" xfId="6095" xr:uid="{639CB9DD-F9B5-4DCB-9E4E-F86A69057A31}"/>
    <cellStyle name="Normal 2 46 8" xfId="6096" xr:uid="{D3D2B94B-6FAD-4383-A243-6E92A226803B}"/>
    <cellStyle name="Normal 2 46 9" xfId="6097" xr:uid="{053FDF8A-59C5-4469-87CC-EE90030ED8D4}"/>
    <cellStyle name="Normal 2 47" xfId="6098" xr:uid="{032B533F-A7E7-4FAE-9FEE-AA108E112E40}"/>
    <cellStyle name="Normal 2 47 2" xfId="6099" xr:uid="{22F1BB9D-A095-49DE-937C-2A1E68439C5B}"/>
    <cellStyle name="Normal 2 47 3" xfId="6100" xr:uid="{BB7CC8CF-8B70-4558-981D-87E4D43D2696}"/>
    <cellStyle name="Normal 2 47 4" xfId="6101" xr:uid="{3EB689CD-360A-4DA9-8D04-B84114C21BA7}"/>
    <cellStyle name="Normal 2 47 5" xfId="6102" xr:uid="{8ECD88FE-16A5-48FA-964A-FE018466E39E}"/>
    <cellStyle name="Normal 2 47 6" xfId="6103" xr:uid="{67E21D1D-1B78-4F29-B855-CC25C6EDAF64}"/>
    <cellStyle name="Normal 2 47 7" xfId="6104" xr:uid="{EC3918F6-05FC-4717-921A-00484C330DFD}"/>
    <cellStyle name="Normal 2 47 8" xfId="6105" xr:uid="{83AAE35C-7759-44FA-A900-2628F05D874B}"/>
    <cellStyle name="Normal 2 48" xfId="6106" xr:uid="{F1503BC5-57DC-4159-BF2B-8DAFC88C08C6}"/>
    <cellStyle name="Normal 2 49" xfId="6107" xr:uid="{F404387E-6908-4BBB-AAB8-A78AFEEC8417}"/>
    <cellStyle name="Normal 2 5" xfId="6108" xr:uid="{789E4953-2DB5-4F04-87F5-D8F25776358D}"/>
    <cellStyle name="Normal 2 50" xfId="6109" xr:uid="{178B3AA9-4647-4E3F-9236-3E3C6AEDA096}"/>
    <cellStyle name="Normal 2 51" xfId="6110" xr:uid="{F6D65D2D-1EE5-4CF9-9E7A-5100E785FDC7}"/>
    <cellStyle name="Normal 2 52" xfId="6111" xr:uid="{6B2569B5-D39E-4A30-A3C7-E717FB24B625}"/>
    <cellStyle name="Normal 2 53" xfId="6112" xr:uid="{69593042-2023-4005-BDF5-3F555B1CD438}"/>
    <cellStyle name="Normal 2 54" xfId="1398" xr:uid="{C965CA91-E033-4101-BEF4-64D568353627}"/>
    <cellStyle name="Normal 2 6" xfId="6113" xr:uid="{BD2BC1A4-4334-43DD-BFBA-8CF5CD6AE95A}"/>
    <cellStyle name="Normal 2 7" xfId="6114" xr:uid="{4C41731B-1575-4DB6-AF71-322BF0E083B9}"/>
    <cellStyle name="Normal 2 8" xfId="6115" xr:uid="{32349772-2805-4E96-B9C8-0E18A8165624}"/>
    <cellStyle name="Normal 2 9" xfId="6116" xr:uid="{8064B2DA-4247-4AFD-8552-3B6BECFD4AB9}"/>
    <cellStyle name="Normal 2_AccumulationEquation" xfId="6117" xr:uid="{B8C741FB-FB8E-4F26-814A-11820B737351}"/>
    <cellStyle name="Normal 20" xfId="6118" xr:uid="{AC376F5E-FA2F-4BC9-B027-ECEBEEFFECB6}"/>
    <cellStyle name="Normal 20 10" xfId="6119" xr:uid="{0F174E54-FA12-416B-BC64-EEFFDC55DD6D}"/>
    <cellStyle name="Normal 20 11" xfId="6120" xr:uid="{19101D37-6CA3-4365-BE9B-3DC321453A52}"/>
    <cellStyle name="Normal 20 12" xfId="6121" xr:uid="{45B0A7AA-184D-45AB-B1C3-4E63104F2EE9}"/>
    <cellStyle name="Normal 20 13" xfId="6122" xr:uid="{F7FD1534-59D4-48BC-98AC-D67E87A4FF71}"/>
    <cellStyle name="Normal 20 14" xfId="6123" xr:uid="{5D206C81-F4D8-4C89-B82D-25495DE39F2B}"/>
    <cellStyle name="Normal 20 15" xfId="6124" xr:uid="{B05278A0-ADB5-4258-9EEA-949CED4E743A}"/>
    <cellStyle name="Normal 20 16" xfId="6125" xr:uid="{475337AE-97BB-4F6C-B2EE-159A0B73124F}"/>
    <cellStyle name="Normal 20 17" xfId="6126" xr:uid="{9586470A-25F7-473F-8427-3ACF4C3817FB}"/>
    <cellStyle name="Normal 20 18" xfId="6127" xr:uid="{EA2B488E-9782-4C61-9297-1DBC1582A664}"/>
    <cellStyle name="Normal 20 19" xfId="6128" xr:uid="{7C0394C2-3693-4517-98CC-774937103F9A}"/>
    <cellStyle name="Normal 20 2" xfId="6129" xr:uid="{66A044FB-BEDA-4DB0-8C9E-46D3750AA40A}"/>
    <cellStyle name="Normal 20 20" xfId="6130" xr:uid="{CB304836-D88D-420A-8362-7EFCDC7D4649}"/>
    <cellStyle name="Normal 20 21" xfId="6131" xr:uid="{43DEE46C-1CDE-4E58-BEE8-A26C9AC73A9F}"/>
    <cellStyle name="Normal 20 22" xfId="6132" xr:uid="{4A10DDFD-E48C-40ED-A0B3-3ECDED0780C5}"/>
    <cellStyle name="Normal 20 23" xfId="13611" xr:uid="{FF09B411-78F3-45B3-A0B4-5366AE8ED1BA}"/>
    <cellStyle name="Normal 20 3" xfId="6133" xr:uid="{3A914E07-3BA5-4AF9-8FAD-B27421F9755D}"/>
    <cellStyle name="Normal 20 4" xfId="6134" xr:uid="{D24D9031-FB26-4F40-95B0-8BE518942606}"/>
    <cellStyle name="Normal 20 5" xfId="6135" xr:uid="{DF5797E0-7B5A-4B2D-AF34-3D02B6B4C359}"/>
    <cellStyle name="Normal 20 6" xfId="6136" xr:uid="{F3E24CFA-1E26-44FA-9FAF-01374D57E47E}"/>
    <cellStyle name="Normal 20 7" xfId="6137" xr:uid="{F522BF92-3428-4EE7-B44D-A3F992796DBD}"/>
    <cellStyle name="Normal 20 8" xfId="6138" xr:uid="{167FB3F1-E9D6-4B6E-BCA1-72E371F010EA}"/>
    <cellStyle name="Normal 20 9" xfId="6139" xr:uid="{4279ED4C-3900-4C37-A07D-D6B1AB1FFBCB}"/>
    <cellStyle name="Normal 21" xfId="6140" xr:uid="{8FC73E77-8402-4F3E-92FD-4912EED2B7C0}"/>
    <cellStyle name="Normal 21 10" xfId="6141" xr:uid="{747CEB53-CA16-4EEB-A097-EDCAA8988451}"/>
    <cellStyle name="Normal 21 11" xfId="6142" xr:uid="{FBAF2068-F8F1-489F-B0FF-1328ACC066E2}"/>
    <cellStyle name="Normal 21 12" xfId="6143" xr:uid="{536A1298-F53B-49F1-BF79-BBE52B33C9C9}"/>
    <cellStyle name="Normal 21 13" xfId="6144" xr:uid="{FE2E407E-7B65-4D63-A959-27A9349BA902}"/>
    <cellStyle name="Normal 21 14" xfId="6145" xr:uid="{2FBAB51F-A19E-4722-A8B4-CAB62FE4015C}"/>
    <cellStyle name="Normal 21 15" xfId="6146" xr:uid="{C8FDBABB-3861-47D4-A77C-BF3B11FBBA0E}"/>
    <cellStyle name="Normal 21 16" xfId="6147" xr:uid="{C4D4F1AA-7DAF-4CD9-A13B-3D5842D483A0}"/>
    <cellStyle name="Normal 21 17" xfId="6148" xr:uid="{9FCB3CC1-9598-40BD-A0BC-D629B3D3FD2D}"/>
    <cellStyle name="Normal 21 18" xfId="6149" xr:uid="{19B5B803-EB9B-4EE8-A7B1-8CAA42F51646}"/>
    <cellStyle name="Normal 21 19" xfId="6150" xr:uid="{70C58ACF-8855-418A-90E0-F31DA2E1E577}"/>
    <cellStyle name="Normal 21 2" xfId="6151" xr:uid="{652C9D40-FCAA-4A14-9939-DC180CBF3BE3}"/>
    <cellStyle name="Normal 21 20" xfId="6152" xr:uid="{80C7336B-DC3F-47BD-B897-7B70BAD7AA28}"/>
    <cellStyle name="Normal 21 21" xfId="6153" xr:uid="{9F7221A4-8487-4BE7-8647-22F41CED039C}"/>
    <cellStyle name="Normal 21 22" xfId="6154" xr:uid="{19839767-6776-403E-A9E6-6A7B82CD296E}"/>
    <cellStyle name="Normal 21 23" xfId="13612" xr:uid="{62F38C1D-05F3-4548-8655-8BF5BADAA9CD}"/>
    <cellStyle name="Normal 21 3" xfId="6155" xr:uid="{CE0B0DC1-EB98-481C-94AA-8C9D4377F937}"/>
    <cellStyle name="Normal 21 4" xfId="6156" xr:uid="{A6221D0F-C9C9-489F-83AF-00F83726C3D4}"/>
    <cellStyle name="Normal 21 5" xfId="6157" xr:uid="{1C14338A-718B-4E59-8D6F-702DA1273094}"/>
    <cellStyle name="Normal 21 6" xfId="6158" xr:uid="{E38AB14E-3B66-4229-8F4B-E84D7A84733E}"/>
    <cellStyle name="Normal 21 7" xfId="6159" xr:uid="{0471F7A8-B2E2-462A-94C8-A69A50BB8D97}"/>
    <cellStyle name="Normal 21 8" xfId="6160" xr:uid="{F3FA651D-E5B5-4D44-94ED-EAFEF1ACC202}"/>
    <cellStyle name="Normal 21 9" xfId="6161" xr:uid="{F8E1D259-582B-4456-B2A2-8D0015C9478F}"/>
    <cellStyle name="Normal 22" xfId="6162" xr:uid="{A8E5B270-34D9-4068-BDCD-94EAD7048EB4}"/>
    <cellStyle name="Normal 22 10" xfId="6163" xr:uid="{097E63C7-289D-4BB0-9EDA-4D983119F4FC}"/>
    <cellStyle name="Normal 22 11" xfId="6164" xr:uid="{82C9B36C-1BBD-4F41-B44C-75EE36911B2D}"/>
    <cellStyle name="Normal 22 12" xfId="6165" xr:uid="{B52AC74D-3D4D-4CD7-A1D3-763E68914A02}"/>
    <cellStyle name="Normal 22 13" xfId="6166" xr:uid="{AD75204E-1A55-4250-B2EF-21738AC4EFB8}"/>
    <cellStyle name="Normal 22 14" xfId="6167" xr:uid="{626D4985-53C9-4AD8-9C8D-FB83BC870C95}"/>
    <cellStyle name="Normal 22 15" xfId="6168" xr:uid="{0124D672-E3E7-4F30-AC7F-96DA5CAE57D9}"/>
    <cellStyle name="Normal 22 16" xfId="6169" xr:uid="{86D2C398-2C8C-43F1-8949-E20AC169C7D5}"/>
    <cellStyle name="Normal 22 17" xfId="6170" xr:uid="{083CD415-6A6B-4C12-A590-AE629F356C79}"/>
    <cellStyle name="Normal 22 18" xfId="6171" xr:uid="{2C09BC12-9311-4571-8434-D55D5158679C}"/>
    <cellStyle name="Normal 22 19" xfId="6172" xr:uid="{73D4BF51-62BA-4BA1-A1A2-1251DF7A21C3}"/>
    <cellStyle name="Normal 22 2" xfId="6173" xr:uid="{1EDCBDEF-C12D-4F7F-B5A0-C5C844C52C27}"/>
    <cellStyle name="Normal 22 20" xfId="6174" xr:uid="{FF4A59D4-6CFC-4529-91CE-84528AC9A0D0}"/>
    <cellStyle name="Normal 22 21" xfId="6175" xr:uid="{590CDEE8-8A82-45C0-8EEC-B3B9389404F9}"/>
    <cellStyle name="Normal 22 22" xfId="6176" xr:uid="{7F21E52F-54FD-4FC3-9D6B-0CC2CD07B0A9}"/>
    <cellStyle name="Normal 22 23" xfId="13613" xr:uid="{4D0E1367-0030-4C69-B878-7E1B1C9A2148}"/>
    <cellStyle name="Normal 22 3" xfId="6177" xr:uid="{7382CF3A-2D88-493F-9EC2-99C5619EC593}"/>
    <cellStyle name="Normal 22 4" xfId="6178" xr:uid="{52C6A822-26F7-425A-A3CE-6B447ED03BDF}"/>
    <cellStyle name="Normal 22 5" xfId="6179" xr:uid="{3EC90586-618C-43A3-9131-08182FDC48B7}"/>
    <cellStyle name="Normal 22 6" xfId="6180" xr:uid="{0469C6BB-E193-4E75-8A34-798688F8C5E3}"/>
    <cellStyle name="Normal 22 7" xfId="6181" xr:uid="{2C70F979-7AF3-4400-A4BF-8449C469D05D}"/>
    <cellStyle name="Normal 22 8" xfId="6182" xr:uid="{C15A16C6-CA20-4DD4-9192-86D7EB2F2DD8}"/>
    <cellStyle name="Normal 22 9" xfId="6183" xr:uid="{712F4E07-4772-41D1-8E32-3CD0B40E647C}"/>
    <cellStyle name="Normal 23" xfId="6184" xr:uid="{7A37218B-8FF2-425F-987A-A24645EB2A31}"/>
    <cellStyle name="Normal 23 10" xfId="6185" xr:uid="{E5B639EC-F4FC-4F49-9205-4055D7AE0E21}"/>
    <cellStyle name="Normal 23 11" xfId="6186" xr:uid="{F9BC2402-FCD0-49CF-B479-2E7395A73A86}"/>
    <cellStyle name="Normal 23 12" xfId="6187" xr:uid="{E2FAA9E4-BCE3-4803-B03E-B2931438FD35}"/>
    <cellStyle name="Normal 23 13" xfId="6188" xr:uid="{6DAF8C47-3B9B-4548-8785-BA7E093CBC8F}"/>
    <cellStyle name="Normal 23 14" xfId="6189" xr:uid="{A9C915F1-B965-4DA4-A46A-E11EEECE1E67}"/>
    <cellStyle name="Normal 23 15" xfId="6190" xr:uid="{37A123C7-A937-4413-BDB1-1DAD138E58E4}"/>
    <cellStyle name="Normal 23 16" xfId="6191" xr:uid="{22675B78-398F-4E05-8BA6-C97DC775A668}"/>
    <cellStyle name="Normal 23 17" xfId="6192" xr:uid="{F04E520B-430B-43B9-8F1C-6A5D4D0A5717}"/>
    <cellStyle name="Normal 23 18" xfId="6193" xr:uid="{1FA28459-76AB-4F9A-BD95-BD860B77F274}"/>
    <cellStyle name="Normal 23 19" xfId="6194" xr:uid="{AFA55940-A241-41F6-8C37-63A30D1D6B6C}"/>
    <cellStyle name="Normal 23 2" xfId="6195" xr:uid="{554C864C-F031-4837-A251-68309287EFF5}"/>
    <cellStyle name="Normal 23 20" xfId="6196" xr:uid="{1B98085E-BB3D-4BD7-B887-7A1383447CD8}"/>
    <cellStyle name="Normal 23 21" xfId="6197" xr:uid="{AE326A9C-A5F0-466A-8230-4F5BDA993C22}"/>
    <cellStyle name="Normal 23 22" xfId="6198" xr:uid="{230ECD74-B3A4-4877-88B6-80249C37A4EA}"/>
    <cellStyle name="Normal 23 23" xfId="13614" xr:uid="{F2E0843B-5BBA-45E0-BB8C-F5425F790321}"/>
    <cellStyle name="Normal 23 3" xfId="6199" xr:uid="{E4B99819-D91C-4517-B5DD-D7AAEA44567D}"/>
    <cellStyle name="Normal 23 4" xfId="6200" xr:uid="{3773C163-7E2D-47EC-968F-EB612B584F37}"/>
    <cellStyle name="Normal 23 5" xfId="6201" xr:uid="{0017B262-93BF-44E8-A992-286B85A4E1A8}"/>
    <cellStyle name="Normal 23 6" xfId="6202" xr:uid="{017A052F-9194-4646-9BCA-2B82181000B3}"/>
    <cellStyle name="Normal 23 7" xfId="6203" xr:uid="{75C5786C-20B3-4DE1-8210-6ADC540B5D78}"/>
    <cellStyle name="Normal 23 8" xfId="6204" xr:uid="{8A336618-5B5B-4D18-A1D4-A3E7074F1361}"/>
    <cellStyle name="Normal 23 9" xfId="6205" xr:uid="{E92B94D2-DB9E-4AF1-8ACC-C4FAD754B0BC}"/>
    <cellStyle name="Normal 24" xfId="13761" xr:uid="{3BFF0283-77F9-4811-B09B-9B7E7C0E4AE5}"/>
    <cellStyle name="Normal 25" xfId="6206" xr:uid="{12297ACD-50EF-4C10-BAF7-CA8FD2A08C1A}"/>
    <cellStyle name="Normal 25 10" xfId="6207" xr:uid="{735488A0-67A2-4A3A-A6C7-4F84433EFD65}"/>
    <cellStyle name="Normal 25 11" xfId="6208" xr:uid="{56452932-6296-4846-963E-FC27CE7C421B}"/>
    <cellStyle name="Normal 25 12" xfId="6209" xr:uid="{64D9E30A-30A7-4947-A3EE-385968442861}"/>
    <cellStyle name="Normal 25 13" xfId="6210" xr:uid="{F761E162-3C6D-4BB0-BA80-2E57125CE630}"/>
    <cellStyle name="Normal 25 14" xfId="6211" xr:uid="{A2C7188A-C354-4D13-BD4A-733C02528B82}"/>
    <cellStyle name="Normal 25 15" xfId="6212" xr:uid="{BF0C8D02-11D8-44C5-834C-F81D67B6ED34}"/>
    <cellStyle name="Normal 25 16" xfId="6213" xr:uid="{7D3D835E-A74B-4C07-8E54-C655471686C2}"/>
    <cellStyle name="Normal 25 17" xfId="6214" xr:uid="{49AA2EA2-B225-481E-B4C5-43A01A24309C}"/>
    <cellStyle name="Normal 25 18" xfId="6215" xr:uid="{BBFF01F1-F4B1-4153-AE47-524ADE486FC7}"/>
    <cellStyle name="Normal 25 19" xfId="6216" xr:uid="{9B13D73E-4EEA-45BC-A45A-11E3C8F6BBCD}"/>
    <cellStyle name="Normal 25 2" xfId="6217" xr:uid="{17129469-C818-40AA-A65B-5597A21F1FE6}"/>
    <cellStyle name="Normal 25 20" xfId="6218" xr:uid="{783DD5C1-E474-49E7-A278-DB74A426E18E}"/>
    <cellStyle name="Normal 25 21" xfId="6219" xr:uid="{66181FA6-124A-4142-9DFB-AB9749D30913}"/>
    <cellStyle name="Normal 25 22" xfId="6220" xr:uid="{BE7EFB6B-38E3-422F-95B9-667992F2145C}"/>
    <cellStyle name="Normal 25 23" xfId="13589" xr:uid="{5F5FF68B-F7D0-498A-B8BF-D889F058C0D4}"/>
    <cellStyle name="Normal 25 3" xfId="6221" xr:uid="{28A8C672-40F8-41EC-BBE3-38E505E6B8F7}"/>
    <cellStyle name="Normal 25 4" xfId="6222" xr:uid="{ABE3F475-A455-4142-8E13-8CF63EFD1F42}"/>
    <cellStyle name="Normal 25 5" xfId="6223" xr:uid="{08CC9EC2-3C5B-4CCC-A36D-38C4CEB60E82}"/>
    <cellStyle name="Normal 25 6" xfId="6224" xr:uid="{DE3789C9-C4EC-4AF4-8435-17A9AA8512D6}"/>
    <cellStyle name="Normal 25 7" xfId="6225" xr:uid="{2BD546C2-83FF-45AF-A2F5-1830158477E6}"/>
    <cellStyle name="Normal 25 8" xfId="6226" xr:uid="{6D2DD7A0-F10B-4C9D-A380-31B0E00B4A22}"/>
    <cellStyle name="Normal 25 9" xfId="6227" xr:uid="{56DDCC95-E916-4732-88C2-DDAF2ADC1D41}"/>
    <cellStyle name="Normal 26" xfId="6228" xr:uid="{3A3EFEE9-6195-470E-BD02-E4A861E78966}"/>
    <cellStyle name="Normal 26 10" xfId="6229" xr:uid="{7483164E-AE88-44DF-A93D-DD86E4EF5083}"/>
    <cellStyle name="Normal 26 11" xfId="6230" xr:uid="{FCEC7765-1AF9-4E1B-B858-A9DB4736FA60}"/>
    <cellStyle name="Normal 26 12" xfId="6231" xr:uid="{70EB85E0-D5DC-4A29-AB32-4DFA5F40A4B1}"/>
    <cellStyle name="Normal 26 13" xfId="6232" xr:uid="{21CF1787-228A-4A38-89FB-A02FE31F0CCE}"/>
    <cellStyle name="Normal 26 14" xfId="6233" xr:uid="{A625707B-2256-40F3-A9E7-B4E00B2A1E7A}"/>
    <cellStyle name="Normal 26 15" xfId="6234" xr:uid="{52D83E19-7116-401C-9B11-6083FD6A236C}"/>
    <cellStyle name="Normal 26 16" xfId="6235" xr:uid="{0CF94F0C-ABB8-4A4F-98FD-5FE02656C6A5}"/>
    <cellStyle name="Normal 26 17" xfId="6236" xr:uid="{DE78C528-9934-416D-A3FE-265432A53711}"/>
    <cellStyle name="Normal 26 18" xfId="6237" xr:uid="{538AE833-065E-4116-A820-B809E3BC948C}"/>
    <cellStyle name="Normal 26 19" xfId="6238" xr:uid="{3603F10A-476D-44B0-B326-14EE0C882466}"/>
    <cellStyle name="Normal 26 2" xfId="6239" xr:uid="{5D895548-0340-432F-ACC4-1C94821802C2}"/>
    <cellStyle name="Normal 26 20" xfId="6240" xr:uid="{93C53420-8CCB-416D-9D1F-5F1111A2A14B}"/>
    <cellStyle name="Normal 26 21" xfId="6241" xr:uid="{6CAE2A35-4335-4256-850A-AB0B7069A2AC}"/>
    <cellStyle name="Normal 26 22" xfId="6242" xr:uid="{B5C2620A-86D7-42D7-A757-C134C666947D}"/>
    <cellStyle name="Normal 26 23" xfId="13615" xr:uid="{EA500B16-D0FD-4F21-B0D6-CF1803060F64}"/>
    <cellStyle name="Normal 26 3" xfId="6243" xr:uid="{3ADE2A16-D1CD-4572-8014-60769573580C}"/>
    <cellStyle name="Normal 26 4" xfId="6244" xr:uid="{B0A454F2-6555-41A8-AD86-D08DCB2AB1B1}"/>
    <cellStyle name="Normal 26 5" xfId="6245" xr:uid="{0C92D695-6ACF-409F-9624-41680FBD0D82}"/>
    <cellStyle name="Normal 26 6" xfId="6246" xr:uid="{9AFCD97C-A06F-4524-89EB-A529BDC6E7F4}"/>
    <cellStyle name="Normal 26 7" xfId="6247" xr:uid="{ED999D8B-BF51-45D8-8130-16696C9350D4}"/>
    <cellStyle name="Normal 26 8" xfId="6248" xr:uid="{27A462FC-82FF-4340-A675-367350AB3CA2}"/>
    <cellStyle name="Normal 26 9" xfId="6249" xr:uid="{3656C030-6B63-4E5E-80CF-5AD67244D0B1}"/>
    <cellStyle name="Normal 27" xfId="6250" xr:uid="{E1E752FB-77A9-422D-9587-68027F4EFC50}"/>
    <cellStyle name="Normal 27 10" xfId="6251" xr:uid="{E9673FA6-CCF9-442A-983E-F88261416E32}"/>
    <cellStyle name="Normal 27 11" xfId="6252" xr:uid="{966FBDE2-3B0B-4573-BD0F-D6C03D00B75E}"/>
    <cellStyle name="Normal 27 12" xfId="6253" xr:uid="{00FD858D-8199-49FA-AA3A-529B74E198E4}"/>
    <cellStyle name="Normal 27 13" xfId="6254" xr:uid="{D4F7E32B-3888-4705-B978-7F05295399CC}"/>
    <cellStyle name="Normal 27 14" xfId="6255" xr:uid="{B0A01743-601F-4A1D-A828-5E3922AEEA53}"/>
    <cellStyle name="Normal 27 15" xfId="6256" xr:uid="{170C8F75-D887-44DE-9B01-C8EF1B62A349}"/>
    <cellStyle name="Normal 27 16" xfId="6257" xr:uid="{27F22100-8280-4774-8100-B4EA5714BA65}"/>
    <cellStyle name="Normal 27 17" xfId="6258" xr:uid="{C98FBC9D-BF11-472D-A3B4-554328A3DF50}"/>
    <cellStyle name="Normal 27 18" xfId="6259" xr:uid="{E1795AEC-F913-492F-B443-41AB94C65350}"/>
    <cellStyle name="Normal 27 19" xfId="6260" xr:uid="{DBB41AC4-7C10-4CCF-94C6-72CB8E53879B}"/>
    <cellStyle name="Normal 27 2" xfId="6261" xr:uid="{C3B92BB6-B0D6-4C3E-B6AC-9DDA6F8AE607}"/>
    <cellStyle name="Normal 27 20" xfId="6262" xr:uid="{D8E9FF6B-0C01-4B90-B8DD-CDDF431758C2}"/>
    <cellStyle name="Normal 27 21" xfId="6263" xr:uid="{8F5B56D1-C186-4733-BE00-21F909F1AB9E}"/>
    <cellStyle name="Normal 27 22" xfId="6264" xr:uid="{DC062731-5856-4BF0-BFB2-E739B5250AB6}"/>
    <cellStyle name="Normal 27 23" xfId="13616" xr:uid="{2731E441-0AE8-48F9-BFFA-4F4BB171247B}"/>
    <cellStyle name="Normal 27 3" xfId="6265" xr:uid="{E7C4890A-3B82-4D52-8A11-4D2CD75ADC16}"/>
    <cellStyle name="Normal 27 4" xfId="6266" xr:uid="{460F9039-303A-41E4-B104-DA51EF0FE637}"/>
    <cellStyle name="Normal 27 5" xfId="6267" xr:uid="{894E23D4-86DF-4A27-B097-3B9D0237B1D0}"/>
    <cellStyle name="Normal 27 6" xfId="6268" xr:uid="{8159CF99-58D8-4FB4-9277-9B3F5AB69CA5}"/>
    <cellStyle name="Normal 27 7" xfId="6269" xr:uid="{E572DA45-D5DC-40C6-BBA5-60CE74B46665}"/>
    <cellStyle name="Normal 27 8" xfId="6270" xr:uid="{8FD73636-88AB-4C4F-966F-1B31C6405966}"/>
    <cellStyle name="Normal 27 9" xfId="6271" xr:uid="{B2C01380-E262-4EEB-9D2E-ECF3EA33EA1A}"/>
    <cellStyle name="Normal 28" xfId="6272" xr:uid="{F7B9A692-1B93-4055-89D0-A97881E48FE4}"/>
    <cellStyle name="Normal 28 10" xfId="6273" xr:uid="{AC73965B-153C-4A69-AB1D-3D2631CD9809}"/>
    <cellStyle name="Normal 28 11" xfId="6274" xr:uid="{1C3F5013-FFDA-449C-BEF1-F2E3DEC73779}"/>
    <cellStyle name="Normal 28 12" xfId="6275" xr:uid="{30019C6D-C216-4546-A312-1F848DA24535}"/>
    <cellStyle name="Normal 28 13" xfId="6276" xr:uid="{73930F7D-D199-43DA-A8DE-FE2C4BDD910D}"/>
    <cellStyle name="Normal 28 14" xfId="6277" xr:uid="{B2F5C4BD-C997-49EE-8059-BBBDDD86D6E9}"/>
    <cellStyle name="Normal 28 15" xfId="6278" xr:uid="{FFCC399B-D81E-4032-BCC2-4A2F2A8F5BAF}"/>
    <cellStyle name="Normal 28 16" xfId="6279" xr:uid="{9CEAC017-36D9-449E-A00A-A1EC598286C6}"/>
    <cellStyle name="Normal 28 17" xfId="6280" xr:uid="{930E20BA-E18A-4CA6-95C1-4BA6D895CD29}"/>
    <cellStyle name="Normal 28 18" xfId="6281" xr:uid="{FFC28BEA-24DE-4567-BBAA-35E1BFE9C02D}"/>
    <cellStyle name="Normal 28 19" xfId="6282" xr:uid="{5F5B01A7-2B1C-4DB1-9C9D-8557773178D8}"/>
    <cellStyle name="Normal 28 2" xfId="6283" xr:uid="{B7859014-016A-46B8-9080-C24F769C7E41}"/>
    <cellStyle name="Normal 28 20" xfId="6284" xr:uid="{C03E6CF8-286F-4AC1-AA9C-3AA3D1EEEC7D}"/>
    <cellStyle name="Normal 28 21" xfId="6285" xr:uid="{899389E0-F3AF-4478-95CD-BFD8329CA38A}"/>
    <cellStyle name="Normal 28 22" xfId="6286" xr:uid="{2A39C6D6-D776-4E8A-8CB6-FED3EBF1B060}"/>
    <cellStyle name="Normal 28 23" xfId="13590" xr:uid="{F35CCB5B-7196-41A9-8621-E3FC445373DD}"/>
    <cellStyle name="Normal 28 3" xfId="6287" xr:uid="{2AE5260D-23FE-452A-BDE0-CA3CD3024A11}"/>
    <cellStyle name="Normal 28 4" xfId="6288" xr:uid="{13A23EE0-3016-4415-A4D0-82D0516FE860}"/>
    <cellStyle name="Normal 28 5" xfId="6289" xr:uid="{38071754-13A1-4486-A849-A95A563B86E1}"/>
    <cellStyle name="Normal 28 6" xfId="6290" xr:uid="{8B0845C5-E479-4856-8948-A99BE09ACD88}"/>
    <cellStyle name="Normal 28 7" xfId="6291" xr:uid="{ED127C42-1CEE-4FED-A8CA-8665F86FA9C5}"/>
    <cellStyle name="Normal 28 8" xfId="6292" xr:uid="{0A482948-A9F5-4E16-88D1-C58D090368F1}"/>
    <cellStyle name="Normal 28 9" xfId="6293" xr:uid="{2BBAE676-46FB-4270-AB81-3FEB217E2F4A}"/>
    <cellStyle name="Normal 29" xfId="6294" xr:uid="{103D9B9F-1DE2-4235-9E4E-527DB3637D0B}"/>
    <cellStyle name="Normal 29 10" xfId="6295" xr:uid="{2A386F77-1E34-4D9F-AE91-7BC2A5A7E5D2}"/>
    <cellStyle name="Normal 29 11" xfId="6296" xr:uid="{CF3A850D-44EA-41FE-BBC2-D236983FE30D}"/>
    <cellStyle name="Normal 29 12" xfId="6297" xr:uid="{AC4BEE74-E1B6-4BBD-BB80-BFCE3597AEE4}"/>
    <cellStyle name="Normal 29 13" xfId="6298" xr:uid="{FB92FBF5-CFAE-4752-B22F-47FC843F78AB}"/>
    <cellStyle name="Normal 29 14" xfId="6299" xr:uid="{A6575027-095E-4BA1-A39A-6102916A9A17}"/>
    <cellStyle name="Normal 29 15" xfId="6300" xr:uid="{E0D1DBBF-A8D8-4708-8E72-F0A17BD1520B}"/>
    <cellStyle name="Normal 29 16" xfId="6301" xr:uid="{61FA9DC5-CA97-41E7-BE27-F8BB31737796}"/>
    <cellStyle name="Normal 29 17" xfId="6302" xr:uid="{48F69792-C3F4-4062-847E-45B4BD3B7D00}"/>
    <cellStyle name="Normal 29 18" xfId="6303" xr:uid="{65A4F349-8AF8-44D6-9D3F-5BC2A311AFF1}"/>
    <cellStyle name="Normal 29 19" xfId="6304" xr:uid="{6BCA3185-6162-4890-9A1E-0EC1025F9110}"/>
    <cellStyle name="Normal 29 2" xfId="6305" xr:uid="{F975131B-35C9-4CEB-8B7B-5FF46E496534}"/>
    <cellStyle name="Normal 29 20" xfId="6306" xr:uid="{1322E084-6910-4886-B69E-C5FE935C72D1}"/>
    <cellStyle name="Normal 29 21" xfId="6307" xr:uid="{1E563694-AC85-4E00-AA72-734A1345CBB2}"/>
    <cellStyle name="Normal 29 22" xfId="6308" xr:uid="{19753480-8AC7-44D1-80F4-834FFEDC7D97}"/>
    <cellStyle name="Normal 29 23" xfId="13617" xr:uid="{8D726857-634D-42BF-91AB-671CFA09DB8E}"/>
    <cellStyle name="Normal 29 3" xfId="6309" xr:uid="{55FC0A5B-A9A9-4752-9EA1-56EB2EAD909F}"/>
    <cellStyle name="Normal 29 4" xfId="6310" xr:uid="{75E9A091-643A-4796-B739-06B882D8886F}"/>
    <cellStyle name="Normal 29 5" xfId="6311" xr:uid="{16101BB6-8895-4E62-937A-4D6F9DD1E67B}"/>
    <cellStyle name="Normal 29 6" xfId="6312" xr:uid="{AFA296EB-7324-4F70-9E65-EAE3610022B0}"/>
    <cellStyle name="Normal 29 7" xfId="6313" xr:uid="{6C1969E6-C3F1-4139-B9C7-88FB05205AF5}"/>
    <cellStyle name="Normal 29 8" xfId="6314" xr:uid="{0B278825-4571-4DCE-8907-D2ABD170D30B}"/>
    <cellStyle name="Normal 29 9" xfId="6315" xr:uid="{F2A593AF-FE1D-402E-A7A4-FA54304FEA11}"/>
    <cellStyle name="Normal 3" xfId="6316" xr:uid="{57C36B60-AB02-43CF-BFF0-D0736178E377}"/>
    <cellStyle name="Normal 3 10" xfId="6317" xr:uid="{5EA8B1A9-80B3-4F94-8B05-171CC1E9A086}"/>
    <cellStyle name="Normal 3 11" xfId="6318" xr:uid="{F9B403ED-8C2B-4E79-B0B1-ADD2F98979DE}"/>
    <cellStyle name="Normal 3 12" xfId="6319" xr:uid="{43B4AB77-C9DE-4CB1-9016-C72FDA6DB32F}"/>
    <cellStyle name="Normal 3 12 10" xfId="6320" xr:uid="{04AEBE66-5D61-44FA-8EE1-70079BC05BFC}"/>
    <cellStyle name="Normal 3 12 11" xfId="6321" xr:uid="{23AD66D3-F6F0-4761-ABE9-020024B1B699}"/>
    <cellStyle name="Normal 3 12 12" xfId="6322" xr:uid="{CCA2C591-FE0A-427E-86D4-681D321614F3}"/>
    <cellStyle name="Normal 3 12 13" xfId="6323" xr:uid="{AD5802AD-416D-4BEE-8FAC-754B5322ADA5}"/>
    <cellStyle name="Normal 3 12 14" xfId="6324" xr:uid="{E598B793-1B83-4D22-83A0-3F7ACDCF3AA4}"/>
    <cellStyle name="Normal 3 12 15" xfId="6325" xr:uid="{D6DED5EA-D452-41A4-85FE-72E2ED22BF53}"/>
    <cellStyle name="Normal 3 12 15 2" xfId="6326" xr:uid="{FDFA0241-6F89-41E5-8AA7-0E20D6FA286A}"/>
    <cellStyle name="Normal 3 12 15 2 2" xfId="6327" xr:uid="{3217CCB5-62CF-4BAF-B1D2-15FA2C79555B}"/>
    <cellStyle name="Normal 3 12 15 2 2 2" xfId="6328" xr:uid="{33FD3444-015B-4FA8-AF44-1C18558380FC}"/>
    <cellStyle name="Normal 3 12 15 2 2 3" xfId="6329" xr:uid="{96C2E900-55FB-4943-A0C0-4C73957AABDD}"/>
    <cellStyle name="Normal 3 12 15 2 2 4" xfId="6330" xr:uid="{143097C7-BCE8-4D78-A29F-0DAD6BAF6139}"/>
    <cellStyle name="Normal 3 12 15 2 2 5" xfId="6331" xr:uid="{93FAF457-1008-4228-A6CC-41D98845275D}"/>
    <cellStyle name="Normal 3 12 15 2 2 6" xfId="6332" xr:uid="{F4B50CCA-3428-468F-A8D7-99C8E10E7888}"/>
    <cellStyle name="Normal 3 12 15 2 2 7" xfId="6333" xr:uid="{E85FD944-4D19-4EBD-9960-2C372B332CB3}"/>
    <cellStyle name="Normal 3 12 15 2 2 8" xfId="6334" xr:uid="{03B9B520-044B-4FCE-A841-4E4B5B3A6BC7}"/>
    <cellStyle name="Normal 3 12 15 2 3" xfId="6335" xr:uid="{59087C7B-FEA6-417D-8AFB-896F0E29FECF}"/>
    <cellStyle name="Normal 3 12 15 2 4" xfId="6336" xr:uid="{F3551B6D-6A2A-426D-A909-180A719A8A21}"/>
    <cellStyle name="Normal 3 12 15 2 5" xfId="6337" xr:uid="{10273E91-B0B3-4C1B-B8ED-0E3ED61CAC2F}"/>
    <cellStyle name="Normal 3 12 15 2 6" xfId="6338" xr:uid="{C81A9776-245C-465E-9C5A-D7CFF3F74B02}"/>
    <cellStyle name="Normal 3 12 15 2 7" xfId="6339" xr:uid="{6087B5A0-2F1B-4444-9456-1570ADFFBBDF}"/>
    <cellStyle name="Normal 3 12 15 2 8" xfId="6340" xr:uid="{4A584BB4-3672-4123-88B2-DEA8FE173EB5}"/>
    <cellStyle name="Normal 3 12 15 3" xfId="6341" xr:uid="{E368873B-3F1D-40B5-8705-05B713B36C88}"/>
    <cellStyle name="Normal 3 12 15 4" xfId="6342" xr:uid="{B06D043C-98CA-4277-907F-D8DBE196C679}"/>
    <cellStyle name="Normal 3 12 15 5" xfId="6343" xr:uid="{DA8F4F69-E1C3-4CA1-BBEB-04C86D074F87}"/>
    <cellStyle name="Normal 3 12 15 6" xfId="6344" xr:uid="{25C9C57C-3694-4ABB-B801-3EEB138F969A}"/>
    <cellStyle name="Normal 3 12 15 7" xfId="6345" xr:uid="{4B61D1BF-53E7-477B-BA0F-C2002630D29A}"/>
    <cellStyle name="Normal 3 12 15 8" xfId="6346" xr:uid="{C33C9BF8-7431-4D0F-A346-F402C3C96B3F}"/>
    <cellStyle name="Normal 3 12 15 9" xfId="6347" xr:uid="{4FA1CD95-4968-4A53-B5B2-F9645C8CDD13}"/>
    <cellStyle name="Normal 3 12 16" xfId="6348" xr:uid="{FDA8296F-C895-4CDC-9D87-A3F45242698A}"/>
    <cellStyle name="Normal 3 12 16 2" xfId="6349" xr:uid="{F55F6BA0-8228-4C17-AF60-D47C7542845D}"/>
    <cellStyle name="Normal 3 12 16 3" xfId="6350" xr:uid="{A2D73E3A-A3F1-4E15-9D98-03D2673845DD}"/>
    <cellStyle name="Normal 3 12 16 4" xfId="6351" xr:uid="{49147F88-9631-40A0-A1E8-49106122D26D}"/>
    <cellStyle name="Normal 3 12 16 5" xfId="6352" xr:uid="{E6C61076-2C66-484F-91F5-0029AA3217C7}"/>
    <cellStyle name="Normal 3 12 16 6" xfId="6353" xr:uid="{8B2262BB-E301-4D13-A151-821D5B2D1084}"/>
    <cellStyle name="Normal 3 12 16 7" xfId="6354" xr:uid="{26B0DB25-FA8D-40FE-A662-00B9DBC2AEA2}"/>
    <cellStyle name="Normal 3 12 16 8" xfId="6355" xr:uid="{9C859FB7-C0DC-491C-BBC8-7F65506446EE}"/>
    <cellStyle name="Normal 3 12 17" xfId="6356" xr:uid="{7C9EB32C-092E-48BD-BF7A-6242F6300964}"/>
    <cellStyle name="Normal 3 12 18" xfId="6357" xr:uid="{3D5746B4-F279-44A4-A981-51557DCA3C38}"/>
    <cellStyle name="Normal 3 12 19" xfId="6358" xr:uid="{80D9F585-A1DD-40C6-B48D-991A90372EA6}"/>
    <cellStyle name="Normal 3 12 2" xfId="6359" xr:uid="{59CCA78A-F937-42AB-A9C5-D4ADBF9663AD}"/>
    <cellStyle name="Normal 3 12 2 10" xfId="6360" xr:uid="{E6E273FB-723E-4B0B-B9E5-9B9467269A80}"/>
    <cellStyle name="Normal 3 12 2 11" xfId="6361" xr:uid="{493E7A66-D6CB-412A-BD2C-96FA1E0B77BD}"/>
    <cellStyle name="Normal 3 12 2 12" xfId="6362" xr:uid="{BF54DE65-B35E-4CE2-AA4D-9A7CAE4CB978}"/>
    <cellStyle name="Normal 3 12 2 13" xfId="6363" xr:uid="{4686E5F5-DD5F-400F-959C-F659917D7CC5}"/>
    <cellStyle name="Normal 3 12 2 14" xfId="6364" xr:uid="{C8D9AC83-8CF1-40E4-A2AD-5286DC04E83A}"/>
    <cellStyle name="Normal 3 12 2 15" xfId="6365" xr:uid="{10151440-2BEC-46F7-86C1-97CE0F179DEB}"/>
    <cellStyle name="Normal 3 12 2 15 2" xfId="6366" xr:uid="{54D80A4D-D1C5-4F2F-A17C-7D4D7B877AA0}"/>
    <cellStyle name="Normal 3 12 2 15 2 2" xfId="6367" xr:uid="{4C9ED05A-109F-484C-AE60-2B08DC179A95}"/>
    <cellStyle name="Normal 3 12 2 15 2 2 2" xfId="6368" xr:uid="{B9906C81-DC7E-48F0-A6E3-940615BB8903}"/>
    <cellStyle name="Normal 3 12 2 15 2 2 3" xfId="6369" xr:uid="{660D6553-C8FB-4FA6-B533-D05147CF9586}"/>
    <cellStyle name="Normal 3 12 2 15 2 2 4" xfId="6370" xr:uid="{83891764-B49B-494C-B75D-7A41800F48CE}"/>
    <cellStyle name="Normal 3 12 2 15 2 2 5" xfId="6371" xr:uid="{529E1A11-0EC4-4DF7-8090-8DFC98EF9160}"/>
    <cellStyle name="Normal 3 12 2 15 2 2 6" xfId="6372" xr:uid="{AE0E0B1A-80C1-48FD-B23E-17C85883B33E}"/>
    <cellStyle name="Normal 3 12 2 15 2 2 7" xfId="6373" xr:uid="{9DFDD4A8-D399-4A67-A3C1-D43F321D1F92}"/>
    <cellStyle name="Normal 3 12 2 15 2 2 8" xfId="6374" xr:uid="{A2E6666E-914C-4045-96B4-17D73455B7AC}"/>
    <cellStyle name="Normal 3 12 2 15 2 3" xfId="6375" xr:uid="{420E0819-C125-48CA-8717-64699DD84D49}"/>
    <cellStyle name="Normal 3 12 2 15 2 4" xfId="6376" xr:uid="{ED2C9E0E-8D8F-45B8-9AB8-5E84D4AB6E9E}"/>
    <cellStyle name="Normal 3 12 2 15 2 5" xfId="6377" xr:uid="{2FBC784A-7C66-43AD-88D3-31CD8F2BC5F2}"/>
    <cellStyle name="Normal 3 12 2 15 2 6" xfId="6378" xr:uid="{3E293529-3051-4394-8035-C136183390D6}"/>
    <cellStyle name="Normal 3 12 2 15 2 7" xfId="6379" xr:uid="{EB4308D4-3EF6-4E70-8E8F-4A2789DA0C5A}"/>
    <cellStyle name="Normal 3 12 2 15 2 8" xfId="6380" xr:uid="{2CD25FB4-8B6C-4FB6-997B-68BFAE33F5A4}"/>
    <cellStyle name="Normal 3 12 2 15 3" xfId="6381" xr:uid="{F8BF8800-CC58-4701-9C34-995397DA668A}"/>
    <cellStyle name="Normal 3 12 2 15 4" xfId="6382" xr:uid="{0D6E4E95-32DB-40E9-96CB-4DB3D08B91C1}"/>
    <cellStyle name="Normal 3 12 2 15 5" xfId="6383" xr:uid="{45CCEE75-3381-4B44-8D63-7D6356C40601}"/>
    <cellStyle name="Normal 3 12 2 15 6" xfId="6384" xr:uid="{53987456-DC10-4517-B3D4-FFBDBBFFDBF5}"/>
    <cellStyle name="Normal 3 12 2 15 7" xfId="6385" xr:uid="{60C22572-13DF-4126-B20B-E7743B2C62E1}"/>
    <cellStyle name="Normal 3 12 2 15 8" xfId="6386" xr:uid="{1FC9F9EF-9C74-4600-9009-B1EE0091090A}"/>
    <cellStyle name="Normal 3 12 2 15 9" xfId="6387" xr:uid="{B31128F5-10B2-4F36-8579-E98170517352}"/>
    <cellStyle name="Normal 3 12 2 16" xfId="6388" xr:uid="{2FF51FA9-93F4-4D4E-BCF2-5E0DAB319916}"/>
    <cellStyle name="Normal 3 12 2 16 2" xfId="6389" xr:uid="{92F34E9D-0DBF-4544-BA5C-814EDB620E63}"/>
    <cellStyle name="Normal 3 12 2 16 3" xfId="6390" xr:uid="{94850FE3-D59F-4DA6-99EC-61EF1BC7AB0B}"/>
    <cellStyle name="Normal 3 12 2 16 4" xfId="6391" xr:uid="{968E45DA-FEC5-4062-AC16-1DF869B42A1A}"/>
    <cellStyle name="Normal 3 12 2 16 5" xfId="6392" xr:uid="{5D8AE50F-4087-49BB-9E82-8CF72D6A0CC3}"/>
    <cellStyle name="Normal 3 12 2 16 6" xfId="6393" xr:uid="{CDA157EC-CF1F-4FC2-B43F-B9DB1195C847}"/>
    <cellStyle name="Normal 3 12 2 16 7" xfId="6394" xr:uid="{E7F17EE7-B10A-4E56-984D-58C06C02976E}"/>
    <cellStyle name="Normal 3 12 2 16 8" xfId="6395" xr:uid="{530EFD10-C505-401E-AE6D-8E5F16004D7E}"/>
    <cellStyle name="Normal 3 12 2 17" xfId="6396" xr:uid="{4CCE634D-2E42-4CA1-BA76-3C5225AB81A4}"/>
    <cellStyle name="Normal 3 12 2 18" xfId="6397" xr:uid="{5370CFEB-A604-40F6-8E05-DB222C919CDE}"/>
    <cellStyle name="Normal 3 12 2 19" xfId="6398" xr:uid="{9EC86E61-713D-42CA-92A7-F5310311CD57}"/>
    <cellStyle name="Normal 3 12 2 2" xfId="6399" xr:uid="{DABB7A20-0ADC-4121-87F2-6635C29E688B}"/>
    <cellStyle name="Normal 3 12 2 2 10" xfId="6400" xr:uid="{B6486D13-688F-4338-963B-13F2542E39D3}"/>
    <cellStyle name="Normal 3 12 2 2 10 2" xfId="6401" xr:uid="{2D498403-3240-430A-B160-F3971A38DD6D}"/>
    <cellStyle name="Normal 3 12 2 2 10 2 2" xfId="6402" xr:uid="{87575FB9-FF23-44E0-B910-14B042092AFF}"/>
    <cellStyle name="Normal 3 12 2 2 10 2 2 2" xfId="6403" xr:uid="{6011E9CB-A928-46A8-AD1C-C9B41284FE60}"/>
    <cellStyle name="Normal 3 12 2 2 10 2 2 3" xfId="6404" xr:uid="{83DF81C6-D3F3-4614-BE1A-8A1D92B3B76D}"/>
    <cellStyle name="Normal 3 12 2 2 10 2 2 4" xfId="6405" xr:uid="{64CB36E1-E98C-4175-8CF1-89D1AAB2A926}"/>
    <cellStyle name="Normal 3 12 2 2 10 2 2 5" xfId="6406" xr:uid="{E79BBA74-F1D9-4FE7-B038-6139AFD21BFE}"/>
    <cellStyle name="Normal 3 12 2 2 10 2 2 6" xfId="6407" xr:uid="{0FD1969F-B5FC-4216-A4B1-14D92D4CF093}"/>
    <cellStyle name="Normal 3 12 2 2 10 2 2 7" xfId="6408" xr:uid="{498FDF22-7891-49AF-B728-2F73A2150EF5}"/>
    <cellStyle name="Normal 3 12 2 2 10 2 2 8" xfId="6409" xr:uid="{D19F9A9C-36C8-40F6-A3E2-73C9EFA7B2FB}"/>
    <cellStyle name="Normal 3 12 2 2 10 2 3" xfId="6410" xr:uid="{3BFC3733-A68C-4CB4-BF98-CDE2EC9214C0}"/>
    <cellStyle name="Normal 3 12 2 2 10 2 4" xfId="6411" xr:uid="{4A3B5AF6-9036-466A-B930-EF4BEDF1F4F5}"/>
    <cellStyle name="Normal 3 12 2 2 10 2 5" xfId="6412" xr:uid="{A7177173-C572-440D-AACA-9B06CA49E6C8}"/>
    <cellStyle name="Normal 3 12 2 2 10 2 6" xfId="6413" xr:uid="{5BFBA429-2381-4443-B482-245DFDD89C15}"/>
    <cellStyle name="Normal 3 12 2 2 10 2 7" xfId="6414" xr:uid="{22BA335E-87A5-4C35-9EB7-30DB6492E1CE}"/>
    <cellStyle name="Normal 3 12 2 2 10 2 8" xfId="6415" xr:uid="{E43895B4-76C2-4F53-82C0-45C97CA6E09A}"/>
    <cellStyle name="Normal 3 12 2 2 10 3" xfId="6416" xr:uid="{01A9F260-CE8B-4715-87EC-F2E8A6C194D8}"/>
    <cellStyle name="Normal 3 12 2 2 10 4" xfId="6417" xr:uid="{2F41FC4F-3164-4659-B0D6-2BF63B705EC5}"/>
    <cellStyle name="Normal 3 12 2 2 10 5" xfId="6418" xr:uid="{6A4D08BB-C549-4902-A468-EFC709B3918C}"/>
    <cellStyle name="Normal 3 12 2 2 10 6" xfId="6419" xr:uid="{4C80BAAB-D5E6-4584-847B-A67B42604F7B}"/>
    <cellStyle name="Normal 3 12 2 2 10 7" xfId="6420" xr:uid="{DA44C56D-7531-458D-957A-3D7984D1D11C}"/>
    <cellStyle name="Normal 3 12 2 2 10 8" xfId="6421" xr:uid="{1437AB4F-0803-48CB-B890-F67F7D633416}"/>
    <cellStyle name="Normal 3 12 2 2 10 9" xfId="6422" xr:uid="{EA913415-D672-4291-9A33-A99F750D5889}"/>
    <cellStyle name="Normal 3 12 2 2 11" xfId="6423" xr:uid="{24698B44-13E9-49DB-929D-6054C97A7210}"/>
    <cellStyle name="Normal 3 12 2 2 11 2" xfId="6424" xr:uid="{B569747B-BD16-4236-966A-C3B8967A3A00}"/>
    <cellStyle name="Normal 3 12 2 2 11 3" xfId="6425" xr:uid="{1D23685D-4F6C-4438-B1BE-919290E4FA44}"/>
    <cellStyle name="Normal 3 12 2 2 11 4" xfId="6426" xr:uid="{B7E65909-918E-4B1E-8B5C-B35146951956}"/>
    <cellStyle name="Normal 3 12 2 2 11 5" xfId="6427" xr:uid="{196F8475-A1D0-4343-BBF4-9A0F1ED603DD}"/>
    <cellStyle name="Normal 3 12 2 2 11 6" xfId="6428" xr:uid="{BB2F1845-2B75-4736-961C-B66B61ABE445}"/>
    <cellStyle name="Normal 3 12 2 2 11 7" xfId="6429" xr:uid="{E7B9881F-A6F4-4468-BDB6-852416BC22BA}"/>
    <cellStyle name="Normal 3 12 2 2 11 8" xfId="6430" xr:uid="{26088BFD-2863-4E88-AC21-075792395411}"/>
    <cellStyle name="Normal 3 12 2 2 12" xfId="6431" xr:uid="{9CA802D4-5C41-4E93-9449-90460C611990}"/>
    <cellStyle name="Normal 3 12 2 2 13" xfId="6432" xr:uid="{D60208B6-43D5-45FC-B099-CD50ED25A9AB}"/>
    <cellStyle name="Normal 3 12 2 2 14" xfId="6433" xr:uid="{374A3B04-B957-4883-8A4D-118748797FF8}"/>
    <cellStyle name="Normal 3 12 2 2 15" xfId="6434" xr:uid="{00BDBEF2-A891-458B-AF83-1F78D5630162}"/>
    <cellStyle name="Normal 3 12 2 2 16" xfId="6435" xr:uid="{F3CD2DD1-C374-44F7-B230-6B05D1D24B84}"/>
    <cellStyle name="Normal 3 12 2 2 17" xfId="6436" xr:uid="{79B0538C-AA26-48C9-BE3B-56DFF040DEF0}"/>
    <cellStyle name="Normal 3 12 2 2 2" xfId="6437" xr:uid="{FC6C715C-6127-44AE-B982-DE023DCF18BF}"/>
    <cellStyle name="Normal 3 12 2 2 2 10" xfId="6438" xr:uid="{79C8190C-D9AB-4F9C-BE85-EAB890D8A6AE}"/>
    <cellStyle name="Normal 3 12 2 2 2 10 2" xfId="6439" xr:uid="{0262FF16-E262-463A-ACF3-9C37BE836D7E}"/>
    <cellStyle name="Normal 3 12 2 2 2 10 2 2" xfId="6440" xr:uid="{24A09A5C-BD24-442F-BD4E-85DFE6BBE738}"/>
    <cellStyle name="Normal 3 12 2 2 2 10 2 2 2" xfId="6441" xr:uid="{F0957874-2E62-453B-9A3B-E97A1933EF05}"/>
    <cellStyle name="Normal 3 12 2 2 2 10 2 2 3" xfId="6442" xr:uid="{D44A0A03-321C-46C6-AF22-F2433CB7FF7D}"/>
    <cellStyle name="Normal 3 12 2 2 2 10 2 2 4" xfId="6443" xr:uid="{3B19BF41-072A-4E62-A578-A0E5DE5BBF00}"/>
    <cellStyle name="Normal 3 12 2 2 2 10 2 2 5" xfId="6444" xr:uid="{992BC0CF-FFAF-45DE-A9FE-7AAE7E29A0F5}"/>
    <cellStyle name="Normal 3 12 2 2 2 10 2 2 6" xfId="6445" xr:uid="{937D01BA-3682-408B-89FD-DE9A163F6B59}"/>
    <cellStyle name="Normal 3 12 2 2 2 10 2 2 7" xfId="6446" xr:uid="{00D0C689-E163-467B-9C6A-3F816DA66DA3}"/>
    <cellStyle name="Normal 3 12 2 2 2 10 2 2 8" xfId="6447" xr:uid="{EA56F9B2-DB4B-42B7-ACB7-B50DE7B51BA4}"/>
    <cellStyle name="Normal 3 12 2 2 2 10 2 3" xfId="6448" xr:uid="{13B272BD-8461-444E-B029-9FDD37BF8EC2}"/>
    <cellStyle name="Normal 3 12 2 2 2 10 2 4" xfId="6449" xr:uid="{953A5090-800A-43D3-8108-14A18260E78B}"/>
    <cellStyle name="Normal 3 12 2 2 2 10 2 5" xfId="6450" xr:uid="{54F32F4D-C580-42A0-9D2E-DA01549CA1A2}"/>
    <cellStyle name="Normal 3 12 2 2 2 10 2 6" xfId="6451" xr:uid="{8A41FE49-B681-43EC-83B4-9499A90CB47C}"/>
    <cellStyle name="Normal 3 12 2 2 2 10 2 7" xfId="6452" xr:uid="{DB78057C-ED32-4977-AC9E-1F9FCD958F7A}"/>
    <cellStyle name="Normal 3 12 2 2 2 10 2 8" xfId="6453" xr:uid="{EBEC1449-61F3-4C4B-A99E-64BA1F5A71B6}"/>
    <cellStyle name="Normal 3 12 2 2 2 10 3" xfId="6454" xr:uid="{97E6B8A9-4CB4-4E0A-8825-75B113BA2ACF}"/>
    <cellStyle name="Normal 3 12 2 2 2 10 4" xfId="6455" xr:uid="{3339E607-031C-43D0-8484-A2338B671DE4}"/>
    <cellStyle name="Normal 3 12 2 2 2 10 5" xfId="6456" xr:uid="{450441D8-1DCF-4211-BEF9-8CA62CC02D0F}"/>
    <cellStyle name="Normal 3 12 2 2 2 10 6" xfId="6457" xr:uid="{79DEF614-D6F5-4189-8EC4-F0A8A4671460}"/>
    <cellStyle name="Normal 3 12 2 2 2 10 7" xfId="6458" xr:uid="{9211F729-83E0-477C-B7BA-6B244079DC8E}"/>
    <cellStyle name="Normal 3 12 2 2 2 10 8" xfId="6459" xr:uid="{50B44878-BC8A-42CE-9D30-A2941AD0FFBA}"/>
    <cellStyle name="Normal 3 12 2 2 2 10 9" xfId="6460" xr:uid="{EF6E3AB2-F3A3-4C27-81D0-70B829445881}"/>
    <cellStyle name="Normal 3 12 2 2 2 11" xfId="6461" xr:uid="{B17A27CD-C804-4A44-95F1-6FC9276AF46B}"/>
    <cellStyle name="Normal 3 12 2 2 2 11 2" xfId="6462" xr:uid="{48C7B2B8-3F43-44C2-803E-D0A4E3CE5C23}"/>
    <cellStyle name="Normal 3 12 2 2 2 11 3" xfId="6463" xr:uid="{FA02726F-0D82-4D55-B155-2C5D18604758}"/>
    <cellStyle name="Normal 3 12 2 2 2 11 4" xfId="6464" xr:uid="{FB74FE37-BCDB-4A2D-A965-EB8948697C23}"/>
    <cellStyle name="Normal 3 12 2 2 2 11 5" xfId="6465" xr:uid="{0276F9AF-09F3-4C17-9370-7493F2D97224}"/>
    <cellStyle name="Normal 3 12 2 2 2 11 6" xfId="6466" xr:uid="{5AB35AED-41A2-4A98-AA9C-472A624601A6}"/>
    <cellStyle name="Normal 3 12 2 2 2 11 7" xfId="6467" xr:uid="{8C3F3FF9-4174-40BC-A4BE-716C61BC77E3}"/>
    <cellStyle name="Normal 3 12 2 2 2 11 8" xfId="6468" xr:uid="{E74629C4-07B4-42BF-8153-21CE1B5C7014}"/>
    <cellStyle name="Normal 3 12 2 2 2 12" xfId="6469" xr:uid="{25B672DD-CE57-4E00-8B06-BAD6CE796EBB}"/>
    <cellStyle name="Normal 3 12 2 2 2 13" xfId="6470" xr:uid="{364CD7B1-5798-43D7-A775-9421D429EA26}"/>
    <cellStyle name="Normal 3 12 2 2 2 14" xfId="6471" xr:uid="{20516C2B-1B22-4DB8-A2BF-A335E238CB73}"/>
    <cellStyle name="Normal 3 12 2 2 2 15" xfId="6472" xr:uid="{B4358C21-EE61-4C90-9D65-222FCE574860}"/>
    <cellStyle name="Normal 3 12 2 2 2 16" xfId="6473" xr:uid="{EEB6B653-1E54-40CD-B96B-C5EA34BA139B}"/>
    <cellStyle name="Normal 3 12 2 2 2 17" xfId="6474" xr:uid="{428A53A1-15FB-4C18-9158-C5FAF83FEC76}"/>
    <cellStyle name="Normal 3 12 2 2 2 2" xfId="6475" xr:uid="{62CB3D17-8CFA-4395-9052-BC5464FBB296}"/>
    <cellStyle name="Normal 3 12 2 2 2 2 10" xfId="6476" xr:uid="{486C3D81-B9EE-43ED-AC88-BB16D9BC228B}"/>
    <cellStyle name="Normal 3 12 2 2 2 2 2" xfId="6477" xr:uid="{356EA8B4-6E78-4150-B37E-C7D9B2E20B0F}"/>
    <cellStyle name="Normal 3 12 2 2 2 2 2 2" xfId="6478" xr:uid="{95C67D06-2A95-4C74-A7C2-D8BEB15AB17E}"/>
    <cellStyle name="Normal 3 12 2 2 2 2 2 2 2" xfId="6479" xr:uid="{A27BEBA2-DF94-451F-B232-4E86E75C9AD1}"/>
    <cellStyle name="Normal 3 12 2 2 2 2 2 2 2 2" xfId="6480" xr:uid="{4E3A8E83-5A9C-4B7A-877E-CA28E16B81F3}"/>
    <cellStyle name="Normal 3 12 2 2 2 2 2 2 2 3" xfId="6481" xr:uid="{0384DCEE-5C98-452C-A086-0374696C89EF}"/>
    <cellStyle name="Normal 3 12 2 2 2 2 2 2 2 4" xfId="6482" xr:uid="{748EBC2C-7340-47FE-8CB2-B440862E9C83}"/>
    <cellStyle name="Normal 3 12 2 2 2 2 2 2 2 5" xfId="6483" xr:uid="{06869B16-8C98-46AF-97C0-2CB6264375A9}"/>
    <cellStyle name="Normal 3 12 2 2 2 2 2 2 2 6" xfId="6484" xr:uid="{ED4B29DD-7D03-40DE-B4AC-120664142AEE}"/>
    <cellStyle name="Normal 3 12 2 2 2 2 2 2 2 7" xfId="6485" xr:uid="{0E6F7C88-92AA-448C-8954-AE2E9A8A6728}"/>
    <cellStyle name="Normal 3 12 2 2 2 2 2 2 2 8" xfId="6486" xr:uid="{5EFB5063-FF74-4279-BD01-78D764C6919A}"/>
    <cellStyle name="Normal 3 12 2 2 2 2 2 2 3" xfId="6487" xr:uid="{A11A94E7-BA43-4DD5-94FA-1A40D3F4B970}"/>
    <cellStyle name="Normal 3 12 2 2 2 2 2 2 4" xfId="6488" xr:uid="{7667ADEC-55D1-4C75-BA8B-97E2442FE8B3}"/>
    <cellStyle name="Normal 3 12 2 2 2 2 2 2 5" xfId="6489" xr:uid="{F0C90E22-6B3D-4987-A9B6-947FC2CD6011}"/>
    <cellStyle name="Normal 3 12 2 2 2 2 2 2 6" xfId="6490" xr:uid="{28ACE54C-0705-4999-A8A7-3EB138A8999A}"/>
    <cellStyle name="Normal 3 12 2 2 2 2 2 2 7" xfId="6491" xr:uid="{F7E1D3C4-3940-4263-99A5-35F393740BD1}"/>
    <cellStyle name="Normal 3 12 2 2 2 2 2 2 8" xfId="6492" xr:uid="{09F7F2DA-C858-429B-BAC4-BF19C3870AF0}"/>
    <cellStyle name="Normal 3 12 2 2 2 2 2 3" xfId="6493" xr:uid="{30E7A22D-A912-4655-A7AA-BF87C115BDF5}"/>
    <cellStyle name="Normal 3 12 2 2 2 2 2 4" xfId="6494" xr:uid="{A9D91947-2937-4145-A27F-6230C2D2DBBD}"/>
    <cellStyle name="Normal 3 12 2 2 2 2 2 5" xfId="6495" xr:uid="{EC5F5945-2D21-4D94-8075-D32220F04D39}"/>
    <cellStyle name="Normal 3 12 2 2 2 2 2 6" xfId="6496" xr:uid="{5E331378-3C92-42E9-A337-BA2F04B3EEDF}"/>
    <cellStyle name="Normal 3 12 2 2 2 2 2 7" xfId="6497" xr:uid="{FABBD97C-1AC2-4933-B936-7AEBB80569ED}"/>
    <cellStyle name="Normal 3 12 2 2 2 2 2 8" xfId="6498" xr:uid="{2AD1CA86-F9C5-4BB0-A077-11BA16A89092}"/>
    <cellStyle name="Normal 3 12 2 2 2 2 2 9" xfId="6499" xr:uid="{7AC878D0-8A9E-4536-8844-0753897C97C7}"/>
    <cellStyle name="Normal 3 12 2 2 2 2 3" xfId="6500" xr:uid="{86B89B41-A769-4903-88F7-6220FD0DCE27}"/>
    <cellStyle name="Normal 3 12 2 2 2 2 4" xfId="6501" xr:uid="{8956314C-D88A-4B72-BBD4-8D48654F86A9}"/>
    <cellStyle name="Normal 3 12 2 2 2 2 4 2" xfId="6502" xr:uid="{AD740F44-E377-47E7-945F-5E5BEC0BD3A0}"/>
    <cellStyle name="Normal 3 12 2 2 2 2 4 3" xfId="6503" xr:uid="{0B49E677-4E47-4B20-B0D4-5AA4C8F0A8A9}"/>
    <cellStyle name="Normal 3 12 2 2 2 2 4 4" xfId="6504" xr:uid="{6EFC875C-43DA-4AEE-A987-022168CC8833}"/>
    <cellStyle name="Normal 3 12 2 2 2 2 4 5" xfId="6505" xr:uid="{416F78C0-ED08-49BC-8052-60F18618F1A8}"/>
    <cellStyle name="Normal 3 12 2 2 2 2 4 6" xfId="6506" xr:uid="{AF02CD08-B748-4A9D-ACAE-4B5844700A31}"/>
    <cellStyle name="Normal 3 12 2 2 2 2 4 7" xfId="6507" xr:uid="{0756034B-EC1C-4A5F-827B-3A758FF7A974}"/>
    <cellStyle name="Normal 3 12 2 2 2 2 4 8" xfId="6508" xr:uid="{7C277A21-27B8-467F-AAD6-D2D1E74A1C76}"/>
    <cellStyle name="Normal 3 12 2 2 2 2 5" xfId="6509" xr:uid="{76A95B95-4ED5-4C6C-AFB8-54D96C565B8B}"/>
    <cellStyle name="Normal 3 12 2 2 2 2 6" xfId="6510" xr:uid="{962B8FDA-41D4-4EAA-8179-5C8626D84F5E}"/>
    <cellStyle name="Normal 3 12 2 2 2 2 7" xfId="6511" xr:uid="{FF384261-5431-4585-B840-F7844C5E3101}"/>
    <cellStyle name="Normal 3 12 2 2 2 2 8" xfId="6512" xr:uid="{78DF289F-D55C-4700-B3E1-198BFEBEAB9F}"/>
    <cellStyle name="Normal 3 12 2 2 2 2 9" xfId="6513" xr:uid="{98D7CD86-2D72-4BE4-B82D-59A6EDAC52CB}"/>
    <cellStyle name="Normal 3 12 2 2 2 3" xfId="6514" xr:uid="{5180A885-0874-4F5E-8946-45FBFE96C799}"/>
    <cellStyle name="Normal 3 12 2 2 2 4" xfId="6515" xr:uid="{D7BE996D-94B4-4336-80A2-ECED9F1DFC38}"/>
    <cellStyle name="Normal 3 12 2 2 2 5" xfId="6516" xr:uid="{E46B945C-750F-4E4F-81C8-80DBF739A399}"/>
    <cellStyle name="Normal 3 12 2 2 2 6" xfId="6517" xr:uid="{5F110C8A-1934-47A7-BF95-273D27FE4F2C}"/>
    <cellStyle name="Normal 3 12 2 2 2 7" xfId="6518" xr:uid="{AA183369-5947-44F5-84AB-04E360E19F1E}"/>
    <cellStyle name="Normal 3 12 2 2 2 8" xfId="6519" xr:uid="{CA0850DE-D677-415D-9DAB-859085BD2DA1}"/>
    <cellStyle name="Normal 3 12 2 2 2 9" xfId="6520" xr:uid="{0067363F-E93F-413D-81A6-377313BE070F}"/>
    <cellStyle name="Normal 3 12 2 2 3" xfId="6521" xr:uid="{44A94B91-7304-49B7-8AAC-D50A34CD9FD5}"/>
    <cellStyle name="Normal 3 12 2 2 3 10" xfId="6522" xr:uid="{A309E9C7-E18A-4262-BED5-BA2536EFF70B}"/>
    <cellStyle name="Normal 3 12 2 2 3 2" xfId="6523" xr:uid="{C640722E-DF00-4B45-8237-F83D8826BD0B}"/>
    <cellStyle name="Normal 3 12 2 2 3 2 2" xfId="6524" xr:uid="{D492A33A-8C63-4802-B705-D6501E3AD114}"/>
    <cellStyle name="Normal 3 12 2 2 3 2 2 2" xfId="6525" xr:uid="{BD898E1F-F35E-4709-9223-38CF11264F52}"/>
    <cellStyle name="Normal 3 12 2 2 3 2 2 2 2" xfId="6526" xr:uid="{1189D80B-FAC3-4D07-A8D2-01D2FE00F1A0}"/>
    <cellStyle name="Normal 3 12 2 2 3 2 2 2 3" xfId="6527" xr:uid="{8242FB57-3CDE-4AAA-8408-76F36E5185D7}"/>
    <cellStyle name="Normal 3 12 2 2 3 2 2 2 4" xfId="6528" xr:uid="{6836595A-426E-469D-88B3-0F45BAB49CDC}"/>
    <cellStyle name="Normal 3 12 2 2 3 2 2 2 5" xfId="6529" xr:uid="{7A2D9269-EB0D-4B28-80BC-4DB4A85BE714}"/>
    <cellStyle name="Normal 3 12 2 2 3 2 2 2 6" xfId="6530" xr:uid="{E6B08BB4-B6B0-4DCA-B345-9EE20ACE3296}"/>
    <cellStyle name="Normal 3 12 2 2 3 2 2 2 7" xfId="6531" xr:uid="{32F19CC9-8A7C-4594-B02C-27262B6D443C}"/>
    <cellStyle name="Normal 3 12 2 2 3 2 2 2 8" xfId="6532" xr:uid="{F4BA775F-F06E-44DD-BCFD-BCDB3C6C4503}"/>
    <cellStyle name="Normal 3 12 2 2 3 2 2 3" xfId="6533" xr:uid="{6A2B3107-7410-4D8E-BCDC-1ABCCABB0BC6}"/>
    <cellStyle name="Normal 3 12 2 2 3 2 2 4" xfId="6534" xr:uid="{0B636D43-84AB-42E2-990E-690B8089D1F6}"/>
    <cellStyle name="Normal 3 12 2 2 3 2 2 5" xfId="6535" xr:uid="{49421AFA-0647-4DC3-81AC-576535257B50}"/>
    <cellStyle name="Normal 3 12 2 2 3 2 2 6" xfId="6536" xr:uid="{4629391D-0E8B-4AEE-B391-B04C75E2D79B}"/>
    <cellStyle name="Normal 3 12 2 2 3 2 2 7" xfId="6537" xr:uid="{A077D28C-89EA-4757-8309-C16097EB9B6C}"/>
    <cellStyle name="Normal 3 12 2 2 3 2 2 8" xfId="6538" xr:uid="{45585D2B-83FC-4FDF-9FE8-1C9BE9691C98}"/>
    <cellStyle name="Normal 3 12 2 2 3 2 3" xfId="6539" xr:uid="{439596D6-9BF9-4444-83AF-13C11D7F700C}"/>
    <cellStyle name="Normal 3 12 2 2 3 2 4" xfId="6540" xr:uid="{110915A6-E804-4C7E-A5D9-7F43DF0DFC5C}"/>
    <cellStyle name="Normal 3 12 2 2 3 2 5" xfId="6541" xr:uid="{EC4EE503-8555-4B13-9119-D1890352B2CD}"/>
    <cellStyle name="Normal 3 12 2 2 3 2 6" xfId="6542" xr:uid="{F2188EF8-5C3A-4EA2-983B-992094C4BF21}"/>
    <cellStyle name="Normal 3 12 2 2 3 2 7" xfId="6543" xr:uid="{A68BB469-35AD-4A65-98E3-59CAB5601933}"/>
    <cellStyle name="Normal 3 12 2 2 3 2 8" xfId="6544" xr:uid="{2C5A5301-EFE7-4D73-9A8C-1A71A269F9F5}"/>
    <cellStyle name="Normal 3 12 2 2 3 2 9" xfId="6545" xr:uid="{039DB89B-2659-4858-B723-AACE01708870}"/>
    <cellStyle name="Normal 3 12 2 2 3 3" xfId="6546" xr:uid="{B94E3B09-481C-49E3-84AD-31D6D67C0E13}"/>
    <cellStyle name="Normal 3 12 2 2 3 4" xfId="6547" xr:uid="{35957D8A-D044-44B2-AD9F-3BF01DD6FE58}"/>
    <cellStyle name="Normal 3 12 2 2 3 4 2" xfId="6548" xr:uid="{E1FEB2A0-7123-439F-8E21-D0579E701B4B}"/>
    <cellStyle name="Normal 3 12 2 2 3 4 3" xfId="6549" xr:uid="{54812642-9710-4EAA-8C4C-7794048F6465}"/>
    <cellStyle name="Normal 3 12 2 2 3 4 4" xfId="6550" xr:uid="{EF6E088F-11BA-4F1A-834D-9A5F9A7F4EB3}"/>
    <cellStyle name="Normal 3 12 2 2 3 4 5" xfId="6551" xr:uid="{4B8F1551-4ECE-4358-B8B0-98E1AB161755}"/>
    <cellStyle name="Normal 3 12 2 2 3 4 6" xfId="6552" xr:uid="{C9C517CE-13A3-4936-A7D4-9D7E416FF348}"/>
    <cellStyle name="Normal 3 12 2 2 3 4 7" xfId="6553" xr:uid="{01D59B9C-94F8-4C39-AEF6-8AD6D8C5C779}"/>
    <cellStyle name="Normal 3 12 2 2 3 4 8" xfId="6554" xr:uid="{D07DE873-489B-4AC9-81B7-93766C96E292}"/>
    <cellStyle name="Normal 3 12 2 2 3 5" xfId="6555" xr:uid="{C73E0A15-940E-4972-A9A2-545A27065BE8}"/>
    <cellStyle name="Normal 3 12 2 2 3 6" xfId="6556" xr:uid="{A516D815-0981-4ADE-BEC6-A80E35B8295B}"/>
    <cellStyle name="Normal 3 12 2 2 3 7" xfId="6557" xr:uid="{70132C34-EAEE-4343-88A8-08EDC6C56D47}"/>
    <cellStyle name="Normal 3 12 2 2 3 8" xfId="6558" xr:uid="{21F06EA0-6A73-4CA9-A933-362465B8DB38}"/>
    <cellStyle name="Normal 3 12 2 2 3 9" xfId="6559" xr:uid="{6A75F475-1DA8-4C90-87B3-6C3AA5561014}"/>
    <cellStyle name="Normal 3 12 2 2 4" xfId="6560" xr:uid="{3156B3B9-54CA-4202-8F32-5C9931DB900C}"/>
    <cellStyle name="Normal 3 12 2 2 5" xfId="6561" xr:uid="{61402FD6-0946-47DB-A9C5-88AF20593110}"/>
    <cellStyle name="Normal 3 12 2 2 6" xfId="6562" xr:uid="{D047176D-62FD-40D4-A9ED-9129627B8D83}"/>
    <cellStyle name="Normal 3 12 2 2 7" xfId="6563" xr:uid="{E02C69A7-2903-408F-A1E4-4F685BBD5A87}"/>
    <cellStyle name="Normal 3 12 2 2 8" xfId="6564" xr:uid="{567A0512-3AC9-4E3D-AC8B-E8BDB5504D4A}"/>
    <cellStyle name="Normal 3 12 2 2 9" xfId="6565" xr:uid="{DCFCD142-1E37-4CCE-BD82-C3D8C48EDA47}"/>
    <cellStyle name="Normal 3 12 2 20" xfId="6566" xr:uid="{8C41928E-D0C3-4028-9821-F97BFDC7D634}"/>
    <cellStyle name="Normal 3 12 2 21" xfId="6567" xr:uid="{256F35A0-F643-4D4B-A7C0-703D03D7DE26}"/>
    <cellStyle name="Normal 3 12 2 22" xfId="6568" xr:uid="{FE6002E0-8ABE-4EBD-992C-F694593A0F0A}"/>
    <cellStyle name="Normal 3 12 2 3" xfId="6569" xr:uid="{BBE9C7C5-4BF0-44FA-A9DF-95188A73D91A}"/>
    <cellStyle name="Normal 3 12 2 4" xfId="6570" xr:uid="{A8005D9B-EC42-4D7F-BDA9-C812A2B030C5}"/>
    <cellStyle name="Normal 3 12 2 5" xfId="6571" xr:uid="{CBD930BF-3510-4FC4-A6F4-81ED8BED154C}"/>
    <cellStyle name="Normal 3 12 2 6" xfId="6572" xr:uid="{1FB6A4DE-C899-470C-9F81-1D84B9E6F670}"/>
    <cellStyle name="Normal 3 12 2 7" xfId="6573" xr:uid="{BEC58315-D4F0-4FA9-BE9D-A35378A83304}"/>
    <cellStyle name="Normal 3 12 2 7 10" xfId="6574" xr:uid="{B8A57923-F923-4951-A37D-9E1D5E6EA5CB}"/>
    <cellStyle name="Normal 3 12 2 7 2" xfId="6575" xr:uid="{4FC89B0A-B4DB-4FEC-A5BA-7BF436CEE2B8}"/>
    <cellStyle name="Normal 3 12 2 7 2 2" xfId="6576" xr:uid="{B2F4E010-96F2-4911-8D8D-5AF10760F6C9}"/>
    <cellStyle name="Normal 3 12 2 7 2 2 2" xfId="6577" xr:uid="{2219EFDA-3278-449A-A2C0-0E3E86DAEEF9}"/>
    <cellStyle name="Normal 3 12 2 7 2 2 2 2" xfId="6578" xr:uid="{BF68C9DE-BF89-46CE-8069-F6071A1E8C65}"/>
    <cellStyle name="Normal 3 12 2 7 2 2 2 3" xfId="6579" xr:uid="{57526FA9-159F-42C0-8B71-F5BDA7EF8734}"/>
    <cellStyle name="Normal 3 12 2 7 2 2 2 4" xfId="6580" xr:uid="{4A284D74-E13D-4804-A421-2DB8317F3E38}"/>
    <cellStyle name="Normal 3 12 2 7 2 2 2 5" xfId="6581" xr:uid="{FD38B23D-70E8-410C-8E38-ED24F30B3450}"/>
    <cellStyle name="Normal 3 12 2 7 2 2 2 6" xfId="6582" xr:uid="{4F738963-7EE2-4E25-B509-7F8EB7CE2B5C}"/>
    <cellStyle name="Normal 3 12 2 7 2 2 2 7" xfId="6583" xr:uid="{6B44EBB3-126A-4D3F-98BC-75A42D860A6A}"/>
    <cellStyle name="Normal 3 12 2 7 2 2 2 8" xfId="6584" xr:uid="{5D633992-E769-48E4-A362-A5FAB4CFC740}"/>
    <cellStyle name="Normal 3 12 2 7 2 2 3" xfId="6585" xr:uid="{F4E5BA68-466E-4897-8036-6B5E32748A24}"/>
    <cellStyle name="Normal 3 12 2 7 2 2 4" xfId="6586" xr:uid="{BE3C0263-A1B2-4ACB-BFA9-CA4B1C77C1B7}"/>
    <cellStyle name="Normal 3 12 2 7 2 2 5" xfId="6587" xr:uid="{329E8676-180C-40B5-8673-7FFB8AC076AB}"/>
    <cellStyle name="Normal 3 12 2 7 2 2 6" xfId="6588" xr:uid="{FAADA5FF-0DDA-4F9F-A6AC-294F697AC405}"/>
    <cellStyle name="Normal 3 12 2 7 2 2 7" xfId="6589" xr:uid="{68F4F250-0A6F-42FE-87E2-5150180EDBF2}"/>
    <cellStyle name="Normal 3 12 2 7 2 2 8" xfId="6590" xr:uid="{82237A5A-1095-4A86-BC53-0E02DFEE4488}"/>
    <cellStyle name="Normal 3 12 2 7 2 3" xfId="6591" xr:uid="{489F2654-F450-4529-BDFA-AB559EC23592}"/>
    <cellStyle name="Normal 3 12 2 7 2 4" xfId="6592" xr:uid="{D1BB6E9A-F851-46BC-AA57-FB1E52002420}"/>
    <cellStyle name="Normal 3 12 2 7 2 5" xfId="6593" xr:uid="{B5D78AA8-2335-4D3F-8B3C-D1F496F8D0C5}"/>
    <cellStyle name="Normal 3 12 2 7 2 6" xfId="6594" xr:uid="{4F82591D-C94C-4C2E-BA7B-29629BD785E8}"/>
    <cellStyle name="Normal 3 12 2 7 2 7" xfId="6595" xr:uid="{1237F1AC-7A36-4CE2-BA85-E259BE2E123F}"/>
    <cellStyle name="Normal 3 12 2 7 2 8" xfId="6596" xr:uid="{08C6D748-28C0-4168-AC11-4A8B49EE82BA}"/>
    <cellStyle name="Normal 3 12 2 7 2 9" xfId="6597" xr:uid="{732F154D-D49F-4937-8353-0ACF2F67B167}"/>
    <cellStyle name="Normal 3 12 2 7 3" xfId="6598" xr:uid="{025E0360-7E7C-4267-B48B-887B7EAB5558}"/>
    <cellStyle name="Normal 3 12 2 7 4" xfId="6599" xr:uid="{E85D7FC7-1FBD-4D43-A99E-E9A3A2931F74}"/>
    <cellStyle name="Normal 3 12 2 7 4 2" xfId="6600" xr:uid="{869B362C-EEB3-4771-8A83-B3C6FC1F5D2F}"/>
    <cellStyle name="Normal 3 12 2 7 4 3" xfId="6601" xr:uid="{2BC3AA16-6D9C-4E47-B62F-D8285B82AE61}"/>
    <cellStyle name="Normal 3 12 2 7 4 4" xfId="6602" xr:uid="{40B4EA68-48FE-4EAB-8FB5-4B1A0984CC8C}"/>
    <cellStyle name="Normal 3 12 2 7 4 5" xfId="6603" xr:uid="{778E877E-C484-490F-B138-844EBBD285DD}"/>
    <cellStyle name="Normal 3 12 2 7 4 6" xfId="6604" xr:uid="{0CF68BC5-EF4E-4B92-83A1-FADC8E713827}"/>
    <cellStyle name="Normal 3 12 2 7 4 7" xfId="6605" xr:uid="{2BC02601-D893-4899-926B-271187D0CBB1}"/>
    <cellStyle name="Normal 3 12 2 7 4 8" xfId="6606" xr:uid="{36E9404C-6C2D-4EE4-B223-F56C7F7AB84C}"/>
    <cellStyle name="Normal 3 12 2 7 5" xfId="6607" xr:uid="{443BE979-C00D-4ED1-9393-08C0D20D8688}"/>
    <cellStyle name="Normal 3 12 2 7 6" xfId="6608" xr:uid="{7CE34E79-836A-4542-89F9-86AF720E6711}"/>
    <cellStyle name="Normal 3 12 2 7 7" xfId="6609" xr:uid="{64D1F9E8-2197-4A1E-85F8-44EBC955D260}"/>
    <cellStyle name="Normal 3 12 2 7 8" xfId="6610" xr:uid="{F4555FDC-51C9-4FD1-89D6-0F4E4BFB534E}"/>
    <cellStyle name="Normal 3 12 2 7 9" xfId="6611" xr:uid="{87054929-8233-41F7-82AE-C67236078848}"/>
    <cellStyle name="Normal 3 12 2 8" xfId="6612" xr:uid="{D53F3F6A-511A-4DF5-959D-D82E7B362A4D}"/>
    <cellStyle name="Normal 3 12 2 9" xfId="6613" xr:uid="{7212D31E-64D4-424F-954F-92A866E7D7ED}"/>
    <cellStyle name="Normal 3 12 20" xfId="6614" xr:uid="{1FEA5DD4-3862-4AF0-B512-2ADFB2152831}"/>
    <cellStyle name="Normal 3 12 21" xfId="6615" xr:uid="{649464D0-80D6-4A3C-9ED7-BD95817AB487}"/>
    <cellStyle name="Normal 3 12 22" xfId="6616" xr:uid="{1958C915-9673-42F0-8978-0954D8967B5E}"/>
    <cellStyle name="Normal 3 12 3" xfId="6617" xr:uid="{60F16B5B-B0FA-4F24-9918-CD8EA0C4C57E}"/>
    <cellStyle name="Normal 3 12 3 10" xfId="6618" xr:uid="{86A09E87-B766-48D1-A2B2-DA8DFA883AE0}"/>
    <cellStyle name="Normal 3 12 3 10 2" xfId="6619" xr:uid="{D584F6FE-9E0F-4A88-BA3B-6E59ED8C0E38}"/>
    <cellStyle name="Normal 3 12 3 10 2 2" xfId="6620" xr:uid="{17CFB3EE-78ED-4C32-96CB-25123691E5C5}"/>
    <cellStyle name="Normal 3 12 3 10 2 2 2" xfId="6621" xr:uid="{144EFD52-4FFC-4522-9CE4-4D4103E46B8D}"/>
    <cellStyle name="Normal 3 12 3 10 2 2 3" xfId="6622" xr:uid="{CFA0C80A-2A9A-43A8-BFAE-1BCE0862778F}"/>
    <cellStyle name="Normal 3 12 3 10 2 2 4" xfId="6623" xr:uid="{BC064A79-8024-420E-936A-648500547C87}"/>
    <cellStyle name="Normal 3 12 3 10 2 2 5" xfId="6624" xr:uid="{1245EBDC-79BA-4EA7-BC23-FE3880ED42E5}"/>
    <cellStyle name="Normal 3 12 3 10 2 2 6" xfId="6625" xr:uid="{3E855B61-A943-472A-A8E3-932B9D127B80}"/>
    <cellStyle name="Normal 3 12 3 10 2 2 7" xfId="6626" xr:uid="{69B888B7-3452-41E3-9EB6-E40993190FA9}"/>
    <cellStyle name="Normal 3 12 3 10 2 2 8" xfId="6627" xr:uid="{88271194-22F7-40FD-9B94-AFDC75A6A1A3}"/>
    <cellStyle name="Normal 3 12 3 10 2 3" xfId="6628" xr:uid="{F89087B5-543E-4FA0-A74F-6FB488E493E5}"/>
    <cellStyle name="Normal 3 12 3 10 2 4" xfId="6629" xr:uid="{33D51128-29F7-463E-8005-BE43379A0FCA}"/>
    <cellStyle name="Normal 3 12 3 10 2 5" xfId="6630" xr:uid="{26A8BA05-C2AC-49B7-9A65-96641B0DD1BA}"/>
    <cellStyle name="Normal 3 12 3 10 2 6" xfId="6631" xr:uid="{968064C8-0887-4CB3-A230-81DCB233C221}"/>
    <cellStyle name="Normal 3 12 3 10 2 7" xfId="6632" xr:uid="{7AAFE4FA-AE95-4A43-82F1-6DF1553FB471}"/>
    <cellStyle name="Normal 3 12 3 10 2 8" xfId="6633" xr:uid="{A1063BC3-5496-42FF-8877-A84D3A348BC2}"/>
    <cellStyle name="Normal 3 12 3 10 3" xfId="6634" xr:uid="{AE9200D5-943B-4230-8165-D658BB88D93C}"/>
    <cellStyle name="Normal 3 12 3 10 4" xfId="6635" xr:uid="{6B10A0A7-702F-4025-B8FB-D7390756FC4F}"/>
    <cellStyle name="Normal 3 12 3 10 5" xfId="6636" xr:uid="{0E8CB953-8866-4F18-86B4-C3A578374E66}"/>
    <cellStyle name="Normal 3 12 3 10 6" xfId="6637" xr:uid="{14C3A5C3-E33F-404E-90DD-4115CE3F2712}"/>
    <cellStyle name="Normal 3 12 3 10 7" xfId="6638" xr:uid="{EA037B29-5301-4463-BE94-A80F999F8961}"/>
    <cellStyle name="Normal 3 12 3 10 8" xfId="6639" xr:uid="{CE6446C5-A719-42F4-9DC4-C56A0098001F}"/>
    <cellStyle name="Normal 3 12 3 10 9" xfId="6640" xr:uid="{D1322BEB-8BAA-40AC-89E2-A4D1AB073BF3}"/>
    <cellStyle name="Normal 3 12 3 11" xfId="6641" xr:uid="{47D94496-B601-43E9-8D48-AE02EE823652}"/>
    <cellStyle name="Normal 3 12 3 11 2" xfId="6642" xr:uid="{7C5649AF-F8ED-44AF-AD4A-B508B46CFA55}"/>
    <cellStyle name="Normal 3 12 3 11 3" xfId="6643" xr:uid="{3D83DEEA-9F8A-4B5D-93DB-E70FCA2F07B5}"/>
    <cellStyle name="Normal 3 12 3 11 4" xfId="6644" xr:uid="{4913B810-E4FE-4BEC-81AB-F73AE47B5C9C}"/>
    <cellStyle name="Normal 3 12 3 11 5" xfId="6645" xr:uid="{A10A26FA-596B-4CC4-B13B-1277546A8C8E}"/>
    <cellStyle name="Normal 3 12 3 11 6" xfId="6646" xr:uid="{9A48C45A-8026-4A93-B442-BD27073D7923}"/>
    <cellStyle name="Normal 3 12 3 11 7" xfId="6647" xr:uid="{E1EE5E8F-D43C-4CE0-ABDE-E1CF05ADE1C8}"/>
    <cellStyle name="Normal 3 12 3 11 8" xfId="6648" xr:uid="{28AB8C99-2819-425C-B31E-10D55E45AB00}"/>
    <cellStyle name="Normal 3 12 3 12" xfId="6649" xr:uid="{B7C51739-0DF6-4F36-8E7A-75F7C95500DC}"/>
    <cellStyle name="Normal 3 12 3 13" xfId="6650" xr:uid="{5AB06045-EBD7-4694-A9D9-F783CCE36722}"/>
    <cellStyle name="Normal 3 12 3 14" xfId="6651" xr:uid="{8ED3C0BB-5594-4340-9329-037F3BE8CA0E}"/>
    <cellStyle name="Normal 3 12 3 15" xfId="6652" xr:uid="{7E2B822A-E672-47C4-80D0-45F0660F9709}"/>
    <cellStyle name="Normal 3 12 3 16" xfId="6653" xr:uid="{C64F8B35-AEF2-40C2-9C65-CE7D9EE9EC6F}"/>
    <cellStyle name="Normal 3 12 3 17" xfId="6654" xr:uid="{6D69F9F4-3F9B-4DC5-869A-5E991F1F7F6F}"/>
    <cellStyle name="Normal 3 12 3 2" xfId="6655" xr:uid="{9A2A83D6-BD96-40AE-9AF2-192AF7CF1E8A}"/>
    <cellStyle name="Normal 3 12 3 2 10" xfId="6656" xr:uid="{06D15F46-7248-48B7-A309-2FB578CDD476}"/>
    <cellStyle name="Normal 3 12 3 2 10 2" xfId="6657" xr:uid="{F09CE081-0A37-4E76-992C-5F933630CBBD}"/>
    <cellStyle name="Normal 3 12 3 2 10 2 2" xfId="6658" xr:uid="{09842E8B-E12D-4D1D-A571-0AB043ABB02B}"/>
    <cellStyle name="Normal 3 12 3 2 10 2 2 2" xfId="6659" xr:uid="{EE582102-FF77-4377-8597-9E4659B269F7}"/>
    <cellStyle name="Normal 3 12 3 2 10 2 2 3" xfId="6660" xr:uid="{132BF71D-52B5-4B18-9578-D1AF53AFA3C1}"/>
    <cellStyle name="Normal 3 12 3 2 10 2 2 4" xfId="6661" xr:uid="{03FEFA30-8B32-4522-B35C-3A9934FA07F7}"/>
    <cellStyle name="Normal 3 12 3 2 10 2 2 5" xfId="6662" xr:uid="{80405452-0B6F-4D25-9D3A-61EF6075C1E7}"/>
    <cellStyle name="Normal 3 12 3 2 10 2 2 6" xfId="6663" xr:uid="{42047780-D4A5-4E63-BE5D-AE0E6A80AADE}"/>
    <cellStyle name="Normal 3 12 3 2 10 2 2 7" xfId="6664" xr:uid="{5679D847-7D16-4F9A-9240-EB10505BA95B}"/>
    <cellStyle name="Normal 3 12 3 2 10 2 2 8" xfId="6665" xr:uid="{35639014-E2BF-4956-B96E-6F78EFE59039}"/>
    <cellStyle name="Normal 3 12 3 2 10 2 3" xfId="6666" xr:uid="{916EF0F2-EF18-4570-A9A7-552974BB83F3}"/>
    <cellStyle name="Normal 3 12 3 2 10 2 4" xfId="6667" xr:uid="{360DE8D5-7EAA-4B19-9E66-2C00375827C2}"/>
    <cellStyle name="Normal 3 12 3 2 10 2 5" xfId="6668" xr:uid="{FE19C55E-9912-4F25-88A4-227E724EF1E0}"/>
    <cellStyle name="Normal 3 12 3 2 10 2 6" xfId="6669" xr:uid="{B691FCF6-B145-44D6-85FB-2F264184E9D9}"/>
    <cellStyle name="Normal 3 12 3 2 10 2 7" xfId="6670" xr:uid="{DBAF0031-0DB9-4D30-8F08-A21C439B5445}"/>
    <cellStyle name="Normal 3 12 3 2 10 2 8" xfId="6671" xr:uid="{E95DFD5F-B434-4AFF-A23C-60252D9E7B43}"/>
    <cellStyle name="Normal 3 12 3 2 10 3" xfId="6672" xr:uid="{FF6B3382-E683-46B7-B380-2220A216E073}"/>
    <cellStyle name="Normal 3 12 3 2 10 4" xfId="6673" xr:uid="{A40C7724-59D2-40A9-B562-577BD8BAFA0F}"/>
    <cellStyle name="Normal 3 12 3 2 10 5" xfId="6674" xr:uid="{E8968664-A9E7-4BD9-9528-E96426CCFFC1}"/>
    <cellStyle name="Normal 3 12 3 2 10 6" xfId="6675" xr:uid="{4953A0BB-2103-4431-A576-67857AE2E87F}"/>
    <cellStyle name="Normal 3 12 3 2 10 7" xfId="6676" xr:uid="{16C9D80A-5AE6-4F6B-A0DB-4E45FD5F9896}"/>
    <cellStyle name="Normal 3 12 3 2 10 8" xfId="6677" xr:uid="{5BB1E8C1-FCE9-4A35-A2A3-F1A97E07E46E}"/>
    <cellStyle name="Normal 3 12 3 2 10 9" xfId="6678" xr:uid="{8B48BF6B-9F69-4133-8D74-DE8B6AA42A57}"/>
    <cellStyle name="Normal 3 12 3 2 11" xfId="6679" xr:uid="{86F4E3A2-45D3-4C71-9275-6F91502E3686}"/>
    <cellStyle name="Normal 3 12 3 2 11 2" xfId="6680" xr:uid="{C3B31AD7-F2BD-4973-B51D-500F26640DEF}"/>
    <cellStyle name="Normal 3 12 3 2 11 3" xfId="6681" xr:uid="{1DF4F68F-1EEC-43F6-956E-CA645C6479A1}"/>
    <cellStyle name="Normal 3 12 3 2 11 4" xfId="6682" xr:uid="{2E98F39C-5E28-4FD6-BE19-94312B1C8D36}"/>
    <cellStyle name="Normal 3 12 3 2 11 5" xfId="6683" xr:uid="{E6B0A077-BC98-4FBA-8A7C-59376A58CD80}"/>
    <cellStyle name="Normal 3 12 3 2 11 6" xfId="6684" xr:uid="{0C988976-4CF9-4E5A-A131-D21C47D1D7A8}"/>
    <cellStyle name="Normal 3 12 3 2 11 7" xfId="6685" xr:uid="{734504E4-5C01-4FA7-A38B-4738EED3FAFF}"/>
    <cellStyle name="Normal 3 12 3 2 11 8" xfId="6686" xr:uid="{47E49D1B-C3F2-440E-BBE6-D3BA37B93128}"/>
    <cellStyle name="Normal 3 12 3 2 12" xfId="6687" xr:uid="{E7ABCC84-CBE2-4474-8872-CF016E7E0D08}"/>
    <cellStyle name="Normal 3 12 3 2 13" xfId="6688" xr:uid="{B01473EC-E9D0-4697-9002-97EF9392820F}"/>
    <cellStyle name="Normal 3 12 3 2 14" xfId="6689" xr:uid="{C79F00A6-E37A-4CFF-84E2-3F353AB0D69E}"/>
    <cellStyle name="Normal 3 12 3 2 15" xfId="6690" xr:uid="{54A05724-D565-43FE-9877-FEF969329B5C}"/>
    <cellStyle name="Normal 3 12 3 2 16" xfId="6691" xr:uid="{C7F68646-46CA-40BD-8F06-838D1401F4EF}"/>
    <cellStyle name="Normal 3 12 3 2 17" xfId="6692" xr:uid="{6E993B57-3AB1-4CEA-A1D4-22DC15C9F8EB}"/>
    <cellStyle name="Normal 3 12 3 2 2" xfId="6693" xr:uid="{6557A18D-D9AD-451A-B135-F0E15E8BA113}"/>
    <cellStyle name="Normal 3 12 3 2 2 10" xfId="6694" xr:uid="{EB33BF01-353B-42A6-9092-E6948F02AE0E}"/>
    <cellStyle name="Normal 3 12 3 2 2 2" xfId="6695" xr:uid="{FC4086B2-8285-433A-901E-A52490F6050B}"/>
    <cellStyle name="Normal 3 12 3 2 2 2 2" xfId="6696" xr:uid="{F1A309DA-9906-46D5-8C4A-229449915DEA}"/>
    <cellStyle name="Normal 3 12 3 2 2 2 2 2" xfId="6697" xr:uid="{0BB82510-9D1E-40D8-B5DF-C577C5CE4EE5}"/>
    <cellStyle name="Normal 3 12 3 2 2 2 2 2 2" xfId="6698" xr:uid="{3520FC51-B664-45CA-A3F3-B0FF18C1CE32}"/>
    <cellStyle name="Normal 3 12 3 2 2 2 2 2 3" xfId="6699" xr:uid="{89C35C84-F99E-4FA5-A1F9-2211FF3DFEA4}"/>
    <cellStyle name="Normal 3 12 3 2 2 2 2 2 4" xfId="6700" xr:uid="{F985A0DB-BE78-463F-A9EE-7F89F0B8C96B}"/>
    <cellStyle name="Normal 3 12 3 2 2 2 2 2 5" xfId="6701" xr:uid="{E13941EC-98BE-44B0-8105-79D1640728DB}"/>
    <cellStyle name="Normal 3 12 3 2 2 2 2 2 6" xfId="6702" xr:uid="{5CC72246-463A-4E3C-92CC-CBF20FED956B}"/>
    <cellStyle name="Normal 3 12 3 2 2 2 2 2 7" xfId="6703" xr:uid="{596A59D3-EA49-44EE-850E-DFFCE60C87F2}"/>
    <cellStyle name="Normal 3 12 3 2 2 2 2 2 8" xfId="6704" xr:uid="{DFF3A326-CB7E-4639-AF76-167FF89938EF}"/>
    <cellStyle name="Normal 3 12 3 2 2 2 2 3" xfId="6705" xr:uid="{841138EF-F6D5-4DF4-AFE5-9181966EDF6A}"/>
    <cellStyle name="Normal 3 12 3 2 2 2 2 4" xfId="6706" xr:uid="{511FBA84-4834-428E-BD06-90F99F4A816F}"/>
    <cellStyle name="Normal 3 12 3 2 2 2 2 5" xfId="6707" xr:uid="{24A234FA-FF92-4DBE-8A3C-86C8AD1D8BB8}"/>
    <cellStyle name="Normal 3 12 3 2 2 2 2 6" xfId="6708" xr:uid="{298FF6F5-5C61-49A6-A943-3B1253F60733}"/>
    <cellStyle name="Normal 3 12 3 2 2 2 2 7" xfId="6709" xr:uid="{F81E119B-959B-42FF-99F0-F6799058603D}"/>
    <cellStyle name="Normal 3 12 3 2 2 2 2 8" xfId="6710" xr:uid="{BA23D04D-F0B8-4850-8279-42AEEC52912D}"/>
    <cellStyle name="Normal 3 12 3 2 2 2 3" xfId="6711" xr:uid="{DAA360D7-D9CD-4AE2-89A7-B4887A1883A2}"/>
    <cellStyle name="Normal 3 12 3 2 2 2 4" xfId="6712" xr:uid="{782161B1-572F-441F-82C8-97E924851758}"/>
    <cellStyle name="Normal 3 12 3 2 2 2 5" xfId="6713" xr:uid="{FA72FB36-3ACC-4F0E-9080-3F973C9438EA}"/>
    <cellStyle name="Normal 3 12 3 2 2 2 6" xfId="6714" xr:uid="{F742CB8C-EC77-4B61-8BF8-03E55E413BE3}"/>
    <cellStyle name="Normal 3 12 3 2 2 2 7" xfId="6715" xr:uid="{D68CBFF3-5789-4544-855C-D36170F8EBC3}"/>
    <cellStyle name="Normal 3 12 3 2 2 2 8" xfId="6716" xr:uid="{4E0E8251-8269-4B80-BC5B-1B100FC8408F}"/>
    <cellStyle name="Normal 3 12 3 2 2 2 9" xfId="6717" xr:uid="{E264842F-095A-4F35-9244-84F3FA2EEBF7}"/>
    <cellStyle name="Normal 3 12 3 2 2 3" xfId="6718" xr:uid="{05661BF4-5254-4FCF-923A-530D180E3640}"/>
    <cellStyle name="Normal 3 12 3 2 2 4" xfId="6719" xr:uid="{9D84B431-C5B2-48EF-9DCE-6D898BD19C8E}"/>
    <cellStyle name="Normal 3 12 3 2 2 4 2" xfId="6720" xr:uid="{888C3346-12CE-44AB-93E1-82E0573A0BBA}"/>
    <cellStyle name="Normal 3 12 3 2 2 4 3" xfId="6721" xr:uid="{D6E45923-17AD-4A24-9739-6981F48804ED}"/>
    <cellStyle name="Normal 3 12 3 2 2 4 4" xfId="6722" xr:uid="{AF8B6AB1-3F65-4147-8191-5FECF1B2500F}"/>
    <cellStyle name="Normal 3 12 3 2 2 4 5" xfId="6723" xr:uid="{425DCF69-273D-45BF-B9F5-C7079DB5380F}"/>
    <cellStyle name="Normal 3 12 3 2 2 4 6" xfId="6724" xr:uid="{17677BD5-9F8D-4CF4-BB31-6C51287D48AB}"/>
    <cellStyle name="Normal 3 12 3 2 2 4 7" xfId="6725" xr:uid="{3285C228-9883-4B39-9D79-84EC36662A22}"/>
    <cellStyle name="Normal 3 12 3 2 2 4 8" xfId="6726" xr:uid="{895EC4D7-1972-4A07-8244-2B3DD1AA9FFD}"/>
    <cellStyle name="Normal 3 12 3 2 2 5" xfId="6727" xr:uid="{B17B2BDB-0819-4D9A-BF94-145B48AB98F9}"/>
    <cellStyle name="Normal 3 12 3 2 2 6" xfId="6728" xr:uid="{DC472A98-9887-423E-9F15-792D7D5DE5BA}"/>
    <cellStyle name="Normal 3 12 3 2 2 7" xfId="6729" xr:uid="{81AFF0D9-3ACE-4060-AD12-A22191BB3010}"/>
    <cellStyle name="Normal 3 12 3 2 2 8" xfId="6730" xr:uid="{FF7CCEFB-3A35-4881-96D9-CA97C94EDBF7}"/>
    <cellStyle name="Normal 3 12 3 2 2 9" xfId="6731" xr:uid="{2C1B4331-6892-4840-8E28-2B1CB45DC7E2}"/>
    <cellStyle name="Normal 3 12 3 2 3" xfId="6732" xr:uid="{BFC1B459-A488-482E-B6DB-4FDBD1A22878}"/>
    <cellStyle name="Normal 3 12 3 2 4" xfId="6733" xr:uid="{E2DAF9B5-BCCD-4901-AB77-01696B49370A}"/>
    <cellStyle name="Normal 3 12 3 2 5" xfId="6734" xr:uid="{28DDD6CE-1526-47C2-9DFF-B733AE6EA88D}"/>
    <cellStyle name="Normal 3 12 3 2 6" xfId="6735" xr:uid="{448099C4-4773-4758-A85D-E32B545B7E2B}"/>
    <cellStyle name="Normal 3 12 3 2 7" xfId="6736" xr:uid="{2D864B4C-B545-4EDF-91F4-555CDB2957A6}"/>
    <cellStyle name="Normal 3 12 3 2 8" xfId="6737" xr:uid="{8C61574C-0737-49EC-9CD6-AB67CB16AC63}"/>
    <cellStyle name="Normal 3 12 3 2 9" xfId="6738" xr:uid="{4CBF46E9-4FB4-4527-9618-8FF8F6EEE331}"/>
    <cellStyle name="Normal 3 12 3 3" xfId="6739" xr:uid="{0FC0C274-B6E1-40CF-9AA3-EE09D2A88A04}"/>
    <cellStyle name="Normal 3 12 3 3 10" xfId="6740" xr:uid="{3EA450FF-325B-41FC-AF33-A91187AF4285}"/>
    <cellStyle name="Normal 3 12 3 3 2" xfId="6741" xr:uid="{29F7700B-575A-43CC-BE2E-550BF7220C11}"/>
    <cellStyle name="Normal 3 12 3 3 2 2" xfId="6742" xr:uid="{8C1A820D-B7C7-4E6A-A669-FA6CCE4134CD}"/>
    <cellStyle name="Normal 3 12 3 3 2 2 2" xfId="6743" xr:uid="{9C4F33F0-8BA4-4E69-A6B0-8F22771B78E1}"/>
    <cellStyle name="Normal 3 12 3 3 2 2 2 2" xfId="6744" xr:uid="{35298629-273D-4619-A506-6540E9FE085E}"/>
    <cellStyle name="Normal 3 12 3 3 2 2 2 3" xfId="6745" xr:uid="{74AE5929-0DEC-4F9F-B3C4-DFABA08419C4}"/>
    <cellStyle name="Normal 3 12 3 3 2 2 2 4" xfId="6746" xr:uid="{4EF8A967-5A8A-4C5F-B664-95ACBDB0F1E8}"/>
    <cellStyle name="Normal 3 12 3 3 2 2 2 5" xfId="6747" xr:uid="{C0D3AB2D-B689-44A1-9BAB-832292FCB380}"/>
    <cellStyle name="Normal 3 12 3 3 2 2 2 6" xfId="6748" xr:uid="{36839A6A-427E-4A41-827A-C45224BACB5D}"/>
    <cellStyle name="Normal 3 12 3 3 2 2 2 7" xfId="6749" xr:uid="{BD602B6B-6A2E-40A6-9DB4-6140AD6BFC5A}"/>
    <cellStyle name="Normal 3 12 3 3 2 2 2 8" xfId="6750" xr:uid="{584FB5FA-E721-46AD-A05A-91B964052512}"/>
    <cellStyle name="Normal 3 12 3 3 2 2 3" xfId="6751" xr:uid="{640F2F2E-3748-4F15-BD8F-621637FA6601}"/>
    <cellStyle name="Normal 3 12 3 3 2 2 4" xfId="6752" xr:uid="{54CD921C-CA8E-46BC-ACC1-7F4D635314DE}"/>
    <cellStyle name="Normal 3 12 3 3 2 2 5" xfId="6753" xr:uid="{86E6294C-5F35-4295-A3BF-3909E38AF814}"/>
    <cellStyle name="Normal 3 12 3 3 2 2 6" xfId="6754" xr:uid="{53C7DF90-9E2E-40A2-95FC-E369A2D269A5}"/>
    <cellStyle name="Normal 3 12 3 3 2 2 7" xfId="6755" xr:uid="{88633539-F9F7-4BEB-B734-AA368F9C6389}"/>
    <cellStyle name="Normal 3 12 3 3 2 2 8" xfId="6756" xr:uid="{CEEAB2E0-DF68-4871-BB72-96F4EEA8DBDE}"/>
    <cellStyle name="Normal 3 12 3 3 2 3" xfId="6757" xr:uid="{2A78D7A2-300E-4134-AAAB-62CC1A5C4963}"/>
    <cellStyle name="Normal 3 12 3 3 2 4" xfId="6758" xr:uid="{7C2DCFB1-2432-4E6E-8DB6-21DE62F6F23F}"/>
    <cellStyle name="Normal 3 12 3 3 2 5" xfId="6759" xr:uid="{8F3FB58D-272E-4501-B26C-8F7B75AC299E}"/>
    <cellStyle name="Normal 3 12 3 3 2 6" xfId="6760" xr:uid="{184D1E9B-9661-4856-B0E8-97E5ABA6FE13}"/>
    <cellStyle name="Normal 3 12 3 3 2 7" xfId="6761" xr:uid="{D641C2F6-7AC9-4DD2-885D-E5B0C77D1395}"/>
    <cellStyle name="Normal 3 12 3 3 2 8" xfId="6762" xr:uid="{261E5FAD-AD60-4263-977B-0917C1487DF9}"/>
    <cellStyle name="Normal 3 12 3 3 2 9" xfId="6763" xr:uid="{F32BE248-CCA6-40D9-A99C-F671C5A3FA82}"/>
    <cellStyle name="Normal 3 12 3 3 3" xfId="6764" xr:uid="{0A566866-789E-436F-92F3-BA9A98E3515E}"/>
    <cellStyle name="Normal 3 12 3 3 4" xfId="6765" xr:uid="{373FD441-59E6-4C49-BFE0-4B1CC3D1BE31}"/>
    <cellStyle name="Normal 3 12 3 3 4 2" xfId="6766" xr:uid="{F3D89028-9A0D-4919-AF80-4963D0CD3EC9}"/>
    <cellStyle name="Normal 3 12 3 3 4 3" xfId="6767" xr:uid="{952649A4-208C-4B78-8E91-4D981037B30A}"/>
    <cellStyle name="Normal 3 12 3 3 4 4" xfId="6768" xr:uid="{EB220080-6D21-4F1E-A611-43FA1F6214C7}"/>
    <cellStyle name="Normal 3 12 3 3 4 5" xfId="6769" xr:uid="{8FEF17A8-F803-449C-B185-E6EB6CFF6390}"/>
    <cellStyle name="Normal 3 12 3 3 4 6" xfId="6770" xr:uid="{5B627940-9362-4FE7-8844-A3DABF69B475}"/>
    <cellStyle name="Normal 3 12 3 3 4 7" xfId="6771" xr:uid="{6A4F2762-A3C0-4240-A50E-C53905F18460}"/>
    <cellStyle name="Normal 3 12 3 3 4 8" xfId="6772" xr:uid="{B3515482-7E43-42A7-A330-2D6C7B733823}"/>
    <cellStyle name="Normal 3 12 3 3 5" xfId="6773" xr:uid="{7F356BE3-3C03-40CF-9658-9F6CC91A07AF}"/>
    <cellStyle name="Normal 3 12 3 3 6" xfId="6774" xr:uid="{9FAE3FB9-7526-4C02-95A0-C70F4B7AA299}"/>
    <cellStyle name="Normal 3 12 3 3 7" xfId="6775" xr:uid="{EA705127-E640-47F9-9BE0-7D48E58F21D5}"/>
    <cellStyle name="Normal 3 12 3 3 8" xfId="6776" xr:uid="{1015657B-AC8C-482A-BC4B-0ACC29EBF0E2}"/>
    <cellStyle name="Normal 3 12 3 3 9" xfId="6777" xr:uid="{3FD108BA-1DA5-401C-A05C-DC399D637161}"/>
    <cellStyle name="Normal 3 12 3 4" xfId="6778" xr:uid="{221B14C0-8390-4D1D-B7C5-321779F459A5}"/>
    <cellStyle name="Normal 3 12 3 5" xfId="6779" xr:uid="{D6EC0F48-5C75-4335-AC50-C59630384C6D}"/>
    <cellStyle name="Normal 3 12 3 6" xfId="6780" xr:uid="{03CFB80F-BF07-4010-81E7-E01D3DE87EFF}"/>
    <cellStyle name="Normal 3 12 3 7" xfId="6781" xr:uid="{5CD6D1D5-35E7-4BF0-9C89-A50F0D238B61}"/>
    <cellStyle name="Normal 3 12 3 8" xfId="6782" xr:uid="{42992563-8A6F-4E00-9688-43ADBF7C6300}"/>
    <cellStyle name="Normal 3 12 3 9" xfId="6783" xr:uid="{AB9BCD33-FD41-40C7-A59F-32F9CFCA8C6C}"/>
    <cellStyle name="Normal 3 12 4" xfId="6784" xr:uid="{41644BC1-EA6A-4BA2-8DA7-497628EA1329}"/>
    <cellStyle name="Normal 3 12 5" xfId="6785" xr:uid="{DDCF2EA4-4AB6-44A1-86A0-2B1681D54573}"/>
    <cellStyle name="Normal 3 12 6" xfId="6786" xr:uid="{453FD9D5-2071-44BF-9709-42042CD02308}"/>
    <cellStyle name="Normal 3 12 7" xfId="6787" xr:uid="{7C8D60CC-630F-4158-8D56-183E51476D0B}"/>
    <cellStyle name="Normal 3 12 7 10" xfId="6788" xr:uid="{B8719E12-0C37-41D5-9AC0-14F9D3D50A01}"/>
    <cellStyle name="Normal 3 12 7 2" xfId="6789" xr:uid="{B025E2F9-9B43-41BC-ACE9-FC03C07C16D9}"/>
    <cellStyle name="Normal 3 12 7 2 2" xfId="6790" xr:uid="{1D498DD9-2967-49D5-AF00-81B06D415B40}"/>
    <cellStyle name="Normal 3 12 7 2 2 2" xfId="6791" xr:uid="{300629FD-01A0-4048-AA8C-46A4176A169F}"/>
    <cellStyle name="Normal 3 12 7 2 2 2 2" xfId="6792" xr:uid="{313F2BD3-AA82-465C-84C3-D82BE2C4B9C1}"/>
    <cellStyle name="Normal 3 12 7 2 2 2 3" xfId="6793" xr:uid="{B9ADAE36-CC3C-4887-85E4-C84EDEBCF90D}"/>
    <cellStyle name="Normal 3 12 7 2 2 2 4" xfId="6794" xr:uid="{A8BE44BD-7723-463A-A366-DDE51CFE79F3}"/>
    <cellStyle name="Normal 3 12 7 2 2 2 5" xfId="6795" xr:uid="{4AEA6143-E2FB-4C94-96E9-F892E19F011B}"/>
    <cellStyle name="Normal 3 12 7 2 2 2 6" xfId="6796" xr:uid="{2C4E14B0-AC83-4E60-A329-3FBFF856ED1A}"/>
    <cellStyle name="Normal 3 12 7 2 2 2 7" xfId="6797" xr:uid="{8D483D53-54CF-494E-A4F7-AD0D794031C8}"/>
    <cellStyle name="Normal 3 12 7 2 2 2 8" xfId="6798" xr:uid="{085B93AA-1FB2-4075-832E-9126C92DD753}"/>
    <cellStyle name="Normal 3 12 7 2 2 3" xfId="6799" xr:uid="{930E62AC-7443-4376-8CCF-8B61B3DE3FAB}"/>
    <cellStyle name="Normal 3 12 7 2 2 4" xfId="6800" xr:uid="{A8466310-3D4C-45E3-893E-8FF5DD563BDB}"/>
    <cellStyle name="Normal 3 12 7 2 2 5" xfId="6801" xr:uid="{F5AFD02C-806C-4FDB-9DC7-71ABF6A89B39}"/>
    <cellStyle name="Normal 3 12 7 2 2 6" xfId="6802" xr:uid="{487D6882-3100-42A1-9316-5440FD2DC12A}"/>
    <cellStyle name="Normal 3 12 7 2 2 7" xfId="6803" xr:uid="{88B2405C-5469-4EC5-BBFF-F8CEB7566F95}"/>
    <cellStyle name="Normal 3 12 7 2 2 8" xfId="6804" xr:uid="{A74BDD24-49F1-42AA-8933-2F14D4D6A936}"/>
    <cellStyle name="Normal 3 12 7 2 3" xfId="6805" xr:uid="{7ACF077B-C5CE-4474-AC0E-D558703436EB}"/>
    <cellStyle name="Normal 3 12 7 2 4" xfId="6806" xr:uid="{565F2736-86BF-46BA-9A43-74CDB04D76FC}"/>
    <cellStyle name="Normal 3 12 7 2 5" xfId="6807" xr:uid="{0C5641DB-D0B2-46DE-9CEC-8AA69CD4ACE1}"/>
    <cellStyle name="Normal 3 12 7 2 6" xfId="6808" xr:uid="{25A66D50-32F0-434C-B354-DD90BC7315A7}"/>
    <cellStyle name="Normal 3 12 7 2 7" xfId="6809" xr:uid="{2CECC9BF-8532-4705-B378-82435EFB3143}"/>
    <cellStyle name="Normal 3 12 7 2 8" xfId="6810" xr:uid="{AEDE59F1-1AC9-4B17-ACE1-8A425644E05D}"/>
    <cellStyle name="Normal 3 12 7 2 9" xfId="6811" xr:uid="{DF6F0FF8-F122-4749-B117-11186D7600D1}"/>
    <cellStyle name="Normal 3 12 7 3" xfId="6812" xr:uid="{B9473298-3203-4B82-9AD5-D94E43F24A7D}"/>
    <cellStyle name="Normal 3 12 7 4" xfId="6813" xr:uid="{7F0C26C5-A8C4-4725-880C-A8DB27F450A4}"/>
    <cellStyle name="Normal 3 12 7 4 2" xfId="6814" xr:uid="{F0FE77FC-5BE3-4027-8CE5-3BC14EA33B04}"/>
    <cellStyle name="Normal 3 12 7 4 3" xfId="6815" xr:uid="{1C43100B-9BC8-40B3-A3FE-A60D1AFF6538}"/>
    <cellStyle name="Normal 3 12 7 4 4" xfId="6816" xr:uid="{43F99F47-FF07-426B-82DB-A850EF9AD7F5}"/>
    <cellStyle name="Normal 3 12 7 4 5" xfId="6817" xr:uid="{4C860AB0-DA7E-42F1-B513-3D5350E79BF2}"/>
    <cellStyle name="Normal 3 12 7 4 6" xfId="6818" xr:uid="{9F438236-AE1D-4027-A87B-D330AE27B19E}"/>
    <cellStyle name="Normal 3 12 7 4 7" xfId="6819" xr:uid="{8B612A5B-6F59-4664-B8C6-3F522C14F8C3}"/>
    <cellStyle name="Normal 3 12 7 4 8" xfId="6820" xr:uid="{B2C97310-0126-4DA7-8800-36C7D3A883AB}"/>
    <cellStyle name="Normal 3 12 7 5" xfId="6821" xr:uid="{769CEA27-F544-41E6-B7B6-D8E6F672DD62}"/>
    <cellStyle name="Normal 3 12 7 6" xfId="6822" xr:uid="{BB0D61A4-A0DC-4358-881F-0E6BF4A3364B}"/>
    <cellStyle name="Normal 3 12 7 7" xfId="6823" xr:uid="{A6DF7445-48B6-4A2A-B71F-11212E7EC4DF}"/>
    <cellStyle name="Normal 3 12 7 8" xfId="6824" xr:uid="{060A7BDD-5AB4-4A27-9271-4B0DF3DDC7DA}"/>
    <cellStyle name="Normal 3 12 7 9" xfId="6825" xr:uid="{D202C6C4-EF61-48D4-9B3B-F6928E206F20}"/>
    <cellStyle name="Normal 3 12 8" xfId="6826" xr:uid="{6C530023-2916-4F01-9BB5-B36FD00732AC}"/>
    <cellStyle name="Normal 3 12 9" xfId="6827" xr:uid="{E41CD9CD-0441-4C80-AF39-4A90A152313A}"/>
    <cellStyle name="Normal 3 13" xfId="6828" xr:uid="{E26B3376-8DAC-4508-A54C-C4AC2168ABB4}"/>
    <cellStyle name="Normal 3 14" xfId="6829" xr:uid="{1EDCDF17-AD85-428B-970E-3CB6041CF39B}"/>
    <cellStyle name="Normal 3 15" xfId="6830" xr:uid="{0AAF274F-7610-4898-917B-A8DE510F041A}"/>
    <cellStyle name="Normal 3 16" xfId="6831" xr:uid="{AED6F48D-932A-4571-A51D-5B521C4E71DA}"/>
    <cellStyle name="Normal 3 17" xfId="6832" xr:uid="{64329B37-DA8F-469B-BC02-340965EF838F}"/>
    <cellStyle name="Normal 3 18" xfId="6833" xr:uid="{4E55D23E-5139-402E-B1F7-F7576626F96F}"/>
    <cellStyle name="Normal 3 19" xfId="6834" xr:uid="{14611129-8C32-4BD0-A913-C1584A30B390}"/>
    <cellStyle name="Normal 3 2" xfId="6835" xr:uid="{4FECA603-87A1-423A-84ED-E962D8DAF588}"/>
    <cellStyle name="Normal 3 2 10" xfId="6836" xr:uid="{01F3DF04-AEED-48E5-BB78-518448DDE7A2}"/>
    <cellStyle name="Normal 3 2 11" xfId="6837" xr:uid="{EB42E5FA-60C7-4A89-A9C3-2271AE6C559C}"/>
    <cellStyle name="Normal 3 2 12" xfId="6838" xr:uid="{B326C5D8-C85C-4B9A-AA15-ACE076A27472}"/>
    <cellStyle name="Normal 3 2 12 10" xfId="6839" xr:uid="{D6DCB93C-8918-4E63-A0FA-78ED4953B42D}"/>
    <cellStyle name="Normal 3 2 12 11" xfId="6840" xr:uid="{F88BA2BA-8950-45AB-89CE-C6637BC16608}"/>
    <cellStyle name="Normal 3 2 12 12" xfId="6841" xr:uid="{DCA4E778-0865-40FA-AFB5-841EF76E37EA}"/>
    <cellStyle name="Normal 3 2 12 13" xfId="6842" xr:uid="{32249B55-33EE-4535-A273-262747B71D87}"/>
    <cellStyle name="Normal 3 2 12 14" xfId="6843" xr:uid="{FEA98190-26E2-4E06-ADF0-F66172DD6047}"/>
    <cellStyle name="Normal 3 2 12 15" xfId="6844" xr:uid="{28D2C502-09F4-4D6E-9DDE-9C1E34A6F85D}"/>
    <cellStyle name="Normal 3 2 12 15 2" xfId="6845" xr:uid="{8BF3E13D-06ED-404D-9E92-691DDF491A48}"/>
    <cellStyle name="Normal 3 2 12 15 2 2" xfId="6846" xr:uid="{EB96B392-7793-48D9-825F-78129025F89B}"/>
    <cellStyle name="Normal 3 2 12 15 2 2 2" xfId="6847" xr:uid="{2D13F428-C58E-4F73-B84C-21E2A06ADFB2}"/>
    <cellStyle name="Normal 3 2 12 15 2 2 3" xfId="6848" xr:uid="{5D3B7B24-BA43-4A3D-A0F6-3B0C54500D43}"/>
    <cellStyle name="Normal 3 2 12 15 2 2 4" xfId="6849" xr:uid="{D4256DC2-0619-42E5-8669-9725522CFB7C}"/>
    <cellStyle name="Normal 3 2 12 15 2 2 5" xfId="6850" xr:uid="{A32FBE7A-C8EC-43D6-8C8D-23D2A2261B19}"/>
    <cellStyle name="Normal 3 2 12 15 2 2 6" xfId="6851" xr:uid="{CF96073D-63FF-4C7C-B161-26E5F22FAD26}"/>
    <cellStyle name="Normal 3 2 12 15 2 2 7" xfId="6852" xr:uid="{A1865FCF-89BE-47E0-A1B7-8E8A594BFC40}"/>
    <cellStyle name="Normal 3 2 12 15 2 2 8" xfId="6853" xr:uid="{6E22BB28-1C45-431B-BF12-78B6CBBE4761}"/>
    <cellStyle name="Normal 3 2 12 15 2 3" xfId="6854" xr:uid="{0B89C866-07C3-4153-A424-07005380FE80}"/>
    <cellStyle name="Normal 3 2 12 15 2 4" xfId="6855" xr:uid="{FCC26CD3-367B-40BD-80AC-54AB4259A4EE}"/>
    <cellStyle name="Normal 3 2 12 15 2 5" xfId="6856" xr:uid="{D1AA8716-3866-4CDB-9EF8-F4C166F9E1F6}"/>
    <cellStyle name="Normal 3 2 12 15 2 6" xfId="6857" xr:uid="{6AD7AEBE-2198-429B-8CB3-6EE7DA2B0A07}"/>
    <cellStyle name="Normal 3 2 12 15 2 7" xfId="6858" xr:uid="{F56A1D05-6CC5-41AC-96B6-53E98BB6B30A}"/>
    <cellStyle name="Normal 3 2 12 15 2 8" xfId="6859" xr:uid="{5AD4352B-0423-4201-94AC-C73D12DE3058}"/>
    <cellStyle name="Normal 3 2 12 15 3" xfId="6860" xr:uid="{E916933B-B0B9-4092-8728-923DE617E931}"/>
    <cellStyle name="Normal 3 2 12 15 4" xfId="6861" xr:uid="{0D611DA9-4ABD-4842-9AA7-EBA1B4813E7F}"/>
    <cellStyle name="Normal 3 2 12 15 5" xfId="6862" xr:uid="{702F9A98-985E-405F-92B9-9FB73C185554}"/>
    <cellStyle name="Normal 3 2 12 15 6" xfId="6863" xr:uid="{3D9B1AB2-51D1-4F6F-97DF-199FB7241DA3}"/>
    <cellStyle name="Normal 3 2 12 15 7" xfId="6864" xr:uid="{D50BB685-180C-44ED-9C33-E3A5689CC56D}"/>
    <cellStyle name="Normal 3 2 12 15 8" xfId="6865" xr:uid="{D106DE45-BE05-48CD-ABFC-DF062AE6E902}"/>
    <cellStyle name="Normal 3 2 12 15 9" xfId="6866" xr:uid="{E86CECE7-0AD5-4107-A944-AD7D8045F2B1}"/>
    <cellStyle name="Normal 3 2 12 16" xfId="6867" xr:uid="{27466964-0BC0-4FCB-9251-F4EC518C168E}"/>
    <cellStyle name="Normal 3 2 12 16 2" xfId="6868" xr:uid="{278EFD34-B06F-4C8F-85F7-7C78CD3FB992}"/>
    <cellStyle name="Normal 3 2 12 16 3" xfId="6869" xr:uid="{4CFB74CE-5021-438F-858F-77AB1D0E199F}"/>
    <cellStyle name="Normal 3 2 12 16 4" xfId="6870" xr:uid="{B025E89E-584B-43DD-9756-F56CEB7E6377}"/>
    <cellStyle name="Normal 3 2 12 16 5" xfId="6871" xr:uid="{EA943F97-B04A-4242-B2DC-E533024C5B1C}"/>
    <cellStyle name="Normal 3 2 12 16 6" xfId="6872" xr:uid="{34F71885-91A5-4A46-A1F3-969CB2FA3267}"/>
    <cellStyle name="Normal 3 2 12 16 7" xfId="6873" xr:uid="{C93C8248-A517-48EA-B3A7-03FB9C3A98E2}"/>
    <cellStyle name="Normal 3 2 12 16 8" xfId="6874" xr:uid="{3C75DB42-83BF-4260-AE8E-69E425FD1139}"/>
    <cellStyle name="Normal 3 2 12 17" xfId="6875" xr:uid="{6969934D-1C7D-477F-A5E0-7A2AC7BAFF3E}"/>
    <cellStyle name="Normal 3 2 12 18" xfId="6876" xr:uid="{3F07662A-3B9B-4399-A547-027C5D6F0791}"/>
    <cellStyle name="Normal 3 2 12 19" xfId="6877" xr:uid="{7ED8DA40-3586-47AE-9869-568AED2C10DC}"/>
    <cellStyle name="Normal 3 2 12 2" xfId="6878" xr:uid="{DFB694B7-0057-4C82-B774-1AA110C236FA}"/>
    <cellStyle name="Normal 3 2 12 2 10" xfId="6879" xr:uid="{4EDA4B7D-7C72-4E14-B5B2-6D10F589EF73}"/>
    <cellStyle name="Normal 3 2 12 2 11" xfId="6880" xr:uid="{C91F7301-F50C-48AA-9D86-D75E2436DD7E}"/>
    <cellStyle name="Normal 3 2 12 2 12" xfId="6881" xr:uid="{5A3CE468-0170-4A1C-B52D-213EA3E42692}"/>
    <cellStyle name="Normal 3 2 12 2 13" xfId="6882" xr:uid="{B2DB3A88-F965-4770-A6B8-745D103636D4}"/>
    <cellStyle name="Normal 3 2 12 2 14" xfId="6883" xr:uid="{10540F36-C305-4C8A-9DE4-CE18CC006370}"/>
    <cellStyle name="Normal 3 2 12 2 15" xfId="6884" xr:uid="{D134D2E6-AE82-442A-9D8F-A897ED95F027}"/>
    <cellStyle name="Normal 3 2 12 2 15 2" xfId="6885" xr:uid="{2C3CA633-92B7-41AA-A1A4-C0D6AA2848C6}"/>
    <cellStyle name="Normal 3 2 12 2 15 2 2" xfId="6886" xr:uid="{22C1E919-CAEF-4DE0-9C44-DA3E17466990}"/>
    <cellStyle name="Normal 3 2 12 2 15 2 2 2" xfId="6887" xr:uid="{98BBCA3D-0EA2-43F6-8722-340182195F32}"/>
    <cellStyle name="Normal 3 2 12 2 15 2 2 3" xfId="6888" xr:uid="{9766F7DC-A2FA-41A8-A298-07028B51484C}"/>
    <cellStyle name="Normal 3 2 12 2 15 2 2 4" xfId="6889" xr:uid="{1F42D3B0-B933-4127-9FF0-D76B572FF171}"/>
    <cellStyle name="Normal 3 2 12 2 15 2 2 5" xfId="6890" xr:uid="{3CAA9DAF-FCE1-44EB-99D7-1FB3A8224CB0}"/>
    <cellStyle name="Normal 3 2 12 2 15 2 2 6" xfId="6891" xr:uid="{2938CF2C-FEDE-4916-8A82-98299B0AB85B}"/>
    <cellStyle name="Normal 3 2 12 2 15 2 2 7" xfId="6892" xr:uid="{31B217F0-3EAF-4476-AEBF-0ED9A485A427}"/>
    <cellStyle name="Normal 3 2 12 2 15 2 2 8" xfId="6893" xr:uid="{24CF591E-BEDD-4F69-8D76-6F323CF497FE}"/>
    <cellStyle name="Normal 3 2 12 2 15 2 3" xfId="6894" xr:uid="{9E86AB90-3E34-4D08-BEA6-D546C03D68B2}"/>
    <cellStyle name="Normal 3 2 12 2 15 2 4" xfId="6895" xr:uid="{8D0EC93C-81AF-405F-9F88-6677E560702C}"/>
    <cellStyle name="Normal 3 2 12 2 15 2 5" xfId="6896" xr:uid="{744B2C11-0D73-459A-BB19-6FE575B5CAE6}"/>
    <cellStyle name="Normal 3 2 12 2 15 2 6" xfId="6897" xr:uid="{086DAF05-0BCF-49CD-AE48-AA49FDABAA20}"/>
    <cellStyle name="Normal 3 2 12 2 15 2 7" xfId="6898" xr:uid="{7930125F-5F3D-4381-8D6E-635ED92BAFB6}"/>
    <cellStyle name="Normal 3 2 12 2 15 2 8" xfId="6899" xr:uid="{0559E794-213A-4A43-A0C2-DF55F4B1912F}"/>
    <cellStyle name="Normal 3 2 12 2 15 3" xfId="6900" xr:uid="{F672EB08-337C-46B3-B6B3-4A5A1B7EE321}"/>
    <cellStyle name="Normal 3 2 12 2 15 4" xfId="6901" xr:uid="{E110DC85-BB89-4785-B0E2-3E47046A3847}"/>
    <cellStyle name="Normal 3 2 12 2 15 5" xfId="6902" xr:uid="{484DDD45-E385-4370-8CB1-7ABD7EB2C935}"/>
    <cellStyle name="Normal 3 2 12 2 15 6" xfId="6903" xr:uid="{B51926FC-F367-477F-8C83-24037D29AF7F}"/>
    <cellStyle name="Normal 3 2 12 2 15 7" xfId="6904" xr:uid="{BD8DB918-B3D5-4389-A8F0-797C97B5B53B}"/>
    <cellStyle name="Normal 3 2 12 2 15 8" xfId="6905" xr:uid="{7E238F0F-E463-4986-BBF7-5B670ED80160}"/>
    <cellStyle name="Normal 3 2 12 2 15 9" xfId="6906" xr:uid="{4962A364-9657-484A-82F4-D12ABE2615D8}"/>
    <cellStyle name="Normal 3 2 12 2 16" xfId="6907" xr:uid="{0EF7E9E4-446E-4912-B9E5-A24C1765E208}"/>
    <cellStyle name="Normal 3 2 12 2 16 2" xfId="6908" xr:uid="{4F9A3113-DD51-486D-BF2E-E18EF65D3C66}"/>
    <cellStyle name="Normal 3 2 12 2 16 3" xfId="6909" xr:uid="{9935C025-8806-4EA3-8A53-BCD1A9B60CE1}"/>
    <cellStyle name="Normal 3 2 12 2 16 4" xfId="6910" xr:uid="{13E4939A-B243-44B6-850C-292ED4EE0AFF}"/>
    <cellStyle name="Normal 3 2 12 2 16 5" xfId="6911" xr:uid="{93C8ECF5-B7A7-4ED4-9EA9-B0A592385303}"/>
    <cellStyle name="Normal 3 2 12 2 16 6" xfId="6912" xr:uid="{612E2A91-8CDE-496F-A311-3A642F3E94DB}"/>
    <cellStyle name="Normal 3 2 12 2 16 7" xfId="6913" xr:uid="{44B7432E-0B5C-4ACF-90C8-3FA7212F846C}"/>
    <cellStyle name="Normal 3 2 12 2 16 8" xfId="6914" xr:uid="{7AB86F71-0926-4AEC-AEB5-D0BEC5020CEA}"/>
    <cellStyle name="Normal 3 2 12 2 17" xfId="6915" xr:uid="{AE6F911C-2382-4A01-9FE0-8CF68DBC03B4}"/>
    <cellStyle name="Normal 3 2 12 2 18" xfId="6916" xr:uid="{DCD10797-22F3-4431-BAF0-5B71248593BB}"/>
    <cellStyle name="Normal 3 2 12 2 19" xfId="6917" xr:uid="{9AA33724-AD4E-4765-A48D-13421632B3BE}"/>
    <cellStyle name="Normal 3 2 12 2 2" xfId="6918" xr:uid="{9984FACE-59B9-4E67-8EC7-43101495FAD9}"/>
    <cellStyle name="Normal 3 2 12 2 2 10" xfId="6919" xr:uid="{CB62584B-4195-4910-90B1-E3DF68A514B8}"/>
    <cellStyle name="Normal 3 2 12 2 2 10 2" xfId="6920" xr:uid="{F44CD211-E1C1-4EF5-A64C-6D5266AC6C34}"/>
    <cellStyle name="Normal 3 2 12 2 2 10 2 2" xfId="6921" xr:uid="{9725136C-1F97-47C2-B1E6-D80EE35642CA}"/>
    <cellStyle name="Normal 3 2 12 2 2 10 2 2 2" xfId="6922" xr:uid="{A552EC82-6843-4810-8C07-34395C8B9CD2}"/>
    <cellStyle name="Normal 3 2 12 2 2 10 2 2 3" xfId="6923" xr:uid="{DFF9A784-ECC9-4DC8-95ED-8705F762710F}"/>
    <cellStyle name="Normal 3 2 12 2 2 10 2 2 4" xfId="6924" xr:uid="{E5040267-9FEA-409C-9DCD-1654BA0398C1}"/>
    <cellStyle name="Normal 3 2 12 2 2 10 2 2 5" xfId="6925" xr:uid="{CAE80F9D-E615-4510-8FE4-758147DDAFDC}"/>
    <cellStyle name="Normal 3 2 12 2 2 10 2 2 6" xfId="6926" xr:uid="{757F80D0-4D50-401D-A05E-D0C836B06DB5}"/>
    <cellStyle name="Normal 3 2 12 2 2 10 2 2 7" xfId="6927" xr:uid="{AF713836-10EA-4BBB-9D4F-52DE807AFE08}"/>
    <cellStyle name="Normal 3 2 12 2 2 10 2 2 8" xfId="6928" xr:uid="{19FC2DF5-8314-4B78-B078-DEB34869E163}"/>
    <cellStyle name="Normal 3 2 12 2 2 10 2 3" xfId="6929" xr:uid="{D30CA74A-7C7F-4FFA-9472-4A31CE0D937C}"/>
    <cellStyle name="Normal 3 2 12 2 2 10 2 4" xfId="6930" xr:uid="{FB3E746A-4600-4F1D-9FF9-F7CAB561091E}"/>
    <cellStyle name="Normal 3 2 12 2 2 10 2 5" xfId="6931" xr:uid="{68900F95-812A-4078-8DCC-48D0C17E9E99}"/>
    <cellStyle name="Normal 3 2 12 2 2 10 2 6" xfId="6932" xr:uid="{7F0E4E8B-A48D-4F65-9EF8-ADB7B1D0C78B}"/>
    <cellStyle name="Normal 3 2 12 2 2 10 2 7" xfId="6933" xr:uid="{976CE15D-795A-4FF2-8731-4B960B31739B}"/>
    <cellStyle name="Normal 3 2 12 2 2 10 2 8" xfId="6934" xr:uid="{928933DB-D22C-486F-A48B-E775D97101DB}"/>
    <cellStyle name="Normal 3 2 12 2 2 10 3" xfId="6935" xr:uid="{58C01406-58D1-4A5B-A51C-1C35603A0F32}"/>
    <cellStyle name="Normal 3 2 12 2 2 10 4" xfId="6936" xr:uid="{70C49623-4005-4320-A4E7-9507CAB72364}"/>
    <cellStyle name="Normal 3 2 12 2 2 10 5" xfId="6937" xr:uid="{A75CAE2A-204F-4823-8826-968C70A77675}"/>
    <cellStyle name="Normal 3 2 12 2 2 10 6" xfId="6938" xr:uid="{22925901-99D3-485A-95C6-4E1E613FDEA9}"/>
    <cellStyle name="Normal 3 2 12 2 2 10 7" xfId="6939" xr:uid="{C7B9D518-C23D-45ED-B0A7-18DE06A1F220}"/>
    <cellStyle name="Normal 3 2 12 2 2 10 8" xfId="6940" xr:uid="{540651A6-81E7-4D27-A09F-636C3AC77B30}"/>
    <cellStyle name="Normal 3 2 12 2 2 10 9" xfId="6941" xr:uid="{691497A4-0AEF-45D7-ACF3-1A70B1CA61D7}"/>
    <cellStyle name="Normal 3 2 12 2 2 11" xfId="6942" xr:uid="{8F8F1CB1-0BFC-4BE3-9990-35304CA657A8}"/>
    <cellStyle name="Normal 3 2 12 2 2 11 2" xfId="6943" xr:uid="{2059DF51-5E1B-4179-A5EB-759E410CBD2B}"/>
    <cellStyle name="Normal 3 2 12 2 2 11 3" xfId="6944" xr:uid="{13C745AB-9397-4346-B690-3BD4D64C3D2C}"/>
    <cellStyle name="Normal 3 2 12 2 2 11 4" xfId="6945" xr:uid="{ABC0F18C-8FEC-4001-AC06-309CC98DBFE1}"/>
    <cellStyle name="Normal 3 2 12 2 2 11 5" xfId="6946" xr:uid="{B0F3C25B-DCC1-4564-8362-99D869FA372C}"/>
    <cellStyle name="Normal 3 2 12 2 2 11 6" xfId="6947" xr:uid="{6E8BC928-368C-42B9-9FE2-D3F1F98FCB86}"/>
    <cellStyle name="Normal 3 2 12 2 2 11 7" xfId="6948" xr:uid="{66F9CB43-D3A8-4A6A-9A98-FDE454105F06}"/>
    <cellStyle name="Normal 3 2 12 2 2 11 8" xfId="6949" xr:uid="{2092496B-D99F-47C7-B016-0229A471580A}"/>
    <cellStyle name="Normal 3 2 12 2 2 12" xfId="6950" xr:uid="{001E6160-2918-43C9-A5BF-A6509FB40DD9}"/>
    <cellStyle name="Normal 3 2 12 2 2 13" xfId="6951" xr:uid="{875792E3-0D30-4AF0-8738-05C03F37A6A7}"/>
    <cellStyle name="Normal 3 2 12 2 2 14" xfId="6952" xr:uid="{8365235D-C9B0-43F1-811F-42240D54670C}"/>
    <cellStyle name="Normal 3 2 12 2 2 15" xfId="6953" xr:uid="{032F6ED9-6B57-4392-BE27-BF635AF76D95}"/>
    <cellStyle name="Normal 3 2 12 2 2 16" xfId="6954" xr:uid="{9FC59AD2-27D7-4C8C-805A-7EE45FFA92E6}"/>
    <cellStyle name="Normal 3 2 12 2 2 17" xfId="6955" xr:uid="{FFB76DA0-9D32-4617-884A-74E5AC5AEB41}"/>
    <cellStyle name="Normal 3 2 12 2 2 2" xfId="6956" xr:uid="{EABB252F-55D7-401D-BAE9-8CD6036DDCE0}"/>
    <cellStyle name="Normal 3 2 12 2 2 2 10" xfId="6957" xr:uid="{0ADD0E0F-9647-4CAC-B31C-FD5FCAFB5088}"/>
    <cellStyle name="Normal 3 2 12 2 2 2 10 2" xfId="6958" xr:uid="{27760F37-CBFD-4C21-B3C7-A8FF194932FA}"/>
    <cellStyle name="Normal 3 2 12 2 2 2 10 2 2" xfId="6959" xr:uid="{5998DADE-DBB3-4C60-88AF-B2D8FC97965B}"/>
    <cellStyle name="Normal 3 2 12 2 2 2 10 2 2 2" xfId="6960" xr:uid="{A644CE36-2A41-443E-8F24-B0C8214B8079}"/>
    <cellStyle name="Normal 3 2 12 2 2 2 10 2 2 3" xfId="6961" xr:uid="{E988BB62-39CF-4246-BB65-FBEDACA7B2E6}"/>
    <cellStyle name="Normal 3 2 12 2 2 2 10 2 2 4" xfId="6962" xr:uid="{A17C1A3E-069B-4A30-9EB6-9CFCBD5E7380}"/>
    <cellStyle name="Normal 3 2 12 2 2 2 10 2 2 5" xfId="6963" xr:uid="{EC1F6F7E-0C89-41A9-B324-498ED971BA50}"/>
    <cellStyle name="Normal 3 2 12 2 2 2 10 2 2 6" xfId="6964" xr:uid="{67BCB8C2-40E1-4BB6-99E3-0BA4585E7075}"/>
    <cellStyle name="Normal 3 2 12 2 2 2 10 2 2 7" xfId="6965" xr:uid="{E8532C53-2412-4C79-A3EF-58A6F9147CC4}"/>
    <cellStyle name="Normal 3 2 12 2 2 2 10 2 2 8" xfId="6966" xr:uid="{7FE079A4-1E47-468B-B9EB-A6C682ADF019}"/>
    <cellStyle name="Normal 3 2 12 2 2 2 10 2 3" xfId="6967" xr:uid="{F633AF25-6FF8-4068-BF30-1DF8A6330560}"/>
    <cellStyle name="Normal 3 2 12 2 2 2 10 2 4" xfId="6968" xr:uid="{BD0BF03F-ED31-4C68-A46C-F01DCAF0FEE7}"/>
    <cellStyle name="Normal 3 2 12 2 2 2 10 2 5" xfId="6969" xr:uid="{F958212F-BC0D-44E7-BCBA-64223EBE1545}"/>
    <cellStyle name="Normal 3 2 12 2 2 2 10 2 6" xfId="6970" xr:uid="{3ECAE948-6F5B-4CAB-B0E7-09728A814B9A}"/>
    <cellStyle name="Normal 3 2 12 2 2 2 10 2 7" xfId="6971" xr:uid="{308EB997-D7DD-4D3B-A90A-8A87E690B870}"/>
    <cellStyle name="Normal 3 2 12 2 2 2 10 2 8" xfId="6972" xr:uid="{6ED91B32-D178-4370-B146-A79809547501}"/>
    <cellStyle name="Normal 3 2 12 2 2 2 10 3" xfId="6973" xr:uid="{145624E7-7787-4258-9481-6715FD664277}"/>
    <cellStyle name="Normal 3 2 12 2 2 2 10 4" xfId="6974" xr:uid="{4429C47D-F079-422C-AC02-ADC6A13B5D8B}"/>
    <cellStyle name="Normal 3 2 12 2 2 2 10 5" xfId="6975" xr:uid="{442C7683-DD75-4393-B5B2-415A766A20C5}"/>
    <cellStyle name="Normal 3 2 12 2 2 2 10 6" xfId="6976" xr:uid="{265EBD03-979B-4DBC-B334-9D508FF25049}"/>
    <cellStyle name="Normal 3 2 12 2 2 2 10 7" xfId="6977" xr:uid="{3544BDE2-DFDA-4137-AD5F-4AF16712B990}"/>
    <cellStyle name="Normal 3 2 12 2 2 2 10 8" xfId="6978" xr:uid="{711369C2-6819-469D-8AB6-C44E790F2CAC}"/>
    <cellStyle name="Normal 3 2 12 2 2 2 10 9" xfId="6979" xr:uid="{58DA02F5-D7D4-4AC0-B657-69E9B42B9A58}"/>
    <cellStyle name="Normal 3 2 12 2 2 2 11" xfId="6980" xr:uid="{E857965D-BC76-4B90-AC6E-65A9FF70EF06}"/>
    <cellStyle name="Normal 3 2 12 2 2 2 11 2" xfId="6981" xr:uid="{6F5C483E-7522-478C-862F-1AF07015FDB3}"/>
    <cellStyle name="Normal 3 2 12 2 2 2 11 3" xfId="6982" xr:uid="{9860B869-B7FC-451B-94E0-E1C6D1B0B276}"/>
    <cellStyle name="Normal 3 2 12 2 2 2 11 4" xfId="6983" xr:uid="{03B65D71-57AB-4A16-BD74-4D5019D60787}"/>
    <cellStyle name="Normal 3 2 12 2 2 2 11 5" xfId="6984" xr:uid="{996194D9-441C-4E61-A979-538AE7C7D157}"/>
    <cellStyle name="Normal 3 2 12 2 2 2 11 6" xfId="6985" xr:uid="{084F136E-28C5-4BC5-8C66-4CF9780AB277}"/>
    <cellStyle name="Normal 3 2 12 2 2 2 11 7" xfId="6986" xr:uid="{3FE499A1-82C9-4FDB-ABE0-009B063CDAF0}"/>
    <cellStyle name="Normal 3 2 12 2 2 2 11 8" xfId="6987" xr:uid="{6F8C9810-076C-4348-9F63-6CA67008B1D7}"/>
    <cellStyle name="Normal 3 2 12 2 2 2 12" xfId="6988" xr:uid="{63810D2F-9794-4224-9501-9ECDBA7E675D}"/>
    <cellStyle name="Normal 3 2 12 2 2 2 13" xfId="6989" xr:uid="{A685F189-F159-4E71-A299-A22AA0899A9F}"/>
    <cellStyle name="Normal 3 2 12 2 2 2 14" xfId="6990" xr:uid="{8F42BE35-7502-4F55-A909-03C5DAFCEA62}"/>
    <cellStyle name="Normal 3 2 12 2 2 2 15" xfId="6991" xr:uid="{CF36A238-A5F0-470D-AEC3-87A95DAA1B1D}"/>
    <cellStyle name="Normal 3 2 12 2 2 2 16" xfId="6992" xr:uid="{D2831498-F71E-486D-8CCE-8FA6EAB27F58}"/>
    <cellStyle name="Normal 3 2 12 2 2 2 17" xfId="6993" xr:uid="{0FCF07E3-6ED9-4C28-9498-1697B5B8FDB3}"/>
    <cellStyle name="Normal 3 2 12 2 2 2 2" xfId="6994" xr:uid="{7EA6E848-3443-4862-9E82-EECA1B5F8648}"/>
    <cellStyle name="Normal 3 2 12 2 2 2 2 10" xfId="6995" xr:uid="{3A191E2D-E292-4B5C-AB59-74BF46B33082}"/>
    <cellStyle name="Normal 3 2 12 2 2 2 2 2" xfId="6996" xr:uid="{F44DD3A6-16D3-4527-B486-0BA3C496914A}"/>
    <cellStyle name="Normal 3 2 12 2 2 2 2 2 2" xfId="6997" xr:uid="{20C69F09-780D-4FBC-8F46-78E488C30113}"/>
    <cellStyle name="Normal 3 2 12 2 2 2 2 2 2 2" xfId="6998" xr:uid="{7783FDCC-3AFB-46CA-97A1-1B85B7CD00B3}"/>
    <cellStyle name="Normal 3 2 12 2 2 2 2 2 2 2 2" xfId="6999" xr:uid="{9EF4F6BE-751B-4243-B9B7-AA13FB0A4F99}"/>
    <cellStyle name="Normal 3 2 12 2 2 2 2 2 2 2 3" xfId="7000" xr:uid="{46DDD110-E60F-40A6-A612-56843DF18A4E}"/>
    <cellStyle name="Normal 3 2 12 2 2 2 2 2 2 2 4" xfId="7001" xr:uid="{780479BB-A5C9-4F4C-93C6-F1EAAA3BD13B}"/>
    <cellStyle name="Normal 3 2 12 2 2 2 2 2 2 2 5" xfId="7002" xr:uid="{268CCCBE-9D1D-49C9-A5DA-159381C13D57}"/>
    <cellStyle name="Normal 3 2 12 2 2 2 2 2 2 2 6" xfId="7003" xr:uid="{6256C126-359D-4911-807E-C6A7D49654AA}"/>
    <cellStyle name="Normal 3 2 12 2 2 2 2 2 2 2 7" xfId="7004" xr:uid="{2CD8B978-FE24-4ECF-8667-E1BD31A84821}"/>
    <cellStyle name="Normal 3 2 12 2 2 2 2 2 2 2 8" xfId="7005" xr:uid="{7610DD24-A644-4D45-85B5-46B87BDB041C}"/>
    <cellStyle name="Normal 3 2 12 2 2 2 2 2 2 3" xfId="7006" xr:uid="{2B1D81CC-F403-4042-8132-A142E24D4866}"/>
    <cellStyle name="Normal 3 2 12 2 2 2 2 2 2 4" xfId="7007" xr:uid="{ABE32DF1-8F27-43E8-BF14-91443EDD64EF}"/>
    <cellStyle name="Normal 3 2 12 2 2 2 2 2 2 5" xfId="7008" xr:uid="{1CDC63CE-52BB-4F09-A0FD-7DD741761F69}"/>
    <cellStyle name="Normal 3 2 12 2 2 2 2 2 2 6" xfId="7009" xr:uid="{D74A9D34-F96C-4C2E-BA51-FDB1B1533079}"/>
    <cellStyle name="Normal 3 2 12 2 2 2 2 2 2 7" xfId="7010" xr:uid="{DBB61395-DF4B-4BD2-810E-6410070E08BC}"/>
    <cellStyle name="Normal 3 2 12 2 2 2 2 2 2 8" xfId="7011" xr:uid="{713E63D6-67EA-40C5-A9A8-2897E344DBDD}"/>
    <cellStyle name="Normal 3 2 12 2 2 2 2 2 3" xfId="7012" xr:uid="{99E3A4CB-5ED1-48D8-8FA1-24DC675CB8CB}"/>
    <cellStyle name="Normal 3 2 12 2 2 2 2 2 4" xfId="7013" xr:uid="{E1A8E4B2-68AD-44B0-A99F-8B51751302B9}"/>
    <cellStyle name="Normal 3 2 12 2 2 2 2 2 5" xfId="7014" xr:uid="{5752DDD2-39A2-4BE1-AD03-81A6E73FEF95}"/>
    <cellStyle name="Normal 3 2 12 2 2 2 2 2 6" xfId="7015" xr:uid="{96E4DD4C-A814-4ACD-9EC2-390527224233}"/>
    <cellStyle name="Normal 3 2 12 2 2 2 2 2 7" xfId="7016" xr:uid="{B598521A-53E0-4097-AFCE-CD2CF1413871}"/>
    <cellStyle name="Normal 3 2 12 2 2 2 2 2 8" xfId="7017" xr:uid="{743C7711-DE86-4F69-BC72-929E8B22E32D}"/>
    <cellStyle name="Normal 3 2 12 2 2 2 2 2 9" xfId="7018" xr:uid="{1566DDFD-D0FB-4EF6-87C3-D83B7DC8DECD}"/>
    <cellStyle name="Normal 3 2 12 2 2 2 2 3" xfId="7019" xr:uid="{07E597C1-8435-43BD-A0DD-8B84FCF8B145}"/>
    <cellStyle name="Normal 3 2 12 2 2 2 2 4" xfId="7020" xr:uid="{B3A1E6BC-59E0-4A22-8542-52551A8134D1}"/>
    <cellStyle name="Normal 3 2 12 2 2 2 2 4 2" xfId="7021" xr:uid="{AAFD9C9C-6B58-44ED-81A3-00A500C2B021}"/>
    <cellStyle name="Normal 3 2 12 2 2 2 2 4 3" xfId="7022" xr:uid="{5558422B-AE9C-4D39-B6AC-317B0F16816D}"/>
    <cellStyle name="Normal 3 2 12 2 2 2 2 4 4" xfId="7023" xr:uid="{0E66051D-71CF-45CB-9480-24337DDA4110}"/>
    <cellStyle name="Normal 3 2 12 2 2 2 2 4 5" xfId="7024" xr:uid="{909FA156-FBB6-4278-87AB-E0BD8F609D68}"/>
    <cellStyle name="Normal 3 2 12 2 2 2 2 4 6" xfId="7025" xr:uid="{A8071657-0FE3-4B20-9CA8-1A9C4625E6B7}"/>
    <cellStyle name="Normal 3 2 12 2 2 2 2 4 7" xfId="7026" xr:uid="{C648E1DA-2C9A-4F83-B88A-B694BBB83F15}"/>
    <cellStyle name="Normal 3 2 12 2 2 2 2 4 8" xfId="7027" xr:uid="{61CD89C5-E323-43F0-B90E-132F1E5929CA}"/>
    <cellStyle name="Normal 3 2 12 2 2 2 2 5" xfId="7028" xr:uid="{1AB1459C-4E31-4891-9B8F-5DDEE99D38E7}"/>
    <cellStyle name="Normal 3 2 12 2 2 2 2 6" xfId="7029" xr:uid="{5D4750C3-CE2A-4C3D-85FD-D99CF05BB2BE}"/>
    <cellStyle name="Normal 3 2 12 2 2 2 2 7" xfId="7030" xr:uid="{512B6BBD-A8CF-4E30-A6B2-7755BF8FCB83}"/>
    <cellStyle name="Normal 3 2 12 2 2 2 2 8" xfId="7031" xr:uid="{A837BB54-C503-480C-9161-67180F18F80B}"/>
    <cellStyle name="Normal 3 2 12 2 2 2 2 9" xfId="7032" xr:uid="{621869D5-AC60-412A-90DF-598CACE6992C}"/>
    <cellStyle name="Normal 3 2 12 2 2 2 3" xfId="7033" xr:uid="{52833ACC-A9BC-4821-9FFB-D954EDF7DE85}"/>
    <cellStyle name="Normal 3 2 12 2 2 2 4" xfId="7034" xr:uid="{A8BACDD2-1F20-4C0A-8FDC-921F1B820BC9}"/>
    <cellStyle name="Normal 3 2 12 2 2 2 5" xfId="7035" xr:uid="{963259E3-79BE-4EB1-8091-C5142B0E6A73}"/>
    <cellStyle name="Normal 3 2 12 2 2 2 6" xfId="7036" xr:uid="{966301E7-164B-4846-AB7D-080AAA904547}"/>
    <cellStyle name="Normal 3 2 12 2 2 2 7" xfId="7037" xr:uid="{1EEB6283-6714-4368-8764-F1B8591D04F7}"/>
    <cellStyle name="Normal 3 2 12 2 2 2 8" xfId="7038" xr:uid="{E50E8585-FAAC-4956-9038-0416CA023DCA}"/>
    <cellStyle name="Normal 3 2 12 2 2 2 9" xfId="7039" xr:uid="{49D8B435-D27F-40BD-938C-C12455AFF585}"/>
    <cellStyle name="Normal 3 2 12 2 2 3" xfId="7040" xr:uid="{0AC91F89-0929-4A1D-B18B-71450C5C6C86}"/>
    <cellStyle name="Normal 3 2 12 2 2 3 10" xfId="7041" xr:uid="{5CADD9E3-CF48-400B-9ED5-15C03BF7E0F7}"/>
    <cellStyle name="Normal 3 2 12 2 2 3 2" xfId="7042" xr:uid="{2347627E-1EBC-4643-A4D2-12FB08EFAE34}"/>
    <cellStyle name="Normal 3 2 12 2 2 3 2 2" xfId="7043" xr:uid="{C54AB49F-4320-4637-A832-62A9E2C2B84D}"/>
    <cellStyle name="Normal 3 2 12 2 2 3 2 2 2" xfId="7044" xr:uid="{4420B96B-1264-4046-8797-966CC1008F4C}"/>
    <cellStyle name="Normal 3 2 12 2 2 3 2 2 2 2" xfId="7045" xr:uid="{3D990CF6-5883-4F73-B0FD-78292F536701}"/>
    <cellStyle name="Normal 3 2 12 2 2 3 2 2 2 3" xfId="7046" xr:uid="{CAF2B1EC-AFA0-485E-90EC-51DA3E3ACD36}"/>
    <cellStyle name="Normal 3 2 12 2 2 3 2 2 2 4" xfId="7047" xr:uid="{27FB4B1F-8783-41CB-91B1-4A9346F71C03}"/>
    <cellStyle name="Normal 3 2 12 2 2 3 2 2 2 5" xfId="7048" xr:uid="{62CFA0B8-CE7B-47AC-AFC5-B88268AE257E}"/>
    <cellStyle name="Normal 3 2 12 2 2 3 2 2 2 6" xfId="7049" xr:uid="{AAA064B9-81B3-420C-B4D4-CEBB3DA916A4}"/>
    <cellStyle name="Normal 3 2 12 2 2 3 2 2 2 7" xfId="7050" xr:uid="{9380AF8C-CD77-4442-A8D1-0F27BF75EA16}"/>
    <cellStyle name="Normal 3 2 12 2 2 3 2 2 2 8" xfId="7051" xr:uid="{CF7BAC36-0F81-412A-A1F1-28152C175A86}"/>
    <cellStyle name="Normal 3 2 12 2 2 3 2 2 3" xfId="7052" xr:uid="{718150AC-4273-4216-83DD-EDD210E95872}"/>
    <cellStyle name="Normal 3 2 12 2 2 3 2 2 4" xfId="7053" xr:uid="{85B8AD35-059E-4608-A744-90F2280BFE49}"/>
    <cellStyle name="Normal 3 2 12 2 2 3 2 2 5" xfId="7054" xr:uid="{A0886603-130B-4D5D-926D-7844926A7DEB}"/>
    <cellStyle name="Normal 3 2 12 2 2 3 2 2 6" xfId="7055" xr:uid="{CB22F0FD-6457-4735-8FFC-B38829C1EE1D}"/>
    <cellStyle name="Normal 3 2 12 2 2 3 2 2 7" xfId="7056" xr:uid="{CC4DA9F1-3779-4F61-BE81-061677306A9B}"/>
    <cellStyle name="Normal 3 2 12 2 2 3 2 2 8" xfId="7057" xr:uid="{3201F306-5FC1-4375-B43D-4B3C4AA936D2}"/>
    <cellStyle name="Normal 3 2 12 2 2 3 2 3" xfId="7058" xr:uid="{08A3D8F3-6AEA-4132-9A33-C9752BA80C19}"/>
    <cellStyle name="Normal 3 2 12 2 2 3 2 4" xfId="7059" xr:uid="{500298BD-025E-424A-BA5E-07F46A4BE570}"/>
    <cellStyle name="Normal 3 2 12 2 2 3 2 5" xfId="7060" xr:uid="{0D683915-3827-4E0A-BDFA-40BE3FCA0D9E}"/>
    <cellStyle name="Normal 3 2 12 2 2 3 2 6" xfId="7061" xr:uid="{1C232F00-D9F2-4118-B220-5C41EF515FB4}"/>
    <cellStyle name="Normal 3 2 12 2 2 3 2 7" xfId="7062" xr:uid="{AF3FDB4E-9D46-4D75-BCE0-28D80A4AF150}"/>
    <cellStyle name="Normal 3 2 12 2 2 3 2 8" xfId="7063" xr:uid="{55CEA6F9-18A2-484E-BA24-7C31C896982D}"/>
    <cellStyle name="Normal 3 2 12 2 2 3 2 9" xfId="7064" xr:uid="{C3A3DC52-1504-42EF-85D7-242E0450FC28}"/>
    <cellStyle name="Normal 3 2 12 2 2 3 3" xfId="7065" xr:uid="{51B3059F-F3B3-422D-93E3-793B8CAAE7F7}"/>
    <cellStyle name="Normal 3 2 12 2 2 3 4" xfId="7066" xr:uid="{FDBFCD68-6202-4B59-B1F5-89B313A91ECE}"/>
    <cellStyle name="Normal 3 2 12 2 2 3 4 2" xfId="7067" xr:uid="{E3A877D0-4C62-4E65-B18C-0F9E187D3600}"/>
    <cellStyle name="Normal 3 2 12 2 2 3 4 3" xfId="7068" xr:uid="{32C9D55C-CD83-451C-BBFE-1D0B02F091AB}"/>
    <cellStyle name="Normal 3 2 12 2 2 3 4 4" xfId="7069" xr:uid="{4F90FFCC-2CA3-4393-9479-CDA916D0656B}"/>
    <cellStyle name="Normal 3 2 12 2 2 3 4 5" xfId="7070" xr:uid="{839CD0B5-B374-4B7C-B9A4-1A9318E62863}"/>
    <cellStyle name="Normal 3 2 12 2 2 3 4 6" xfId="7071" xr:uid="{8A2D7945-D7C2-4936-AAAE-39D57F2F943B}"/>
    <cellStyle name="Normal 3 2 12 2 2 3 4 7" xfId="7072" xr:uid="{C4EE4D9F-971C-4948-B68C-AE7D673C6923}"/>
    <cellStyle name="Normal 3 2 12 2 2 3 4 8" xfId="7073" xr:uid="{ABB306DE-9356-47F2-9AD0-86A76F53F1E0}"/>
    <cellStyle name="Normal 3 2 12 2 2 3 5" xfId="7074" xr:uid="{B26BC0E6-64E9-499A-AB65-06A82C589968}"/>
    <cellStyle name="Normal 3 2 12 2 2 3 6" xfId="7075" xr:uid="{FBA9EAA6-2C1F-468C-B134-5D7E37A4F4EA}"/>
    <cellStyle name="Normal 3 2 12 2 2 3 7" xfId="7076" xr:uid="{014D68BF-E028-4B21-A738-EC0453944FC5}"/>
    <cellStyle name="Normal 3 2 12 2 2 3 8" xfId="7077" xr:uid="{EADC29AE-16EA-4A3F-848B-F7B76F881D9E}"/>
    <cellStyle name="Normal 3 2 12 2 2 3 9" xfId="7078" xr:uid="{175474B8-FC3B-4BE6-B25D-1DFBBB976201}"/>
    <cellStyle name="Normal 3 2 12 2 2 4" xfId="7079" xr:uid="{44708164-5754-4E9E-AAAB-486CFC5143B1}"/>
    <cellStyle name="Normal 3 2 12 2 2 5" xfId="7080" xr:uid="{8D9AA309-2CC2-4F45-9630-3BF943D6BD1D}"/>
    <cellStyle name="Normal 3 2 12 2 2 6" xfId="7081" xr:uid="{0C944383-DC39-47BD-B053-7AD8264C707D}"/>
    <cellStyle name="Normal 3 2 12 2 2 7" xfId="7082" xr:uid="{10BF14CF-C9B8-4696-AFDB-A18E527A776B}"/>
    <cellStyle name="Normal 3 2 12 2 2 8" xfId="7083" xr:uid="{777406DB-74D6-4EF2-8100-743F55A53D09}"/>
    <cellStyle name="Normal 3 2 12 2 2 9" xfId="7084" xr:uid="{CA5EAE92-53DD-4F0C-AF4A-68E8D150720F}"/>
    <cellStyle name="Normal 3 2 12 2 20" xfId="7085" xr:uid="{AC782B18-FBA6-4670-83D6-0A854BDAFBA9}"/>
    <cellStyle name="Normal 3 2 12 2 21" xfId="7086" xr:uid="{95BA7419-2E25-48AF-AF2A-0C5BE51D7489}"/>
    <cellStyle name="Normal 3 2 12 2 22" xfId="7087" xr:uid="{ADBD20D4-EF07-4C89-BB30-EC4FE5AC4961}"/>
    <cellStyle name="Normal 3 2 12 2 3" xfId="7088" xr:uid="{39ED51EC-20C6-42C0-BAEE-A388FC3B9094}"/>
    <cellStyle name="Normal 3 2 12 2 4" xfId="7089" xr:uid="{B7F41572-9F13-4658-8D03-168348A376C3}"/>
    <cellStyle name="Normal 3 2 12 2 5" xfId="7090" xr:uid="{1B9F9366-7803-4E46-9122-C7E3E23EBDC5}"/>
    <cellStyle name="Normal 3 2 12 2 6" xfId="7091" xr:uid="{7B072971-8504-4865-B91A-9CDA0DBC6113}"/>
    <cellStyle name="Normal 3 2 12 2 7" xfId="7092" xr:uid="{9500A470-62AF-49D7-ADBB-55B93A04E2DA}"/>
    <cellStyle name="Normal 3 2 12 2 7 10" xfId="7093" xr:uid="{8EA3A378-C0DD-4BA9-8AB7-7A4580AF4556}"/>
    <cellStyle name="Normal 3 2 12 2 7 2" xfId="7094" xr:uid="{51B6D3BE-8C42-46AF-9AC3-3232BED96CC8}"/>
    <cellStyle name="Normal 3 2 12 2 7 2 2" xfId="7095" xr:uid="{F621595B-0FB0-456E-9973-269E9FD71AAD}"/>
    <cellStyle name="Normal 3 2 12 2 7 2 2 2" xfId="7096" xr:uid="{6A1B8762-EB04-4B87-A6AC-2AF23BD1B430}"/>
    <cellStyle name="Normal 3 2 12 2 7 2 2 2 2" xfId="7097" xr:uid="{08F077CD-28E4-44D6-A2A9-F3CFF3B9F807}"/>
    <cellStyle name="Normal 3 2 12 2 7 2 2 2 3" xfId="7098" xr:uid="{98F90864-9D2C-427F-9242-C33C539547AB}"/>
    <cellStyle name="Normal 3 2 12 2 7 2 2 2 4" xfId="7099" xr:uid="{E55C7C81-9961-4BA9-AEE0-910CAF3AC8E3}"/>
    <cellStyle name="Normal 3 2 12 2 7 2 2 2 5" xfId="7100" xr:uid="{1BB82FBA-6FD4-4B5E-8F65-94D0068C8A76}"/>
    <cellStyle name="Normal 3 2 12 2 7 2 2 2 6" xfId="7101" xr:uid="{9CAAD757-4613-4155-8247-99E0C258AB23}"/>
    <cellStyle name="Normal 3 2 12 2 7 2 2 2 7" xfId="7102" xr:uid="{38D8EFDA-AE9C-45D9-8ED5-3AF0522DB1A3}"/>
    <cellStyle name="Normal 3 2 12 2 7 2 2 2 8" xfId="7103" xr:uid="{CD2C8847-A2CF-4965-805D-06F0367B6554}"/>
    <cellStyle name="Normal 3 2 12 2 7 2 2 3" xfId="7104" xr:uid="{A24F14BF-4B57-4B82-A085-5F19F6318AC8}"/>
    <cellStyle name="Normal 3 2 12 2 7 2 2 4" xfId="7105" xr:uid="{6D22F18D-ED2A-485F-AEBE-5A18EB9CAB06}"/>
    <cellStyle name="Normal 3 2 12 2 7 2 2 5" xfId="7106" xr:uid="{0BB84740-8CAE-47E8-B4AD-D7DB810DF1DD}"/>
    <cellStyle name="Normal 3 2 12 2 7 2 2 6" xfId="7107" xr:uid="{198EBAAD-7EEC-4CA2-BC37-F20FD76B04D2}"/>
    <cellStyle name="Normal 3 2 12 2 7 2 2 7" xfId="7108" xr:uid="{495D8D9D-0AD6-4D27-ACA5-1BE425FF340E}"/>
    <cellStyle name="Normal 3 2 12 2 7 2 2 8" xfId="7109" xr:uid="{87156C9F-C5EA-4ED8-B944-1CC9008BC588}"/>
    <cellStyle name="Normal 3 2 12 2 7 2 3" xfId="7110" xr:uid="{5DB07F69-B76E-4357-9C1A-43A6CCC2A422}"/>
    <cellStyle name="Normal 3 2 12 2 7 2 4" xfId="7111" xr:uid="{79A003D7-A902-4D01-809B-53B14C183C20}"/>
    <cellStyle name="Normal 3 2 12 2 7 2 5" xfId="7112" xr:uid="{2C61B2DA-79BE-4988-8596-61DB3802C6B6}"/>
    <cellStyle name="Normal 3 2 12 2 7 2 6" xfId="7113" xr:uid="{64EAE456-E563-473F-8BED-6975F223F2F9}"/>
    <cellStyle name="Normal 3 2 12 2 7 2 7" xfId="7114" xr:uid="{510524C5-51AE-47D6-80CF-7A000F803C71}"/>
    <cellStyle name="Normal 3 2 12 2 7 2 8" xfId="7115" xr:uid="{0FA7E8BB-29AA-413B-9D86-F53CDBC8B1B6}"/>
    <cellStyle name="Normal 3 2 12 2 7 2 9" xfId="7116" xr:uid="{8E09D736-EA38-457C-B547-B90BF49D0F10}"/>
    <cellStyle name="Normal 3 2 12 2 7 3" xfId="7117" xr:uid="{505BE397-28B3-4A04-A92E-8458A8BBEB20}"/>
    <cellStyle name="Normal 3 2 12 2 7 4" xfId="7118" xr:uid="{989B7202-BBBD-4C1F-867D-A8E1E4F30AD8}"/>
    <cellStyle name="Normal 3 2 12 2 7 4 2" xfId="7119" xr:uid="{6D6BD289-B16F-466E-B54E-E7857ADB3E02}"/>
    <cellStyle name="Normal 3 2 12 2 7 4 3" xfId="7120" xr:uid="{FF72E296-369C-4071-B0D3-5933D4566839}"/>
    <cellStyle name="Normal 3 2 12 2 7 4 4" xfId="7121" xr:uid="{475AC073-8662-4F79-BD4C-AF1A42450ADB}"/>
    <cellStyle name="Normal 3 2 12 2 7 4 5" xfId="7122" xr:uid="{8E031CC9-FA18-44DE-9FEB-E10D787B58D4}"/>
    <cellStyle name="Normal 3 2 12 2 7 4 6" xfId="7123" xr:uid="{C90EB7F3-56CA-4FBE-BD2D-EC1D337F9B3D}"/>
    <cellStyle name="Normal 3 2 12 2 7 4 7" xfId="7124" xr:uid="{DA82F099-A221-474E-A082-9A210012A7D8}"/>
    <cellStyle name="Normal 3 2 12 2 7 4 8" xfId="7125" xr:uid="{D22E73D9-DDFB-4263-AF3F-E255D3DD97AF}"/>
    <cellStyle name="Normal 3 2 12 2 7 5" xfId="7126" xr:uid="{E6B25622-42AC-486C-AE28-05EA9B0F72BD}"/>
    <cellStyle name="Normal 3 2 12 2 7 6" xfId="7127" xr:uid="{6A1C5FBB-07F9-4008-91E7-44B2824A7773}"/>
    <cellStyle name="Normal 3 2 12 2 7 7" xfId="7128" xr:uid="{9D1700FA-8632-47D7-AE72-6B6CC83034EA}"/>
    <cellStyle name="Normal 3 2 12 2 7 8" xfId="7129" xr:uid="{08E783CB-0EBB-42F3-A8E6-8B71D36989EF}"/>
    <cellStyle name="Normal 3 2 12 2 7 9" xfId="7130" xr:uid="{C1E4FE2D-7F20-4C4B-AE57-42B06C1C311F}"/>
    <cellStyle name="Normal 3 2 12 2 8" xfId="7131" xr:uid="{CFB9937D-F11D-4DA3-8685-A045ABCA0E02}"/>
    <cellStyle name="Normal 3 2 12 2 9" xfId="7132" xr:uid="{549DC704-D632-4A47-826F-FEB97E6F5075}"/>
    <cellStyle name="Normal 3 2 12 20" xfId="7133" xr:uid="{0E193D5A-4CEB-4BAE-9E61-149A2D1EADD2}"/>
    <cellStyle name="Normal 3 2 12 21" xfId="7134" xr:uid="{71625D54-ADDF-4F2B-A6B2-CE4741EF290C}"/>
    <cellStyle name="Normal 3 2 12 22" xfId="7135" xr:uid="{B3F88C06-F3D6-4CCD-A910-B3FCC61E4E18}"/>
    <cellStyle name="Normal 3 2 12 3" xfId="7136" xr:uid="{481E1CA1-3057-4373-80F0-4B44B1AB4782}"/>
    <cellStyle name="Normal 3 2 12 3 10" xfId="7137" xr:uid="{BF72E242-345D-4669-8992-26ABD89B7C02}"/>
    <cellStyle name="Normal 3 2 12 3 10 2" xfId="7138" xr:uid="{89C4AC73-4B7A-48AC-B38A-5D74D39EC434}"/>
    <cellStyle name="Normal 3 2 12 3 10 2 2" xfId="7139" xr:uid="{0BD94EDE-3AD3-4868-8AAE-56274FDF8B5D}"/>
    <cellStyle name="Normal 3 2 12 3 10 2 2 2" xfId="7140" xr:uid="{687F50F9-9DC0-4481-A945-8ED5C77237FF}"/>
    <cellStyle name="Normal 3 2 12 3 10 2 2 3" xfId="7141" xr:uid="{6F228F05-1469-4B8D-B6F1-5F5435F07837}"/>
    <cellStyle name="Normal 3 2 12 3 10 2 2 4" xfId="7142" xr:uid="{3136E74F-238A-498F-BF23-DEA26B5E7423}"/>
    <cellStyle name="Normal 3 2 12 3 10 2 2 5" xfId="7143" xr:uid="{6514C8D0-8DDD-4247-964D-8A2C35483945}"/>
    <cellStyle name="Normal 3 2 12 3 10 2 2 6" xfId="7144" xr:uid="{A0447DF9-000E-43AA-89B8-42225B6CE4CC}"/>
    <cellStyle name="Normal 3 2 12 3 10 2 2 7" xfId="7145" xr:uid="{D19F93B0-8D60-4632-8B7B-7E01664494B5}"/>
    <cellStyle name="Normal 3 2 12 3 10 2 2 8" xfId="7146" xr:uid="{3840D84B-F444-4C3B-9B8F-E6A39D804D7A}"/>
    <cellStyle name="Normal 3 2 12 3 10 2 3" xfId="7147" xr:uid="{4D92AF6E-8D24-49DA-AA57-7A1A79BABBAD}"/>
    <cellStyle name="Normal 3 2 12 3 10 2 4" xfId="7148" xr:uid="{9CA2E214-823D-4FCE-A2DC-A9F6DE1B91B4}"/>
    <cellStyle name="Normal 3 2 12 3 10 2 5" xfId="7149" xr:uid="{DD62270F-B17B-4CEE-825D-3530C5FD8C16}"/>
    <cellStyle name="Normal 3 2 12 3 10 2 6" xfId="7150" xr:uid="{AC028F81-F867-49DC-97E0-D9A3127760F6}"/>
    <cellStyle name="Normal 3 2 12 3 10 2 7" xfId="7151" xr:uid="{3D854D49-4FBF-4F47-9F38-D9252FCD21A5}"/>
    <cellStyle name="Normal 3 2 12 3 10 2 8" xfId="7152" xr:uid="{717D4014-CDED-42E7-ACF8-CF55E1A59105}"/>
    <cellStyle name="Normal 3 2 12 3 10 3" xfId="7153" xr:uid="{56ED0105-91BE-429D-B716-250F8DDD9989}"/>
    <cellStyle name="Normal 3 2 12 3 10 4" xfId="7154" xr:uid="{3C0360B1-6880-4743-9043-460EE896656C}"/>
    <cellStyle name="Normal 3 2 12 3 10 5" xfId="7155" xr:uid="{293503D8-83F4-47C2-8450-1ACAEB0620D1}"/>
    <cellStyle name="Normal 3 2 12 3 10 6" xfId="7156" xr:uid="{B8A2FB4C-2E97-4FAC-A011-C76F7859A3D2}"/>
    <cellStyle name="Normal 3 2 12 3 10 7" xfId="7157" xr:uid="{4DF3F536-3348-4C37-A29D-D64A46B5C153}"/>
    <cellStyle name="Normal 3 2 12 3 10 8" xfId="7158" xr:uid="{755BAA95-9225-4D6B-9968-0A65DDE23EED}"/>
    <cellStyle name="Normal 3 2 12 3 10 9" xfId="7159" xr:uid="{49394637-0D53-467C-AC4E-D855BAAA399E}"/>
    <cellStyle name="Normal 3 2 12 3 11" xfId="7160" xr:uid="{777ACBE6-B202-4596-BC0E-C0C566111558}"/>
    <cellStyle name="Normal 3 2 12 3 11 2" xfId="7161" xr:uid="{AE5FAE1D-7964-404C-BAE7-E92395CF21E0}"/>
    <cellStyle name="Normal 3 2 12 3 11 3" xfId="7162" xr:uid="{6586FCE1-6571-42CC-BBB3-762548176AC4}"/>
    <cellStyle name="Normal 3 2 12 3 11 4" xfId="7163" xr:uid="{CCD372EA-0CEC-420F-BD56-0EC40AC40278}"/>
    <cellStyle name="Normal 3 2 12 3 11 5" xfId="7164" xr:uid="{8A217CB6-5B08-4DC2-B0DA-89D81DF223AF}"/>
    <cellStyle name="Normal 3 2 12 3 11 6" xfId="7165" xr:uid="{878CBEE3-0B39-49E8-B40C-B0551454B1EE}"/>
    <cellStyle name="Normal 3 2 12 3 11 7" xfId="7166" xr:uid="{977E45DA-CB6B-4E13-B1AB-D26323F6EAFF}"/>
    <cellStyle name="Normal 3 2 12 3 11 8" xfId="7167" xr:uid="{589A7839-4B50-4C17-8BD8-54E1AFC62B8C}"/>
    <cellStyle name="Normal 3 2 12 3 12" xfId="7168" xr:uid="{B477EBF2-5A0C-489E-92E3-07F75CDDCE2E}"/>
    <cellStyle name="Normal 3 2 12 3 13" xfId="7169" xr:uid="{5386217F-6A3F-4F0E-B4FA-59DB1FBBE734}"/>
    <cellStyle name="Normal 3 2 12 3 14" xfId="7170" xr:uid="{28BE7FCE-4B00-4F4D-82A6-3EE77669AC82}"/>
    <cellStyle name="Normal 3 2 12 3 15" xfId="7171" xr:uid="{0CC515F0-44D5-4877-BFE9-761F442E3EF0}"/>
    <cellStyle name="Normal 3 2 12 3 16" xfId="7172" xr:uid="{F657B321-5631-4258-AB4D-548763D253B8}"/>
    <cellStyle name="Normal 3 2 12 3 17" xfId="7173" xr:uid="{5B7E573C-AB17-456D-B219-BFF7E63762B0}"/>
    <cellStyle name="Normal 3 2 12 3 2" xfId="7174" xr:uid="{70A6E107-139E-4237-9350-B9ABBFC7590A}"/>
    <cellStyle name="Normal 3 2 12 3 2 10" xfId="7175" xr:uid="{2F0AACC1-07F0-4E5C-8BAF-175B35600518}"/>
    <cellStyle name="Normal 3 2 12 3 2 10 2" xfId="7176" xr:uid="{CF4B4483-6D03-4AC8-A17C-02233B5F63C4}"/>
    <cellStyle name="Normal 3 2 12 3 2 10 2 2" xfId="7177" xr:uid="{A99AC881-9451-49C9-B7A4-2590DF8E127F}"/>
    <cellStyle name="Normal 3 2 12 3 2 10 2 2 2" xfId="7178" xr:uid="{421DD82D-B91B-4CCF-A501-B5B56A77788C}"/>
    <cellStyle name="Normal 3 2 12 3 2 10 2 2 3" xfId="7179" xr:uid="{723E776D-F930-41B3-AC9C-AB16F7793A61}"/>
    <cellStyle name="Normal 3 2 12 3 2 10 2 2 4" xfId="7180" xr:uid="{3CBAE7D2-EFE0-45A7-B185-880E5D0B5C0D}"/>
    <cellStyle name="Normal 3 2 12 3 2 10 2 2 5" xfId="7181" xr:uid="{331345ED-29C0-4509-962D-68B227A1E1D3}"/>
    <cellStyle name="Normal 3 2 12 3 2 10 2 2 6" xfId="7182" xr:uid="{002DB305-94F7-421B-A46F-83A92EA024E4}"/>
    <cellStyle name="Normal 3 2 12 3 2 10 2 2 7" xfId="7183" xr:uid="{3AB64764-D853-45F9-A2B1-2DE47426A94D}"/>
    <cellStyle name="Normal 3 2 12 3 2 10 2 2 8" xfId="7184" xr:uid="{590F0B32-8F64-4D31-8C39-AD2152302155}"/>
    <cellStyle name="Normal 3 2 12 3 2 10 2 3" xfId="7185" xr:uid="{0625988B-17F0-4A98-97B5-D5D00AF343AA}"/>
    <cellStyle name="Normal 3 2 12 3 2 10 2 4" xfId="7186" xr:uid="{8BF92287-911F-4708-900C-B04EA404C464}"/>
    <cellStyle name="Normal 3 2 12 3 2 10 2 5" xfId="7187" xr:uid="{79B4476C-D304-4BFA-933B-2C263B218FBE}"/>
    <cellStyle name="Normal 3 2 12 3 2 10 2 6" xfId="7188" xr:uid="{5B64D227-52E1-4857-A42B-5D701DA33588}"/>
    <cellStyle name="Normal 3 2 12 3 2 10 2 7" xfId="7189" xr:uid="{FC822A99-F1E5-4585-8E59-7F77D9F1DC4F}"/>
    <cellStyle name="Normal 3 2 12 3 2 10 2 8" xfId="7190" xr:uid="{67DCBB45-5D38-4430-BE11-B10D19AB5F20}"/>
    <cellStyle name="Normal 3 2 12 3 2 10 3" xfId="7191" xr:uid="{658659B0-50D4-48D2-889E-2289B16C16DC}"/>
    <cellStyle name="Normal 3 2 12 3 2 10 4" xfId="7192" xr:uid="{D0A6A8C8-0C28-41E9-8EF9-5B880B7B6D63}"/>
    <cellStyle name="Normal 3 2 12 3 2 10 5" xfId="7193" xr:uid="{4E045AC1-1AE8-4E83-9974-86AC2E293CF5}"/>
    <cellStyle name="Normal 3 2 12 3 2 10 6" xfId="7194" xr:uid="{A80EB27D-7A03-4F2D-844F-9FFDA087A08C}"/>
    <cellStyle name="Normal 3 2 12 3 2 10 7" xfId="7195" xr:uid="{25B5C0D1-A492-4B53-8DF8-2D6263D6FC8A}"/>
    <cellStyle name="Normal 3 2 12 3 2 10 8" xfId="7196" xr:uid="{4CFCD887-3259-4F75-8F84-766EFCD51337}"/>
    <cellStyle name="Normal 3 2 12 3 2 10 9" xfId="7197" xr:uid="{7F748C22-331C-4905-A512-25C2C600EFBE}"/>
    <cellStyle name="Normal 3 2 12 3 2 11" xfId="7198" xr:uid="{EE1E1243-BB7A-43D7-8C12-A1ACABC7B655}"/>
    <cellStyle name="Normal 3 2 12 3 2 11 2" xfId="7199" xr:uid="{404D8073-42AF-43DE-8A24-05663D181B42}"/>
    <cellStyle name="Normal 3 2 12 3 2 11 3" xfId="7200" xr:uid="{E48A96AD-B0C3-4503-92A3-63ED4C13FEC1}"/>
    <cellStyle name="Normal 3 2 12 3 2 11 4" xfId="7201" xr:uid="{21DF73DC-62C4-4269-8698-08ED79FBFA53}"/>
    <cellStyle name="Normal 3 2 12 3 2 11 5" xfId="7202" xr:uid="{4EE53E96-B6E9-4A1C-A44E-7AD2315ABD2E}"/>
    <cellStyle name="Normal 3 2 12 3 2 11 6" xfId="7203" xr:uid="{19BB0A2A-0AE0-48D1-BF55-F99066BC6875}"/>
    <cellStyle name="Normal 3 2 12 3 2 11 7" xfId="7204" xr:uid="{DD6D6304-E75A-4A80-90D8-15AAC9475E0B}"/>
    <cellStyle name="Normal 3 2 12 3 2 11 8" xfId="7205" xr:uid="{524A11F0-D9B4-4ED7-AD6B-F714A1C4D63B}"/>
    <cellStyle name="Normal 3 2 12 3 2 12" xfId="7206" xr:uid="{33B2E6A7-E842-4214-ACE1-D3A7C7115D65}"/>
    <cellStyle name="Normal 3 2 12 3 2 13" xfId="7207" xr:uid="{ABCDE6C2-89CE-4E0B-9C9E-549A40127F5A}"/>
    <cellStyle name="Normal 3 2 12 3 2 14" xfId="7208" xr:uid="{19264C38-F6A3-479E-923E-C38197B21607}"/>
    <cellStyle name="Normal 3 2 12 3 2 15" xfId="7209" xr:uid="{90387760-9F79-4554-A742-AE7211471508}"/>
    <cellStyle name="Normal 3 2 12 3 2 16" xfId="7210" xr:uid="{A610332C-40D1-4C17-9C0E-75335C30294C}"/>
    <cellStyle name="Normal 3 2 12 3 2 17" xfId="7211" xr:uid="{51B5B0CC-BECC-4B2A-A71D-318597302223}"/>
    <cellStyle name="Normal 3 2 12 3 2 2" xfId="7212" xr:uid="{5E328BD7-C67A-4F40-981A-46686E621B8A}"/>
    <cellStyle name="Normal 3 2 12 3 2 2 10" xfId="7213" xr:uid="{D8F2C229-8771-42B8-B152-B44DDB04CA0B}"/>
    <cellStyle name="Normal 3 2 12 3 2 2 2" xfId="7214" xr:uid="{65629DCC-B9DC-4AF3-8BBC-609C140A2EC8}"/>
    <cellStyle name="Normal 3 2 12 3 2 2 2 2" xfId="7215" xr:uid="{92B21640-E426-409B-BA23-0B5A37F0A047}"/>
    <cellStyle name="Normal 3 2 12 3 2 2 2 2 2" xfId="7216" xr:uid="{AFCF32C7-56F0-4E56-BE4A-41B8BCCEC63B}"/>
    <cellStyle name="Normal 3 2 12 3 2 2 2 2 2 2" xfId="7217" xr:uid="{C98B4B8F-A69F-414A-B0D4-3CDD6508EB4C}"/>
    <cellStyle name="Normal 3 2 12 3 2 2 2 2 2 3" xfId="7218" xr:uid="{FED7D000-643B-4D43-A76A-01787192C0DF}"/>
    <cellStyle name="Normal 3 2 12 3 2 2 2 2 2 4" xfId="7219" xr:uid="{4F3B8668-C01F-47E8-9B5D-BAA2A36BBE74}"/>
    <cellStyle name="Normal 3 2 12 3 2 2 2 2 2 5" xfId="7220" xr:uid="{452BAAB7-EFDA-48B7-8815-0E686E9A9E10}"/>
    <cellStyle name="Normal 3 2 12 3 2 2 2 2 2 6" xfId="7221" xr:uid="{B15927A0-FE3A-42F5-ADD0-B9BCAF79E3BD}"/>
    <cellStyle name="Normal 3 2 12 3 2 2 2 2 2 7" xfId="7222" xr:uid="{E5A4954B-43D5-4363-8A79-982A9E206862}"/>
    <cellStyle name="Normal 3 2 12 3 2 2 2 2 2 8" xfId="7223" xr:uid="{A21E939C-AE8B-4067-BE87-8A0803A3E0B3}"/>
    <cellStyle name="Normal 3 2 12 3 2 2 2 2 3" xfId="7224" xr:uid="{55131EFA-3C1E-45F0-95B6-650924994B84}"/>
    <cellStyle name="Normal 3 2 12 3 2 2 2 2 4" xfId="7225" xr:uid="{FE9357D2-5767-4E6A-8B99-CA5BE86606E3}"/>
    <cellStyle name="Normal 3 2 12 3 2 2 2 2 5" xfId="7226" xr:uid="{4A66A5CE-DD5D-4BE8-8458-122BCE8BA5A5}"/>
    <cellStyle name="Normal 3 2 12 3 2 2 2 2 6" xfId="7227" xr:uid="{5B5C2436-066A-41A7-8831-2DF221A61158}"/>
    <cellStyle name="Normal 3 2 12 3 2 2 2 2 7" xfId="7228" xr:uid="{C82C1037-6915-4A02-8FC1-929A0C1C559C}"/>
    <cellStyle name="Normal 3 2 12 3 2 2 2 2 8" xfId="7229" xr:uid="{3F1142B5-7C49-421D-BCDB-2C6F02FD14C7}"/>
    <cellStyle name="Normal 3 2 12 3 2 2 2 3" xfId="7230" xr:uid="{C5CE8955-1091-4A5B-819A-4735B08DF1DA}"/>
    <cellStyle name="Normal 3 2 12 3 2 2 2 4" xfId="7231" xr:uid="{0CDD86D4-360C-492A-8603-2589A5F93705}"/>
    <cellStyle name="Normal 3 2 12 3 2 2 2 5" xfId="7232" xr:uid="{677983FB-C873-47E0-A31B-4590FC37F65A}"/>
    <cellStyle name="Normal 3 2 12 3 2 2 2 6" xfId="7233" xr:uid="{0589278E-3C81-47D1-8DDF-26914F7D58B7}"/>
    <cellStyle name="Normal 3 2 12 3 2 2 2 7" xfId="7234" xr:uid="{FDE951B2-6D36-4CDF-80FA-9B619D230817}"/>
    <cellStyle name="Normal 3 2 12 3 2 2 2 8" xfId="7235" xr:uid="{C0C41803-FDD9-423D-848A-0F2650851DB9}"/>
    <cellStyle name="Normal 3 2 12 3 2 2 2 9" xfId="7236" xr:uid="{CD597402-D934-477D-A9A6-6A3762906206}"/>
    <cellStyle name="Normal 3 2 12 3 2 2 3" xfId="7237" xr:uid="{B181B550-6057-402F-87F7-7EE387D4ADE5}"/>
    <cellStyle name="Normal 3 2 12 3 2 2 4" xfId="7238" xr:uid="{14D35CA6-9D4A-44C1-B443-54598BC7FC25}"/>
    <cellStyle name="Normal 3 2 12 3 2 2 4 2" xfId="7239" xr:uid="{F5C48A57-867F-4F1E-B5A0-6EB8E543C8F2}"/>
    <cellStyle name="Normal 3 2 12 3 2 2 4 3" xfId="7240" xr:uid="{F7752EE3-4BFF-4F06-8C47-B34DE8A82310}"/>
    <cellStyle name="Normal 3 2 12 3 2 2 4 4" xfId="7241" xr:uid="{399BE884-A27C-42F1-908F-A5EC8A5E9240}"/>
    <cellStyle name="Normal 3 2 12 3 2 2 4 5" xfId="7242" xr:uid="{79D8B7D1-CF63-42FB-9B29-C48460002A90}"/>
    <cellStyle name="Normal 3 2 12 3 2 2 4 6" xfId="7243" xr:uid="{D725936E-05F1-42D3-ADF6-527E5B330BAB}"/>
    <cellStyle name="Normal 3 2 12 3 2 2 4 7" xfId="7244" xr:uid="{08F4CC17-DA9A-47F6-9B27-68E828BBB90B}"/>
    <cellStyle name="Normal 3 2 12 3 2 2 4 8" xfId="7245" xr:uid="{D42FCBCF-2C8D-4F2B-AD06-DDDB3ECEC600}"/>
    <cellStyle name="Normal 3 2 12 3 2 2 5" xfId="7246" xr:uid="{A5956FD2-F300-437A-8FEC-0AA7E4168E15}"/>
    <cellStyle name="Normal 3 2 12 3 2 2 6" xfId="7247" xr:uid="{A6F36541-BC22-450A-B610-116802EFB4F9}"/>
    <cellStyle name="Normal 3 2 12 3 2 2 7" xfId="7248" xr:uid="{F9557095-B4D9-48EF-BC9E-CA80D98F0612}"/>
    <cellStyle name="Normal 3 2 12 3 2 2 8" xfId="7249" xr:uid="{6E80326A-FA92-4EE9-B1D4-DD45D40B24BD}"/>
    <cellStyle name="Normal 3 2 12 3 2 2 9" xfId="7250" xr:uid="{AB98EFE1-B362-4FFE-983A-726656CBF487}"/>
    <cellStyle name="Normal 3 2 12 3 2 3" xfId="7251" xr:uid="{9E2C9810-618A-41E5-9DE4-BF6D7AA4B0B5}"/>
    <cellStyle name="Normal 3 2 12 3 2 4" xfId="7252" xr:uid="{C50178D1-317C-40FC-8568-3082252D5B1B}"/>
    <cellStyle name="Normal 3 2 12 3 2 5" xfId="7253" xr:uid="{290D8B49-DCA4-493D-9F42-83647FE2D9B5}"/>
    <cellStyle name="Normal 3 2 12 3 2 6" xfId="7254" xr:uid="{63862C3E-54C5-48BD-847C-0510FC703086}"/>
    <cellStyle name="Normal 3 2 12 3 2 7" xfId="7255" xr:uid="{AB55A54C-E34B-4820-BDBC-2A30FF1EC0CA}"/>
    <cellStyle name="Normal 3 2 12 3 2 8" xfId="7256" xr:uid="{E9F74B0B-AB50-433F-94BC-782B8C022D7E}"/>
    <cellStyle name="Normal 3 2 12 3 2 9" xfId="7257" xr:uid="{5A28C48F-8FB3-49FB-80FC-DD7F60B4DECB}"/>
    <cellStyle name="Normal 3 2 12 3 3" xfId="7258" xr:uid="{90F9CB76-79AB-4033-A60C-2B726C459688}"/>
    <cellStyle name="Normal 3 2 12 3 3 10" xfId="7259" xr:uid="{4EC8B3D4-EDF2-43E9-8560-0EDB10CF5D9D}"/>
    <cellStyle name="Normal 3 2 12 3 3 2" xfId="7260" xr:uid="{A6A3BDDF-7461-4B60-979B-35FF2EA25A2F}"/>
    <cellStyle name="Normal 3 2 12 3 3 2 2" xfId="7261" xr:uid="{B8C16040-04BC-4D28-B0F8-650CACD24D8A}"/>
    <cellStyle name="Normal 3 2 12 3 3 2 2 2" xfId="7262" xr:uid="{B0C9C405-4EC9-4A75-824E-E998158246B2}"/>
    <cellStyle name="Normal 3 2 12 3 3 2 2 2 2" xfId="7263" xr:uid="{95F7EB2D-F1F6-4CEC-AE9E-023A29813256}"/>
    <cellStyle name="Normal 3 2 12 3 3 2 2 2 3" xfId="7264" xr:uid="{77E0C27B-9545-40C4-AD97-32C7840C8F50}"/>
    <cellStyle name="Normal 3 2 12 3 3 2 2 2 4" xfId="7265" xr:uid="{46B656E9-8C69-4952-ADCD-272D612FC3E6}"/>
    <cellStyle name="Normal 3 2 12 3 3 2 2 2 5" xfId="7266" xr:uid="{8E561E39-780E-4B4A-AE93-9512F99851CF}"/>
    <cellStyle name="Normal 3 2 12 3 3 2 2 2 6" xfId="7267" xr:uid="{99D84545-8B67-4D81-AEE7-F8E9D94E8FB0}"/>
    <cellStyle name="Normal 3 2 12 3 3 2 2 2 7" xfId="7268" xr:uid="{C4378418-6CBF-4659-BEB3-F680AFC46B99}"/>
    <cellStyle name="Normal 3 2 12 3 3 2 2 2 8" xfId="7269" xr:uid="{1C7C604D-8FEF-4FEC-B170-377DB05A5527}"/>
    <cellStyle name="Normal 3 2 12 3 3 2 2 3" xfId="7270" xr:uid="{91166F9E-910B-4198-952A-890E94B311D5}"/>
    <cellStyle name="Normal 3 2 12 3 3 2 2 4" xfId="7271" xr:uid="{F2D2E4E8-D6E5-4C85-8795-E816E976F0B3}"/>
    <cellStyle name="Normal 3 2 12 3 3 2 2 5" xfId="7272" xr:uid="{1FDB1D17-B230-4738-B14F-D811873324D4}"/>
    <cellStyle name="Normal 3 2 12 3 3 2 2 6" xfId="7273" xr:uid="{4C9EE96A-9C76-48AE-87FF-0232B9A37178}"/>
    <cellStyle name="Normal 3 2 12 3 3 2 2 7" xfId="7274" xr:uid="{E832FFB4-4B78-4234-9B30-BF4E35627783}"/>
    <cellStyle name="Normal 3 2 12 3 3 2 2 8" xfId="7275" xr:uid="{AA4DD098-7F98-4EC0-954D-EEB5AE2AF802}"/>
    <cellStyle name="Normal 3 2 12 3 3 2 3" xfId="7276" xr:uid="{065CD433-8CD9-4C7A-BDFE-994DC6E7E8D1}"/>
    <cellStyle name="Normal 3 2 12 3 3 2 4" xfId="7277" xr:uid="{AFCFB798-641A-433D-9CF2-18321CBDDE02}"/>
    <cellStyle name="Normal 3 2 12 3 3 2 5" xfId="7278" xr:uid="{1A73FCCA-786B-49C3-A48A-7ED6313EA300}"/>
    <cellStyle name="Normal 3 2 12 3 3 2 6" xfId="7279" xr:uid="{E429CF82-82C8-42F3-A58E-D7B4C7ABD786}"/>
    <cellStyle name="Normal 3 2 12 3 3 2 7" xfId="7280" xr:uid="{E51DFF50-6746-4E96-9618-7247010E4AA1}"/>
    <cellStyle name="Normal 3 2 12 3 3 2 8" xfId="7281" xr:uid="{CBD4F198-971C-436C-B384-7D81F4A1355E}"/>
    <cellStyle name="Normal 3 2 12 3 3 2 9" xfId="7282" xr:uid="{BB75D2CC-EF45-433A-BEF4-292C99575FB5}"/>
    <cellStyle name="Normal 3 2 12 3 3 3" xfId="7283" xr:uid="{FC82E54B-B17C-4FA9-83CB-F24E7AC667FC}"/>
    <cellStyle name="Normal 3 2 12 3 3 4" xfId="7284" xr:uid="{CAD88D15-F1C6-4BF8-8EDB-74903CF743DA}"/>
    <cellStyle name="Normal 3 2 12 3 3 4 2" xfId="7285" xr:uid="{0F5AA2BE-2E0D-4DC9-B6EE-C21BCC4EBDA5}"/>
    <cellStyle name="Normal 3 2 12 3 3 4 3" xfId="7286" xr:uid="{3C07BF4A-2DD1-4F8E-A14E-53CB68B05800}"/>
    <cellStyle name="Normal 3 2 12 3 3 4 4" xfId="7287" xr:uid="{BF849959-283D-4316-BB19-50806D3F9E2C}"/>
    <cellStyle name="Normal 3 2 12 3 3 4 5" xfId="7288" xr:uid="{A6A2F292-F7A6-4F2E-95B0-50E546DF2E17}"/>
    <cellStyle name="Normal 3 2 12 3 3 4 6" xfId="7289" xr:uid="{F2244256-BC56-40FF-BECA-EFCDCCBB4DAE}"/>
    <cellStyle name="Normal 3 2 12 3 3 4 7" xfId="7290" xr:uid="{31604629-1F15-403E-908B-367422F281AC}"/>
    <cellStyle name="Normal 3 2 12 3 3 4 8" xfId="7291" xr:uid="{2D9629B9-98F4-4627-B805-1575A44BEF5F}"/>
    <cellStyle name="Normal 3 2 12 3 3 5" xfId="7292" xr:uid="{A3742F70-0A21-4DC4-B7AC-85FBF510CC93}"/>
    <cellStyle name="Normal 3 2 12 3 3 6" xfId="7293" xr:uid="{B361C565-6899-4766-B52F-135DAEE74F54}"/>
    <cellStyle name="Normal 3 2 12 3 3 7" xfId="7294" xr:uid="{C901408F-DB35-4901-9710-559B5939228C}"/>
    <cellStyle name="Normal 3 2 12 3 3 8" xfId="7295" xr:uid="{C28CE0FD-C4CE-40A7-BC56-1523E5FD4AEF}"/>
    <cellStyle name="Normal 3 2 12 3 3 9" xfId="7296" xr:uid="{630DA4DF-73B9-43D3-AECB-0F768007B8B1}"/>
    <cellStyle name="Normal 3 2 12 3 4" xfId="7297" xr:uid="{49257D22-BD18-452B-8AD3-84F97B841B67}"/>
    <cellStyle name="Normal 3 2 12 3 5" xfId="7298" xr:uid="{76DDF72A-3C17-4877-B239-922C456A1C31}"/>
    <cellStyle name="Normal 3 2 12 3 6" xfId="7299" xr:uid="{06B33D2B-4753-4FE2-AFF8-4B0C9F517ED0}"/>
    <cellStyle name="Normal 3 2 12 3 7" xfId="7300" xr:uid="{54485CDF-04A6-4ADF-A1A9-63221656CC54}"/>
    <cellStyle name="Normal 3 2 12 3 8" xfId="7301" xr:uid="{D3659BFD-4923-4C66-9364-C2FB4772A8B8}"/>
    <cellStyle name="Normal 3 2 12 3 9" xfId="7302" xr:uid="{B8163925-A05A-495D-AD28-6F3D8A8C4E58}"/>
    <cellStyle name="Normal 3 2 12 4" xfId="7303" xr:uid="{2C9D9BFE-46DB-4ADC-AC8A-4A541D1DFC94}"/>
    <cellStyle name="Normal 3 2 12 5" xfId="7304" xr:uid="{D3473BE5-8CA9-40C4-B16D-2C52A72B0A79}"/>
    <cellStyle name="Normal 3 2 12 6" xfId="7305" xr:uid="{20E6CDB2-1D52-4D02-874C-5984431636E5}"/>
    <cellStyle name="Normal 3 2 12 7" xfId="7306" xr:uid="{4CEB67DF-044F-4B1D-A60F-F9FFF3C8A735}"/>
    <cellStyle name="Normal 3 2 12 7 10" xfId="7307" xr:uid="{269AFF29-EEC4-4906-948A-A186E5271944}"/>
    <cellStyle name="Normal 3 2 12 7 2" xfId="7308" xr:uid="{A128EA73-8E2F-42F1-B0AD-7D8470078A6A}"/>
    <cellStyle name="Normal 3 2 12 7 2 2" xfId="7309" xr:uid="{CC3AE113-1A52-4785-9753-52D9AECD3E5D}"/>
    <cellStyle name="Normal 3 2 12 7 2 2 2" xfId="7310" xr:uid="{CC64511D-254D-4528-AA4D-BCF1BB5E6DE5}"/>
    <cellStyle name="Normal 3 2 12 7 2 2 2 2" xfId="7311" xr:uid="{0C4D0C84-5BCD-4849-9252-57ADE15E0A6E}"/>
    <cellStyle name="Normal 3 2 12 7 2 2 2 3" xfId="7312" xr:uid="{0B8A5439-3B68-48BD-9E9F-822BF5AB0A76}"/>
    <cellStyle name="Normal 3 2 12 7 2 2 2 4" xfId="7313" xr:uid="{8274A259-731E-41EC-85E3-7E0F615F4314}"/>
    <cellStyle name="Normal 3 2 12 7 2 2 2 5" xfId="7314" xr:uid="{8ACFEEF7-891B-4E66-9629-81964BE36095}"/>
    <cellStyle name="Normal 3 2 12 7 2 2 2 6" xfId="7315" xr:uid="{EDB9B343-7086-4E1F-85F3-C34C0606AB6E}"/>
    <cellStyle name="Normal 3 2 12 7 2 2 2 7" xfId="7316" xr:uid="{65AE3E22-8AC5-4E26-8AF4-06481AEDA02B}"/>
    <cellStyle name="Normal 3 2 12 7 2 2 2 8" xfId="7317" xr:uid="{D2E0A984-7048-4D5B-BE8F-F08F6EF90BFE}"/>
    <cellStyle name="Normal 3 2 12 7 2 2 3" xfId="7318" xr:uid="{2E997788-BC49-4678-950A-563BCDD8B2FB}"/>
    <cellStyle name="Normal 3 2 12 7 2 2 4" xfId="7319" xr:uid="{869060CE-691C-4094-BCDB-1360BA5F4464}"/>
    <cellStyle name="Normal 3 2 12 7 2 2 5" xfId="7320" xr:uid="{C98C0A28-DC18-4325-9E54-6CCF03E4A3A0}"/>
    <cellStyle name="Normal 3 2 12 7 2 2 6" xfId="7321" xr:uid="{6FE7EE3A-4A6B-4889-A63F-A65C35A026C9}"/>
    <cellStyle name="Normal 3 2 12 7 2 2 7" xfId="7322" xr:uid="{730BEE13-94BF-441D-9EAE-E7ABDA84B089}"/>
    <cellStyle name="Normal 3 2 12 7 2 2 8" xfId="7323" xr:uid="{277B2230-3718-4D73-AFA7-997C686774BE}"/>
    <cellStyle name="Normal 3 2 12 7 2 3" xfId="7324" xr:uid="{CFF85259-F6DE-42D5-A962-AEF3DB9153AA}"/>
    <cellStyle name="Normal 3 2 12 7 2 4" xfId="7325" xr:uid="{99E6F31D-C002-49F6-BD5A-B1345FB8ACB6}"/>
    <cellStyle name="Normal 3 2 12 7 2 5" xfId="7326" xr:uid="{43B81095-9DC7-47E4-95A8-64C1A1C47531}"/>
    <cellStyle name="Normal 3 2 12 7 2 6" xfId="7327" xr:uid="{D591FFC7-BB07-48D7-AA1E-A31EC101380E}"/>
    <cellStyle name="Normal 3 2 12 7 2 7" xfId="7328" xr:uid="{F9667997-6426-4A26-8491-27D0034249AE}"/>
    <cellStyle name="Normal 3 2 12 7 2 8" xfId="7329" xr:uid="{B268F1F2-0B72-4A0F-A45D-62BDE96766CA}"/>
    <cellStyle name="Normal 3 2 12 7 2 9" xfId="7330" xr:uid="{081C3FAF-7404-49A9-ACF2-2AE00091FC3C}"/>
    <cellStyle name="Normal 3 2 12 7 3" xfId="7331" xr:uid="{A3194623-D9E8-4070-8474-70F6499C31B7}"/>
    <cellStyle name="Normal 3 2 12 7 4" xfId="7332" xr:uid="{7C969DC3-7016-4DBA-9495-D9C2938F19B6}"/>
    <cellStyle name="Normal 3 2 12 7 4 2" xfId="7333" xr:uid="{B7B69BBA-4DB3-4B6C-85D8-5572767842E4}"/>
    <cellStyle name="Normal 3 2 12 7 4 3" xfId="7334" xr:uid="{7FBB6AA2-29BC-474E-8BCB-F3422615701D}"/>
    <cellStyle name="Normal 3 2 12 7 4 4" xfId="7335" xr:uid="{4449340F-2A24-4529-8A78-61F7DA24D757}"/>
    <cellStyle name="Normal 3 2 12 7 4 5" xfId="7336" xr:uid="{650EEB91-281A-4474-AA1B-787C8636D127}"/>
    <cellStyle name="Normal 3 2 12 7 4 6" xfId="7337" xr:uid="{4D93D964-031A-440B-8625-596A7D475689}"/>
    <cellStyle name="Normal 3 2 12 7 4 7" xfId="7338" xr:uid="{A70C9184-800A-4893-9727-06B1A0CD7DD0}"/>
    <cellStyle name="Normal 3 2 12 7 4 8" xfId="7339" xr:uid="{5D973658-7AB8-490F-BE37-0D0AA9592E8C}"/>
    <cellStyle name="Normal 3 2 12 7 5" xfId="7340" xr:uid="{D0F3033A-0FB1-4C5B-8709-F296C46A8F4B}"/>
    <cellStyle name="Normal 3 2 12 7 6" xfId="7341" xr:uid="{93E7F268-8545-4BAB-A15E-0EA8C6B41D0E}"/>
    <cellStyle name="Normal 3 2 12 7 7" xfId="7342" xr:uid="{62283E21-13C4-4CD3-A9E2-F6C92D5EF853}"/>
    <cellStyle name="Normal 3 2 12 7 8" xfId="7343" xr:uid="{190BCE98-EFF2-45BC-9F27-77D9D5C0CF6E}"/>
    <cellStyle name="Normal 3 2 12 7 9" xfId="7344" xr:uid="{30C4F754-BD29-48DB-BA62-7E50A62591CB}"/>
    <cellStyle name="Normal 3 2 12 8" xfId="7345" xr:uid="{5D1B386D-AF76-4466-BF6E-1FA7521432B2}"/>
    <cellStyle name="Normal 3 2 12 9" xfId="7346" xr:uid="{3A20283A-0A06-496C-A0C6-6FC4BA3A19AB}"/>
    <cellStyle name="Normal 3 2 13" xfId="7347" xr:uid="{3233048B-7293-4BC9-A648-7229EF659078}"/>
    <cellStyle name="Normal 3 2 14" xfId="7348" xr:uid="{17D0DFB7-B39C-4053-B416-B2A5F65412D9}"/>
    <cellStyle name="Normal 3 2 15" xfId="7349" xr:uid="{F7CFE61A-4A24-4488-A20C-9B4FA6A5D934}"/>
    <cellStyle name="Normal 3 2 16" xfId="7350" xr:uid="{09486542-7517-47EB-B141-4A0DED3F58DC}"/>
    <cellStyle name="Normal 3 2 17" xfId="7351" xr:uid="{754D60AF-30F5-480D-903B-672E0C51F733}"/>
    <cellStyle name="Normal 3 2 18" xfId="7352" xr:uid="{B076A6D6-763F-4F71-9323-1153EAFF7ED8}"/>
    <cellStyle name="Normal 3 2 19" xfId="7353" xr:uid="{759E382C-039D-4D57-BABA-0D01851DE8A9}"/>
    <cellStyle name="Normal 3 2 2" xfId="7354" xr:uid="{3DDE30B8-5A64-4894-8FE1-54FD4B13881D}"/>
    <cellStyle name="Normal 3 2 2 10" xfId="7355" xr:uid="{548F6D8A-A839-4035-8897-DB78D949B96D}"/>
    <cellStyle name="Normal 3 2 2 11" xfId="7356" xr:uid="{CE1DEEE4-FAEB-49EA-AE14-1E159DAB981C}"/>
    <cellStyle name="Normal 3 2 2 12" xfId="7357" xr:uid="{43F93E1F-D885-4EEE-82A5-4F936D8D3D58}"/>
    <cellStyle name="Normal 3 2 2 13" xfId="7358" xr:uid="{EB097B9B-837D-4611-8B89-190DBAB71EBB}"/>
    <cellStyle name="Normal 3 2 2 14" xfId="7359" xr:uid="{0EBEAB29-D79B-4D8E-89B9-DCB358467841}"/>
    <cellStyle name="Normal 3 2 2 15" xfId="7360" xr:uid="{12E0C373-5E89-48D5-BF5C-444751B409ED}"/>
    <cellStyle name="Normal 3 2 2 16" xfId="7361" xr:uid="{A6CECC5C-3C4B-434C-83AB-E50318E5C50B}"/>
    <cellStyle name="Normal 3 2 2 17" xfId="7362" xr:uid="{EC6498A6-B785-4014-B221-74789AB0F7D7}"/>
    <cellStyle name="Normal 3 2 2 18" xfId="7363" xr:uid="{42C7C8E5-95D2-44CB-B602-4F8131EF0024}"/>
    <cellStyle name="Normal 3 2 2 19" xfId="7364" xr:uid="{9D7B759B-7147-4BF9-966F-EDDA319D2FA3}"/>
    <cellStyle name="Normal 3 2 2 2" xfId="7365" xr:uid="{49D601EE-D6E8-4217-96C7-71E49006E9F1}"/>
    <cellStyle name="Normal 3 2 2 2 10" xfId="7366" xr:uid="{0B8CC5A2-2183-4588-857E-09560A08282C}"/>
    <cellStyle name="Normal 3 2 2 2 11" xfId="7367" xr:uid="{ECA0BBD0-A112-467C-B340-8A1BBD75A679}"/>
    <cellStyle name="Normal 3 2 2 2 12" xfId="7368" xr:uid="{08D5604D-F170-448D-A64C-BB7A0FAC2EDE}"/>
    <cellStyle name="Normal 3 2 2 2 13" xfId="7369" xr:uid="{E1C0ED41-09A4-43C8-B826-0BA0AE2011FF}"/>
    <cellStyle name="Normal 3 2 2 2 14" xfId="7370" xr:uid="{D4753D48-84DB-4F93-B6AF-E1EF8F06F9E7}"/>
    <cellStyle name="Normal 3 2 2 2 15" xfId="7371" xr:uid="{E69E302C-93CD-4329-9A19-8DE6EEA07542}"/>
    <cellStyle name="Normal 3 2 2 2 16" xfId="7372" xr:uid="{29E116FE-9BDE-49E3-B2F0-93B498AB5A2E}"/>
    <cellStyle name="Normal 3 2 2 2 17" xfId="7373" xr:uid="{864E2800-01CB-45CE-BC4D-E61BC57362CC}"/>
    <cellStyle name="Normal 3 2 2 2 18" xfId="7374" xr:uid="{365FC538-8D27-4E2B-A043-9ED8B43E0A21}"/>
    <cellStyle name="Normal 3 2 2 2 19" xfId="7375" xr:uid="{E1227342-3197-4E39-9171-DB47F489F085}"/>
    <cellStyle name="Normal 3 2 2 2 2" xfId="7376" xr:uid="{16552B1B-BF1B-4669-8349-16FD695ADB41}"/>
    <cellStyle name="Normal 3 2 2 2 2 10" xfId="7377" xr:uid="{86F1F136-F5EA-4797-A7B3-70E21C1F8D8E}"/>
    <cellStyle name="Normal 3 2 2 2 2 11" xfId="7378" xr:uid="{3FF2EDB6-2DDC-4B25-8CE8-55A002DDDE2F}"/>
    <cellStyle name="Normal 3 2 2 2 2 12" xfId="7379" xr:uid="{4B9D8942-A433-4888-AE11-382A6D65FD32}"/>
    <cellStyle name="Normal 3 2 2 2 2 13" xfId="7380" xr:uid="{9D78D413-1815-4FEC-AA57-385ED93EB732}"/>
    <cellStyle name="Normal 3 2 2 2 2 14" xfId="7381" xr:uid="{B57DA6B7-2929-4151-AD39-32139C43AE5F}"/>
    <cellStyle name="Normal 3 2 2 2 2 15" xfId="7382" xr:uid="{5ED5AC90-B2AE-4BEC-BBA9-7ABBC69ECA01}"/>
    <cellStyle name="Normal 3 2 2 2 2 15 2" xfId="7383" xr:uid="{9CF58135-3CC1-4DA0-9D66-824930D77FC3}"/>
    <cellStyle name="Normal 3 2 2 2 2 15 2 2" xfId="7384" xr:uid="{23FB7475-B5F4-4682-83C6-42A893CF96AA}"/>
    <cellStyle name="Normal 3 2 2 2 2 15 2 2 2" xfId="7385" xr:uid="{92B62032-0B2C-42F2-9CC9-29583727942D}"/>
    <cellStyle name="Normal 3 2 2 2 2 15 2 2 3" xfId="7386" xr:uid="{825A5CDC-9102-41C3-B323-E652344005A3}"/>
    <cellStyle name="Normal 3 2 2 2 2 15 2 2 4" xfId="7387" xr:uid="{5AE25E76-984B-440F-8FE8-609B951FD3AA}"/>
    <cellStyle name="Normal 3 2 2 2 2 15 2 2 5" xfId="7388" xr:uid="{3DDD8A42-50E7-43E4-9F6B-E2472CF3B029}"/>
    <cellStyle name="Normal 3 2 2 2 2 15 2 2 6" xfId="7389" xr:uid="{13A35633-B422-449C-B009-48A46B8DA838}"/>
    <cellStyle name="Normal 3 2 2 2 2 15 2 2 7" xfId="7390" xr:uid="{DCB5C3F0-09B5-4D51-A468-D52FFF6926E9}"/>
    <cellStyle name="Normal 3 2 2 2 2 15 2 2 8" xfId="7391" xr:uid="{684FC482-6B06-466D-A06D-1DB6799F6B46}"/>
    <cellStyle name="Normal 3 2 2 2 2 15 2 3" xfId="7392" xr:uid="{665FFCE1-DA5B-4DDC-A8A0-DE7FC803BE27}"/>
    <cellStyle name="Normal 3 2 2 2 2 15 2 4" xfId="7393" xr:uid="{BFB41B52-E58C-4268-9CE7-9C17BE9A98D5}"/>
    <cellStyle name="Normal 3 2 2 2 2 15 2 5" xfId="7394" xr:uid="{B5708901-8DD8-4B26-AB7E-7F74717235E3}"/>
    <cellStyle name="Normal 3 2 2 2 2 15 2 6" xfId="7395" xr:uid="{A96D440A-6845-45C8-BC40-C41EF485C20A}"/>
    <cellStyle name="Normal 3 2 2 2 2 15 2 7" xfId="7396" xr:uid="{E2CB6544-7A78-4BA5-A53D-588175F677E5}"/>
    <cellStyle name="Normal 3 2 2 2 2 15 2 8" xfId="7397" xr:uid="{AF9EF9A3-232F-441F-958E-BFF680EC6290}"/>
    <cellStyle name="Normal 3 2 2 2 2 15 3" xfId="7398" xr:uid="{D9107A14-F81F-46A5-90BC-54F9C85588E2}"/>
    <cellStyle name="Normal 3 2 2 2 2 15 4" xfId="7399" xr:uid="{D58920B8-7B74-4330-B50C-975CBA5C4F29}"/>
    <cellStyle name="Normal 3 2 2 2 2 15 5" xfId="7400" xr:uid="{CCE99FDF-AC08-4894-8DAF-E32002517BF4}"/>
    <cellStyle name="Normal 3 2 2 2 2 15 6" xfId="7401" xr:uid="{26272B2B-F778-47DF-88E1-330B0D81FAF0}"/>
    <cellStyle name="Normal 3 2 2 2 2 15 7" xfId="7402" xr:uid="{5A9F9CD5-70F1-43C3-B2AB-98AD8928CF86}"/>
    <cellStyle name="Normal 3 2 2 2 2 15 8" xfId="7403" xr:uid="{6657080E-E026-42B0-9701-6642837576DA}"/>
    <cellStyle name="Normal 3 2 2 2 2 15 9" xfId="7404" xr:uid="{A9967153-4AF2-45BF-BC47-2CB0D5638425}"/>
    <cellStyle name="Normal 3 2 2 2 2 16" xfId="7405" xr:uid="{ED1FD88E-E46D-4B1C-8A38-CAB1E9BA0339}"/>
    <cellStyle name="Normal 3 2 2 2 2 16 2" xfId="7406" xr:uid="{6F05B3D0-76F4-4730-B7E3-52526681BE58}"/>
    <cellStyle name="Normal 3 2 2 2 2 16 3" xfId="7407" xr:uid="{FE297AEE-C4B1-49EF-A695-380ABB8E279A}"/>
    <cellStyle name="Normal 3 2 2 2 2 16 4" xfId="7408" xr:uid="{CFFCF973-D5BB-4FBC-B8AA-B92A9E81DFB3}"/>
    <cellStyle name="Normal 3 2 2 2 2 16 5" xfId="7409" xr:uid="{8E3B87B7-173D-415F-BEF6-9CCDC04C5C85}"/>
    <cellStyle name="Normal 3 2 2 2 2 16 6" xfId="7410" xr:uid="{F324AB57-FF65-44F9-9956-753738410991}"/>
    <cellStyle name="Normal 3 2 2 2 2 16 7" xfId="7411" xr:uid="{FD226664-2690-4552-9CC2-345E93FC3852}"/>
    <cellStyle name="Normal 3 2 2 2 2 16 8" xfId="7412" xr:uid="{F5591290-44A1-4EB3-A752-11F5C9EEA213}"/>
    <cellStyle name="Normal 3 2 2 2 2 17" xfId="7413" xr:uid="{7429D678-5B8D-4BE1-BEE8-686585068066}"/>
    <cellStyle name="Normal 3 2 2 2 2 18" xfId="7414" xr:uid="{8857EA22-9100-44CB-B430-89DC26502CA0}"/>
    <cellStyle name="Normal 3 2 2 2 2 19" xfId="7415" xr:uid="{7E050D5B-80A4-48CB-9025-92F7C07162E8}"/>
    <cellStyle name="Normal 3 2 2 2 2 2" xfId="7416" xr:uid="{592A73D9-2B4B-43FD-858D-8EBA923753FD}"/>
    <cellStyle name="Normal 3 2 2 2 2 2 10" xfId="7417" xr:uid="{7A43B400-44D6-4B0B-8202-86E37C3D236B}"/>
    <cellStyle name="Normal 3 2 2 2 2 2 11" xfId="7418" xr:uid="{429C3801-64A0-4C6E-B95D-FA7635B2A21A}"/>
    <cellStyle name="Normal 3 2 2 2 2 2 12" xfId="7419" xr:uid="{D8B6FA39-7028-4224-BEB6-D7BF3CA54E53}"/>
    <cellStyle name="Normal 3 2 2 2 2 2 13" xfId="7420" xr:uid="{BB41A767-2595-41A4-AD47-1B4FA1A90D89}"/>
    <cellStyle name="Normal 3 2 2 2 2 2 14" xfId="7421" xr:uid="{44DFE2D2-9421-4896-9248-DF1E435731B7}"/>
    <cellStyle name="Normal 3 2 2 2 2 2 15" xfId="7422" xr:uid="{9026489E-D755-40BA-B8DE-E4E9AC2D9C09}"/>
    <cellStyle name="Normal 3 2 2 2 2 2 15 2" xfId="7423" xr:uid="{B6141A7E-B541-40DD-A600-2CD4890E6859}"/>
    <cellStyle name="Normal 3 2 2 2 2 2 15 2 2" xfId="7424" xr:uid="{3C1BE962-773E-4A1A-9A2A-6C83AE1766F8}"/>
    <cellStyle name="Normal 3 2 2 2 2 2 15 2 2 2" xfId="7425" xr:uid="{9DDCD67E-A73D-40B2-AD12-0357A4B59BF1}"/>
    <cellStyle name="Normal 3 2 2 2 2 2 15 2 2 3" xfId="7426" xr:uid="{6393E406-DFFD-4197-BBF2-F518555D02A1}"/>
    <cellStyle name="Normal 3 2 2 2 2 2 15 2 2 4" xfId="7427" xr:uid="{EE482BE2-B9E2-4C89-963E-4BA641C7E734}"/>
    <cellStyle name="Normal 3 2 2 2 2 2 15 2 2 5" xfId="7428" xr:uid="{D3FF9AC6-218C-4433-A7D6-3ACA5E5814EE}"/>
    <cellStyle name="Normal 3 2 2 2 2 2 15 2 2 6" xfId="7429" xr:uid="{A1F31F66-F573-46D9-B3F0-3893B1EB07CC}"/>
    <cellStyle name="Normal 3 2 2 2 2 2 15 2 2 7" xfId="7430" xr:uid="{18F0B03D-11B6-4A53-B456-21372EDB0E1A}"/>
    <cellStyle name="Normal 3 2 2 2 2 2 15 2 2 8" xfId="7431" xr:uid="{70A0B980-0BC3-48B4-BD81-13FD637AF66A}"/>
    <cellStyle name="Normal 3 2 2 2 2 2 15 2 3" xfId="7432" xr:uid="{5AF10C8F-7E7A-40A5-AE84-E4C6907753B4}"/>
    <cellStyle name="Normal 3 2 2 2 2 2 15 2 4" xfId="7433" xr:uid="{03D40BA9-01D5-4572-9E2E-1E23FEE2580E}"/>
    <cellStyle name="Normal 3 2 2 2 2 2 15 2 5" xfId="7434" xr:uid="{EB8FB293-BFA2-4BE1-900B-991D61515763}"/>
    <cellStyle name="Normal 3 2 2 2 2 2 15 2 6" xfId="7435" xr:uid="{A425982C-BBAB-471F-B0B3-A926563979D2}"/>
    <cellStyle name="Normal 3 2 2 2 2 2 15 2 7" xfId="7436" xr:uid="{64F03829-1C65-4E3B-A02E-039D441611A4}"/>
    <cellStyle name="Normal 3 2 2 2 2 2 15 2 8" xfId="7437" xr:uid="{48088A6B-2551-4767-A2B5-40669EB28C5A}"/>
    <cellStyle name="Normal 3 2 2 2 2 2 15 3" xfId="7438" xr:uid="{7AD9A43D-C782-4393-8053-A333EDE26C59}"/>
    <cellStyle name="Normal 3 2 2 2 2 2 15 4" xfId="7439" xr:uid="{D46F7DFD-4BEC-4150-BF2E-7E5EE50018B9}"/>
    <cellStyle name="Normal 3 2 2 2 2 2 15 5" xfId="7440" xr:uid="{0816C06E-EB05-48A3-8639-5F295FB2736E}"/>
    <cellStyle name="Normal 3 2 2 2 2 2 15 6" xfId="7441" xr:uid="{CE804F60-FD64-41BA-BB09-863975602AFB}"/>
    <cellStyle name="Normal 3 2 2 2 2 2 15 7" xfId="7442" xr:uid="{C02F184B-E930-4C93-A8A4-13899C412D6E}"/>
    <cellStyle name="Normal 3 2 2 2 2 2 15 8" xfId="7443" xr:uid="{664D748F-ED03-4756-B052-FB2E601190DB}"/>
    <cellStyle name="Normal 3 2 2 2 2 2 15 9" xfId="7444" xr:uid="{6C868C6B-A398-4C65-8C9F-07C766109053}"/>
    <cellStyle name="Normal 3 2 2 2 2 2 16" xfId="7445" xr:uid="{3D7F3FFF-BDBE-4D52-9AA9-9F8975BF6F25}"/>
    <cellStyle name="Normal 3 2 2 2 2 2 16 2" xfId="7446" xr:uid="{34D303C2-61EC-4133-B4D7-0E6E22A7FA7A}"/>
    <cellStyle name="Normal 3 2 2 2 2 2 16 3" xfId="7447" xr:uid="{95F40E92-B6D6-4FDD-BA71-34235B664D14}"/>
    <cellStyle name="Normal 3 2 2 2 2 2 16 4" xfId="7448" xr:uid="{0A8667C6-2AB8-4DCE-8CCF-35C7C878CD44}"/>
    <cellStyle name="Normal 3 2 2 2 2 2 16 5" xfId="7449" xr:uid="{300836AE-46C8-4B9E-8F08-55A398A20913}"/>
    <cellStyle name="Normal 3 2 2 2 2 2 16 6" xfId="7450" xr:uid="{7E6E6FF6-AE54-4D59-9707-E5A75B98A600}"/>
    <cellStyle name="Normal 3 2 2 2 2 2 16 7" xfId="7451" xr:uid="{E8D7C867-A496-4C26-AD81-B09712BB4893}"/>
    <cellStyle name="Normal 3 2 2 2 2 2 16 8" xfId="7452" xr:uid="{4ADB49DE-E213-4C83-B3A8-00B108337C59}"/>
    <cellStyle name="Normal 3 2 2 2 2 2 17" xfId="7453" xr:uid="{2FCD5796-4B5B-4517-8BD4-41951571CFEA}"/>
    <cellStyle name="Normal 3 2 2 2 2 2 18" xfId="7454" xr:uid="{0A3FFFA2-820A-4267-A564-1C0C301A6C98}"/>
    <cellStyle name="Normal 3 2 2 2 2 2 19" xfId="7455" xr:uid="{C98659F5-8619-4948-B840-7E7F148E2331}"/>
    <cellStyle name="Normal 3 2 2 2 2 2 2" xfId="7456" xr:uid="{CCF328BA-E930-4A7F-9801-D8684576B2FB}"/>
    <cellStyle name="Normal 3 2 2 2 2 2 2 10" xfId="7457" xr:uid="{D45B6C72-0745-4B22-9B55-323DE20EAD24}"/>
    <cellStyle name="Normal 3 2 2 2 2 2 2 10 2" xfId="7458" xr:uid="{6139C2FD-62D6-414E-8139-80E4F9F2D480}"/>
    <cellStyle name="Normal 3 2 2 2 2 2 2 10 2 2" xfId="7459" xr:uid="{1A107657-2C30-4E30-900E-B97C953AC48C}"/>
    <cellStyle name="Normal 3 2 2 2 2 2 2 10 2 2 2" xfId="7460" xr:uid="{6975B82E-BB0E-488D-B679-405E9B209F40}"/>
    <cellStyle name="Normal 3 2 2 2 2 2 2 10 2 2 3" xfId="7461" xr:uid="{BAFF3740-0695-4813-8583-C3B04BC6007D}"/>
    <cellStyle name="Normal 3 2 2 2 2 2 2 10 2 2 4" xfId="7462" xr:uid="{0905D261-7A05-4156-B4AF-B5CF64208F72}"/>
    <cellStyle name="Normal 3 2 2 2 2 2 2 10 2 2 5" xfId="7463" xr:uid="{801FD84F-FA2D-48D9-85C4-AFE58D315122}"/>
    <cellStyle name="Normal 3 2 2 2 2 2 2 10 2 2 6" xfId="7464" xr:uid="{69CB750D-E609-4266-AA15-5656117437C2}"/>
    <cellStyle name="Normal 3 2 2 2 2 2 2 10 2 2 7" xfId="7465" xr:uid="{E4A03845-B60F-4C7A-B553-626D38A4B965}"/>
    <cellStyle name="Normal 3 2 2 2 2 2 2 10 2 2 8" xfId="7466" xr:uid="{5FECBEF0-E5E0-4285-B92B-F54E15B26413}"/>
    <cellStyle name="Normal 3 2 2 2 2 2 2 10 2 3" xfId="7467" xr:uid="{C80CF117-B0BF-4E83-90D2-86E5135E0703}"/>
    <cellStyle name="Normal 3 2 2 2 2 2 2 10 2 4" xfId="7468" xr:uid="{7AA5C433-D6A6-4291-B79A-274E564A37D3}"/>
    <cellStyle name="Normal 3 2 2 2 2 2 2 10 2 5" xfId="7469" xr:uid="{E4492FDB-0AE8-4BFA-BED6-13347E3B29A4}"/>
    <cellStyle name="Normal 3 2 2 2 2 2 2 10 2 6" xfId="7470" xr:uid="{75A3C988-6ECA-4A4A-AF9C-804644DBA3E1}"/>
    <cellStyle name="Normal 3 2 2 2 2 2 2 10 2 7" xfId="7471" xr:uid="{E4ED026F-A4FB-4D57-AAF2-5E134EACC6BE}"/>
    <cellStyle name="Normal 3 2 2 2 2 2 2 10 2 8" xfId="7472" xr:uid="{3F1BE77A-416A-4585-B041-2F9A7C701C10}"/>
    <cellStyle name="Normal 3 2 2 2 2 2 2 10 3" xfId="7473" xr:uid="{FD8D9537-E2FF-4B62-9FA8-3550C9777B4A}"/>
    <cellStyle name="Normal 3 2 2 2 2 2 2 10 4" xfId="7474" xr:uid="{CD01F0DB-3DE9-40BA-9495-7BDA2C309208}"/>
    <cellStyle name="Normal 3 2 2 2 2 2 2 10 5" xfId="7475" xr:uid="{EE367375-0365-4623-8A3B-790B6D3B2376}"/>
    <cellStyle name="Normal 3 2 2 2 2 2 2 10 6" xfId="7476" xr:uid="{60CE0404-018F-4ABA-90E5-2956D4A05B8A}"/>
    <cellStyle name="Normal 3 2 2 2 2 2 2 10 7" xfId="7477" xr:uid="{9FFA43F2-99A5-4AA5-9F5E-3F952731D269}"/>
    <cellStyle name="Normal 3 2 2 2 2 2 2 10 8" xfId="7478" xr:uid="{72C9AF2F-CA2E-42FC-ACA0-A7199AB71CDE}"/>
    <cellStyle name="Normal 3 2 2 2 2 2 2 10 9" xfId="7479" xr:uid="{1F1B4349-7660-4BF8-AE63-7ADB1E2BB598}"/>
    <cellStyle name="Normal 3 2 2 2 2 2 2 11" xfId="7480" xr:uid="{212A7287-7299-4E68-B54A-51E08E6D2DCD}"/>
    <cellStyle name="Normal 3 2 2 2 2 2 2 11 2" xfId="7481" xr:uid="{D1F8C429-E854-4B5B-9294-E5ACD24E8CAB}"/>
    <cellStyle name="Normal 3 2 2 2 2 2 2 11 3" xfId="7482" xr:uid="{726DE278-1615-4662-B196-6F9C80ED7D65}"/>
    <cellStyle name="Normal 3 2 2 2 2 2 2 11 4" xfId="7483" xr:uid="{74FC4414-EEB5-42D0-9A4D-6386D9878BDF}"/>
    <cellStyle name="Normal 3 2 2 2 2 2 2 11 5" xfId="7484" xr:uid="{E0B50FAC-320A-4D14-9B9C-C55411B2EBC4}"/>
    <cellStyle name="Normal 3 2 2 2 2 2 2 11 6" xfId="7485" xr:uid="{504E2C29-9287-4BB1-B48E-64FD91ED8BAF}"/>
    <cellStyle name="Normal 3 2 2 2 2 2 2 11 7" xfId="7486" xr:uid="{2130D663-AD9E-442C-B769-0B85FB46C3A4}"/>
    <cellStyle name="Normal 3 2 2 2 2 2 2 11 8" xfId="7487" xr:uid="{1ACF00FA-1839-4D23-B48A-600CF00ED5EE}"/>
    <cellStyle name="Normal 3 2 2 2 2 2 2 12" xfId="7488" xr:uid="{38EF0ADE-3476-4CAD-80DC-94A478814B7B}"/>
    <cellStyle name="Normal 3 2 2 2 2 2 2 13" xfId="7489" xr:uid="{8E57121F-3273-4C34-9E78-78C715AAA6AA}"/>
    <cellStyle name="Normal 3 2 2 2 2 2 2 14" xfId="7490" xr:uid="{2733BBD2-4C05-453E-B045-29C6BD2F2CE1}"/>
    <cellStyle name="Normal 3 2 2 2 2 2 2 15" xfId="7491" xr:uid="{7944ED6C-806E-4993-BB57-03345ED33A02}"/>
    <cellStyle name="Normal 3 2 2 2 2 2 2 16" xfId="7492" xr:uid="{A1F07AF2-C103-4A51-9B93-475FE8F48D57}"/>
    <cellStyle name="Normal 3 2 2 2 2 2 2 17" xfId="7493" xr:uid="{45F77E5F-9BE0-4B5D-B76C-E849BCF1481B}"/>
    <cellStyle name="Normal 3 2 2 2 2 2 2 2" xfId="7494" xr:uid="{B27AFD4E-C92E-43A4-A22F-222CCAE86137}"/>
    <cellStyle name="Normal 3 2 2 2 2 2 2 2 10" xfId="7495" xr:uid="{D847A0B8-6743-4CA5-BCAC-8EF9303B8617}"/>
    <cellStyle name="Normal 3 2 2 2 2 2 2 2 10 2" xfId="7496" xr:uid="{A74564D2-E109-4BDF-96D0-A0E971B4735F}"/>
    <cellStyle name="Normal 3 2 2 2 2 2 2 2 10 2 2" xfId="7497" xr:uid="{64FF55E9-AB46-4693-904D-26E495E96018}"/>
    <cellStyle name="Normal 3 2 2 2 2 2 2 2 10 2 2 2" xfId="7498" xr:uid="{9360ADFF-BEB2-4393-9734-0999B42E7A5F}"/>
    <cellStyle name="Normal 3 2 2 2 2 2 2 2 10 2 2 3" xfId="7499" xr:uid="{4A71043D-CBE6-4CA4-AEF2-D4FFB2D5EB1F}"/>
    <cellStyle name="Normal 3 2 2 2 2 2 2 2 10 2 2 4" xfId="7500" xr:uid="{33E1CD6C-9E12-411E-B8BF-F535A8285B74}"/>
    <cellStyle name="Normal 3 2 2 2 2 2 2 2 10 2 2 5" xfId="7501" xr:uid="{D6D21AE8-EF31-4564-94BF-4F2EBDEC8C67}"/>
    <cellStyle name="Normal 3 2 2 2 2 2 2 2 10 2 2 6" xfId="7502" xr:uid="{B0B27B3F-6195-4C68-B7E3-D688C714B17E}"/>
    <cellStyle name="Normal 3 2 2 2 2 2 2 2 10 2 2 7" xfId="7503" xr:uid="{EEDA5F4A-D07B-4607-BB52-8EED29189D45}"/>
    <cellStyle name="Normal 3 2 2 2 2 2 2 2 10 2 2 8" xfId="7504" xr:uid="{E69DD654-6E14-4717-A92F-04BFF23060AD}"/>
    <cellStyle name="Normal 3 2 2 2 2 2 2 2 10 2 3" xfId="7505" xr:uid="{650763C5-13E1-4AC3-A700-3B5CA09E91EC}"/>
    <cellStyle name="Normal 3 2 2 2 2 2 2 2 10 2 4" xfId="7506" xr:uid="{A1E8E4AC-18C1-4368-970B-75A174512B89}"/>
    <cellStyle name="Normal 3 2 2 2 2 2 2 2 10 2 5" xfId="7507" xr:uid="{930DA6A1-A243-403B-8E3F-012917EBCC73}"/>
    <cellStyle name="Normal 3 2 2 2 2 2 2 2 10 2 6" xfId="7508" xr:uid="{40BDFF23-071E-4AE8-80CF-C7FD8AB0F045}"/>
    <cellStyle name="Normal 3 2 2 2 2 2 2 2 10 2 7" xfId="7509" xr:uid="{34AF9888-4FDD-404E-8B6D-A80F1B31EF7C}"/>
    <cellStyle name="Normal 3 2 2 2 2 2 2 2 10 2 8" xfId="7510" xr:uid="{3270A558-F4E2-4C9A-89D9-1FC4D69833B7}"/>
    <cellStyle name="Normal 3 2 2 2 2 2 2 2 10 3" xfId="7511" xr:uid="{5A72E9CC-14CE-4BDE-9CD1-86995C168A2F}"/>
    <cellStyle name="Normal 3 2 2 2 2 2 2 2 10 4" xfId="7512" xr:uid="{1685228B-37F3-48F1-BA48-C31A46386777}"/>
    <cellStyle name="Normal 3 2 2 2 2 2 2 2 10 5" xfId="7513" xr:uid="{581728C0-E763-48B7-9C0C-77BC59AE938A}"/>
    <cellStyle name="Normal 3 2 2 2 2 2 2 2 10 6" xfId="7514" xr:uid="{BE58088A-A979-484E-8709-541A845F2369}"/>
    <cellStyle name="Normal 3 2 2 2 2 2 2 2 10 7" xfId="7515" xr:uid="{61FCC763-B017-4211-BB73-A1B9D210C17F}"/>
    <cellStyle name="Normal 3 2 2 2 2 2 2 2 10 8" xfId="7516" xr:uid="{50DF1EE8-AB23-4803-A10B-D702C9DCA332}"/>
    <cellStyle name="Normal 3 2 2 2 2 2 2 2 10 9" xfId="7517" xr:uid="{B4B22885-4FF7-40FF-BF2E-4AE7820DBE19}"/>
    <cellStyle name="Normal 3 2 2 2 2 2 2 2 11" xfId="7518" xr:uid="{1FE01915-01CD-4350-8EEC-E83EED487912}"/>
    <cellStyle name="Normal 3 2 2 2 2 2 2 2 11 2" xfId="7519" xr:uid="{1D65AF1E-D6CB-422E-B468-A8AF7586EE7C}"/>
    <cellStyle name="Normal 3 2 2 2 2 2 2 2 11 3" xfId="7520" xr:uid="{B5181452-6B9F-4BD3-BE44-39B621C3FEE4}"/>
    <cellStyle name="Normal 3 2 2 2 2 2 2 2 11 4" xfId="7521" xr:uid="{8F753E27-DCC9-46B3-B073-F78DEC268797}"/>
    <cellStyle name="Normal 3 2 2 2 2 2 2 2 11 5" xfId="7522" xr:uid="{D7FEDDED-DB39-4859-9F73-8078AAA16C05}"/>
    <cellStyle name="Normal 3 2 2 2 2 2 2 2 11 6" xfId="7523" xr:uid="{30986207-7AFB-4A84-9792-A9224016F5E3}"/>
    <cellStyle name="Normal 3 2 2 2 2 2 2 2 11 7" xfId="7524" xr:uid="{F248EBCA-8037-4F43-96A3-8007448C18D0}"/>
    <cellStyle name="Normal 3 2 2 2 2 2 2 2 11 8" xfId="7525" xr:uid="{29D3CEAF-FD57-4EE8-91FA-FE270FD07B76}"/>
    <cellStyle name="Normal 3 2 2 2 2 2 2 2 12" xfId="7526" xr:uid="{BAB61843-FD87-4303-802E-3DA8355E9FE1}"/>
    <cellStyle name="Normal 3 2 2 2 2 2 2 2 13" xfId="7527" xr:uid="{D8057670-00C9-447B-99F3-768F3CCDA785}"/>
    <cellStyle name="Normal 3 2 2 2 2 2 2 2 14" xfId="7528" xr:uid="{81B55398-9553-45E1-9141-01A291914440}"/>
    <cellStyle name="Normal 3 2 2 2 2 2 2 2 15" xfId="7529" xr:uid="{AF31A240-28B7-49F5-8696-A4038BC35705}"/>
    <cellStyle name="Normal 3 2 2 2 2 2 2 2 16" xfId="7530" xr:uid="{86A797E0-8C7F-4009-AB47-046ECC39077A}"/>
    <cellStyle name="Normal 3 2 2 2 2 2 2 2 17" xfId="7531" xr:uid="{EE34E05F-7E6F-46B8-8329-68DE998F3801}"/>
    <cellStyle name="Normal 3 2 2 2 2 2 2 2 2" xfId="7532" xr:uid="{1BCB9842-DA71-4B60-90C8-6D7C52BC1247}"/>
    <cellStyle name="Normal 3 2 2 2 2 2 2 2 2 10" xfId="7533" xr:uid="{8C5C1751-4F96-4359-B75A-530D3505F99F}"/>
    <cellStyle name="Normal 3 2 2 2 2 2 2 2 2 2" xfId="7534" xr:uid="{E1B18C23-ADA1-4901-8126-7DF7C797DA62}"/>
    <cellStyle name="Normal 3 2 2 2 2 2 2 2 2 2 2" xfId="7535" xr:uid="{FBD7A9BA-C9B9-4D6A-8F64-87BA1BFCB2C2}"/>
    <cellStyle name="Normal 3 2 2 2 2 2 2 2 2 2 2 2" xfId="7536" xr:uid="{372CAE06-CACF-400B-A24B-CB6EFFBE07B0}"/>
    <cellStyle name="Normal 3 2 2 2 2 2 2 2 2 2 2 2 2" xfId="7537" xr:uid="{2B75ABB0-EF02-4A2C-9B07-E0A8475173BB}"/>
    <cellStyle name="Normal 3 2 2 2 2 2 2 2 2 2 2 2 3" xfId="7538" xr:uid="{4F357668-93DF-4EE6-B42F-994319A4A0BC}"/>
    <cellStyle name="Normal 3 2 2 2 2 2 2 2 2 2 2 2 4" xfId="7539" xr:uid="{233D41E6-ED8F-46A4-AB19-BD7F143671F2}"/>
    <cellStyle name="Normal 3 2 2 2 2 2 2 2 2 2 2 2 5" xfId="7540" xr:uid="{289E5361-8A41-4C64-8E15-DB55E04D6145}"/>
    <cellStyle name="Normal 3 2 2 2 2 2 2 2 2 2 2 2 6" xfId="7541" xr:uid="{96D66665-0F52-4BCA-9F0C-2E7622FA1BB6}"/>
    <cellStyle name="Normal 3 2 2 2 2 2 2 2 2 2 2 2 7" xfId="7542" xr:uid="{71644159-8325-4B5D-B4B4-C4C03E8CFE76}"/>
    <cellStyle name="Normal 3 2 2 2 2 2 2 2 2 2 2 2 8" xfId="7543" xr:uid="{ECA64619-33EA-4541-AECD-4BC1BC4EF19E}"/>
    <cellStyle name="Normal 3 2 2 2 2 2 2 2 2 2 2 3" xfId="7544" xr:uid="{53FCB2BC-EB32-4386-97C8-B02E1CFA31DA}"/>
    <cellStyle name="Normal 3 2 2 2 2 2 2 2 2 2 2 4" xfId="7545" xr:uid="{4BA795F6-FFB0-443C-A12C-D121E2794205}"/>
    <cellStyle name="Normal 3 2 2 2 2 2 2 2 2 2 2 5" xfId="7546" xr:uid="{C622FED9-93C6-4532-9B69-E78B63054207}"/>
    <cellStyle name="Normal 3 2 2 2 2 2 2 2 2 2 2 6" xfId="7547" xr:uid="{6856A9CC-D697-4BA8-AE9D-10CCE5DDCC2C}"/>
    <cellStyle name="Normal 3 2 2 2 2 2 2 2 2 2 2 7" xfId="7548" xr:uid="{7D7F9600-493D-42B1-976D-E86FC85EB554}"/>
    <cellStyle name="Normal 3 2 2 2 2 2 2 2 2 2 2 8" xfId="7549" xr:uid="{1E5BFA48-EC73-4CB5-BB89-366C71408886}"/>
    <cellStyle name="Normal 3 2 2 2 2 2 2 2 2 2 3" xfId="7550" xr:uid="{2293D9E0-AD4B-4C88-B0FF-62F4C4247B43}"/>
    <cellStyle name="Normal 3 2 2 2 2 2 2 2 2 2 4" xfId="7551" xr:uid="{AAF22513-2ADE-4223-91B0-52FABEAD7D52}"/>
    <cellStyle name="Normal 3 2 2 2 2 2 2 2 2 2 5" xfId="7552" xr:uid="{DC73C6EB-F4DE-44AB-B4C8-8BDBE4FEC8C4}"/>
    <cellStyle name="Normal 3 2 2 2 2 2 2 2 2 2 6" xfId="7553" xr:uid="{8507DA30-99DB-4487-9F60-A3C381ADEBB9}"/>
    <cellStyle name="Normal 3 2 2 2 2 2 2 2 2 2 7" xfId="7554" xr:uid="{CB2E6978-4C1C-4EF9-A6AC-F17398A48EEE}"/>
    <cellStyle name="Normal 3 2 2 2 2 2 2 2 2 2 8" xfId="7555" xr:uid="{B33C922E-A82C-4E6D-B82A-BDB1E3EF5414}"/>
    <cellStyle name="Normal 3 2 2 2 2 2 2 2 2 2 9" xfId="7556" xr:uid="{E283D506-7DC7-4D12-9D16-71EE7F2675D5}"/>
    <cellStyle name="Normal 3 2 2 2 2 2 2 2 2 3" xfId="7557" xr:uid="{97BC1EBF-5632-4E0B-9580-6D1303753D68}"/>
    <cellStyle name="Normal 3 2 2 2 2 2 2 2 2 4" xfId="7558" xr:uid="{D05A1E7E-8B91-406A-B923-972DF2BE90B1}"/>
    <cellStyle name="Normal 3 2 2 2 2 2 2 2 2 4 2" xfId="7559" xr:uid="{4E410450-85FB-48CD-8629-A0D8AE1BD7FE}"/>
    <cellStyle name="Normal 3 2 2 2 2 2 2 2 2 4 3" xfId="7560" xr:uid="{91EB9A15-B56E-4CE5-A677-D538BA56BF9F}"/>
    <cellStyle name="Normal 3 2 2 2 2 2 2 2 2 4 4" xfId="7561" xr:uid="{F3A500B9-1B0C-4F66-95FD-7BDC0EC9A6A3}"/>
    <cellStyle name="Normal 3 2 2 2 2 2 2 2 2 4 5" xfId="7562" xr:uid="{FA8DE816-4B11-4F18-84AB-B9D57A93A07B}"/>
    <cellStyle name="Normal 3 2 2 2 2 2 2 2 2 4 6" xfId="7563" xr:uid="{23A3A6D2-0726-4342-B862-14D56680DC78}"/>
    <cellStyle name="Normal 3 2 2 2 2 2 2 2 2 4 7" xfId="7564" xr:uid="{7FA63659-6FBC-49F0-A86F-B516FCD9F21A}"/>
    <cellStyle name="Normal 3 2 2 2 2 2 2 2 2 4 8" xfId="7565" xr:uid="{BF7B77DA-580F-4D1F-81F4-2A09DE62491B}"/>
    <cellStyle name="Normal 3 2 2 2 2 2 2 2 2 5" xfId="7566" xr:uid="{169BC8C8-02F0-434D-837C-8B1CA3F15808}"/>
    <cellStyle name="Normal 3 2 2 2 2 2 2 2 2 6" xfId="7567" xr:uid="{B33779B6-5FED-49D5-B1CB-3D18430B25A3}"/>
    <cellStyle name="Normal 3 2 2 2 2 2 2 2 2 7" xfId="7568" xr:uid="{48DA5231-A253-422E-AE17-9D6FA65E2E63}"/>
    <cellStyle name="Normal 3 2 2 2 2 2 2 2 2 8" xfId="7569" xr:uid="{3047304D-6D89-4D5E-86B2-3B92A06B08F7}"/>
    <cellStyle name="Normal 3 2 2 2 2 2 2 2 2 9" xfId="7570" xr:uid="{611FD548-1ABD-45A7-AEDD-A55F80EE10B9}"/>
    <cellStyle name="Normal 3 2 2 2 2 2 2 2 3" xfId="7571" xr:uid="{61236892-8ABD-4D84-A9B9-94867C39D611}"/>
    <cellStyle name="Normal 3 2 2 2 2 2 2 2 4" xfId="7572" xr:uid="{124673ED-4A17-41B6-870E-6CED1DE40F56}"/>
    <cellStyle name="Normal 3 2 2 2 2 2 2 2 5" xfId="7573" xr:uid="{449A9E8C-747B-48DB-B274-9429AD69B2E5}"/>
    <cellStyle name="Normal 3 2 2 2 2 2 2 2 6" xfId="7574" xr:uid="{7A8DC114-E95C-4712-8885-DF2AB958892C}"/>
    <cellStyle name="Normal 3 2 2 2 2 2 2 2 7" xfId="7575" xr:uid="{4021590D-216B-409C-956A-860AD1F6A97F}"/>
    <cellStyle name="Normal 3 2 2 2 2 2 2 2 8" xfId="7576" xr:uid="{376393FE-1C2B-4ABC-A1AE-960D86445BFE}"/>
    <cellStyle name="Normal 3 2 2 2 2 2 2 2 9" xfId="7577" xr:uid="{F77D98C6-7AB8-4920-8AA4-30A135443251}"/>
    <cellStyle name="Normal 3 2 2 2 2 2 2 3" xfId="7578" xr:uid="{4E5EA964-8136-4A81-AA09-9C2A0A26E67E}"/>
    <cellStyle name="Normal 3 2 2 2 2 2 2 3 10" xfId="7579" xr:uid="{C703B5CB-40A6-4765-BCEF-231D5DE1F175}"/>
    <cellStyle name="Normal 3 2 2 2 2 2 2 3 2" xfId="7580" xr:uid="{5494060B-8DBE-4E0A-BEBD-7253C120252E}"/>
    <cellStyle name="Normal 3 2 2 2 2 2 2 3 2 2" xfId="7581" xr:uid="{09165606-D5AB-4347-97E8-B8BF5DFED8E7}"/>
    <cellStyle name="Normal 3 2 2 2 2 2 2 3 2 2 2" xfId="7582" xr:uid="{509647E1-5E12-45DB-9E47-0841E9C2A1A5}"/>
    <cellStyle name="Normal 3 2 2 2 2 2 2 3 2 2 2 2" xfId="7583" xr:uid="{22B2A54E-B4DC-47B6-8139-BB0E86AD2D63}"/>
    <cellStyle name="Normal 3 2 2 2 2 2 2 3 2 2 2 3" xfId="7584" xr:uid="{3036B35C-574F-455D-A7D1-66F62CCC8257}"/>
    <cellStyle name="Normal 3 2 2 2 2 2 2 3 2 2 2 4" xfId="7585" xr:uid="{727AA7D9-77A6-4B97-AA01-D5DD76AF10C5}"/>
    <cellStyle name="Normal 3 2 2 2 2 2 2 3 2 2 2 5" xfId="7586" xr:uid="{A3F179A9-3FC4-4CF8-8877-F31D09D70634}"/>
    <cellStyle name="Normal 3 2 2 2 2 2 2 3 2 2 2 6" xfId="7587" xr:uid="{24033755-A676-4BE9-AF95-7EA2A68DD4E5}"/>
    <cellStyle name="Normal 3 2 2 2 2 2 2 3 2 2 2 7" xfId="7588" xr:uid="{BEB16386-712F-4AC4-A3D7-ECB1EB06A942}"/>
    <cellStyle name="Normal 3 2 2 2 2 2 2 3 2 2 2 8" xfId="7589" xr:uid="{CA866205-E560-44EB-BB39-09C8D2BE82DF}"/>
    <cellStyle name="Normal 3 2 2 2 2 2 2 3 2 2 3" xfId="7590" xr:uid="{45F87624-E530-4C87-9B5C-809F1E533F87}"/>
    <cellStyle name="Normal 3 2 2 2 2 2 2 3 2 2 4" xfId="7591" xr:uid="{C33EB276-36B3-4934-A2E5-8D117BA0423B}"/>
    <cellStyle name="Normal 3 2 2 2 2 2 2 3 2 2 5" xfId="7592" xr:uid="{EEA4303A-AF99-4F10-ABBF-A769061B8969}"/>
    <cellStyle name="Normal 3 2 2 2 2 2 2 3 2 2 6" xfId="7593" xr:uid="{10042CA6-39E2-4064-B4E8-A96A26BF1572}"/>
    <cellStyle name="Normal 3 2 2 2 2 2 2 3 2 2 7" xfId="7594" xr:uid="{7FB4C400-4CC8-41C1-B027-E296CC8BB652}"/>
    <cellStyle name="Normal 3 2 2 2 2 2 2 3 2 2 8" xfId="7595" xr:uid="{4AA1208E-DA04-4D31-88EF-F65211AB4808}"/>
    <cellStyle name="Normal 3 2 2 2 2 2 2 3 2 3" xfId="7596" xr:uid="{E5EB1BCC-323F-45B6-944C-7876818E66C8}"/>
    <cellStyle name="Normal 3 2 2 2 2 2 2 3 2 4" xfId="7597" xr:uid="{ADEE5233-BF29-4569-B2B1-A55580400F8F}"/>
    <cellStyle name="Normal 3 2 2 2 2 2 2 3 2 5" xfId="7598" xr:uid="{23561C67-50F9-4094-BBFB-39248FF34C52}"/>
    <cellStyle name="Normal 3 2 2 2 2 2 2 3 2 6" xfId="7599" xr:uid="{CB4AE1FE-A978-4BA6-A818-47AC42717C41}"/>
    <cellStyle name="Normal 3 2 2 2 2 2 2 3 2 7" xfId="7600" xr:uid="{AFD9F0F9-9208-4880-916C-CD478D29EE82}"/>
    <cellStyle name="Normal 3 2 2 2 2 2 2 3 2 8" xfId="7601" xr:uid="{60FE6369-1326-4681-A39F-D16A65DDAB48}"/>
    <cellStyle name="Normal 3 2 2 2 2 2 2 3 2 9" xfId="7602" xr:uid="{2F261995-DD56-4F63-9A4D-BDD872AD7E0F}"/>
    <cellStyle name="Normal 3 2 2 2 2 2 2 3 3" xfId="7603" xr:uid="{24A9AF39-C37A-4BBD-9D59-BE96977BA235}"/>
    <cellStyle name="Normal 3 2 2 2 2 2 2 3 4" xfId="7604" xr:uid="{859B20B0-498F-4DC1-A715-4484A08F6D81}"/>
    <cellStyle name="Normal 3 2 2 2 2 2 2 3 4 2" xfId="7605" xr:uid="{28A15CCD-EB2D-4E85-88B4-81F42F278436}"/>
    <cellStyle name="Normal 3 2 2 2 2 2 2 3 4 3" xfId="7606" xr:uid="{C5AC9351-2810-4FE9-94AF-7B1EA5479AE0}"/>
    <cellStyle name="Normal 3 2 2 2 2 2 2 3 4 4" xfId="7607" xr:uid="{A28F61F9-B6FA-4E06-9435-94DC490BEF30}"/>
    <cellStyle name="Normal 3 2 2 2 2 2 2 3 4 5" xfId="7608" xr:uid="{10008824-89A6-48A7-A1AB-66A7F770FC72}"/>
    <cellStyle name="Normal 3 2 2 2 2 2 2 3 4 6" xfId="7609" xr:uid="{86A5CD46-22D3-4015-9D30-B230A939852A}"/>
    <cellStyle name="Normal 3 2 2 2 2 2 2 3 4 7" xfId="7610" xr:uid="{283AF5AD-7F54-4303-8240-8E8A217FD070}"/>
    <cellStyle name="Normal 3 2 2 2 2 2 2 3 4 8" xfId="7611" xr:uid="{4629B3C2-F29A-4F41-B1D4-3A0BC6F8141F}"/>
    <cellStyle name="Normal 3 2 2 2 2 2 2 3 5" xfId="7612" xr:uid="{25866260-C4C2-438F-BB00-28ED431FCDB8}"/>
    <cellStyle name="Normal 3 2 2 2 2 2 2 3 6" xfId="7613" xr:uid="{94B42D3A-1794-459F-AB0B-8E029DBBB724}"/>
    <cellStyle name="Normal 3 2 2 2 2 2 2 3 7" xfId="7614" xr:uid="{5C14BF9B-15EE-4174-8BE9-6134244821DE}"/>
    <cellStyle name="Normal 3 2 2 2 2 2 2 3 8" xfId="7615" xr:uid="{51D610EB-D67F-4A8D-AF53-8707FA5B194F}"/>
    <cellStyle name="Normal 3 2 2 2 2 2 2 3 9" xfId="7616" xr:uid="{20F950AB-B62D-408D-A0FD-5EAEA308C14D}"/>
    <cellStyle name="Normal 3 2 2 2 2 2 2 4" xfId="7617" xr:uid="{E76ED626-BD19-4C41-9659-CADC698692EE}"/>
    <cellStyle name="Normal 3 2 2 2 2 2 2 5" xfId="7618" xr:uid="{4EA90F72-9C2E-4489-AA7A-5B33A20AC53E}"/>
    <cellStyle name="Normal 3 2 2 2 2 2 2 6" xfId="7619" xr:uid="{9A28E4EE-4C5B-4910-BCA7-32CF4F044057}"/>
    <cellStyle name="Normal 3 2 2 2 2 2 2 7" xfId="7620" xr:uid="{E20B1342-4793-45EE-B687-AEFE8DE797A4}"/>
    <cellStyle name="Normal 3 2 2 2 2 2 2 8" xfId="7621" xr:uid="{A17B5C99-9C08-44BB-9306-EA42122EE757}"/>
    <cellStyle name="Normal 3 2 2 2 2 2 2 9" xfId="7622" xr:uid="{D01888D7-3A59-44F5-87C6-0DBA3322169F}"/>
    <cellStyle name="Normal 3 2 2 2 2 2 20" xfId="7623" xr:uid="{3F66A337-E2AF-4547-8F7B-11D7C238001D}"/>
    <cellStyle name="Normal 3 2 2 2 2 2 21" xfId="7624" xr:uid="{53B0D70E-8357-4EFF-9A35-F3CDDA14F4F1}"/>
    <cellStyle name="Normal 3 2 2 2 2 2 22" xfId="7625" xr:uid="{E9B2EBD3-CD15-4E44-A7E7-349E1AF1D4F2}"/>
    <cellStyle name="Normal 3 2 2 2 2 2 3" xfId="7626" xr:uid="{852CA741-5FB4-423B-9C86-3025BBCC28D8}"/>
    <cellStyle name="Normal 3 2 2 2 2 2 4" xfId="7627" xr:uid="{8EE86A28-DEAE-4E95-AB4C-FEB779D14DA3}"/>
    <cellStyle name="Normal 3 2 2 2 2 2 5" xfId="7628" xr:uid="{E7ABEF37-E435-4B11-9BAB-B9817FD1A6ED}"/>
    <cellStyle name="Normal 3 2 2 2 2 2 6" xfId="7629" xr:uid="{5460D806-D3C0-42C9-885D-2FE1E2055706}"/>
    <cellStyle name="Normal 3 2 2 2 2 2 7" xfId="7630" xr:uid="{E4E87E43-C118-40E3-885E-542233248949}"/>
    <cellStyle name="Normal 3 2 2 2 2 2 7 10" xfId="7631" xr:uid="{C8559F46-4528-4F75-85C9-28B65ABA614C}"/>
    <cellStyle name="Normal 3 2 2 2 2 2 7 2" xfId="7632" xr:uid="{041FED88-4B98-4D49-8DE9-534BC6FBF065}"/>
    <cellStyle name="Normal 3 2 2 2 2 2 7 2 2" xfId="7633" xr:uid="{86FF7006-D23A-47D7-AA5E-F6178B8A1744}"/>
    <cellStyle name="Normal 3 2 2 2 2 2 7 2 2 2" xfId="7634" xr:uid="{84076E19-3B0F-4F03-BBF4-89544BD206F6}"/>
    <cellStyle name="Normal 3 2 2 2 2 2 7 2 2 2 2" xfId="7635" xr:uid="{8AC4A4E3-272D-437C-B847-B2D327DD0EC3}"/>
    <cellStyle name="Normal 3 2 2 2 2 2 7 2 2 2 3" xfId="7636" xr:uid="{F174A2CD-6B6E-43A7-9DB2-067D0F8CB646}"/>
    <cellStyle name="Normal 3 2 2 2 2 2 7 2 2 2 4" xfId="7637" xr:uid="{6CA0F4F8-8D56-49FE-BC27-61D3507A9E0E}"/>
    <cellStyle name="Normal 3 2 2 2 2 2 7 2 2 2 5" xfId="7638" xr:uid="{745801FB-F737-4BD0-8094-B637B4965311}"/>
    <cellStyle name="Normal 3 2 2 2 2 2 7 2 2 2 6" xfId="7639" xr:uid="{D84A9880-46C5-4D3B-9C33-E7C110B7C7B5}"/>
    <cellStyle name="Normal 3 2 2 2 2 2 7 2 2 2 7" xfId="7640" xr:uid="{3F309433-25D0-4755-A68F-652F40E32A7E}"/>
    <cellStyle name="Normal 3 2 2 2 2 2 7 2 2 2 8" xfId="7641" xr:uid="{3B3D3E63-CDDB-49D0-A5E1-B45E3AD5C9BF}"/>
    <cellStyle name="Normal 3 2 2 2 2 2 7 2 2 3" xfId="7642" xr:uid="{4CA712D9-C066-4ED2-A292-0196E26B5DE0}"/>
    <cellStyle name="Normal 3 2 2 2 2 2 7 2 2 4" xfId="7643" xr:uid="{667E10E1-DC59-4B3B-851F-4C60339228C2}"/>
    <cellStyle name="Normal 3 2 2 2 2 2 7 2 2 5" xfId="7644" xr:uid="{FBB97EB9-3128-4FF6-BDEB-99E065F1CFF7}"/>
    <cellStyle name="Normal 3 2 2 2 2 2 7 2 2 6" xfId="7645" xr:uid="{23E279DF-554E-4876-AEB7-6C25D9765188}"/>
    <cellStyle name="Normal 3 2 2 2 2 2 7 2 2 7" xfId="7646" xr:uid="{BC8A495B-C7F8-447D-BDEB-2108159B305C}"/>
    <cellStyle name="Normal 3 2 2 2 2 2 7 2 2 8" xfId="7647" xr:uid="{B59D9821-4D21-466D-B6E3-9FACB60C5085}"/>
    <cellStyle name="Normal 3 2 2 2 2 2 7 2 3" xfId="7648" xr:uid="{2F1F0AAD-308C-4EF3-946F-8AC98FE2DF3D}"/>
    <cellStyle name="Normal 3 2 2 2 2 2 7 2 4" xfId="7649" xr:uid="{89323709-C73C-4DD1-956A-87C644C0DA37}"/>
    <cellStyle name="Normal 3 2 2 2 2 2 7 2 5" xfId="7650" xr:uid="{B4592676-1DC8-4600-B4D3-B5DD9CE62CC8}"/>
    <cellStyle name="Normal 3 2 2 2 2 2 7 2 6" xfId="7651" xr:uid="{9C2763FC-D98A-42AE-AB79-067204418599}"/>
    <cellStyle name="Normal 3 2 2 2 2 2 7 2 7" xfId="7652" xr:uid="{53352A41-FB58-440B-9559-8770F3E0FB91}"/>
    <cellStyle name="Normal 3 2 2 2 2 2 7 2 8" xfId="7653" xr:uid="{E8BF57F7-08A9-499A-BB54-30ACA7B777BE}"/>
    <cellStyle name="Normal 3 2 2 2 2 2 7 2 9" xfId="7654" xr:uid="{1D551F7E-E7FB-4ECD-8A6B-A30E70A4E4D6}"/>
    <cellStyle name="Normal 3 2 2 2 2 2 7 3" xfId="7655" xr:uid="{91EF9BC5-BFE2-4227-A8F6-A736AFBB9D18}"/>
    <cellStyle name="Normal 3 2 2 2 2 2 7 4" xfId="7656" xr:uid="{A2A049E1-30C0-4B6D-95D8-F896F76DF808}"/>
    <cellStyle name="Normal 3 2 2 2 2 2 7 4 2" xfId="7657" xr:uid="{C5B97E2E-A55A-46F9-8305-D016CD3998DA}"/>
    <cellStyle name="Normal 3 2 2 2 2 2 7 4 3" xfId="7658" xr:uid="{642330A0-6A49-4966-8669-53C67D46C247}"/>
    <cellStyle name="Normal 3 2 2 2 2 2 7 4 4" xfId="7659" xr:uid="{B0DF0DEB-2D68-4678-A5FE-6AD68AA3F62F}"/>
    <cellStyle name="Normal 3 2 2 2 2 2 7 4 5" xfId="7660" xr:uid="{A0CA71E1-14FE-4681-958B-BD5AA8D04CBE}"/>
    <cellStyle name="Normal 3 2 2 2 2 2 7 4 6" xfId="7661" xr:uid="{D29D7B47-3DBE-4FEE-9CD8-CA7DD94C6F85}"/>
    <cellStyle name="Normal 3 2 2 2 2 2 7 4 7" xfId="7662" xr:uid="{4DB6C98B-CBBE-4FBA-9C4C-A62AEC005F0F}"/>
    <cellStyle name="Normal 3 2 2 2 2 2 7 4 8" xfId="7663" xr:uid="{799775DB-C67F-454A-8F1C-AB2E67C8BE81}"/>
    <cellStyle name="Normal 3 2 2 2 2 2 7 5" xfId="7664" xr:uid="{3AAE1743-D5E2-445C-B278-5D97C2FA85A5}"/>
    <cellStyle name="Normal 3 2 2 2 2 2 7 6" xfId="7665" xr:uid="{EF41EC87-1A54-4904-9F17-7B093CF29672}"/>
    <cellStyle name="Normal 3 2 2 2 2 2 7 7" xfId="7666" xr:uid="{0B674EB4-3A1E-424C-BAC8-3A1DEA269494}"/>
    <cellStyle name="Normal 3 2 2 2 2 2 7 8" xfId="7667" xr:uid="{7B984EF5-EA5F-442C-BBBD-D9EEBB6C94B9}"/>
    <cellStyle name="Normal 3 2 2 2 2 2 7 9" xfId="7668" xr:uid="{E5437782-A4E2-4A38-8FBE-608E5D19FE73}"/>
    <cellStyle name="Normal 3 2 2 2 2 2 8" xfId="7669" xr:uid="{3D60F8AE-3E47-4229-8923-EB61E516706B}"/>
    <cellStyle name="Normal 3 2 2 2 2 2 9" xfId="7670" xr:uid="{9FAC2775-3F7D-4BE8-8D32-FACCFBDEF31A}"/>
    <cellStyle name="Normal 3 2 2 2 2 20" xfId="7671" xr:uid="{13CE5E40-F889-46D4-A4F2-AF6D6BBB07C1}"/>
    <cellStyle name="Normal 3 2 2 2 2 21" xfId="7672" xr:uid="{68BEF1B3-C102-454F-903C-4B855F340019}"/>
    <cellStyle name="Normal 3 2 2 2 2 22" xfId="7673" xr:uid="{BE14E64C-8DE7-4997-B8BD-5DE5A2E95AAC}"/>
    <cellStyle name="Normal 3 2 2 2 2 3" xfId="7674" xr:uid="{AEA909BC-13BF-4495-B7BD-8E74562EB20D}"/>
    <cellStyle name="Normal 3 2 2 2 2 3 10" xfId="7675" xr:uid="{AA3F52AA-EC95-4669-945C-930657503FB1}"/>
    <cellStyle name="Normal 3 2 2 2 2 3 10 2" xfId="7676" xr:uid="{DC66696A-7745-4E27-B88B-34C91127A0D7}"/>
    <cellStyle name="Normal 3 2 2 2 2 3 10 2 2" xfId="7677" xr:uid="{08323B06-AEF9-4FCF-AE4A-02067B4F76A9}"/>
    <cellStyle name="Normal 3 2 2 2 2 3 10 2 2 2" xfId="7678" xr:uid="{2937A37A-CCCD-4E6E-9347-1E7A03942ADE}"/>
    <cellStyle name="Normal 3 2 2 2 2 3 10 2 2 3" xfId="7679" xr:uid="{03ACE83E-F58C-4499-B886-A9880A9E4D81}"/>
    <cellStyle name="Normal 3 2 2 2 2 3 10 2 2 4" xfId="7680" xr:uid="{BA634733-F93B-4202-A328-5032E9B06DC9}"/>
    <cellStyle name="Normal 3 2 2 2 2 3 10 2 2 5" xfId="7681" xr:uid="{BA833435-05DC-4C5C-B52C-B64EEFCD2A29}"/>
    <cellStyle name="Normal 3 2 2 2 2 3 10 2 2 6" xfId="7682" xr:uid="{40641C70-19D8-44FE-A5F1-EFC031E67984}"/>
    <cellStyle name="Normal 3 2 2 2 2 3 10 2 2 7" xfId="7683" xr:uid="{B28F417C-6B2C-472D-8C01-A9DCB90140BE}"/>
    <cellStyle name="Normal 3 2 2 2 2 3 10 2 2 8" xfId="7684" xr:uid="{B0F2BFD3-E7FA-4606-BFA6-7AD6CDAA25C9}"/>
    <cellStyle name="Normal 3 2 2 2 2 3 10 2 3" xfId="7685" xr:uid="{57E58563-9508-4A18-A834-BCE0745DDBAD}"/>
    <cellStyle name="Normal 3 2 2 2 2 3 10 2 4" xfId="7686" xr:uid="{DF223915-F7FF-4C35-A028-6B78C87FC0D7}"/>
    <cellStyle name="Normal 3 2 2 2 2 3 10 2 5" xfId="7687" xr:uid="{0901548E-13D3-4FC1-8FF9-28D8C980A9B6}"/>
    <cellStyle name="Normal 3 2 2 2 2 3 10 2 6" xfId="7688" xr:uid="{77B67920-4A19-4139-A650-BE4FCA78DF61}"/>
    <cellStyle name="Normal 3 2 2 2 2 3 10 2 7" xfId="7689" xr:uid="{84089E2C-9C24-49CB-9048-74CA6CFF2ADB}"/>
    <cellStyle name="Normal 3 2 2 2 2 3 10 2 8" xfId="7690" xr:uid="{2D85ECD1-E8CD-427E-95F1-2355815E06A7}"/>
    <cellStyle name="Normal 3 2 2 2 2 3 10 3" xfId="7691" xr:uid="{1A8964BB-27E4-47FB-8755-FDCF60F290E9}"/>
    <cellStyle name="Normal 3 2 2 2 2 3 10 4" xfId="7692" xr:uid="{C9637EB0-ACC7-47A4-A3E8-3CFCBDEE83D7}"/>
    <cellStyle name="Normal 3 2 2 2 2 3 10 5" xfId="7693" xr:uid="{3B334C53-7738-4398-8A17-D60A8082CAD0}"/>
    <cellStyle name="Normal 3 2 2 2 2 3 10 6" xfId="7694" xr:uid="{3D87CF8A-AD18-4F80-B98D-F3C9F56B1060}"/>
    <cellStyle name="Normal 3 2 2 2 2 3 10 7" xfId="7695" xr:uid="{E40D1B62-0FB2-4B7E-80CC-6CDFBE34584E}"/>
    <cellStyle name="Normal 3 2 2 2 2 3 10 8" xfId="7696" xr:uid="{B92773DD-5991-4AE3-8D5B-97177FD84CD7}"/>
    <cellStyle name="Normal 3 2 2 2 2 3 10 9" xfId="7697" xr:uid="{082F21DE-3A64-4C7B-8BDD-A4F94380AEF6}"/>
    <cellStyle name="Normal 3 2 2 2 2 3 11" xfId="7698" xr:uid="{A5DD6D97-E00B-491A-BC1F-DABCC9242B6A}"/>
    <cellStyle name="Normal 3 2 2 2 2 3 11 2" xfId="7699" xr:uid="{EEA59E44-E0BE-42A4-80B8-AF4CA0BAEE27}"/>
    <cellStyle name="Normal 3 2 2 2 2 3 11 3" xfId="7700" xr:uid="{A4BEFF7B-F0DB-4215-827A-7477C7067E49}"/>
    <cellStyle name="Normal 3 2 2 2 2 3 11 4" xfId="7701" xr:uid="{EA25D6A2-8581-4746-B4A9-11E949B41EC5}"/>
    <cellStyle name="Normal 3 2 2 2 2 3 11 5" xfId="7702" xr:uid="{5A80EC4F-AF5F-4E9D-8E8A-5207CE662031}"/>
    <cellStyle name="Normal 3 2 2 2 2 3 11 6" xfId="7703" xr:uid="{F88024D9-B903-4B59-B1B6-D4B59EBD1266}"/>
    <cellStyle name="Normal 3 2 2 2 2 3 11 7" xfId="7704" xr:uid="{A5425601-E75A-45F1-BE07-EE8C049B5313}"/>
    <cellStyle name="Normal 3 2 2 2 2 3 11 8" xfId="7705" xr:uid="{F3998382-DB26-4EE0-B4C6-791A58A447C0}"/>
    <cellStyle name="Normal 3 2 2 2 2 3 12" xfId="7706" xr:uid="{5D8883DD-92B9-4060-A576-946E3A3C8E7B}"/>
    <cellStyle name="Normal 3 2 2 2 2 3 13" xfId="7707" xr:uid="{8F78B7F1-0A7A-4E8B-B594-D0553F3D6B3F}"/>
    <cellStyle name="Normal 3 2 2 2 2 3 14" xfId="7708" xr:uid="{89DA95D2-810B-4A7E-ADD7-154E7054C25D}"/>
    <cellStyle name="Normal 3 2 2 2 2 3 15" xfId="7709" xr:uid="{61718621-BDA7-4A82-9981-AE2A74D8B0BE}"/>
    <cellStyle name="Normal 3 2 2 2 2 3 16" xfId="7710" xr:uid="{868BF45E-A32A-4F58-AACF-2B3282AE07EA}"/>
    <cellStyle name="Normal 3 2 2 2 2 3 17" xfId="7711" xr:uid="{31F37A73-77F0-455D-A9C2-589CA95219A7}"/>
    <cellStyle name="Normal 3 2 2 2 2 3 2" xfId="7712" xr:uid="{07A60664-8E96-43AB-93C0-479BCE09716B}"/>
    <cellStyle name="Normal 3 2 2 2 2 3 2 10" xfId="7713" xr:uid="{C152CBD8-EAAF-4C70-AE84-E26C13CD3FBB}"/>
    <cellStyle name="Normal 3 2 2 2 2 3 2 10 2" xfId="7714" xr:uid="{2027CC0A-45D8-4926-A569-EC42D3DB2A6B}"/>
    <cellStyle name="Normal 3 2 2 2 2 3 2 10 2 2" xfId="7715" xr:uid="{3EF5BC4F-F3A7-45FF-AA2E-40D1DEC427AC}"/>
    <cellStyle name="Normal 3 2 2 2 2 3 2 10 2 2 2" xfId="7716" xr:uid="{F8B26D00-F2D0-4921-9285-E4B3288CFC85}"/>
    <cellStyle name="Normal 3 2 2 2 2 3 2 10 2 2 3" xfId="7717" xr:uid="{3DD66052-45EE-46E7-93CC-C38AF8E1401B}"/>
    <cellStyle name="Normal 3 2 2 2 2 3 2 10 2 2 4" xfId="7718" xr:uid="{2DC7877C-6F95-452D-852B-A74D4C054C2D}"/>
    <cellStyle name="Normal 3 2 2 2 2 3 2 10 2 2 5" xfId="7719" xr:uid="{2481034D-FCD6-4DC8-90E5-1F3A63A4F8A8}"/>
    <cellStyle name="Normal 3 2 2 2 2 3 2 10 2 2 6" xfId="7720" xr:uid="{72130105-D643-42F1-B759-A2934EEF1C2D}"/>
    <cellStyle name="Normal 3 2 2 2 2 3 2 10 2 2 7" xfId="7721" xr:uid="{276D045B-C3FD-4E89-8094-29CDAB149FA2}"/>
    <cellStyle name="Normal 3 2 2 2 2 3 2 10 2 2 8" xfId="7722" xr:uid="{9B38EE9C-24B3-48A4-AB71-47C77E6311A3}"/>
    <cellStyle name="Normal 3 2 2 2 2 3 2 10 2 3" xfId="7723" xr:uid="{35F28006-6773-44EA-A7E3-6F44B6039D69}"/>
    <cellStyle name="Normal 3 2 2 2 2 3 2 10 2 4" xfId="7724" xr:uid="{AEB76C8E-C336-486E-BFD1-9A1727E54929}"/>
    <cellStyle name="Normal 3 2 2 2 2 3 2 10 2 5" xfId="7725" xr:uid="{EAC3A0C4-B82D-4EA3-9C42-2114E34B4E60}"/>
    <cellStyle name="Normal 3 2 2 2 2 3 2 10 2 6" xfId="7726" xr:uid="{DF849DCB-D2EA-4CF2-A259-D4165942B11F}"/>
    <cellStyle name="Normal 3 2 2 2 2 3 2 10 2 7" xfId="7727" xr:uid="{51F864B7-4CF6-4582-9E7F-E857B795FE68}"/>
    <cellStyle name="Normal 3 2 2 2 2 3 2 10 2 8" xfId="7728" xr:uid="{ED517314-84A2-4917-89A9-9452CBBF1F16}"/>
    <cellStyle name="Normal 3 2 2 2 2 3 2 10 3" xfId="7729" xr:uid="{BAA7A0B0-D852-4DEC-BE97-0BCD74422C88}"/>
    <cellStyle name="Normal 3 2 2 2 2 3 2 10 4" xfId="7730" xr:uid="{F26CA200-153C-47C6-95E8-56CF41329F8E}"/>
    <cellStyle name="Normal 3 2 2 2 2 3 2 10 5" xfId="7731" xr:uid="{4F796496-84CD-418B-BD50-7FEDF90CA3BD}"/>
    <cellStyle name="Normal 3 2 2 2 2 3 2 10 6" xfId="7732" xr:uid="{E0D2C555-B8A4-4983-9C2A-9972D2E5EE92}"/>
    <cellStyle name="Normal 3 2 2 2 2 3 2 10 7" xfId="7733" xr:uid="{C0804B7B-7BDF-4507-AA42-4F1F80388EA9}"/>
    <cellStyle name="Normal 3 2 2 2 2 3 2 10 8" xfId="7734" xr:uid="{B7A4857F-50E3-4AFC-B73D-F6976447A6BA}"/>
    <cellStyle name="Normal 3 2 2 2 2 3 2 10 9" xfId="7735" xr:uid="{F6CCDE28-AB53-42A4-88E7-43B111EE3ECE}"/>
    <cellStyle name="Normal 3 2 2 2 2 3 2 11" xfId="7736" xr:uid="{050B20ED-5470-49A0-BCE2-75E03D38AEDA}"/>
    <cellStyle name="Normal 3 2 2 2 2 3 2 11 2" xfId="7737" xr:uid="{E938261F-899F-4C3D-8B9F-1B8F8CF625DA}"/>
    <cellStyle name="Normal 3 2 2 2 2 3 2 11 3" xfId="7738" xr:uid="{224F13C5-B343-4FA6-A70E-66CAE311B0FC}"/>
    <cellStyle name="Normal 3 2 2 2 2 3 2 11 4" xfId="7739" xr:uid="{E07A3815-22E4-4B41-9DF9-EB92F74CCD0A}"/>
    <cellStyle name="Normal 3 2 2 2 2 3 2 11 5" xfId="7740" xr:uid="{DD39956E-6673-4BEA-91AE-B725FD5A367A}"/>
    <cellStyle name="Normal 3 2 2 2 2 3 2 11 6" xfId="7741" xr:uid="{5DE18BCD-0AC8-481A-A581-C24B5270C9C9}"/>
    <cellStyle name="Normal 3 2 2 2 2 3 2 11 7" xfId="7742" xr:uid="{51433E85-9A4D-4067-997B-968E87FAC653}"/>
    <cellStyle name="Normal 3 2 2 2 2 3 2 11 8" xfId="7743" xr:uid="{AE68FB08-A518-41A7-97E1-192460E2B332}"/>
    <cellStyle name="Normal 3 2 2 2 2 3 2 12" xfId="7744" xr:uid="{00B241DC-5457-4963-BB83-9E4C9B44BCB6}"/>
    <cellStyle name="Normal 3 2 2 2 2 3 2 13" xfId="7745" xr:uid="{77BE7F06-EB2C-43B6-8FCC-5B3C13F16A9A}"/>
    <cellStyle name="Normal 3 2 2 2 2 3 2 14" xfId="7746" xr:uid="{E9580123-56FA-4280-A268-64D01E45B208}"/>
    <cellStyle name="Normal 3 2 2 2 2 3 2 15" xfId="7747" xr:uid="{004E52E2-D32E-4D5A-A773-CEC1C75BC251}"/>
    <cellStyle name="Normal 3 2 2 2 2 3 2 16" xfId="7748" xr:uid="{3C89FAC2-B0DB-495E-9069-DC8CC463B00E}"/>
    <cellStyle name="Normal 3 2 2 2 2 3 2 17" xfId="7749" xr:uid="{A977C3F9-442A-4D25-A65A-28F52AAD4FFE}"/>
    <cellStyle name="Normal 3 2 2 2 2 3 2 2" xfId="7750" xr:uid="{E247A1A4-8F38-473A-8C1A-B095B3C92F08}"/>
    <cellStyle name="Normal 3 2 2 2 2 3 2 2 10" xfId="7751" xr:uid="{BB9B201D-E11A-4408-B1A8-C04F10348639}"/>
    <cellStyle name="Normal 3 2 2 2 2 3 2 2 2" xfId="7752" xr:uid="{36A448F7-0C50-4689-8FEB-F7DA078B235B}"/>
    <cellStyle name="Normal 3 2 2 2 2 3 2 2 2 2" xfId="7753" xr:uid="{F4002FE3-DE40-4814-8309-02CC7B2BA7E9}"/>
    <cellStyle name="Normal 3 2 2 2 2 3 2 2 2 2 2" xfId="7754" xr:uid="{B0725619-1F21-4838-AEF0-BE7F39717064}"/>
    <cellStyle name="Normal 3 2 2 2 2 3 2 2 2 2 2 2" xfId="7755" xr:uid="{CF79D799-2394-402D-82FF-55E98905E26B}"/>
    <cellStyle name="Normal 3 2 2 2 2 3 2 2 2 2 2 3" xfId="7756" xr:uid="{90FD487E-6995-4057-8EC9-CE26804FB993}"/>
    <cellStyle name="Normal 3 2 2 2 2 3 2 2 2 2 2 4" xfId="7757" xr:uid="{795E697E-8CAA-445B-A3E2-6B57B01913BB}"/>
    <cellStyle name="Normal 3 2 2 2 2 3 2 2 2 2 2 5" xfId="7758" xr:uid="{81AC5E60-DD09-4E79-B1F0-D63AD6B8A982}"/>
    <cellStyle name="Normal 3 2 2 2 2 3 2 2 2 2 2 6" xfId="7759" xr:uid="{2628E002-B30C-414B-A2D0-94069B3BB8B2}"/>
    <cellStyle name="Normal 3 2 2 2 2 3 2 2 2 2 2 7" xfId="7760" xr:uid="{AF7C6653-C463-46D1-BDD7-5C9E23715309}"/>
    <cellStyle name="Normal 3 2 2 2 2 3 2 2 2 2 2 8" xfId="7761" xr:uid="{4CA4FC01-3779-4A07-A9DA-9DE51DF4A4ED}"/>
    <cellStyle name="Normal 3 2 2 2 2 3 2 2 2 2 3" xfId="7762" xr:uid="{6BE50ED9-D9D2-4BC8-A1DB-25327541DB62}"/>
    <cellStyle name="Normal 3 2 2 2 2 3 2 2 2 2 4" xfId="7763" xr:uid="{9107311C-7B69-41A1-86F0-9CD66F1CE066}"/>
    <cellStyle name="Normal 3 2 2 2 2 3 2 2 2 2 5" xfId="7764" xr:uid="{8CEF2FB0-158D-4CEC-89B2-775B379AC0F6}"/>
    <cellStyle name="Normal 3 2 2 2 2 3 2 2 2 2 6" xfId="7765" xr:uid="{D8658985-999C-4E90-BE76-2320DFF7BD8B}"/>
    <cellStyle name="Normal 3 2 2 2 2 3 2 2 2 2 7" xfId="7766" xr:uid="{4AA094C9-59BD-4D76-B18D-82C7ABB5BD74}"/>
    <cellStyle name="Normal 3 2 2 2 2 3 2 2 2 2 8" xfId="7767" xr:uid="{39F8C598-16D5-4239-8E6E-0F36E1EE1326}"/>
    <cellStyle name="Normal 3 2 2 2 2 3 2 2 2 3" xfId="7768" xr:uid="{51FA66CB-C905-462C-ABFA-3FF7B697EC1A}"/>
    <cellStyle name="Normal 3 2 2 2 2 3 2 2 2 4" xfId="7769" xr:uid="{08AEBC82-E102-4894-8CD7-D43CA67B7374}"/>
    <cellStyle name="Normal 3 2 2 2 2 3 2 2 2 5" xfId="7770" xr:uid="{1698214B-8CFA-4416-ABBD-E00D602C878C}"/>
    <cellStyle name="Normal 3 2 2 2 2 3 2 2 2 6" xfId="7771" xr:uid="{C313F018-C1B4-444E-9171-A9049F37C552}"/>
    <cellStyle name="Normal 3 2 2 2 2 3 2 2 2 7" xfId="7772" xr:uid="{7F7CE024-2F3A-45C9-B9A9-30FECFD4BAD0}"/>
    <cellStyle name="Normal 3 2 2 2 2 3 2 2 2 8" xfId="7773" xr:uid="{BD0E87E6-646D-4C29-B4CA-C952D3E5A930}"/>
    <cellStyle name="Normal 3 2 2 2 2 3 2 2 2 9" xfId="7774" xr:uid="{B3DDD122-BB20-4071-A86F-DCB6D3285EAC}"/>
    <cellStyle name="Normal 3 2 2 2 2 3 2 2 3" xfId="7775" xr:uid="{82B00D07-014D-417F-A98B-749881C4A489}"/>
    <cellStyle name="Normal 3 2 2 2 2 3 2 2 4" xfId="7776" xr:uid="{09B17563-3875-4CCF-BE2E-9412E278D26F}"/>
    <cellStyle name="Normal 3 2 2 2 2 3 2 2 4 2" xfId="7777" xr:uid="{088C9EAF-4FE0-485F-911D-F6E944FB6621}"/>
    <cellStyle name="Normal 3 2 2 2 2 3 2 2 4 3" xfId="7778" xr:uid="{4C76FC6D-0F34-4C00-A281-FDB2D22288F7}"/>
    <cellStyle name="Normal 3 2 2 2 2 3 2 2 4 4" xfId="7779" xr:uid="{689220F6-7DF0-471B-9ACC-3B257DEFA4A5}"/>
    <cellStyle name="Normal 3 2 2 2 2 3 2 2 4 5" xfId="7780" xr:uid="{D9B2A5E9-B57C-41D1-9AF9-53A0F9C8B046}"/>
    <cellStyle name="Normal 3 2 2 2 2 3 2 2 4 6" xfId="7781" xr:uid="{05840155-A418-4BFC-AB76-9F475CC55F03}"/>
    <cellStyle name="Normal 3 2 2 2 2 3 2 2 4 7" xfId="7782" xr:uid="{3622A928-3E9D-46B5-92AC-483E0B51C3BE}"/>
    <cellStyle name="Normal 3 2 2 2 2 3 2 2 4 8" xfId="7783" xr:uid="{3A73FE55-0DBD-4BFB-BC11-53B9DB2731D1}"/>
    <cellStyle name="Normal 3 2 2 2 2 3 2 2 5" xfId="7784" xr:uid="{7856D41D-3D54-4E53-82F0-EF1B8DCADCAF}"/>
    <cellStyle name="Normal 3 2 2 2 2 3 2 2 6" xfId="7785" xr:uid="{58CB0C38-EB7E-4F5B-9615-749CE36B6C3B}"/>
    <cellStyle name="Normal 3 2 2 2 2 3 2 2 7" xfId="7786" xr:uid="{E5A36FAE-E7F2-4216-87F5-1C29A4A7FDDF}"/>
    <cellStyle name="Normal 3 2 2 2 2 3 2 2 8" xfId="7787" xr:uid="{FDE172CB-0F6D-48D0-9026-12E6516F88AF}"/>
    <cellStyle name="Normal 3 2 2 2 2 3 2 2 9" xfId="7788" xr:uid="{CFDC2712-3AF1-4E6D-A527-92583685641F}"/>
    <cellStyle name="Normal 3 2 2 2 2 3 2 3" xfId="7789" xr:uid="{DBAF090E-A281-44E5-9B4E-FA188783A62B}"/>
    <cellStyle name="Normal 3 2 2 2 2 3 2 4" xfId="7790" xr:uid="{965A6EB9-98BE-4E90-BF3B-ED6EC86E24AC}"/>
    <cellStyle name="Normal 3 2 2 2 2 3 2 5" xfId="7791" xr:uid="{3C86869A-64FA-4DCF-9BD9-1346EB8ACD2B}"/>
    <cellStyle name="Normal 3 2 2 2 2 3 2 6" xfId="7792" xr:uid="{492165FF-AB14-4375-8B38-DA84C7811BB7}"/>
    <cellStyle name="Normal 3 2 2 2 2 3 2 7" xfId="7793" xr:uid="{6966193F-D329-437A-9134-9B8B654C8AAB}"/>
    <cellStyle name="Normal 3 2 2 2 2 3 2 8" xfId="7794" xr:uid="{D23AD667-523F-4193-88E7-1111C84A254A}"/>
    <cellStyle name="Normal 3 2 2 2 2 3 2 9" xfId="7795" xr:uid="{CAC7A1FB-0A8B-4A63-B629-788EF3A0E342}"/>
    <cellStyle name="Normal 3 2 2 2 2 3 3" xfId="7796" xr:uid="{D97B4CD9-6A6E-4935-ACB2-E394C076751A}"/>
    <cellStyle name="Normal 3 2 2 2 2 3 3 10" xfId="7797" xr:uid="{5E736668-57DF-4960-907F-FD16CB4BD85E}"/>
    <cellStyle name="Normal 3 2 2 2 2 3 3 2" xfId="7798" xr:uid="{D46E442E-A012-4F62-B320-C8DE6EBAB81D}"/>
    <cellStyle name="Normal 3 2 2 2 2 3 3 2 2" xfId="7799" xr:uid="{1AA1606D-6E23-4C48-9D46-A2C7266F4CA4}"/>
    <cellStyle name="Normal 3 2 2 2 2 3 3 2 2 2" xfId="7800" xr:uid="{49DA9343-63C3-45C7-AF63-2571717B8DEB}"/>
    <cellStyle name="Normal 3 2 2 2 2 3 3 2 2 2 2" xfId="7801" xr:uid="{1FC18C1F-EF3B-4ABF-929E-0C334914ECA8}"/>
    <cellStyle name="Normal 3 2 2 2 2 3 3 2 2 2 3" xfId="7802" xr:uid="{23707682-F044-4529-AA7A-755DEED5AD12}"/>
    <cellStyle name="Normal 3 2 2 2 2 3 3 2 2 2 4" xfId="7803" xr:uid="{E3EF107A-7FAA-4174-AD93-00878052B4D7}"/>
    <cellStyle name="Normal 3 2 2 2 2 3 3 2 2 2 5" xfId="7804" xr:uid="{E67DA385-483E-4F9B-98BE-0295F128AA91}"/>
    <cellStyle name="Normal 3 2 2 2 2 3 3 2 2 2 6" xfId="7805" xr:uid="{214E0EEE-5BB1-43A9-B67A-C5FF08E94305}"/>
    <cellStyle name="Normal 3 2 2 2 2 3 3 2 2 2 7" xfId="7806" xr:uid="{96A36ED0-23B1-451B-B23D-D0C992DAC484}"/>
    <cellStyle name="Normal 3 2 2 2 2 3 3 2 2 2 8" xfId="7807" xr:uid="{333B1649-B586-42B7-8FAA-1882D40529BA}"/>
    <cellStyle name="Normal 3 2 2 2 2 3 3 2 2 3" xfId="7808" xr:uid="{90F1F836-8E8A-4679-80D6-13969386F3CD}"/>
    <cellStyle name="Normal 3 2 2 2 2 3 3 2 2 4" xfId="7809" xr:uid="{258BB1C4-857A-43F1-AF0E-636CBDD7D63D}"/>
    <cellStyle name="Normal 3 2 2 2 2 3 3 2 2 5" xfId="7810" xr:uid="{0F736C36-8B15-454D-BE1A-7F73CEE5C574}"/>
    <cellStyle name="Normal 3 2 2 2 2 3 3 2 2 6" xfId="7811" xr:uid="{B71EF1E8-D9FB-41BE-A311-67BCC17309D2}"/>
    <cellStyle name="Normal 3 2 2 2 2 3 3 2 2 7" xfId="7812" xr:uid="{F4700BF3-C007-4E5A-8958-BEAC23E02584}"/>
    <cellStyle name="Normal 3 2 2 2 2 3 3 2 2 8" xfId="7813" xr:uid="{EF64B55B-8A7E-43C6-9CF6-B86ACA8EF1C2}"/>
    <cellStyle name="Normal 3 2 2 2 2 3 3 2 3" xfId="7814" xr:uid="{F57CC6DD-411C-472F-A0BA-B0ADE8B1F10D}"/>
    <cellStyle name="Normal 3 2 2 2 2 3 3 2 4" xfId="7815" xr:uid="{2F0715F9-A4CF-44DE-B2B0-850839E8A049}"/>
    <cellStyle name="Normal 3 2 2 2 2 3 3 2 5" xfId="7816" xr:uid="{69B4FDF2-B249-4E5B-8EA6-84003C40FA34}"/>
    <cellStyle name="Normal 3 2 2 2 2 3 3 2 6" xfId="7817" xr:uid="{4A483F26-EF21-4D37-AA8E-6033C236EB8F}"/>
    <cellStyle name="Normal 3 2 2 2 2 3 3 2 7" xfId="7818" xr:uid="{36A44C57-E068-4BC9-8B05-7D0FF4680F71}"/>
    <cellStyle name="Normal 3 2 2 2 2 3 3 2 8" xfId="7819" xr:uid="{48945EF8-266C-4D1B-81A5-32D55499F52C}"/>
    <cellStyle name="Normal 3 2 2 2 2 3 3 2 9" xfId="7820" xr:uid="{CA0A6D44-CCCE-444A-B7E5-A6424035F44B}"/>
    <cellStyle name="Normal 3 2 2 2 2 3 3 3" xfId="7821" xr:uid="{C72A37C7-22E8-4A46-A2E2-D05AF2DB7020}"/>
    <cellStyle name="Normal 3 2 2 2 2 3 3 4" xfId="7822" xr:uid="{8AE28089-C53E-4E32-8348-9272E75D5A81}"/>
    <cellStyle name="Normal 3 2 2 2 2 3 3 4 2" xfId="7823" xr:uid="{D3545B44-1012-4897-9F49-D6503FC694B5}"/>
    <cellStyle name="Normal 3 2 2 2 2 3 3 4 3" xfId="7824" xr:uid="{6F009CA6-60DC-45B4-A166-16F5941BC418}"/>
    <cellStyle name="Normal 3 2 2 2 2 3 3 4 4" xfId="7825" xr:uid="{8900A593-B0AB-4FB8-B31F-968C78899C60}"/>
    <cellStyle name="Normal 3 2 2 2 2 3 3 4 5" xfId="7826" xr:uid="{4CA538E5-815B-40F5-9520-6E299A922AD9}"/>
    <cellStyle name="Normal 3 2 2 2 2 3 3 4 6" xfId="7827" xr:uid="{592168A3-1B14-4FBC-B47A-5EABDC3D049C}"/>
    <cellStyle name="Normal 3 2 2 2 2 3 3 4 7" xfId="7828" xr:uid="{991E463C-A2AA-453C-ACEF-C91ACD9AF240}"/>
    <cellStyle name="Normal 3 2 2 2 2 3 3 4 8" xfId="7829" xr:uid="{08CB4BAB-146F-4842-BA56-AD8B80573267}"/>
    <cellStyle name="Normal 3 2 2 2 2 3 3 5" xfId="7830" xr:uid="{B2DA8C0E-1629-4AFC-A00D-DBBFDF411531}"/>
    <cellStyle name="Normal 3 2 2 2 2 3 3 6" xfId="7831" xr:uid="{F73A33D0-1F60-49A5-BFF7-5E9FC3259DFC}"/>
    <cellStyle name="Normal 3 2 2 2 2 3 3 7" xfId="7832" xr:uid="{4D20C2CE-CE8D-43E0-802E-592EF723CF88}"/>
    <cellStyle name="Normal 3 2 2 2 2 3 3 8" xfId="7833" xr:uid="{15C11C5C-6452-4891-BE98-CE221238EA2C}"/>
    <cellStyle name="Normal 3 2 2 2 2 3 3 9" xfId="7834" xr:uid="{11DDA832-C93C-40A4-990F-15CF91E1EB22}"/>
    <cellStyle name="Normal 3 2 2 2 2 3 4" xfId="7835" xr:uid="{0E5C9D45-4599-4CEE-9BD1-49C664C6E8BD}"/>
    <cellStyle name="Normal 3 2 2 2 2 3 5" xfId="7836" xr:uid="{4FD4DAF7-E74A-451E-941B-534D4179D639}"/>
    <cellStyle name="Normal 3 2 2 2 2 3 6" xfId="7837" xr:uid="{BC2F4EEE-757C-47F0-925E-52334AAAA2CB}"/>
    <cellStyle name="Normal 3 2 2 2 2 3 7" xfId="7838" xr:uid="{2EBB3D91-747A-4F20-A581-A1D1EB22E29A}"/>
    <cellStyle name="Normal 3 2 2 2 2 3 8" xfId="7839" xr:uid="{9D2719B8-5FFF-42EC-BDD4-88068BAF45D0}"/>
    <cellStyle name="Normal 3 2 2 2 2 3 9" xfId="7840" xr:uid="{DE4D981B-638E-4D21-893B-E16627933E79}"/>
    <cellStyle name="Normal 3 2 2 2 2 4" xfId="7841" xr:uid="{07187850-5A07-4B89-B27E-25FE69124C95}"/>
    <cellStyle name="Normal 3 2 2 2 2 5" xfId="7842" xr:uid="{684DA79A-5352-465C-A975-CE18AEC1C2D0}"/>
    <cellStyle name="Normal 3 2 2 2 2 6" xfId="7843" xr:uid="{8BEE5D57-2D95-4A63-B24B-79880625FC23}"/>
    <cellStyle name="Normal 3 2 2 2 2 7" xfId="7844" xr:uid="{6512C150-475A-4305-964F-B47664CF981A}"/>
    <cellStyle name="Normal 3 2 2 2 2 7 10" xfId="7845" xr:uid="{427DD5FE-BE54-4198-BC25-2FE6033CCE6A}"/>
    <cellStyle name="Normal 3 2 2 2 2 7 2" xfId="7846" xr:uid="{F9976329-0D67-4EAA-A866-039CFBDEDA46}"/>
    <cellStyle name="Normal 3 2 2 2 2 7 2 2" xfId="7847" xr:uid="{D73D7D8A-3A0C-4FCA-A3C9-8E0A0DF16658}"/>
    <cellStyle name="Normal 3 2 2 2 2 7 2 2 2" xfId="7848" xr:uid="{ED77507A-465A-4094-BE1A-EFEEF19A983C}"/>
    <cellStyle name="Normal 3 2 2 2 2 7 2 2 2 2" xfId="7849" xr:uid="{E6B3470E-D19B-422E-BD7E-DE9F99C729AF}"/>
    <cellStyle name="Normal 3 2 2 2 2 7 2 2 2 3" xfId="7850" xr:uid="{AC8F9B68-6A7B-4376-9DB9-5695D86DA82C}"/>
    <cellStyle name="Normal 3 2 2 2 2 7 2 2 2 4" xfId="7851" xr:uid="{9CF6D195-784A-4523-8587-3D1F7D953ABF}"/>
    <cellStyle name="Normal 3 2 2 2 2 7 2 2 2 5" xfId="7852" xr:uid="{3B40DA03-D7E0-4C70-90B2-71F71F632129}"/>
    <cellStyle name="Normal 3 2 2 2 2 7 2 2 2 6" xfId="7853" xr:uid="{A76087B3-52C0-4175-891A-E9455D14094D}"/>
    <cellStyle name="Normal 3 2 2 2 2 7 2 2 2 7" xfId="7854" xr:uid="{F448ABC4-E52B-42D4-A246-EB60E6EA33DB}"/>
    <cellStyle name="Normal 3 2 2 2 2 7 2 2 2 8" xfId="7855" xr:uid="{0AADC5D0-A700-48C3-ADD9-37EA5B737302}"/>
    <cellStyle name="Normal 3 2 2 2 2 7 2 2 3" xfId="7856" xr:uid="{6CC2D7B2-9F50-4259-A4E0-56ED946E9A73}"/>
    <cellStyle name="Normal 3 2 2 2 2 7 2 2 4" xfId="7857" xr:uid="{EB086BC4-A86A-4669-9B42-5734691AA0C2}"/>
    <cellStyle name="Normal 3 2 2 2 2 7 2 2 5" xfId="7858" xr:uid="{057CC1BA-E7BE-4FCE-8648-9D303C01A75D}"/>
    <cellStyle name="Normal 3 2 2 2 2 7 2 2 6" xfId="7859" xr:uid="{98314D11-C9B2-4D2D-994A-727CE41FF7A6}"/>
    <cellStyle name="Normal 3 2 2 2 2 7 2 2 7" xfId="7860" xr:uid="{1BB6C66A-D395-40C5-8C9A-2CFF3133DE22}"/>
    <cellStyle name="Normal 3 2 2 2 2 7 2 2 8" xfId="7861" xr:uid="{83ECBDD1-D249-4A10-9CA1-989B6BEEAF44}"/>
    <cellStyle name="Normal 3 2 2 2 2 7 2 3" xfId="7862" xr:uid="{4860C2EA-53FA-4D9B-A279-E813ACDDBBF2}"/>
    <cellStyle name="Normal 3 2 2 2 2 7 2 4" xfId="7863" xr:uid="{8483EDEA-CFEC-4B2F-A4BD-F093340907A3}"/>
    <cellStyle name="Normal 3 2 2 2 2 7 2 5" xfId="7864" xr:uid="{610976CD-FF2E-43F3-96C4-36434EE4975A}"/>
    <cellStyle name="Normal 3 2 2 2 2 7 2 6" xfId="7865" xr:uid="{1CEBFC9E-E392-44A4-9F1C-39250613BE8F}"/>
    <cellStyle name="Normal 3 2 2 2 2 7 2 7" xfId="7866" xr:uid="{BE61AC01-551B-4476-9646-1B062599C210}"/>
    <cellStyle name="Normal 3 2 2 2 2 7 2 8" xfId="7867" xr:uid="{A6002630-68D8-48B3-9EA1-CC5DD4E6C14C}"/>
    <cellStyle name="Normal 3 2 2 2 2 7 2 9" xfId="7868" xr:uid="{B41FC659-65DA-4118-8131-A3BC226D918F}"/>
    <cellStyle name="Normal 3 2 2 2 2 7 3" xfId="7869" xr:uid="{FEA0D5F9-DCAD-4715-950C-7810C41E877A}"/>
    <cellStyle name="Normal 3 2 2 2 2 7 4" xfId="7870" xr:uid="{99E3D7C4-1DF5-489D-BB38-2441758E928D}"/>
    <cellStyle name="Normal 3 2 2 2 2 7 4 2" xfId="7871" xr:uid="{B1F08785-5D6D-40E6-85A0-8D92217864EF}"/>
    <cellStyle name="Normal 3 2 2 2 2 7 4 3" xfId="7872" xr:uid="{5A8132D9-031D-4AF4-9F19-C1DD8FC5D8AC}"/>
    <cellStyle name="Normal 3 2 2 2 2 7 4 4" xfId="7873" xr:uid="{67284B41-F730-4585-B8AB-17B61B5ADB67}"/>
    <cellStyle name="Normal 3 2 2 2 2 7 4 5" xfId="7874" xr:uid="{B5FDFEAB-4C3D-40AA-B61E-FB4B77F6E3E0}"/>
    <cellStyle name="Normal 3 2 2 2 2 7 4 6" xfId="7875" xr:uid="{F5A6BA5B-1B47-4705-86D0-33C9F289317B}"/>
    <cellStyle name="Normal 3 2 2 2 2 7 4 7" xfId="7876" xr:uid="{23206E6E-9C6C-493A-9903-48B5C7FB8BDA}"/>
    <cellStyle name="Normal 3 2 2 2 2 7 4 8" xfId="7877" xr:uid="{0717D574-69B6-40E6-8AA7-67D6650BFA7E}"/>
    <cellStyle name="Normal 3 2 2 2 2 7 5" xfId="7878" xr:uid="{591109F3-5EAC-4DF0-96C7-C3356E37DE0D}"/>
    <cellStyle name="Normal 3 2 2 2 2 7 6" xfId="7879" xr:uid="{2C6A309F-E2D1-430F-9441-FD1E36B08400}"/>
    <cellStyle name="Normal 3 2 2 2 2 7 7" xfId="7880" xr:uid="{7D9CE87C-931C-44F1-8709-53696E319B6F}"/>
    <cellStyle name="Normal 3 2 2 2 2 7 8" xfId="7881" xr:uid="{291FFA3D-5A28-46E5-B2F9-D88A6DC09127}"/>
    <cellStyle name="Normal 3 2 2 2 2 7 9" xfId="7882" xr:uid="{7576F06D-9C7A-4CC9-8F6D-2B673DD7E863}"/>
    <cellStyle name="Normal 3 2 2 2 2 8" xfId="7883" xr:uid="{F0E31184-5782-4548-A3DE-4F544216DEB1}"/>
    <cellStyle name="Normal 3 2 2 2 2 9" xfId="7884" xr:uid="{6E367905-A891-4DDC-98E0-FE50437AF2DC}"/>
    <cellStyle name="Normal 3 2 2 2 20" xfId="7885" xr:uid="{152D0906-CAFE-4FB6-BDEE-9E0710E72DAF}"/>
    <cellStyle name="Normal 3 2 2 2 21" xfId="7886" xr:uid="{F2B39EA4-43A7-45DA-A9E7-EC8581BA5C04}"/>
    <cellStyle name="Normal 3 2 2 2 22" xfId="7887" xr:uid="{8C59579A-E42E-4FB3-8FBE-F40214C18CF5}"/>
    <cellStyle name="Normal 3 2 2 2 23" xfId="7888" xr:uid="{E3AB4204-3AC5-40B0-BE2D-C0CD36CDBC8A}"/>
    <cellStyle name="Normal 3 2 2 2 23 10" xfId="7889" xr:uid="{8514E8AE-8435-4069-93F7-F0FF4794208B}"/>
    <cellStyle name="Normal 3 2 2 2 23 10 2" xfId="7890" xr:uid="{AED3B6C2-64B3-43E6-ABF2-BEA05E5ACCFB}"/>
    <cellStyle name="Normal 3 2 2 2 23 10 2 2" xfId="7891" xr:uid="{50D8AE1F-6279-4DA2-AEC8-581D1F9069A7}"/>
    <cellStyle name="Normal 3 2 2 2 23 10 2 2 2" xfId="7892" xr:uid="{1C6C3B8E-C23C-4344-8064-8F3A7B7CED59}"/>
    <cellStyle name="Normal 3 2 2 2 23 10 2 2 3" xfId="7893" xr:uid="{45AB8EFB-3121-4D13-AEEF-5F47103DA035}"/>
    <cellStyle name="Normal 3 2 2 2 23 10 2 2 4" xfId="7894" xr:uid="{01BAD187-29AB-4240-8A33-C36C909A3906}"/>
    <cellStyle name="Normal 3 2 2 2 23 10 2 2 5" xfId="7895" xr:uid="{B86BC2FA-3FF6-4442-B199-54363CC38B8F}"/>
    <cellStyle name="Normal 3 2 2 2 23 10 2 2 6" xfId="7896" xr:uid="{DF88A2E5-7447-4934-996F-DF5BDC236EE2}"/>
    <cellStyle name="Normal 3 2 2 2 23 10 2 2 7" xfId="7897" xr:uid="{BEC0C810-761B-4945-BAA9-540E99917CAC}"/>
    <cellStyle name="Normal 3 2 2 2 23 10 2 2 8" xfId="7898" xr:uid="{55B13AAD-A7C4-4BA0-BCB4-D4DB6937465F}"/>
    <cellStyle name="Normal 3 2 2 2 23 10 2 3" xfId="7899" xr:uid="{0215E7FD-33BD-4F40-B78E-805A195346D7}"/>
    <cellStyle name="Normal 3 2 2 2 23 10 2 4" xfId="7900" xr:uid="{0348A5F0-1A00-49FF-B37B-C778B14B77C9}"/>
    <cellStyle name="Normal 3 2 2 2 23 10 2 5" xfId="7901" xr:uid="{07E14586-FFF8-4AD1-87CF-CE140A5A718B}"/>
    <cellStyle name="Normal 3 2 2 2 23 10 2 6" xfId="7902" xr:uid="{EBB5C906-C38D-4297-88CD-7BC9F87B3FB1}"/>
    <cellStyle name="Normal 3 2 2 2 23 10 2 7" xfId="7903" xr:uid="{0F126FC8-0202-4611-A650-C60C7315C3E2}"/>
    <cellStyle name="Normal 3 2 2 2 23 10 2 8" xfId="7904" xr:uid="{F2CF6AFE-0476-4C16-AC55-7F4122B63494}"/>
    <cellStyle name="Normal 3 2 2 2 23 10 3" xfId="7905" xr:uid="{320B180B-C011-4B80-901A-629A6183EFC1}"/>
    <cellStyle name="Normal 3 2 2 2 23 10 4" xfId="7906" xr:uid="{212D8F31-964D-46F8-B0F1-CBDBFDAA05DA}"/>
    <cellStyle name="Normal 3 2 2 2 23 10 5" xfId="7907" xr:uid="{1AE56F31-9BA2-4AF0-A81C-138EE6226DEE}"/>
    <cellStyle name="Normal 3 2 2 2 23 10 6" xfId="7908" xr:uid="{FB6ECEE1-55B3-4A47-9314-16489930AA95}"/>
    <cellStyle name="Normal 3 2 2 2 23 10 7" xfId="7909" xr:uid="{B9DBF8E3-40DC-4B75-924E-1C19C2A088A1}"/>
    <cellStyle name="Normal 3 2 2 2 23 10 8" xfId="7910" xr:uid="{93193BF9-351F-45B6-AB06-FEE63FBBE4EB}"/>
    <cellStyle name="Normal 3 2 2 2 23 10 9" xfId="7911" xr:uid="{0E06521E-107D-4AEC-8393-5FADF7F79BEC}"/>
    <cellStyle name="Normal 3 2 2 2 23 11" xfId="7912" xr:uid="{A5285053-F7AC-4484-ADC2-8318FD9CF8B8}"/>
    <cellStyle name="Normal 3 2 2 2 23 11 2" xfId="7913" xr:uid="{918394F9-B9AA-4C79-9F5D-A459CB11FB95}"/>
    <cellStyle name="Normal 3 2 2 2 23 11 3" xfId="7914" xr:uid="{E9FF6A3A-03D5-4B76-8286-EC8FAD805A48}"/>
    <cellStyle name="Normal 3 2 2 2 23 11 4" xfId="7915" xr:uid="{7D06604B-54C6-48E5-9AD3-0488EE2C40ED}"/>
    <cellStyle name="Normal 3 2 2 2 23 11 5" xfId="7916" xr:uid="{445059E3-ECD8-403D-A34B-4D4D6A400271}"/>
    <cellStyle name="Normal 3 2 2 2 23 11 6" xfId="7917" xr:uid="{BDD4579B-A2D6-42E1-984F-4DE824D329B4}"/>
    <cellStyle name="Normal 3 2 2 2 23 11 7" xfId="7918" xr:uid="{0A591F58-90B1-40D0-AB3F-1593F097FD76}"/>
    <cellStyle name="Normal 3 2 2 2 23 11 8" xfId="7919" xr:uid="{A6E044B8-2DB1-42DA-B5F6-29ADC4628604}"/>
    <cellStyle name="Normal 3 2 2 2 23 12" xfId="7920" xr:uid="{FE662D07-8B5A-454E-A3F5-4B27A545A24B}"/>
    <cellStyle name="Normal 3 2 2 2 23 13" xfId="7921" xr:uid="{268ED5F7-C679-4883-B153-4CB214BBADCC}"/>
    <cellStyle name="Normal 3 2 2 2 23 14" xfId="7922" xr:uid="{A7E12B93-CC1A-45B2-B958-284B31CA5F8E}"/>
    <cellStyle name="Normal 3 2 2 2 23 15" xfId="7923" xr:uid="{85F6AEF6-DD40-4779-A730-FD4F9CE67606}"/>
    <cellStyle name="Normal 3 2 2 2 23 16" xfId="7924" xr:uid="{C8E470D5-353E-4371-81BA-DDD22E85CA51}"/>
    <cellStyle name="Normal 3 2 2 2 23 17" xfId="7925" xr:uid="{AEDD04FB-92D6-408F-A04C-8648D58D456B}"/>
    <cellStyle name="Normal 3 2 2 2 23 2" xfId="7926" xr:uid="{76034C52-2807-48B7-B673-B248CFCAF561}"/>
    <cellStyle name="Normal 3 2 2 2 23 2 10" xfId="7927" xr:uid="{DC2EEF98-0AD4-443C-BA20-F6C1DC1AF6B0}"/>
    <cellStyle name="Normal 3 2 2 2 23 2 10 2" xfId="7928" xr:uid="{78EFC05F-BFC6-463A-8438-94812BF65E4A}"/>
    <cellStyle name="Normal 3 2 2 2 23 2 10 2 2" xfId="7929" xr:uid="{C24340DA-BC2F-4331-8F81-F627A030903B}"/>
    <cellStyle name="Normal 3 2 2 2 23 2 10 2 2 2" xfId="7930" xr:uid="{347C2EA3-B271-4B6A-8CBB-CFFBC67F882E}"/>
    <cellStyle name="Normal 3 2 2 2 23 2 10 2 2 3" xfId="7931" xr:uid="{E921CAD2-8460-4566-BE93-1140948FB7F0}"/>
    <cellStyle name="Normal 3 2 2 2 23 2 10 2 2 4" xfId="7932" xr:uid="{41BC0286-E300-4A4B-9708-37A0AEBB578D}"/>
    <cellStyle name="Normal 3 2 2 2 23 2 10 2 2 5" xfId="7933" xr:uid="{8B5E724A-6974-4107-A42F-4128DEA3AADE}"/>
    <cellStyle name="Normal 3 2 2 2 23 2 10 2 2 6" xfId="7934" xr:uid="{15A52B57-0BE2-4E19-BF96-EDEBF5E84AF6}"/>
    <cellStyle name="Normal 3 2 2 2 23 2 10 2 2 7" xfId="7935" xr:uid="{A84DB163-8CBC-45BA-A3DE-629E2729DD9C}"/>
    <cellStyle name="Normal 3 2 2 2 23 2 10 2 2 8" xfId="7936" xr:uid="{08911FD4-F97C-4D12-8998-519EB74E42A2}"/>
    <cellStyle name="Normal 3 2 2 2 23 2 10 2 3" xfId="7937" xr:uid="{BC3FD21D-2788-4675-933C-4A867FB93C18}"/>
    <cellStyle name="Normal 3 2 2 2 23 2 10 2 4" xfId="7938" xr:uid="{8BA65227-977E-4D1A-BFC0-9D669354A92B}"/>
    <cellStyle name="Normal 3 2 2 2 23 2 10 2 5" xfId="7939" xr:uid="{7D17F216-801D-4943-821A-AFD0728DBF66}"/>
    <cellStyle name="Normal 3 2 2 2 23 2 10 2 6" xfId="7940" xr:uid="{225BF8A9-2D7A-4C15-9BA0-598ECBBB3C94}"/>
    <cellStyle name="Normal 3 2 2 2 23 2 10 2 7" xfId="7941" xr:uid="{5F45FFC9-DF4E-4CF3-82B1-34613334AAC3}"/>
    <cellStyle name="Normal 3 2 2 2 23 2 10 2 8" xfId="7942" xr:uid="{0F21076C-91A1-4CCE-9221-28D517493CDD}"/>
    <cellStyle name="Normal 3 2 2 2 23 2 10 3" xfId="7943" xr:uid="{0E2BEA5A-C3AD-48B6-80BF-BD99D3353386}"/>
    <cellStyle name="Normal 3 2 2 2 23 2 10 4" xfId="7944" xr:uid="{E1E19E04-AF9C-45BA-9ED3-B86D6CCF7BDF}"/>
    <cellStyle name="Normal 3 2 2 2 23 2 10 5" xfId="7945" xr:uid="{EDA45D8E-B78A-4B0B-B41E-CFFF29103D3E}"/>
    <cellStyle name="Normal 3 2 2 2 23 2 10 6" xfId="7946" xr:uid="{2B7FCE57-725F-4BBC-B8C0-240283AB81D7}"/>
    <cellStyle name="Normal 3 2 2 2 23 2 10 7" xfId="7947" xr:uid="{EBDF7872-DAAF-43FF-B539-4C1F9953EF87}"/>
    <cellStyle name="Normal 3 2 2 2 23 2 10 8" xfId="7948" xr:uid="{3355BF87-1EF8-4EFF-97F5-F69647E83311}"/>
    <cellStyle name="Normal 3 2 2 2 23 2 10 9" xfId="7949" xr:uid="{51312443-6F3C-4385-A4C8-E46C1B530C8E}"/>
    <cellStyle name="Normal 3 2 2 2 23 2 11" xfId="7950" xr:uid="{9C5857C2-40A7-4B09-BCBC-473D9190CA74}"/>
    <cellStyle name="Normal 3 2 2 2 23 2 11 2" xfId="7951" xr:uid="{920C4F46-084D-43CD-9AF3-708A834A53B7}"/>
    <cellStyle name="Normal 3 2 2 2 23 2 11 3" xfId="7952" xr:uid="{4D4F5CA8-B2F5-445D-9393-44869434BC3A}"/>
    <cellStyle name="Normal 3 2 2 2 23 2 11 4" xfId="7953" xr:uid="{35194BF1-244F-4B44-A3A1-23FAAC4AFA13}"/>
    <cellStyle name="Normal 3 2 2 2 23 2 11 5" xfId="7954" xr:uid="{820F835F-497D-4AEB-8785-4FB4B85423A6}"/>
    <cellStyle name="Normal 3 2 2 2 23 2 11 6" xfId="7955" xr:uid="{35274999-996F-470E-BEE8-A86AED476D6C}"/>
    <cellStyle name="Normal 3 2 2 2 23 2 11 7" xfId="7956" xr:uid="{9E7EBE0A-1D47-4B8E-9F8C-892AAD7005CE}"/>
    <cellStyle name="Normal 3 2 2 2 23 2 11 8" xfId="7957" xr:uid="{7DB90D8A-3E1D-4A5A-BACB-801714F141BE}"/>
    <cellStyle name="Normal 3 2 2 2 23 2 12" xfId="7958" xr:uid="{F8EB6187-EC7F-4849-9E6C-D6F86DFEEE16}"/>
    <cellStyle name="Normal 3 2 2 2 23 2 13" xfId="7959" xr:uid="{0091C796-E053-4813-89D0-2971E7406F4A}"/>
    <cellStyle name="Normal 3 2 2 2 23 2 14" xfId="7960" xr:uid="{1AFBC714-0E60-4C33-879A-A034DEF3D3C2}"/>
    <cellStyle name="Normal 3 2 2 2 23 2 15" xfId="7961" xr:uid="{5151CDE9-1153-444D-B31D-E2EFD5E84173}"/>
    <cellStyle name="Normal 3 2 2 2 23 2 16" xfId="7962" xr:uid="{4264B567-6AF2-4609-BFAA-86FF79F5EA25}"/>
    <cellStyle name="Normal 3 2 2 2 23 2 17" xfId="7963" xr:uid="{9E1A80DD-45FB-455A-9132-BA008249DCCB}"/>
    <cellStyle name="Normal 3 2 2 2 23 2 2" xfId="7964" xr:uid="{5053E8EB-4961-4E8E-9CA4-F3436D9D10E8}"/>
    <cellStyle name="Normal 3 2 2 2 23 2 2 10" xfId="7965" xr:uid="{74AD6519-2562-4E31-AEB4-77CE54AF4949}"/>
    <cellStyle name="Normal 3 2 2 2 23 2 2 2" xfId="7966" xr:uid="{8645C7DC-89E5-440F-B517-D883CD8593CE}"/>
    <cellStyle name="Normal 3 2 2 2 23 2 2 2 2" xfId="7967" xr:uid="{CA74ED29-945E-478B-8619-9A53D7D85AEC}"/>
    <cellStyle name="Normal 3 2 2 2 23 2 2 2 2 2" xfId="7968" xr:uid="{B2EB635A-839B-404C-99A3-93A8E8AA8F01}"/>
    <cellStyle name="Normal 3 2 2 2 23 2 2 2 2 2 2" xfId="7969" xr:uid="{45AD4642-2910-4AAB-8FC1-96E5A7C6EECD}"/>
    <cellStyle name="Normal 3 2 2 2 23 2 2 2 2 2 3" xfId="7970" xr:uid="{B3222507-66FC-4225-8C62-DDBB39E89AF5}"/>
    <cellStyle name="Normal 3 2 2 2 23 2 2 2 2 2 4" xfId="7971" xr:uid="{33DE3D2E-C338-4E47-BDF1-AC6E76EF1596}"/>
    <cellStyle name="Normal 3 2 2 2 23 2 2 2 2 2 5" xfId="7972" xr:uid="{C09623F3-1975-40B5-896D-4C710B37A7E4}"/>
    <cellStyle name="Normal 3 2 2 2 23 2 2 2 2 2 6" xfId="7973" xr:uid="{655ED90F-4334-43FF-BD5A-4B19A4C79885}"/>
    <cellStyle name="Normal 3 2 2 2 23 2 2 2 2 2 7" xfId="7974" xr:uid="{6AD9450C-6FD4-40DB-B28F-816D688BA820}"/>
    <cellStyle name="Normal 3 2 2 2 23 2 2 2 2 2 8" xfId="7975" xr:uid="{7A5EB406-3A74-41A0-BCAE-44496D3A7178}"/>
    <cellStyle name="Normal 3 2 2 2 23 2 2 2 2 3" xfId="7976" xr:uid="{7778133B-38DB-4B95-A39C-CBD291D15D0C}"/>
    <cellStyle name="Normal 3 2 2 2 23 2 2 2 2 4" xfId="7977" xr:uid="{E7D97098-84B8-4E6D-974F-48C45E21CF64}"/>
    <cellStyle name="Normal 3 2 2 2 23 2 2 2 2 5" xfId="7978" xr:uid="{0F9A5042-9552-4E96-9B20-6412FF56E9BD}"/>
    <cellStyle name="Normal 3 2 2 2 23 2 2 2 2 6" xfId="7979" xr:uid="{4369AB57-D056-4A92-9AE6-D00AB6963045}"/>
    <cellStyle name="Normal 3 2 2 2 23 2 2 2 2 7" xfId="7980" xr:uid="{5FEDE582-202A-4ED7-A239-7B97FAFC9B47}"/>
    <cellStyle name="Normal 3 2 2 2 23 2 2 2 2 8" xfId="7981" xr:uid="{B993A79D-E77D-4F26-AC07-8BC08AC79E6F}"/>
    <cellStyle name="Normal 3 2 2 2 23 2 2 2 3" xfId="7982" xr:uid="{336F0253-C9AC-4027-925D-3F4EFFCAA9A7}"/>
    <cellStyle name="Normal 3 2 2 2 23 2 2 2 4" xfId="7983" xr:uid="{1EB0AFAF-8C70-4A80-9BF3-E36A0862E989}"/>
    <cellStyle name="Normal 3 2 2 2 23 2 2 2 5" xfId="7984" xr:uid="{9B06BD3F-C493-4814-BE2E-95D58E504CF6}"/>
    <cellStyle name="Normal 3 2 2 2 23 2 2 2 6" xfId="7985" xr:uid="{6F6CF9DF-B2A6-45C4-977F-CA6F7C780BF4}"/>
    <cellStyle name="Normal 3 2 2 2 23 2 2 2 7" xfId="7986" xr:uid="{AA1DA9DF-6FD3-480E-84A5-52C9F79405A0}"/>
    <cellStyle name="Normal 3 2 2 2 23 2 2 2 8" xfId="7987" xr:uid="{A4AFF524-7486-4274-A389-CAF584E5462B}"/>
    <cellStyle name="Normal 3 2 2 2 23 2 2 2 9" xfId="7988" xr:uid="{4312A4E4-B56A-4C11-A0A8-AD06938FA51C}"/>
    <cellStyle name="Normal 3 2 2 2 23 2 2 3" xfId="7989" xr:uid="{EAEC9366-F7D6-4B95-ACC1-FB9083EEA86C}"/>
    <cellStyle name="Normal 3 2 2 2 23 2 2 4" xfId="7990" xr:uid="{29E9B383-0FA4-468A-8115-93E000D9D2C8}"/>
    <cellStyle name="Normal 3 2 2 2 23 2 2 4 2" xfId="7991" xr:uid="{1F1357F0-7471-45C2-A4DC-962DA51D2598}"/>
    <cellStyle name="Normal 3 2 2 2 23 2 2 4 3" xfId="7992" xr:uid="{AD701085-99ED-416C-B068-8A868031C60C}"/>
    <cellStyle name="Normal 3 2 2 2 23 2 2 4 4" xfId="7993" xr:uid="{AAA354E0-42B5-492F-9793-2C0E18F7C9F7}"/>
    <cellStyle name="Normal 3 2 2 2 23 2 2 4 5" xfId="7994" xr:uid="{57D03FC3-1778-47EE-AE3A-1813E512F645}"/>
    <cellStyle name="Normal 3 2 2 2 23 2 2 4 6" xfId="7995" xr:uid="{09E196C6-E65C-44DA-9FBE-AB99EDA8D939}"/>
    <cellStyle name="Normal 3 2 2 2 23 2 2 4 7" xfId="7996" xr:uid="{29597A3F-29BD-4BBF-A46C-61AA667226D3}"/>
    <cellStyle name="Normal 3 2 2 2 23 2 2 4 8" xfId="7997" xr:uid="{48EC6E02-C9F1-4DCD-8DCC-9E5C17D6F412}"/>
    <cellStyle name="Normal 3 2 2 2 23 2 2 5" xfId="7998" xr:uid="{A9248623-7BB0-4202-8117-DB518F59D4AC}"/>
    <cellStyle name="Normal 3 2 2 2 23 2 2 6" xfId="7999" xr:uid="{E2252A96-B329-41EF-9711-34310A81D640}"/>
    <cellStyle name="Normal 3 2 2 2 23 2 2 7" xfId="8000" xr:uid="{DFACBD3B-6E29-40D8-951F-B08B532C1ACF}"/>
    <cellStyle name="Normal 3 2 2 2 23 2 2 8" xfId="8001" xr:uid="{EA025671-CEB2-4C01-BD04-818B11BA7C06}"/>
    <cellStyle name="Normal 3 2 2 2 23 2 2 9" xfId="8002" xr:uid="{10B83626-984C-4F6E-856A-53D2EAA72A12}"/>
    <cellStyle name="Normal 3 2 2 2 23 2 3" xfId="8003" xr:uid="{F7C37050-C54D-4A15-AE85-865B2F13EE97}"/>
    <cellStyle name="Normal 3 2 2 2 23 2 4" xfId="8004" xr:uid="{AB59BB87-3CB9-480C-8C39-AE31831070A2}"/>
    <cellStyle name="Normal 3 2 2 2 23 2 5" xfId="8005" xr:uid="{47EAB52E-64D3-4453-AED5-6037B30A6A1C}"/>
    <cellStyle name="Normal 3 2 2 2 23 2 6" xfId="8006" xr:uid="{1CADD47F-DFBD-42E0-8029-F04B8AD3799E}"/>
    <cellStyle name="Normal 3 2 2 2 23 2 7" xfId="8007" xr:uid="{86FED2C9-4BB4-400B-AD88-7C422E1C6737}"/>
    <cellStyle name="Normal 3 2 2 2 23 2 8" xfId="8008" xr:uid="{CB764DDF-E2C6-4BB6-9D2C-734C2ED46034}"/>
    <cellStyle name="Normal 3 2 2 2 23 2 9" xfId="8009" xr:uid="{B20CE70B-0C5B-45D4-B26E-27C0D8EA4960}"/>
    <cellStyle name="Normal 3 2 2 2 23 3" xfId="8010" xr:uid="{A15407B4-93C1-4F54-AE38-A0D500D74D62}"/>
    <cellStyle name="Normal 3 2 2 2 23 3 10" xfId="8011" xr:uid="{2B2142BF-645B-4C32-A8A6-31B8F93A31EE}"/>
    <cellStyle name="Normal 3 2 2 2 23 3 2" xfId="8012" xr:uid="{9E0BD3DC-7AF1-49D2-B0FA-3B995C16F286}"/>
    <cellStyle name="Normal 3 2 2 2 23 3 2 2" xfId="8013" xr:uid="{5AB20859-34C7-4750-8E00-A1E31AE0A66D}"/>
    <cellStyle name="Normal 3 2 2 2 23 3 2 2 2" xfId="8014" xr:uid="{165A4CA9-362E-4947-84FF-513A0AC3A4A8}"/>
    <cellStyle name="Normal 3 2 2 2 23 3 2 2 2 2" xfId="8015" xr:uid="{F58A7A0F-BCFA-442A-81DF-D09E6577B994}"/>
    <cellStyle name="Normal 3 2 2 2 23 3 2 2 2 3" xfId="8016" xr:uid="{55E76768-D58C-4DB5-B87B-A991D1396BC4}"/>
    <cellStyle name="Normal 3 2 2 2 23 3 2 2 2 4" xfId="8017" xr:uid="{529F5115-7F20-47B6-A479-123910429257}"/>
    <cellStyle name="Normal 3 2 2 2 23 3 2 2 2 5" xfId="8018" xr:uid="{5627F349-5271-45C0-97F0-D4AC27C31FD8}"/>
    <cellStyle name="Normal 3 2 2 2 23 3 2 2 2 6" xfId="8019" xr:uid="{3EE4970A-D639-4096-A320-FFD39C51205D}"/>
    <cellStyle name="Normal 3 2 2 2 23 3 2 2 2 7" xfId="8020" xr:uid="{286F130A-2368-49A4-B7C8-56BBD69E6CEF}"/>
    <cellStyle name="Normal 3 2 2 2 23 3 2 2 2 8" xfId="8021" xr:uid="{FF537007-A048-4436-A716-5BB9F14B0E2C}"/>
    <cellStyle name="Normal 3 2 2 2 23 3 2 2 3" xfId="8022" xr:uid="{6796A545-34E6-4A1A-97DB-6DC45B84B668}"/>
    <cellStyle name="Normal 3 2 2 2 23 3 2 2 4" xfId="8023" xr:uid="{7404958D-ADB6-47C6-97D1-2000D65C5159}"/>
    <cellStyle name="Normal 3 2 2 2 23 3 2 2 5" xfId="8024" xr:uid="{5A255F8F-F504-4887-BA34-FD90DAC342FC}"/>
    <cellStyle name="Normal 3 2 2 2 23 3 2 2 6" xfId="8025" xr:uid="{F1EF0DF1-41C3-449B-9FA4-0F7D36F2EC14}"/>
    <cellStyle name="Normal 3 2 2 2 23 3 2 2 7" xfId="8026" xr:uid="{574A5999-4D43-490C-AF20-A90BAE20D8F5}"/>
    <cellStyle name="Normal 3 2 2 2 23 3 2 2 8" xfId="8027" xr:uid="{D92D021C-282B-4734-9D23-849C890839FC}"/>
    <cellStyle name="Normal 3 2 2 2 23 3 2 3" xfId="8028" xr:uid="{DF1147B6-C871-4BEC-96D7-4BCF8D53E2C9}"/>
    <cellStyle name="Normal 3 2 2 2 23 3 2 4" xfId="8029" xr:uid="{93AD4C16-7A1D-4157-AFE8-815BD5614224}"/>
    <cellStyle name="Normal 3 2 2 2 23 3 2 5" xfId="8030" xr:uid="{5ECC12E6-AB31-40A5-9A77-FF055CDA8253}"/>
    <cellStyle name="Normal 3 2 2 2 23 3 2 6" xfId="8031" xr:uid="{1516E9C7-B7C5-4A4A-B397-63DF3860D7B1}"/>
    <cellStyle name="Normal 3 2 2 2 23 3 2 7" xfId="8032" xr:uid="{6717B30F-F747-4358-AF6E-AD03E4C985B1}"/>
    <cellStyle name="Normal 3 2 2 2 23 3 2 8" xfId="8033" xr:uid="{802188BF-6D9D-4C66-8569-FBFE6E4B1A11}"/>
    <cellStyle name="Normal 3 2 2 2 23 3 2 9" xfId="8034" xr:uid="{C716B9A8-A33C-4633-B184-D86805FC3E07}"/>
    <cellStyle name="Normal 3 2 2 2 23 3 3" xfId="8035" xr:uid="{9232AFA8-AC93-4A01-9DE1-880A7645B28D}"/>
    <cellStyle name="Normal 3 2 2 2 23 3 4" xfId="8036" xr:uid="{15D4308D-08B4-441D-84E0-7768795E90A3}"/>
    <cellStyle name="Normal 3 2 2 2 23 3 4 2" xfId="8037" xr:uid="{B3FB4878-1541-4651-B6F4-54BA36CF6F97}"/>
    <cellStyle name="Normal 3 2 2 2 23 3 4 3" xfId="8038" xr:uid="{F7AE32EA-82C2-4DE5-9833-D38C657C2C73}"/>
    <cellStyle name="Normal 3 2 2 2 23 3 4 4" xfId="8039" xr:uid="{B666DD0C-E433-4F98-97E6-8593B307A3FB}"/>
    <cellStyle name="Normal 3 2 2 2 23 3 4 5" xfId="8040" xr:uid="{D15B3D28-5A0A-4661-AA33-80348181F02F}"/>
    <cellStyle name="Normal 3 2 2 2 23 3 4 6" xfId="8041" xr:uid="{A3B879CD-FFE7-4A50-A43B-1F69FF886322}"/>
    <cellStyle name="Normal 3 2 2 2 23 3 4 7" xfId="8042" xr:uid="{1E5B6050-627E-4491-92A4-667CDA40544C}"/>
    <cellStyle name="Normal 3 2 2 2 23 3 4 8" xfId="8043" xr:uid="{42DA33B2-7DEE-4141-9DC4-198EBBC773EB}"/>
    <cellStyle name="Normal 3 2 2 2 23 3 5" xfId="8044" xr:uid="{9E4AC082-72BC-4E8E-883C-20CE7671FD8B}"/>
    <cellStyle name="Normal 3 2 2 2 23 3 6" xfId="8045" xr:uid="{6008C70A-0CFE-45E0-90F8-309E5B355A96}"/>
    <cellStyle name="Normal 3 2 2 2 23 3 7" xfId="8046" xr:uid="{B96902D1-6E0D-4F3D-8A64-4C6E4FE6CB39}"/>
    <cellStyle name="Normal 3 2 2 2 23 3 8" xfId="8047" xr:uid="{FF24A1DE-526A-4132-A93A-EC4112CE8DFC}"/>
    <cellStyle name="Normal 3 2 2 2 23 3 9" xfId="8048" xr:uid="{8C42C9C2-DF42-4741-9733-95F697CCB15E}"/>
    <cellStyle name="Normal 3 2 2 2 23 4" xfId="8049" xr:uid="{0438B68C-DC75-4D0F-9CE8-CF0CE65B28A0}"/>
    <cellStyle name="Normal 3 2 2 2 23 5" xfId="8050" xr:uid="{FA49A0AA-7BB9-4221-87F5-AFE5480DB8CE}"/>
    <cellStyle name="Normal 3 2 2 2 23 6" xfId="8051" xr:uid="{E3A02E8D-4C1D-4BA9-ABF0-77BE9BD91602}"/>
    <cellStyle name="Normal 3 2 2 2 23 7" xfId="8052" xr:uid="{454C3FAE-FA93-410F-B859-CA70EFF1ED6B}"/>
    <cellStyle name="Normal 3 2 2 2 23 8" xfId="8053" xr:uid="{3A6D211D-EB7B-40C0-8A65-0C21D459C904}"/>
    <cellStyle name="Normal 3 2 2 2 23 9" xfId="8054" xr:uid="{2CF6F903-9941-46C0-BDB3-BBC5858E2349}"/>
    <cellStyle name="Normal 3 2 2 2 24" xfId="8055" xr:uid="{FCDBC063-36C2-49F4-8D57-93CF5A45FA3D}"/>
    <cellStyle name="Normal 3 2 2 2 25" xfId="8056" xr:uid="{8E90BA49-70A4-4ABE-9F25-2A122385D224}"/>
    <cellStyle name="Normal 3 2 2 2 26" xfId="8057" xr:uid="{B04F5D53-0816-472E-BD27-58FD45ECF680}"/>
    <cellStyle name="Normal 3 2 2 2 27" xfId="8058" xr:uid="{C255F3E8-67AD-4B32-A7D3-EE0408DD6A69}"/>
    <cellStyle name="Normal 3 2 2 2 28" xfId="8059" xr:uid="{50272AB1-65AE-4CE5-8929-94459DF5D868}"/>
    <cellStyle name="Normal 3 2 2 2 28 10" xfId="8060" xr:uid="{BA956D0B-0255-4777-B7C7-28ADE5EAB7EA}"/>
    <cellStyle name="Normal 3 2 2 2 28 2" xfId="8061" xr:uid="{1E5C4AF9-A123-4305-9C8E-32106762BDE3}"/>
    <cellStyle name="Normal 3 2 2 2 28 2 2" xfId="8062" xr:uid="{1C761AA4-FE2C-4AF7-B886-E93CEB50CF22}"/>
    <cellStyle name="Normal 3 2 2 2 28 2 2 2" xfId="8063" xr:uid="{9948BD86-E4E4-4778-8F3A-B09B04626FCD}"/>
    <cellStyle name="Normal 3 2 2 2 28 2 2 2 2" xfId="8064" xr:uid="{AAF8E365-3BA8-4469-9C37-DAAD30BEFC28}"/>
    <cellStyle name="Normal 3 2 2 2 28 2 2 2 3" xfId="8065" xr:uid="{4A797321-BD01-449E-A7CB-A468DC435815}"/>
    <cellStyle name="Normal 3 2 2 2 28 2 2 2 4" xfId="8066" xr:uid="{1F51B92E-F3D9-4DDB-9FAD-1FF74E0C56C0}"/>
    <cellStyle name="Normal 3 2 2 2 28 2 2 2 5" xfId="8067" xr:uid="{3B05D58B-6243-4CF5-AC2D-7B34DF4813C8}"/>
    <cellStyle name="Normal 3 2 2 2 28 2 2 2 6" xfId="8068" xr:uid="{1C1497BB-115B-4403-8017-12E343DA4C86}"/>
    <cellStyle name="Normal 3 2 2 2 28 2 2 2 7" xfId="8069" xr:uid="{AED4F06A-A849-48F2-B75A-1D33B471E0EA}"/>
    <cellStyle name="Normal 3 2 2 2 28 2 2 2 8" xfId="8070" xr:uid="{EC2196F1-ED26-497A-9CB2-5A58C27238C2}"/>
    <cellStyle name="Normal 3 2 2 2 28 2 2 3" xfId="8071" xr:uid="{3BC35BA7-6CF1-4292-ADDF-A4CA07E87D28}"/>
    <cellStyle name="Normal 3 2 2 2 28 2 2 4" xfId="8072" xr:uid="{2A50E328-812B-4D40-8B07-01653046178E}"/>
    <cellStyle name="Normal 3 2 2 2 28 2 2 5" xfId="8073" xr:uid="{0B93F728-E727-44C3-B798-FB1DE29BD132}"/>
    <cellStyle name="Normal 3 2 2 2 28 2 2 6" xfId="8074" xr:uid="{A523CE00-4DE1-4B8F-9213-285B6F4EEC82}"/>
    <cellStyle name="Normal 3 2 2 2 28 2 2 7" xfId="8075" xr:uid="{8EB77F44-8519-4372-9820-66E5F1D22474}"/>
    <cellStyle name="Normal 3 2 2 2 28 2 2 8" xfId="8076" xr:uid="{201C378D-4F2E-4E4B-8FAA-C1133D716ED9}"/>
    <cellStyle name="Normal 3 2 2 2 28 2 3" xfId="8077" xr:uid="{096EA71D-9CA3-4257-8E6D-74E3FEDA161E}"/>
    <cellStyle name="Normal 3 2 2 2 28 2 4" xfId="8078" xr:uid="{DF4A4C1E-F125-4331-942A-B4706B3546C2}"/>
    <cellStyle name="Normal 3 2 2 2 28 2 5" xfId="8079" xr:uid="{C1751906-9C4D-4A2F-9005-F6EDE20AF610}"/>
    <cellStyle name="Normal 3 2 2 2 28 2 6" xfId="8080" xr:uid="{AC71F26A-7033-432B-A069-82170475931A}"/>
    <cellStyle name="Normal 3 2 2 2 28 2 7" xfId="8081" xr:uid="{E4F33184-B533-4AB8-B33C-E863CFF0F8CE}"/>
    <cellStyle name="Normal 3 2 2 2 28 2 8" xfId="8082" xr:uid="{350C1711-E1CF-43D0-8D54-5DAA59EA6188}"/>
    <cellStyle name="Normal 3 2 2 2 28 2 9" xfId="8083" xr:uid="{73A62A67-5C04-40D5-B459-A8D1DC31953C}"/>
    <cellStyle name="Normal 3 2 2 2 28 3" xfId="8084" xr:uid="{1C9E63E1-7604-4CC7-8672-CF7CB6AEDA2A}"/>
    <cellStyle name="Normal 3 2 2 2 28 4" xfId="8085" xr:uid="{C4778ACB-1778-41E8-9CCC-04E2C87F0443}"/>
    <cellStyle name="Normal 3 2 2 2 28 4 2" xfId="8086" xr:uid="{027A5F76-68FF-44AB-9141-3A90C11B0EB0}"/>
    <cellStyle name="Normal 3 2 2 2 28 4 3" xfId="8087" xr:uid="{03C19CEF-FA78-4148-B89C-8BF2E1093502}"/>
    <cellStyle name="Normal 3 2 2 2 28 4 4" xfId="8088" xr:uid="{A24D6189-A6AC-4128-BDEA-E4DBC353AA41}"/>
    <cellStyle name="Normal 3 2 2 2 28 4 5" xfId="8089" xr:uid="{E85BD1D0-F57A-48B7-B4C8-651217B12B1A}"/>
    <cellStyle name="Normal 3 2 2 2 28 4 6" xfId="8090" xr:uid="{CADF3DE4-1324-4EEF-9461-8094DEA8C4C4}"/>
    <cellStyle name="Normal 3 2 2 2 28 4 7" xfId="8091" xr:uid="{D89293E7-89AB-4EF8-AF58-BC7372C816CA}"/>
    <cellStyle name="Normal 3 2 2 2 28 4 8" xfId="8092" xr:uid="{0076EEC8-F911-4A5F-80A8-FA19F772E876}"/>
    <cellStyle name="Normal 3 2 2 2 28 5" xfId="8093" xr:uid="{712DA5BA-0147-4523-9228-70F3EB56093D}"/>
    <cellStyle name="Normal 3 2 2 2 28 6" xfId="8094" xr:uid="{380FC397-EA70-4B1C-87D0-912204D48991}"/>
    <cellStyle name="Normal 3 2 2 2 28 7" xfId="8095" xr:uid="{B88DD0D0-6911-4017-8BD9-534700517E8D}"/>
    <cellStyle name="Normal 3 2 2 2 28 8" xfId="8096" xr:uid="{9222170D-77FE-484B-8492-697151CF77F7}"/>
    <cellStyle name="Normal 3 2 2 2 28 9" xfId="8097" xr:uid="{B931BC24-FA55-4A48-B079-52EDE535A0C1}"/>
    <cellStyle name="Normal 3 2 2 2 29" xfId="8098" xr:uid="{FE8FE769-F63F-4176-A539-B8540978A1CC}"/>
    <cellStyle name="Normal 3 2 2 2 3" xfId="8099" xr:uid="{4FB7BCF1-EF84-44B2-A4C9-C5F6DD6753E9}"/>
    <cellStyle name="Normal 3 2 2 2 30" xfId="8100" xr:uid="{AED9B5D1-D30C-4D07-B9CD-1008A3626698}"/>
    <cellStyle name="Normal 3 2 2 2 31" xfId="8101" xr:uid="{C41FA200-80B3-45A0-BD34-43062969A63C}"/>
    <cellStyle name="Normal 3 2 2 2 32" xfId="8102" xr:uid="{A088ABAF-C0B1-492F-B3E0-67E012D958D0}"/>
    <cellStyle name="Normal 3 2 2 2 33" xfId="8103" xr:uid="{24BE1C0D-9329-48F5-85FC-E5A6350DF38E}"/>
    <cellStyle name="Normal 3 2 2 2 34" xfId="8104" xr:uid="{8EEC6552-5DD5-4AF6-8701-675AC08A555E}"/>
    <cellStyle name="Normal 3 2 2 2 35" xfId="8105" xr:uid="{9D2EAA19-8878-4B87-940A-A1508CD7B531}"/>
    <cellStyle name="Normal 3 2 2 2 36" xfId="8106" xr:uid="{2536E5C4-0F57-41A4-ACD4-23F99974A1E2}"/>
    <cellStyle name="Normal 3 2 2 2 36 2" xfId="8107" xr:uid="{6C7E9BE8-810B-4C2C-81E0-72DA9EDED623}"/>
    <cellStyle name="Normal 3 2 2 2 36 2 2" xfId="8108" xr:uid="{945FA6CE-960A-4EA8-AE7C-31F55C7B4F74}"/>
    <cellStyle name="Normal 3 2 2 2 36 2 2 2" xfId="8109" xr:uid="{4F92DE1F-430F-4CAF-847F-76CF212F6742}"/>
    <cellStyle name="Normal 3 2 2 2 36 2 2 3" xfId="8110" xr:uid="{3CB15EC9-3366-43EC-AD91-91672E3F00B0}"/>
    <cellStyle name="Normal 3 2 2 2 36 2 2 4" xfId="8111" xr:uid="{C9C75ED0-40F4-4273-91FA-0130E1014E3E}"/>
    <cellStyle name="Normal 3 2 2 2 36 2 2 5" xfId="8112" xr:uid="{72B470B1-A6B1-454F-BB06-021544BC1326}"/>
    <cellStyle name="Normal 3 2 2 2 36 2 2 6" xfId="8113" xr:uid="{481A22A3-1E27-44BC-974D-A70ACE73F299}"/>
    <cellStyle name="Normal 3 2 2 2 36 2 2 7" xfId="8114" xr:uid="{39E21F31-A3C5-416F-9342-761F6BB4A430}"/>
    <cellStyle name="Normal 3 2 2 2 36 2 2 8" xfId="8115" xr:uid="{98D7FA64-2D95-4C37-B30F-C0B77B27364E}"/>
    <cellStyle name="Normal 3 2 2 2 36 2 3" xfId="8116" xr:uid="{7F09F32E-E76E-4F75-860E-CE4643F162C8}"/>
    <cellStyle name="Normal 3 2 2 2 36 2 4" xfId="8117" xr:uid="{3BA10582-D366-4DCD-B2F4-C9B02CFE7363}"/>
    <cellStyle name="Normal 3 2 2 2 36 2 5" xfId="8118" xr:uid="{4ACE6C4A-A9A8-4646-B6FD-C1FED29CF2DF}"/>
    <cellStyle name="Normal 3 2 2 2 36 2 6" xfId="8119" xr:uid="{8A9B348C-51F3-44AA-B469-AE2CA3031260}"/>
    <cellStyle name="Normal 3 2 2 2 36 2 7" xfId="8120" xr:uid="{9C4DFF7B-ECB5-4B19-A71E-49CC6B25D78F}"/>
    <cellStyle name="Normal 3 2 2 2 36 2 8" xfId="8121" xr:uid="{7DC6C8BF-8858-43EF-A486-B1BAE3F9F2EF}"/>
    <cellStyle name="Normal 3 2 2 2 36 3" xfId="8122" xr:uid="{956002DA-A68E-4D63-ABF8-1E366C9576B6}"/>
    <cellStyle name="Normal 3 2 2 2 36 4" xfId="8123" xr:uid="{E89E9B0D-4514-4FBA-859C-1362B2795347}"/>
    <cellStyle name="Normal 3 2 2 2 36 5" xfId="8124" xr:uid="{03DFEE59-784C-4700-AAC2-BABF0AC98053}"/>
    <cellStyle name="Normal 3 2 2 2 36 6" xfId="8125" xr:uid="{7777624C-172E-4A51-B04E-747E8CDC1390}"/>
    <cellStyle name="Normal 3 2 2 2 36 7" xfId="8126" xr:uid="{D30CEC16-109A-4B93-82FE-EF749C6B5182}"/>
    <cellStyle name="Normal 3 2 2 2 36 8" xfId="8127" xr:uid="{8A83CA51-5F68-4863-883E-E0CCE9C8122D}"/>
    <cellStyle name="Normal 3 2 2 2 36 9" xfId="8128" xr:uid="{B07E93DB-789D-4B0F-BA9A-749ECD1BB1EE}"/>
    <cellStyle name="Normal 3 2 2 2 37" xfId="8129" xr:uid="{2F2DFA04-07F1-445E-B332-44966496B4CA}"/>
    <cellStyle name="Normal 3 2 2 2 37 2" xfId="8130" xr:uid="{FAFB97C3-B062-4624-9B25-C7CF94B1444C}"/>
    <cellStyle name="Normal 3 2 2 2 37 3" xfId="8131" xr:uid="{A4E69059-6CA8-455C-9375-F6570904BA2D}"/>
    <cellStyle name="Normal 3 2 2 2 37 4" xfId="8132" xr:uid="{590D3A01-F02B-478B-9350-24421F2F90EB}"/>
    <cellStyle name="Normal 3 2 2 2 37 5" xfId="8133" xr:uid="{141A38F9-D682-4BBB-A3EE-1A60E5D29A86}"/>
    <cellStyle name="Normal 3 2 2 2 37 6" xfId="8134" xr:uid="{7DB6CE59-D9C7-4DAA-8A73-49C8531EE801}"/>
    <cellStyle name="Normal 3 2 2 2 37 7" xfId="8135" xr:uid="{94681DB9-FA74-4796-8327-B78A923BD877}"/>
    <cellStyle name="Normal 3 2 2 2 37 8" xfId="8136" xr:uid="{5DC75307-B27C-4286-853D-0C2905EFA93C}"/>
    <cellStyle name="Normal 3 2 2 2 38" xfId="8137" xr:uid="{3B7E7B9B-832B-46BA-AC6A-7E82E03D2810}"/>
    <cellStyle name="Normal 3 2 2 2 39" xfId="8138" xr:uid="{FE507D36-DFD0-4890-911A-BD33FF2EC6D8}"/>
    <cellStyle name="Normal 3 2 2 2 4" xfId="8139" xr:uid="{1A4C2F39-DCA5-4751-9358-E447C77B9E55}"/>
    <cellStyle name="Normal 3 2 2 2 40" xfId="8140" xr:uid="{A046F567-D8E5-4D53-A18D-134852E279B4}"/>
    <cellStyle name="Normal 3 2 2 2 41" xfId="8141" xr:uid="{49A5F80B-CA2A-4D99-8148-5C2B75DBD798}"/>
    <cellStyle name="Normal 3 2 2 2 42" xfId="8142" xr:uid="{B826BE8F-19BE-4D09-9483-783F64E561BD}"/>
    <cellStyle name="Normal 3 2 2 2 43" xfId="8143" xr:uid="{D9524B49-A969-49C1-9A5F-D89C2BEB4D24}"/>
    <cellStyle name="Normal 3 2 2 2 5" xfId="8144" xr:uid="{2FECA6B4-CFC3-48CD-A7B4-2C81E41F85CA}"/>
    <cellStyle name="Normal 3 2 2 2 6" xfId="8145" xr:uid="{7799743F-D37E-412A-AB7C-217ADACF5E9F}"/>
    <cellStyle name="Normal 3 2 2 2 7" xfId="8146" xr:uid="{3A3660C4-CE0B-44D7-82EB-988AC77A7D9F}"/>
    <cellStyle name="Normal 3 2 2 2 8" xfId="8147" xr:uid="{65E665FA-E323-4FB5-B216-A9E48F4BDAAA}"/>
    <cellStyle name="Normal 3 2 2 2 9" xfId="8148" xr:uid="{DCA9AFA3-EF04-44E5-9BB7-1BA2185AA88A}"/>
    <cellStyle name="Normal 3 2 2 20" xfId="8149" xr:uid="{8B021947-DB65-467A-B349-E09D1F62D55B}"/>
    <cellStyle name="Normal 3 2 2 21" xfId="8150" xr:uid="{8CA71576-7F8B-4B9F-8566-11C745124121}"/>
    <cellStyle name="Normal 3 2 2 22" xfId="8151" xr:uid="{C98C78A6-DC41-442E-BDE5-9D77314790BD}"/>
    <cellStyle name="Normal 3 2 2 23" xfId="8152" xr:uid="{F23051F9-0177-49F5-9A62-BB0631F6F26D}"/>
    <cellStyle name="Normal 3 2 2 23 10" xfId="8153" xr:uid="{64657D3E-0E2A-4B96-94B1-197A75A1CA60}"/>
    <cellStyle name="Normal 3 2 2 23 10 2" xfId="8154" xr:uid="{6061CB0A-4DE0-44D0-8156-D28FC684A2D3}"/>
    <cellStyle name="Normal 3 2 2 23 10 2 2" xfId="8155" xr:uid="{983BA672-B36E-4A2C-9569-47C3786E1CE7}"/>
    <cellStyle name="Normal 3 2 2 23 10 2 2 2" xfId="8156" xr:uid="{E0DBB2B7-BC00-4AB5-B713-DDE77F7E5957}"/>
    <cellStyle name="Normal 3 2 2 23 10 2 2 3" xfId="8157" xr:uid="{1B2EEDDD-0366-4A4F-A08C-197DB90B27C2}"/>
    <cellStyle name="Normal 3 2 2 23 10 2 2 4" xfId="8158" xr:uid="{58CE4DCC-7AB8-4CAC-BB02-9FE72C13D819}"/>
    <cellStyle name="Normal 3 2 2 23 10 2 2 5" xfId="8159" xr:uid="{E11D09D3-3A56-4CE3-AB1A-6090A1198291}"/>
    <cellStyle name="Normal 3 2 2 23 10 2 2 6" xfId="8160" xr:uid="{09FE7AD3-1D9B-4A0E-B79D-EE49918AAE9B}"/>
    <cellStyle name="Normal 3 2 2 23 10 2 2 7" xfId="8161" xr:uid="{78F5BFC4-4C1A-46F3-9C83-80F579AE56CA}"/>
    <cellStyle name="Normal 3 2 2 23 10 2 2 8" xfId="8162" xr:uid="{EE63E45A-6352-44B5-8DDC-C26131269612}"/>
    <cellStyle name="Normal 3 2 2 23 10 2 3" xfId="8163" xr:uid="{673443BB-51E9-491A-80E8-E7E53913F51E}"/>
    <cellStyle name="Normal 3 2 2 23 10 2 4" xfId="8164" xr:uid="{5E9C0F75-0E58-487C-B795-5991BE017022}"/>
    <cellStyle name="Normal 3 2 2 23 10 2 5" xfId="8165" xr:uid="{B35A58F6-2293-4FA7-9731-44A998001C7A}"/>
    <cellStyle name="Normal 3 2 2 23 10 2 6" xfId="8166" xr:uid="{7E9A2A91-6ED1-4CCA-AA7E-CC325449A147}"/>
    <cellStyle name="Normal 3 2 2 23 10 2 7" xfId="8167" xr:uid="{EF29C10A-E0B4-4334-9A96-7BBC3FC87FF4}"/>
    <cellStyle name="Normal 3 2 2 23 10 2 8" xfId="8168" xr:uid="{3E5932C9-078D-45D7-8FB5-F900DC9075F1}"/>
    <cellStyle name="Normal 3 2 2 23 10 3" xfId="8169" xr:uid="{8F1EA26A-0B17-458C-8BA5-9F78CB6C025B}"/>
    <cellStyle name="Normal 3 2 2 23 10 4" xfId="8170" xr:uid="{C3DD7962-7143-4467-BC41-4E4F2B7C0E03}"/>
    <cellStyle name="Normal 3 2 2 23 10 5" xfId="8171" xr:uid="{C014BADD-E6F9-4CD1-90DA-C4956B7A037C}"/>
    <cellStyle name="Normal 3 2 2 23 10 6" xfId="8172" xr:uid="{2C5C8C6F-9165-4C1E-B592-1919FD3DCE1A}"/>
    <cellStyle name="Normal 3 2 2 23 10 7" xfId="8173" xr:uid="{263FE1AA-9DAB-4EC3-991B-B8B6A3463AFA}"/>
    <cellStyle name="Normal 3 2 2 23 10 8" xfId="8174" xr:uid="{5A7BB53B-2951-4A1B-A085-5469F2A2974F}"/>
    <cellStyle name="Normal 3 2 2 23 10 9" xfId="8175" xr:uid="{5B71872A-F237-4447-8381-317B322E1371}"/>
    <cellStyle name="Normal 3 2 2 23 11" xfId="8176" xr:uid="{A19ABA60-F1B1-41A7-B3EF-C4D9FB9E684A}"/>
    <cellStyle name="Normal 3 2 2 23 11 2" xfId="8177" xr:uid="{9F63CA61-CBE5-4072-AF69-40FD6998170F}"/>
    <cellStyle name="Normal 3 2 2 23 11 3" xfId="8178" xr:uid="{B9695AA3-EE2E-495E-960D-05BF9A9397C0}"/>
    <cellStyle name="Normal 3 2 2 23 11 4" xfId="8179" xr:uid="{A4E06B92-6EEB-440F-80B6-9244EB06EFEB}"/>
    <cellStyle name="Normal 3 2 2 23 11 5" xfId="8180" xr:uid="{0BEAFB76-BBF3-42D8-A59A-BEE90E3ACF38}"/>
    <cellStyle name="Normal 3 2 2 23 11 6" xfId="8181" xr:uid="{CFCDAF8E-E7F5-4284-8662-2E73B4430199}"/>
    <cellStyle name="Normal 3 2 2 23 11 7" xfId="8182" xr:uid="{8B5C7368-BEDB-48FA-9CB1-A8E8BCED2DD2}"/>
    <cellStyle name="Normal 3 2 2 23 11 8" xfId="8183" xr:uid="{49921B5E-3D61-4688-8E2B-65E88188B849}"/>
    <cellStyle name="Normal 3 2 2 23 12" xfId="8184" xr:uid="{13CF4CE0-B0E7-4698-A76C-5EE3BFF7E3AB}"/>
    <cellStyle name="Normal 3 2 2 23 13" xfId="8185" xr:uid="{BC721B3D-05F9-48B6-8895-8D0B98CFB768}"/>
    <cellStyle name="Normal 3 2 2 23 14" xfId="8186" xr:uid="{4AB40052-66E7-4098-95FF-25CEA51CB126}"/>
    <cellStyle name="Normal 3 2 2 23 15" xfId="8187" xr:uid="{DC7A35BD-E2B2-4BE0-96AD-DF9C053ABE96}"/>
    <cellStyle name="Normal 3 2 2 23 16" xfId="8188" xr:uid="{63DFD0FE-C2CB-4199-B14B-5DD6D81612B5}"/>
    <cellStyle name="Normal 3 2 2 23 17" xfId="8189" xr:uid="{C14C74A3-C193-48C2-B304-03E6709FC490}"/>
    <cellStyle name="Normal 3 2 2 23 2" xfId="8190" xr:uid="{EE300946-8176-4FC4-ABAD-2E6975E8356A}"/>
    <cellStyle name="Normal 3 2 2 23 2 10" xfId="8191" xr:uid="{453B86D2-A2C1-40EF-9BAA-FDFB857E45F7}"/>
    <cellStyle name="Normal 3 2 2 23 2 10 2" xfId="8192" xr:uid="{50268A70-5810-4A72-8682-025690C6B0B7}"/>
    <cellStyle name="Normal 3 2 2 23 2 10 2 2" xfId="8193" xr:uid="{98108C15-773B-41B2-93A9-523833A8032B}"/>
    <cellStyle name="Normal 3 2 2 23 2 10 2 2 2" xfId="8194" xr:uid="{FC80568D-E7B9-4DE2-A25D-03EA920D9C88}"/>
    <cellStyle name="Normal 3 2 2 23 2 10 2 2 3" xfId="8195" xr:uid="{F286762C-2ECE-4D14-B5F5-7DFB72C5DFF2}"/>
    <cellStyle name="Normal 3 2 2 23 2 10 2 2 4" xfId="8196" xr:uid="{07047908-69FC-4D0C-A645-86A5DF72D2CB}"/>
    <cellStyle name="Normal 3 2 2 23 2 10 2 2 5" xfId="8197" xr:uid="{E4E1B7A0-A484-4D16-A1CE-172FDD01C50D}"/>
    <cellStyle name="Normal 3 2 2 23 2 10 2 2 6" xfId="8198" xr:uid="{4E6936DB-8D4D-4F5C-B14F-39A3D6820BFD}"/>
    <cellStyle name="Normal 3 2 2 23 2 10 2 2 7" xfId="8199" xr:uid="{B5B09A4C-DAB8-4AF6-9B52-2557C4FB9C2D}"/>
    <cellStyle name="Normal 3 2 2 23 2 10 2 2 8" xfId="8200" xr:uid="{16FDF2C0-C400-4793-99C7-24A752474FE6}"/>
    <cellStyle name="Normal 3 2 2 23 2 10 2 3" xfId="8201" xr:uid="{17727312-CBF9-4BFD-A4C9-ACD9127FC7CC}"/>
    <cellStyle name="Normal 3 2 2 23 2 10 2 4" xfId="8202" xr:uid="{39C98517-435A-4D3C-B6AD-6DAE1513436B}"/>
    <cellStyle name="Normal 3 2 2 23 2 10 2 5" xfId="8203" xr:uid="{B9D36BB1-4BF5-4AD7-9911-C3FAC33A9008}"/>
    <cellStyle name="Normal 3 2 2 23 2 10 2 6" xfId="8204" xr:uid="{26688547-F044-410B-9247-852AF9E09F38}"/>
    <cellStyle name="Normal 3 2 2 23 2 10 2 7" xfId="8205" xr:uid="{59F72877-DCAE-48E7-8E4A-1AC09CE2F2A0}"/>
    <cellStyle name="Normal 3 2 2 23 2 10 2 8" xfId="8206" xr:uid="{33DB2BA5-84D1-4602-85F7-F68ED8EA74E7}"/>
    <cellStyle name="Normal 3 2 2 23 2 10 3" xfId="8207" xr:uid="{CE952F6E-333E-43A0-A1B3-340D88E07EBE}"/>
    <cellStyle name="Normal 3 2 2 23 2 10 4" xfId="8208" xr:uid="{ED5288A9-52A3-4E79-9163-F33CA2FC872A}"/>
    <cellStyle name="Normal 3 2 2 23 2 10 5" xfId="8209" xr:uid="{141B39CE-CA8A-47E6-9F97-24EB5C4ED854}"/>
    <cellStyle name="Normal 3 2 2 23 2 10 6" xfId="8210" xr:uid="{7AEFC96A-3C08-44F3-9D74-27FCD94F4A81}"/>
    <cellStyle name="Normal 3 2 2 23 2 10 7" xfId="8211" xr:uid="{A84E4DE5-4B3A-4FFE-BB30-C729B15A425A}"/>
    <cellStyle name="Normal 3 2 2 23 2 10 8" xfId="8212" xr:uid="{2D618D77-9BE9-4729-B31F-23B426DC24B7}"/>
    <cellStyle name="Normal 3 2 2 23 2 10 9" xfId="8213" xr:uid="{BE40E24F-8116-42FC-83B3-64172EA2402F}"/>
    <cellStyle name="Normal 3 2 2 23 2 11" xfId="8214" xr:uid="{6545C222-4FDE-468E-9736-1E266532C75B}"/>
    <cellStyle name="Normal 3 2 2 23 2 11 2" xfId="8215" xr:uid="{A2A193A7-927F-4CDC-B462-E6AC20BCB0D7}"/>
    <cellStyle name="Normal 3 2 2 23 2 11 3" xfId="8216" xr:uid="{C314D100-B909-4C5C-911C-7648FA3EE542}"/>
    <cellStyle name="Normal 3 2 2 23 2 11 4" xfId="8217" xr:uid="{9E28E558-0438-4543-9403-E85995C6565E}"/>
    <cellStyle name="Normal 3 2 2 23 2 11 5" xfId="8218" xr:uid="{F07AF0C5-6668-427A-8973-15447D2BC351}"/>
    <cellStyle name="Normal 3 2 2 23 2 11 6" xfId="8219" xr:uid="{0BF79B9C-9E53-4936-8060-3411F628ABC2}"/>
    <cellStyle name="Normal 3 2 2 23 2 11 7" xfId="8220" xr:uid="{E72A7ED2-25FF-44FC-9B1E-B4D87B5EC4BE}"/>
    <cellStyle name="Normal 3 2 2 23 2 11 8" xfId="8221" xr:uid="{544523A4-F3D4-43DF-9331-0049301F5DDF}"/>
    <cellStyle name="Normal 3 2 2 23 2 12" xfId="8222" xr:uid="{EE625FD3-B48A-4B0A-A472-A7D689F5FDD3}"/>
    <cellStyle name="Normal 3 2 2 23 2 13" xfId="8223" xr:uid="{7CE3806E-6BA8-4328-8217-37E8A418A30A}"/>
    <cellStyle name="Normal 3 2 2 23 2 14" xfId="8224" xr:uid="{00DC44CF-5ECB-4311-ABF1-42515430191E}"/>
    <cellStyle name="Normal 3 2 2 23 2 15" xfId="8225" xr:uid="{0905E9E9-A954-4D68-9116-402BFF31B6F0}"/>
    <cellStyle name="Normal 3 2 2 23 2 16" xfId="8226" xr:uid="{B8FB4016-0E81-41B7-AFF5-AADDE96B344D}"/>
    <cellStyle name="Normal 3 2 2 23 2 17" xfId="8227" xr:uid="{F706203D-5181-42B9-B961-1603ACBDA3D4}"/>
    <cellStyle name="Normal 3 2 2 23 2 2" xfId="8228" xr:uid="{E77D35C2-7B50-4CC0-82E7-B8692F4AE7E8}"/>
    <cellStyle name="Normal 3 2 2 23 2 2 10" xfId="8229" xr:uid="{3CD1FE89-1A83-4ADB-AB85-BC09B3C8D3C2}"/>
    <cellStyle name="Normal 3 2 2 23 2 2 2" xfId="8230" xr:uid="{69BA4FF5-7334-45DE-974B-E886CE77C8EF}"/>
    <cellStyle name="Normal 3 2 2 23 2 2 2 2" xfId="8231" xr:uid="{1446BCC9-3145-45D1-8EDB-0C0DF62DBB27}"/>
    <cellStyle name="Normal 3 2 2 23 2 2 2 2 2" xfId="8232" xr:uid="{BF5CF26E-5F9E-49D0-A968-50257C42ACB0}"/>
    <cellStyle name="Normal 3 2 2 23 2 2 2 2 2 2" xfId="8233" xr:uid="{B1140F99-A71F-451C-AA65-748F9C3EC5BB}"/>
    <cellStyle name="Normal 3 2 2 23 2 2 2 2 2 3" xfId="8234" xr:uid="{5710C98F-CE2A-4151-9904-8DFBC76817DC}"/>
    <cellStyle name="Normal 3 2 2 23 2 2 2 2 2 4" xfId="8235" xr:uid="{BE45D3DC-E478-46AD-AFF9-6EFA87FD5A53}"/>
    <cellStyle name="Normal 3 2 2 23 2 2 2 2 2 5" xfId="8236" xr:uid="{F62F92CA-FE7E-4E01-9ACE-8E82F3521422}"/>
    <cellStyle name="Normal 3 2 2 23 2 2 2 2 2 6" xfId="8237" xr:uid="{C73B8200-CB16-4BC0-B665-7A105BDADC18}"/>
    <cellStyle name="Normal 3 2 2 23 2 2 2 2 2 7" xfId="8238" xr:uid="{65692063-3BEB-4B2D-AA6B-CF8D85B4EB58}"/>
    <cellStyle name="Normal 3 2 2 23 2 2 2 2 2 8" xfId="8239" xr:uid="{A6513954-630B-40E1-A263-174C0C7DFD4C}"/>
    <cellStyle name="Normal 3 2 2 23 2 2 2 2 3" xfId="8240" xr:uid="{776BC338-E587-4DD0-9EEC-ACDF99A7EFB3}"/>
    <cellStyle name="Normal 3 2 2 23 2 2 2 2 4" xfId="8241" xr:uid="{CCAE0830-31A2-4345-B1CC-4528CE4871CD}"/>
    <cellStyle name="Normal 3 2 2 23 2 2 2 2 5" xfId="8242" xr:uid="{9F13A61F-962C-4F99-982A-82A4CB292974}"/>
    <cellStyle name="Normal 3 2 2 23 2 2 2 2 6" xfId="8243" xr:uid="{18511117-39D6-4EE4-83A4-9DF36F87A73A}"/>
    <cellStyle name="Normal 3 2 2 23 2 2 2 2 7" xfId="8244" xr:uid="{F51AE807-CBB6-4DE4-AAA2-26B425AC038E}"/>
    <cellStyle name="Normal 3 2 2 23 2 2 2 2 8" xfId="8245" xr:uid="{46200637-AA3E-4AC6-B5AE-D831FC808A79}"/>
    <cellStyle name="Normal 3 2 2 23 2 2 2 3" xfId="8246" xr:uid="{B9460753-78F5-4D0C-A150-4F2017A693AA}"/>
    <cellStyle name="Normal 3 2 2 23 2 2 2 4" xfId="8247" xr:uid="{6F9DEC55-5C85-453B-A33C-BC3C847F1343}"/>
    <cellStyle name="Normal 3 2 2 23 2 2 2 5" xfId="8248" xr:uid="{767B5DBA-59B2-41DF-9C10-0BE99E4E75B3}"/>
    <cellStyle name="Normal 3 2 2 23 2 2 2 6" xfId="8249" xr:uid="{EED9E633-2349-46A7-91D9-8C43C350D572}"/>
    <cellStyle name="Normal 3 2 2 23 2 2 2 7" xfId="8250" xr:uid="{A48B5702-02A6-427E-B102-75AAAF4835B1}"/>
    <cellStyle name="Normal 3 2 2 23 2 2 2 8" xfId="8251" xr:uid="{943BB2C5-E782-41A6-B3C9-6BD6D0EACF3A}"/>
    <cellStyle name="Normal 3 2 2 23 2 2 2 9" xfId="8252" xr:uid="{C90B0A91-23B2-483B-8C41-1C307FCC6760}"/>
    <cellStyle name="Normal 3 2 2 23 2 2 3" xfId="8253" xr:uid="{3728BEA7-F488-4780-ACD7-46C4DF543221}"/>
    <cellStyle name="Normal 3 2 2 23 2 2 4" xfId="8254" xr:uid="{34E0FD6A-C1C2-4088-85C4-7E3CF47CA7AE}"/>
    <cellStyle name="Normal 3 2 2 23 2 2 4 2" xfId="8255" xr:uid="{BFCAEE7D-A092-4DAC-9ED8-B2016DE45F9A}"/>
    <cellStyle name="Normal 3 2 2 23 2 2 4 3" xfId="8256" xr:uid="{C9AE9DCB-F0A2-4E3F-B469-CF2919AFC0C1}"/>
    <cellStyle name="Normal 3 2 2 23 2 2 4 4" xfId="8257" xr:uid="{1745FF0E-94ED-4BC1-A1B1-C35481FB865D}"/>
    <cellStyle name="Normal 3 2 2 23 2 2 4 5" xfId="8258" xr:uid="{C7848F66-CFBB-41B2-AA06-9F8C5335C575}"/>
    <cellStyle name="Normal 3 2 2 23 2 2 4 6" xfId="8259" xr:uid="{47512B30-C419-4E59-84E8-F1D845EE5AC3}"/>
    <cellStyle name="Normal 3 2 2 23 2 2 4 7" xfId="8260" xr:uid="{77083778-B0A1-4BE3-9DA6-3E188289E143}"/>
    <cellStyle name="Normal 3 2 2 23 2 2 4 8" xfId="8261" xr:uid="{06F23766-C4DD-4BE2-863D-7DD6B25192D1}"/>
    <cellStyle name="Normal 3 2 2 23 2 2 5" xfId="8262" xr:uid="{A11CA19C-AA44-4A08-A536-0B8CB06C1B8C}"/>
    <cellStyle name="Normal 3 2 2 23 2 2 6" xfId="8263" xr:uid="{BE576375-E878-4F84-9B18-C483EC84FA4C}"/>
    <cellStyle name="Normal 3 2 2 23 2 2 7" xfId="8264" xr:uid="{A6C22017-7A1B-420E-A4EE-813BEFF25BDB}"/>
    <cellStyle name="Normal 3 2 2 23 2 2 8" xfId="8265" xr:uid="{CD4671AC-ABFA-4FF1-A709-398A641FDB52}"/>
    <cellStyle name="Normal 3 2 2 23 2 2 9" xfId="8266" xr:uid="{CBC04324-CBCA-42C5-BEDA-9B64FBB3CFCC}"/>
    <cellStyle name="Normal 3 2 2 23 2 3" xfId="8267" xr:uid="{A9484B22-204F-4082-883E-3CE02E227064}"/>
    <cellStyle name="Normal 3 2 2 23 2 4" xfId="8268" xr:uid="{D5273EF4-23FB-4C42-92A2-CFD618A131ED}"/>
    <cellStyle name="Normal 3 2 2 23 2 5" xfId="8269" xr:uid="{1A3CA4F0-BCB2-4295-8714-54068F577739}"/>
    <cellStyle name="Normal 3 2 2 23 2 6" xfId="8270" xr:uid="{3D426B5D-9F63-47F1-8BF1-3298C0BDAB13}"/>
    <cellStyle name="Normal 3 2 2 23 2 7" xfId="8271" xr:uid="{A8AD4EEE-5ACF-4E34-8707-39EF927D0474}"/>
    <cellStyle name="Normal 3 2 2 23 2 8" xfId="8272" xr:uid="{59E5EB8D-CC00-4BAE-BE05-4A2C1B1D79FE}"/>
    <cellStyle name="Normal 3 2 2 23 2 9" xfId="8273" xr:uid="{F5216224-D09D-4688-8CF0-4DE61A497E48}"/>
    <cellStyle name="Normal 3 2 2 23 3" xfId="8274" xr:uid="{54146190-E97B-4F97-952E-7FD137F30FA5}"/>
    <cellStyle name="Normal 3 2 2 23 3 10" xfId="8275" xr:uid="{E9EE64A9-2A47-43C3-9694-CA446C788B85}"/>
    <cellStyle name="Normal 3 2 2 23 3 2" xfId="8276" xr:uid="{6464D7B4-9580-4618-9E02-0F8504A4008A}"/>
    <cellStyle name="Normal 3 2 2 23 3 2 2" xfId="8277" xr:uid="{642CAB5A-6934-431F-9807-48C40289B3A5}"/>
    <cellStyle name="Normal 3 2 2 23 3 2 2 2" xfId="8278" xr:uid="{EF14F3E6-EA94-42DB-A73B-606DC9A2F637}"/>
    <cellStyle name="Normal 3 2 2 23 3 2 2 2 2" xfId="8279" xr:uid="{8CC43DB1-8255-4C56-89AA-C206232EAC07}"/>
    <cellStyle name="Normal 3 2 2 23 3 2 2 2 3" xfId="8280" xr:uid="{E70B4DB7-8ADA-4A74-95E6-53E01559D821}"/>
    <cellStyle name="Normal 3 2 2 23 3 2 2 2 4" xfId="8281" xr:uid="{E11C95D6-0C4A-4657-A8A2-D455B11E1D31}"/>
    <cellStyle name="Normal 3 2 2 23 3 2 2 2 5" xfId="8282" xr:uid="{AA4E7ADD-504F-4CDC-90A5-EA2ECD061E31}"/>
    <cellStyle name="Normal 3 2 2 23 3 2 2 2 6" xfId="8283" xr:uid="{75A79B5B-E6F3-45AA-90AE-92BADAB2D5AE}"/>
    <cellStyle name="Normal 3 2 2 23 3 2 2 2 7" xfId="8284" xr:uid="{A2F58144-7F49-45FD-93A5-7CF4043249AC}"/>
    <cellStyle name="Normal 3 2 2 23 3 2 2 2 8" xfId="8285" xr:uid="{D6118094-E3A7-4F83-BDE0-03E60B8B2421}"/>
    <cellStyle name="Normal 3 2 2 23 3 2 2 3" xfId="8286" xr:uid="{FA07F445-E9C8-4657-8D40-E52C80F9C7DB}"/>
    <cellStyle name="Normal 3 2 2 23 3 2 2 4" xfId="8287" xr:uid="{07995DA2-A1BE-4282-A16E-41BB5DABE4FD}"/>
    <cellStyle name="Normal 3 2 2 23 3 2 2 5" xfId="8288" xr:uid="{1D7ED16B-065F-4B24-9CF5-48B5B1C883F3}"/>
    <cellStyle name="Normal 3 2 2 23 3 2 2 6" xfId="8289" xr:uid="{2EB994A0-BD3A-4EFB-8764-997A7C190C38}"/>
    <cellStyle name="Normal 3 2 2 23 3 2 2 7" xfId="8290" xr:uid="{43C24791-96F5-4979-B57E-EDB78515A61C}"/>
    <cellStyle name="Normal 3 2 2 23 3 2 2 8" xfId="8291" xr:uid="{6E3FED38-F39B-4940-A403-86CE2A82DEB5}"/>
    <cellStyle name="Normal 3 2 2 23 3 2 3" xfId="8292" xr:uid="{E61003B1-4B12-421B-BB8D-ED358B36257D}"/>
    <cellStyle name="Normal 3 2 2 23 3 2 4" xfId="8293" xr:uid="{1130A6E9-05BD-4AFC-AEA2-FD8E00311276}"/>
    <cellStyle name="Normal 3 2 2 23 3 2 5" xfId="8294" xr:uid="{4B6BC144-64A0-40A4-BBFD-19C73F1F7AE0}"/>
    <cellStyle name="Normal 3 2 2 23 3 2 6" xfId="8295" xr:uid="{1F56D164-0A9C-4813-AA36-667A59886909}"/>
    <cellStyle name="Normal 3 2 2 23 3 2 7" xfId="8296" xr:uid="{05ED5CB4-DD5C-41ED-8FB1-3EBFA4C9576F}"/>
    <cellStyle name="Normal 3 2 2 23 3 2 8" xfId="8297" xr:uid="{02D3C5EC-4357-437E-A1B2-FAC8CD839AD7}"/>
    <cellStyle name="Normal 3 2 2 23 3 2 9" xfId="8298" xr:uid="{6C25360E-EBAC-4D05-BE05-581F66826330}"/>
    <cellStyle name="Normal 3 2 2 23 3 3" xfId="8299" xr:uid="{2DB8FE5F-1479-4D2B-879C-D9B99BD65A4A}"/>
    <cellStyle name="Normal 3 2 2 23 3 4" xfId="8300" xr:uid="{BBD46D45-D99E-4B49-93D7-28207ADE598A}"/>
    <cellStyle name="Normal 3 2 2 23 3 4 2" xfId="8301" xr:uid="{C751DBFE-8B19-4E80-98F1-E5F974AA3356}"/>
    <cellStyle name="Normal 3 2 2 23 3 4 3" xfId="8302" xr:uid="{8C86FD9F-A2DD-49A1-8F69-62526AA6803E}"/>
    <cellStyle name="Normal 3 2 2 23 3 4 4" xfId="8303" xr:uid="{475063A4-2BC0-4DD4-94AF-B8E2E154D167}"/>
    <cellStyle name="Normal 3 2 2 23 3 4 5" xfId="8304" xr:uid="{DC96633D-8146-4364-9675-01B381F1252B}"/>
    <cellStyle name="Normal 3 2 2 23 3 4 6" xfId="8305" xr:uid="{B502BCCB-390F-48DC-8A9A-8BCC1FA44595}"/>
    <cellStyle name="Normal 3 2 2 23 3 4 7" xfId="8306" xr:uid="{DAE00ECC-C01B-4D35-AA03-0D6C27333618}"/>
    <cellStyle name="Normal 3 2 2 23 3 4 8" xfId="8307" xr:uid="{6292F2B6-C501-4E18-B6D4-978BB6A4B847}"/>
    <cellStyle name="Normal 3 2 2 23 3 5" xfId="8308" xr:uid="{46492E6A-D0CE-4136-A07D-07BDCB9BB50C}"/>
    <cellStyle name="Normal 3 2 2 23 3 6" xfId="8309" xr:uid="{18EB8777-4EB8-400C-9422-374FD4F410B9}"/>
    <cellStyle name="Normal 3 2 2 23 3 7" xfId="8310" xr:uid="{ED90D087-88CA-4B20-ABE3-5FFFAA4930D4}"/>
    <cellStyle name="Normal 3 2 2 23 3 8" xfId="8311" xr:uid="{FEE66362-1FA3-4541-AAEA-597C8CADEFC1}"/>
    <cellStyle name="Normal 3 2 2 23 3 9" xfId="8312" xr:uid="{4FECDC03-1B17-4AF7-9261-A0EE199FCBA7}"/>
    <cellStyle name="Normal 3 2 2 23 4" xfId="8313" xr:uid="{77F2F641-E557-4F5A-A559-5200D1BDCF85}"/>
    <cellStyle name="Normal 3 2 2 23 5" xfId="8314" xr:uid="{9BDB051D-A9E0-4FF5-92FF-E26D55851BBC}"/>
    <cellStyle name="Normal 3 2 2 23 6" xfId="8315" xr:uid="{77DCBCEC-731D-4755-A881-29C911D4E76D}"/>
    <cellStyle name="Normal 3 2 2 23 7" xfId="8316" xr:uid="{787DDDFF-7D61-4C25-8C3A-913182EF9899}"/>
    <cellStyle name="Normal 3 2 2 23 8" xfId="8317" xr:uid="{A9D4952F-6618-414C-AC49-7AC2D3D0F06A}"/>
    <cellStyle name="Normal 3 2 2 23 9" xfId="8318" xr:uid="{29C37AE0-F157-4657-B629-A444B9C136AF}"/>
    <cellStyle name="Normal 3 2 2 24" xfId="8319" xr:uid="{E9169B4C-51BE-4DB6-9A6F-77916E4B720C}"/>
    <cellStyle name="Normal 3 2 2 25" xfId="8320" xr:uid="{1963A94E-2D00-48B1-BC92-49E43BFBA943}"/>
    <cellStyle name="Normal 3 2 2 26" xfId="8321" xr:uid="{74B098AF-217D-4296-9152-C5BC7D5E899C}"/>
    <cellStyle name="Normal 3 2 2 27" xfId="8322" xr:uid="{BCC1B540-EB42-4104-ACAF-BB011BFE7490}"/>
    <cellStyle name="Normal 3 2 2 28" xfId="8323" xr:uid="{6109D6BF-9632-49EB-A0B8-C5E89DA02FFE}"/>
    <cellStyle name="Normal 3 2 2 28 10" xfId="8324" xr:uid="{CEBFF820-8526-40E9-A9C8-8CB2B4A1CAA6}"/>
    <cellStyle name="Normal 3 2 2 28 2" xfId="8325" xr:uid="{FAC6AB68-FB6C-41F3-ADF2-7EBE3AC71F8E}"/>
    <cellStyle name="Normal 3 2 2 28 2 2" xfId="8326" xr:uid="{ECA1F5A5-C5AC-4B47-8810-BF6CFC5F99A5}"/>
    <cellStyle name="Normal 3 2 2 28 2 2 2" xfId="8327" xr:uid="{5F10B352-F635-4617-9ED8-FB08370B74E0}"/>
    <cellStyle name="Normal 3 2 2 28 2 2 2 2" xfId="8328" xr:uid="{09E820F1-5099-49D2-995B-3CAFBB28B64A}"/>
    <cellStyle name="Normal 3 2 2 28 2 2 2 3" xfId="8329" xr:uid="{49146281-EE54-4F8B-B8C4-4767C075FCB5}"/>
    <cellStyle name="Normal 3 2 2 28 2 2 2 4" xfId="8330" xr:uid="{D003B91D-FA93-4C17-A243-83067F3A2C19}"/>
    <cellStyle name="Normal 3 2 2 28 2 2 2 5" xfId="8331" xr:uid="{3E9AB5EB-3BCD-4C2D-A03D-A11E6731DA8E}"/>
    <cellStyle name="Normal 3 2 2 28 2 2 2 6" xfId="8332" xr:uid="{9CD4A016-09B8-414D-9419-830F89CC74E3}"/>
    <cellStyle name="Normal 3 2 2 28 2 2 2 7" xfId="8333" xr:uid="{2854DCAE-F06E-4F39-B88E-9345370E332E}"/>
    <cellStyle name="Normal 3 2 2 28 2 2 2 8" xfId="8334" xr:uid="{4F27F337-D52B-4CFC-9621-3841833939F5}"/>
    <cellStyle name="Normal 3 2 2 28 2 2 3" xfId="8335" xr:uid="{33E860DA-1393-4D43-8E5D-42E087E278A7}"/>
    <cellStyle name="Normal 3 2 2 28 2 2 4" xfId="8336" xr:uid="{17D86B78-5CDA-46C1-860C-9288B209C915}"/>
    <cellStyle name="Normal 3 2 2 28 2 2 5" xfId="8337" xr:uid="{9A47B677-5E15-43C4-94B7-5C7A990B5641}"/>
    <cellStyle name="Normal 3 2 2 28 2 2 6" xfId="8338" xr:uid="{3BFE762F-0A41-470D-A749-4BBAFA313AD7}"/>
    <cellStyle name="Normal 3 2 2 28 2 2 7" xfId="8339" xr:uid="{E868BDCF-B55C-4564-AC9F-74041DBD34BD}"/>
    <cellStyle name="Normal 3 2 2 28 2 2 8" xfId="8340" xr:uid="{E452D0CA-79EE-4E38-8B93-F8492D25D888}"/>
    <cellStyle name="Normal 3 2 2 28 2 3" xfId="8341" xr:uid="{0942BCDC-A9CA-4A90-BC46-BEA9E8FBA5B4}"/>
    <cellStyle name="Normal 3 2 2 28 2 4" xfId="8342" xr:uid="{52EF3248-F677-4037-91E5-BE80C1670F9A}"/>
    <cellStyle name="Normal 3 2 2 28 2 5" xfId="8343" xr:uid="{F58FC1A6-B284-46D9-828F-97FDD884658F}"/>
    <cellStyle name="Normal 3 2 2 28 2 6" xfId="8344" xr:uid="{04DD4FB2-2921-4E2E-8456-80AD2889D31F}"/>
    <cellStyle name="Normal 3 2 2 28 2 7" xfId="8345" xr:uid="{789F7EFF-3F5E-4321-878A-4084A42B80A5}"/>
    <cellStyle name="Normal 3 2 2 28 2 8" xfId="8346" xr:uid="{8B376718-44E9-4BDB-A6DA-D4D8B8C6B5C2}"/>
    <cellStyle name="Normal 3 2 2 28 2 9" xfId="8347" xr:uid="{F3A802D2-A209-43FD-A149-64CFFD883BBD}"/>
    <cellStyle name="Normal 3 2 2 28 3" xfId="8348" xr:uid="{52D82975-ED58-4765-8209-3DFE2FCBDF6C}"/>
    <cellStyle name="Normal 3 2 2 28 4" xfId="8349" xr:uid="{DAA17C14-965B-4E07-B5E2-110D8E7D941E}"/>
    <cellStyle name="Normal 3 2 2 28 4 2" xfId="8350" xr:uid="{0D42F4BB-B967-421E-B80D-64FE4C0107EE}"/>
    <cellStyle name="Normal 3 2 2 28 4 3" xfId="8351" xr:uid="{CC1D2C36-618B-4B25-A432-BE33C6933A77}"/>
    <cellStyle name="Normal 3 2 2 28 4 4" xfId="8352" xr:uid="{C7191241-DF87-457A-9DC8-08E192EE4A65}"/>
    <cellStyle name="Normal 3 2 2 28 4 5" xfId="8353" xr:uid="{FFB2C23B-A321-466C-A9A9-521957127581}"/>
    <cellStyle name="Normal 3 2 2 28 4 6" xfId="8354" xr:uid="{1058AD60-2CD8-4F74-AD37-FC280EF1092E}"/>
    <cellStyle name="Normal 3 2 2 28 4 7" xfId="8355" xr:uid="{9006A512-207F-48E2-AF7C-AFD0F02548E2}"/>
    <cellStyle name="Normal 3 2 2 28 4 8" xfId="8356" xr:uid="{EDD458A7-B830-404B-973F-FA39BF97C76A}"/>
    <cellStyle name="Normal 3 2 2 28 5" xfId="8357" xr:uid="{19AC8578-378D-404E-A2AA-35AC4BCB2B97}"/>
    <cellStyle name="Normal 3 2 2 28 6" xfId="8358" xr:uid="{7F77205D-4FC4-4FE8-889E-388C925748B9}"/>
    <cellStyle name="Normal 3 2 2 28 7" xfId="8359" xr:uid="{725E3A95-B390-4001-8437-6ED87E2CC8B2}"/>
    <cellStyle name="Normal 3 2 2 28 8" xfId="8360" xr:uid="{C6891419-5373-4EC1-B79F-E624BEAF647C}"/>
    <cellStyle name="Normal 3 2 2 28 9" xfId="8361" xr:uid="{70E7A43B-F9AA-4BBE-AD40-573FC2E3E1FC}"/>
    <cellStyle name="Normal 3 2 2 29" xfId="8362" xr:uid="{AB732E0A-73A4-4855-BBF1-0BEFFEAD8790}"/>
    <cellStyle name="Normal 3 2 2 3" xfId="8363" xr:uid="{4988052E-378C-498B-9A1E-C6DAF4B64526}"/>
    <cellStyle name="Normal 3 2 2 3 10" xfId="8364" xr:uid="{B9504F63-3923-41F9-90F5-0C311336E79B}"/>
    <cellStyle name="Normal 3 2 2 3 11" xfId="8365" xr:uid="{EA43845E-FB5E-4280-B05A-7BBFC604E982}"/>
    <cellStyle name="Normal 3 2 2 3 12" xfId="8366" xr:uid="{44B15E86-B07C-4794-827B-6E9C3AECBFB5}"/>
    <cellStyle name="Normal 3 2 2 3 13" xfId="8367" xr:uid="{886962CE-73A0-4AF9-920A-4BE00A5C6E35}"/>
    <cellStyle name="Normal 3 2 2 3 14" xfId="8368" xr:uid="{603CF371-CEED-4A92-86A6-34DD435CECE9}"/>
    <cellStyle name="Normal 3 2 2 3 15" xfId="8369" xr:uid="{5098D17A-9F5A-46AE-B519-F820C6E9A9C2}"/>
    <cellStyle name="Normal 3 2 2 3 15 2" xfId="8370" xr:uid="{26033B79-528D-49F7-AEA5-3163AB0AC424}"/>
    <cellStyle name="Normal 3 2 2 3 15 2 2" xfId="8371" xr:uid="{D18CCD8F-5C80-4FB8-855C-C4AAE0B2DCDF}"/>
    <cellStyle name="Normal 3 2 2 3 15 2 2 2" xfId="8372" xr:uid="{94D65A20-5BCF-4B60-B394-E581B9FCE299}"/>
    <cellStyle name="Normal 3 2 2 3 15 2 2 3" xfId="8373" xr:uid="{887A96BC-4730-4FFA-8AA2-47C66D182103}"/>
    <cellStyle name="Normal 3 2 2 3 15 2 2 4" xfId="8374" xr:uid="{165875C4-D74F-4CD2-AA20-7970EE82DAA9}"/>
    <cellStyle name="Normal 3 2 2 3 15 2 2 5" xfId="8375" xr:uid="{ADDB635A-C6C6-43D6-9C5F-5E372B9197C2}"/>
    <cellStyle name="Normal 3 2 2 3 15 2 2 6" xfId="8376" xr:uid="{A06435DA-4BED-449E-B0F3-E776063B1AB0}"/>
    <cellStyle name="Normal 3 2 2 3 15 2 2 7" xfId="8377" xr:uid="{DE759815-DBD9-4071-AE7C-EA1C5FA28C25}"/>
    <cellStyle name="Normal 3 2 2 3 15 2 2 8" xfId="8378" xr:uid="{44599328-BCF2-415E-94FD-53C73881D0E7}"/>
    <cellStyle name="Normal 3 2 2 3 15 2 3" xfId="8379" xr:uid="{C2A1A7EA-3454-4F21-AA2B-BE0DD71EC4B2}"/>
    <cellStyle name="Normal 3 2 2 3 15 2 4" xfId="8380" xr:uid="{B08160A7-4AC3-486D-A7CC-33DC08DE1920}"/>
    <cellStyle name="Normal 3 2 2 3 15 2 5" xfId="8381" xr:uid="{3010A0EA-9372-4238-AEB1-CF74F1970743}"/>
    <cellStyle name="Normal 3 2 2 3 15 2 6" xfId="8382" xr:uid="{BC5A9F9E-C5C6-4145-BCEE-F8782D370F76}"/>
    <cellStyle name="Normal 3 2 2 3 15 2 7" xfId="8383" xr:uid="{F426E847-3910-466F-A500-3BC62602061D}"/>
    <cellStyle name="Normal 3 2 2 3 15 2 8" xfId="8384" xr:uid="{28BB1B3C-AFC3-49B8-BDDA-CD1C208498E3}"/>
    <cellStyle name="Normal 3 2 2 3 15 3" xfId="8385" xr:uid="{8F080395-8830-471B-ACD8-6272DAE15ABC}"/>
    <cellStyle name="Normal 3 2 2 3 15 4" xfId="8386" xr:uid="{5F120109-45FF-464F-A876-E676B2B29DD3}"/>
    <cellStyle name="Normal 3 2 2 3 15 5" xfId="8387" xr:uid="{607C7FF8-7F70-4BC7-924E-6B5447D3313E}"/>
    <cellStyle name="Normal 3 2 2 3 15 6" xfId="8388" xr:uid="{3F458D7B-7530-46EE-BDA3-5741F3953203}"/>
    <cellStyle name="Normal 3 2 2 3 15 7" xfId="8389" xr:uid="{022B9F9A-8419-45EC-A219-FB9ED027E68A}"/>
    <cellStyle name="Normal 3 2 2 3 15 8" xfId="8390" xr:uid="{5539EBEA-480C-4898-A71F-EC45667E4D40}"/>
    <cellStyle name="Normal 3 2 2 3 15 9" xfId="8391" xr:uid="{B6B1302F-09C3-46A5-B62D-033ED6926BA7}"/>
    <cellStyle name="Normal 3 2 2 3 16" xfId="8392" xr:uid="{BD1E1862-05F8-4FB2-9D68-6AC7CC270A26}"/>
    <cellStyle name="Normal 3 2 2 3 16 2" xfId="8393" xr:uid="{782ACE2B-DABC-4C76-88D1-4D6141E50EA2}"/>
    <cellStyle name="Normal 3 2 2 3 16 3" xfId="8394" xr:uid="{E4F8BDE2-FE67-47C8-8908-44127749CF41}"/>
    <cellStyle name="Normal 3 2 2 3 16 4" xfId="8395" xr:uid="{BD9AAF9A-A95F-4C11-B8B8-0BE541D852EC}"/>
    <cellStyle name="Normal 3 2 2 3 16 5" xfId="8396" xr:uid="{64976CCB-80D8-4ED0-8E54-A50339D01FEA}"/>
    <cellStyle name="Normal 3 2 2 3 16 6" xfId="8397" xr:uid="{3897B16B-0087-4470-AF6A-1F521A1A9091}"/>
    <cellStyle name="Normal 3 2 2 3 16 7" xfId="8398" xr:uid="{7CF74819-CC39-4540-87DA-4BD078CCB3EA}"/>
    <cellStyle name="Normal 3 2 2 3 16 8" xfId="8399" xr:uid="{D6B9DB89-2BE4-42F1-AE98-4A2B5146908E}"/>
    <cellStyle name="Normal 3 2 2 3 17" xfId="8400" xr:uid="{1C35B7EA-35D7-4F5B-8BC5-7A76CB944E7E}"/>
    <cellStyle name="Normal 3 2 2 3 18" xfId="8401" xr:uid="{E107B160-09F7-48A1-87AF-596C7670236B}"/>
    <cellStyle name="Normal 3 2 2 3 19" xfId="8402" xr:uid="{40E690FC-2D44-43A3-B192-711468378EC0}"/>
    <cellStyle name="Normal 3 2 2 3 2" xfId="8403" xr:uid="{F213B8B6-BE6E-4C2E-80D0-93047C3797E5}"/>
    <cellStyle name="Normal 3 2 2 3 2 10" xfId="8404" xr:uid="{657AB81D-1F87-4971-833F-86BEF18D68E2}"/>
    <cellStyle name="Normal 3 2 2 3 2 11" xfId="8405" xr:uid="{CB522610-1301-4CC8-9089-66AB77056F4A}"/>
    <cellStyle name="Normal 3 2 2 3 2 12" xfId="8406" xr:uid="{A6098795-9E69-4973-8356-BFD382F6D5C0}"/>
    <cellStyle name="Normal 3 2 2 3 2 13" xfId="8407" xr:uid="{D7EF625C-1475-43FE-9F0B-8718AFAC17C2}"/>
    <cellStyle name="Normal 3 2 2 3 2 14" xfId="8408" xr:uid="{51DA7243-7D9F-4782-B9BF-16665AAC04AB}"/>
    <cellStyle name="Normal 3 2 2 3 2 15" xfId="8409" xr:uid="{D8E9BE4A-DF20-4336-BE9F-173E55CA31FA}"/>
    <cellStyle name="Normal 3 2 2 3 2 15 2" xfId="8410" xr:uid="{FD5ED71D-A633-42B5-9075-15F203A1C662}"/>
    <cellStyle name="Normal 3 2 2 3 2 15 2 2" xfId="8411" xr:uid="{9FA78770-4C50-4B3A-8CCA-0B30CA3600FB}"/>
    <cellStyle name="Normal 3 2 2 3 2 15 2 2 2" xfId="8412" xr:uid="{2B898EC3-0229-41F0-9ED1-10488C2F2589}"/>
    <cellStyle name="Normal 3 2 2 3 2 15 2 2 3" xfId="8413" xr:uid="{274385BD-7687-4CE3-9B62-A29E713D2639}"/>
    <cellStyle name="Normal 3 2 2 3 2 15 2 2 4" xfId="8414" xr:uid="{D163D146-AB72-423F-88C5-8F0DAA893E61}"/>
    <cellStyle name="Normal 3 2 2 3 2 15 2 2 5" xfId="8415" xr:uid="{750C45E2-A1CA-4C8A-B6DB-98AC55D64F5C}"/>
    <cellStyle name="Normal 3 2 2 3 2 15 2 2 6" xfId="8416" xr:uid="{3438D923-9C10-4F9B-AEFE-DBF344AE8760}"/>
    <cellStyle name="Normal 3 2 2 3 2 15 2 2 7" xfId="8417" xr:uid="{825ECDBA-0034-4779-83A9-A48F3C09AF63}"/>
    <cellStyle name="Normal 3 2 2 3 2 15 2 2 8" xfId="8418" xr:uid="{BE541927-24BB-4CFF-8F70-A6153B94CBAF}"/>
    <cellStyle name="Normal 3 2 2 3 2 15 2 3" xfId="8419" xr:uid="{F847962F-B881-4D96-B9A4-20139E4C1E4D}"/>
    <cellStyle name="Normal 3 2 2 3 2 15 2 4" xfId="8420" xr:uid="{EBA87BC9-04A8-417C-8B50-4A8FA699972D}"/>
    <cellStyle name="Normal 3 2 2 3 2 15 2 5" xfId="8421" xr:uid="{6AF1FAFA-A147-4C69-9137-767F515DC4A1}"/>
    <cellStyle name="Normal 3 2 2 3 2 15 2 6" xfId="8422" xr:uid="{FE343788-0FA5-4E37-92A8-AA55ACE9C290}"/>
    <cellStyle name="Normal 3 2 2 3 2 15 2 7" xfId="8423" xr:uid="{101F4309-FC7D-49DF-916D-E612155A5EEF}"/>
    <cellStyle name="Normal 3 2 2 3 2 15 2 8" xfId="8424" xr:uid="{97244CB2-1EEC-4870-B2E8-EE7CB3B8D1E4}"/>
    <cellStyle name="Normal 3 2 2 3 2 15 3" xfId="8425" xr:uid="{79BC57F1-82EF-49BF-B5A6-DC328815F5ED}"/>
    <cellStyle name="Normal 3 2 2 3 2 15 4" xfId="8426" xr:uid="{ABF6461C-8AA4-4D23-879E-437BDF495E39}"/>
    <cellStyle name="Normal 3 2 2 3 2 15 5" xfId="8427" xr:uid="{BD322E0F-340C-463C-B30B-13666F1AFF6B}"/>
    <cellStyle name="Normal 3 2 2 3 2 15 6" xfId="8428" xr:uid="{88E6F4DB-3B97-462D-9E7E-177AE1D23EB1}"/>
    <cellStyle name="Normal 3 2 2 3 2 15 7" xfId="8429" xr:uid="{EFCE1972-F85B-4ADD-B297-A764CF7F2F3D}"/>
    <cellStyle name="Normal 3 2 2 3 2 15 8" xfId="8430" xr:uid="{5E199247-8744-4C4E-BDE9-48155124CD45}"/>
    <cellStyle name="Normal 3 2 2 3 2 15 9" xfId="8431" xr:uid="{8EAEFE49-1B1F-4547-B0E9-113F936453A3}"/>
    <cellStyle name="Normal 3 2 2 3 2 16" xfId="8432" xr:uid="{E1D142B5-4086-44FD-A8AD-E12CA3306F8F}"/>
    <cellStyle name="Normal 3 2 2 3 2 16 2" xfId="8433" xr:uid="{C0A2AFF3-8685-460A-A315-C99CDB5AA016}"/>
    <cellStyle name="Normal 3 2 2 3 2 16 3" xfId="8434" xr:uid="{AEA9079A-CD13-48F9-BE0B-CA2157EED20E}"/>
    <cellStyle name="Normal 3 2 2 3 2 16 4" xfId="8435" xr:uid="{444FCF28-F920-49D0-8243-0BC17A466DED}"/>
    <cellStyle name="Normal 3 2 2 3 2 16 5" xfId="8436" xr:uid="{6E1C6B61-66D7-431A-ACE6-7690A67A05AA}"/>
    <cellStyle name="Normal 3 2 2 3 2 16 6" xfId="8437" xr:uid="{2336E3D1-BBFF-4780-B13B-7080D5B977B6}"/>
    <cellStyle name="Normal 3 2 2 3 2 16 7" xfId="8438" xr:uid="{E7DBDAF9-7377-4424-8386-B25450B74B29}"/>
    <cellStyle name="Normal 3 2 2 3 2 16 8" xfId="8439" xr:uid="{EF4463A2-29EC-42F1-BBF6-BBFFB2660540}"/>
    <cellStyle name="Normal 3 2 2 3 2 17" xfId="8440" xr:uid="{B226B586-62F7-4FA6-8FA9-D7C2E91B037D}"/>
    <cellStyle name="Normal 3 2 2 3 2 18" xfId="8441" xr:uid="{D829727E-0FE9-4C4E-90FE-2FA7CCB70C67}"/>
    <cellStyle name="Normal 3 2 2 3 2 19" xfId="8442" xr:uid="{26D4169D-81B3-46AC-92F1-4F273078CD45}"/>
    <cellStyle name="Normal 3 2 2 3 2 2" xfId="8443" xr:uid="{96C7D171-B197-4162-9A54-B7E696BA440B}"/>
    <cellStyle name="Normal 3 2 2 3 2 2 10" xfId="8444" xr:uid="{B9E632F8-8795-4288-A341-6D0ACA7D1769}"/>
    <cellStyle name="Normal 3 2 2 3 2 2 10 2" xfId="8445" xr:uid="{10B1F7FD-963D-461F-8578-380893A07624}"/>
    <cellStyle name="Normal 3 2 2 3 2 2 10 2 2" xfId="8446" xr:uid="{81F0B67D-AA64-487B-87CB-CAC172891E06}"/>
    <cellStyle name="Normal 3 2 2 3 2 2 10 2 2 2" xfId="8447" xr:uid="{B3EC70EE-CB0F-4E0C-BA07-08CD88F741A3}"/>
    <cellStyle name="Normal 3 2 2 3 2 2 10 2 2 3" xfId="8448" xr:uid="{39D97967-1566-4A20-8ACA-C640F8E66219}"/>
    <cellStyle name="Normal 3 2 2 3 2 2 10 2 2 4" xfId="8449" xr:uid="{280BEBF7-AFE6-433D-A1BE-05474D8BBA7A}"/>
    <cellStyle name="Normal 3 2 2 3 2 2 10 2 2 5" xfId="8450" xr:uid="{DFDA2713-2541-431E-ABC8-9CB028B39267}"/>
    <cellStyle name="Normal 3 2 2 3 2 2 10 2 2 6" xfId="8451" xr:uid="{10BEF941-6E7F-4C52-9A6D-A20469109D52}"/>
    <cellStyle name="Normal 3 2 2 3 2 2 10 2 2 7" xfId="8452" xr:uid="{5B556218-5600-4347-997B-2112A6A22E56}"/>
    <cellStyle name="Normal 3 2 2 3 2 2 10 2 2 8" xfId="8453" xr:uid="{B918D9EA-3C68-4EB4-AB37-206C60794154}"/>
    <cellStyle name="Normal 3 2 2 3 2 2 10 2 3" xfId="8454" xr:uid="{F7A6B026-90AB-4CC8-B896-57A93A9AF133}"/>
    <cellStyle name="Normal 3 2 2 3 2 2 10 2 4" xfId="8455" xr:uid="{90B17C81-30C3-4217-9EFB-E679CC041EEB}"/>
    <cellStyle name="Normal 3 2 2 3 2 2 10 2 5" xfId="8456" xr:uid="{1B68F27F-43E8-4DC9-9D73-175B2E501FAB}"/>
    <cellStyle name="Normal 3 2 2 3 2 2 10 2 6" xfId="8457" xr:uid="{C36A4F83-2138-4FEE-B437-877CCA187B59}"/>
    <cellStyle name="Normal 3 2 2 3 2 2 10 2 7" xfId="8458" xr:uid="{33756664-4D34-4D75-BC27-C5CAFF25BA43}"/>
    <cellStyle name="Normal 3 2 2 3 2 2 10 2 8" xfId="8459" xr:uid="{BE992E23-07E0-4A8F-9873-E93A4D7260B1}"/>
    <cellStyle name="Normal 3 2 2 3 2 2 10 3" xfId="8460" xr:uid="{AED36390-545B-4B3D-A5AD-3684B015967C}"/>
    <cellStyle name="Normal 3 2 2 3 2 2 10 4" xfId="8461" xr:uid="{4F89ABD8-4949-406C-BAC3-998A40277823}"/>
    <cellStyle name="Normal 3 2 2 3 2 2 10 5" xfId="8462" xr:uid="{71D32BA0-BA46-441C-BCAD-62510F0EBD9B}"/>
    <cellStyle name="Normal 3 2 2 3 2 2 10 6" xfId="8463" xr:uid="{812C8252-ACD8-4B77-ADEF-9E7A8693E392}"/>
    <cellStyle name="Normal 3 2 2 3 2 2 10 7" xfId="8464" xr:uid="{452DD6A9-680C-44D4-B547-7BFDC17FFE5F}"/>
    <cellStyle name="Normal 3 2 2 3 2 2 10 8" xfId="8465" xr:uid="{BB001D4D-D1BA-4AD1-A102-6AE336108F3B}"/>
    <cellStyle name="Normal 3 2 2 3 2 2 10 9" xfId="8466" xr:uid="{34DF09F4-00A4-4BC5-9FE4-F7D218A7307D}"/>
    <cellStyle name="Normal 3 2 2 3 2 2 11" xfId="8467" xr:uid="{4ACF7915-5B75-46CD-AF6E-0D28FA830A3E}"/>
    <cellStyle name="Normal 3 2 2 3 2 2 11 2" xfId="8468" xr:uid="{EB10004D-C39B-4029-A2BD-9AC3CFD6CCC1}"/>
    <cellStyle name="Normal 3 2 2 3 2 2 11 3" xfId="8469" xr:uid="{0B6D5ED4-7BCD-4F97-A962-2F974D342F28}"/>
    <cellStyle name="Normal 3 2 2 3 2 2 11 4" xfId="8470" xr:uid="{2296F62B-D529-4249-B8CB-B53120C830AA}"/>
    <cellStyle name="Normal 3 2 2 3 2 2 11 5" xfId="8471" xr:uid="{FC1E7580-53C2-4C5B-8938-35D3165955FE}"/>
    <cellStyle name="Normal 3 2 2 3 2 2 11 6" xfId="8472" xr:uid="{3B0E823C-B7C3-4A55-9E3A-E2B873F53185}"/>
    <cellStyle name="Normal 3 2 2 3 2 2 11 7" xfId="8473" xr:uid="{931A701E-41F4-4130-911C-67247F415A57}"/>
    <cellStyle name="Normal 3 2 2 3 2 2 11 8" xfId="8474" xr:uid="{95643AE8-E679-4E57-ABBD-25E3293C9DB5}"/>
    <cellStyle name="Normal 3 2 2 3 2 2 12" xfId="8475" xr:uid="{B96DE296-C873-4BFD-8CC2-D1FC96631477}"/>
    <cellStyle name="Normal 3 2 2 3 2 2 13" xfId="8476" xr:uid="{D235EFF4-BD02-4AC9-97D3-0EDE931BD2CA}"/>
    <cellStyle name="Normal 3 2 2 3 2 2 14" xfId="8477" xr:uid="{65B11326-A924-422B-B7A9-B1FDA864C527}"/>
    <cellStyle name="Normal 3 2 2 3 2 2 15" xfId="8478" xr:uid="{953B305E-4C3D-4C45-836A-03001E26B788}"/>
    <cellStyle name="Normal 3 2 2 3 2 2 16" xfId="8479" xr:uid="{E9FF8089-D5A2-42C1-8F10-6CB331562FBE}"/>
    <cellStyle name="Normal 3 2 2 3 2 2 17" xfId="8480" xr:uid="{69EE8629-EE40-46A9-8656-CCC1131BE6C5}"/>
    <cellStyle name="Normal 3 2 2 3 2 2 2" xfId="8481" xr:uid="{980B3111-8CC7-428B-AA72-2D6DF819F9A4}"/>
    <cellStyle name="Normal 3 2 2 3 2 2 2 10" xfId="8482" xr:uid="{7581520F-BF24-4DEB-BB84-FBA9C269EDFF}"/>
    <cellStyle name="Normal 3 2 2 3 2 2 2 10 2" xfId="8483" xr:uid="{10B27ACD-FE1F-49CB-A99D-B2E1627DD254}"/>
    <cellStyle name="Normal 3 2 2 3 2 2 2 10 2 2" xfId="8484" xr:uid="{F6E913F7-B021-48D7-9DCD-52FA56BD0DB7}"/>
    <cellStyle name="Normal 3 2 2 3 2 2 2 10 2 2 2" xfId="8485" xr:uid="{4B70B2F8-D412-4FC5-9430-767DEEA0AB2C}"/>
    <cellStyle name="Normal 3 2 2 3 2 2 2 10 2 2 3" xfId="8486" xr:uid="{307E0514-261D-4F1B-8A0F-FDF97B57A366}"/>
    <cellStyle name="Normal 3 2 2 3 2 2 2 10 2 2 4" xfId="8487" xr:uid="{883CEA25-3B1F-453E-A87B-2FC675A08A46}"/>
    <cellStyle name="Normal 3 2 2 3 2 2 2 10 2 2 5" xfId="8488" xr:uid="{B9DFF2F4-4467-4B6D-B558-0444690BC5E8}"/>
    <cellStyle name="Normal 3 2 2 3 2 2 2 10 2 2 6" xfId="8489" xr:uid="{905B79E6-77EE-46D2-A96E-D4D65E5982B5}"/>
    <cellStyle name="Normal 3 2 2 3 2 2 2 10 2 2 7" xfId="8490" xr:uid="{6A4501C1-2E67-4257-9377-BE603F69B9E7}"/>
    <cellStyle name="Normal 3 2 2 3 2 2 2 10 2 2 8" xfId="8491" xr:uid="{04BA1301-1BD8-4D32-996B-11586D9B051D}"/>
    <cellStyle name="Normal 3 2 2 3 2 2 2 10 2 3" xfId="8492" xr:uid="{6C19093A-CF0A-480C-9441-E38BFC0C3D0D}"/>
    <cellStyle name="Normal 3 2 2 3 2 2 2 10 2 4" xfId="8493" xr:uid="{91C3104A-4351-47DA-A7D5-B5ADF385DB88}"/>
    <cellStyle name="Normal 3 2 2 3 2 2 2 10 2 5" xfId="8494" xr:uid="{420AF05B-5476-4966-9F34-6D0028AEE6CA}"/>
    <cellStyle name="Normal 3 2 2 3 2 2 2 10 2 6" xfId="8495" xr:uid="{EF724A31-4B69-4CC4-8A35-7961ACEE7506}"/>
    <cellStyle name="Normal 3 2 2 3 2 2 2 10 2 7" xfId="8496" xr:uid="{DE521C66-7415-4636-9352-490B14B934AB}"/>
    <cellStyle name="Normal 3 2 2 3 2 2 2 10 2 8" xfId="8497" xr:uid="{E0DFF41D-15AE-495A-9967-9FFD4CC3AFE2}"/>
    <cellStyle name="Normal 3 2 2 3 2 2 2 10 3" xfId="8498" xr:uid="{29AAF159-C125-4572-8BB0-B8C66C92FDF6}"/>
    <cellStyle name="Normal 3 2 2 3 2 2 2 10 4" xfId="8499" xr:uid="{CD01C314-5902-4536-B3BD-BC919258B8F3}"/>
    <cellStyle name="Normal 3 2 2 3 2 2 2 10 5" xfId="8500" xr:uid="{FCD844EA-BAAA-459B-ABA6-00EEC200F676}"/>
    <cellStyle name="Normal 3 2 2 3 2 2 2 10 6" xfId="8501" xr:uid="{08269AF8-EC8E-4A95-8E3E-D80A87D44A3F}"/>
    <cellStyle name="Normal 3 2 2 3 2 2 2 10 7" xfId="8502" xr:uid="{751A939F-1CE0-48A6-A8C9-86C43309D8E6}"/>
    <cellStyle name="Normal 3 2 2 3 2 2 2 10 8" xfId="8503" xr:uid="{91D2522C-ADEE-4242-8B70-00E894654F74}"/>
    <cellStyle name="Normal 3 2 2 3 2 2 2 10 9" xfId="8504" xr:uid="{3EA4CE58-5B80-456E-9DF7-2659E4999171}"/>
    <cellStyle name="Normal 3 2 2 3 2 2 2 11" xfId="8505" xr:uid="{88F3A33F-1A28-43C7-B110-7C7DE9EB6446}"/>
    <cellStyle name="Normal 3 2 2 3 2 2 2 11 2" xfId="8506" xr:uid="{7D1D68D1-D448-46C0-9A3C-84DF78C39FF9}"/>
    <cellStyle name="Normal 3 2 2 3 2 2 2 11 3" xfId="8507" xr:uid="{8D57F687-79CE-4D05-8B57-9C77DFCCA7D4}"/>
    <cellStyle name="Normal 3 2 2 3 2 2 2 11 4" xfId="8508" xr:uid="{41FB8CFF-C1B8-402C-BDB4-E5E4988D8CE9}"/>
    <cellStyle name="Normal 3 2 2 3 2 2 2 11 5" xfId="8509" xr:uid="{632AF79D-7762-4D3C-A405-1588CB50882A}"/>
    <cellStyle name="Normal 3 2 2 3 2 2 2 11 6" xfId="8510" xr:uid="{8D1B668A-C51B-486B-B54B-ADAB076B221F}"/>
    <cellStyle name="Normal 3 2 2 3 2 2 2 11 7" xfId="8511" xr:uid="{BC6E0308-C862-42F4-965B-674735D84FFA}"/>
    <cellStyle name="Normal 3 2 2 3 2 2 2 11 8" xfId="8512" xr:uid="{68F219BE-DCA3-4E59-A62D-8E4117645CA8}"/>
    <cellStyle name="Normal 3 2 2 3 2 2 2 12" xfId="8513" xr:uid="{AA782D82-3208-4DFC-95B6-543F6A18D555}"/>
    <cellStyle name="Normal 3 2 2 3 2 2 2 13" xfId="8514" xr:uid="{F7C1F57F-45A1-46FD-968D-BCD467A5DCB2}"/>
    <cellStyle name="Normal 3 2 2 3 2 2 2 14" xfId="8515" xr:uid="{AC6DEBB6-6020-4F37-8161-063A51462AA3}"/>
    <cellStyle name="Normal 3 2 2 3 2 2 2 15" xfId="8516" xr:uid="{C7394D6B-D45A-472B-8465-223293D48589}"/>
    <cellStyle name="Normal 3 2 2 3 2 2 2 16" xfId="8517" xr:uid="{89DEF2F9-9812-4E65-87DD-094768047399}"/>
    <cellStyle name="Normal 3 2 2 3 2 2 2 17" xfId="8518" xr:uid="{E6EB89B7-A1E7-40A7-B3ED-158CA977462A}"/>
    <cellStyle name="Normal 3 2 2 3 2 2 2 2" xfId="8519" xr:uid="{5E8993D5-015A-4C43-95E2-0809E7ACCB87}"/>
    <cellStyle name="Normal 3 2 2 3 2 2 2 2 10" xfId="8520" xr:uid="{87729208-2563-4FA9-ABC0-FF61998716C5}"/>
    <cellStyle name="Normal 3 2 2 3 2 2 2 2 2" xfId="8521" xr:uid="{AEC834FE-DC4F-4D82-B0C7-EF12C049D60E}"/>
    <cellStyle name="Normal 3 2 2 3 2 2 2 2 2 2" xfId="8522" xr:uid="{47639FEB-AAB7-41DE-83A2-344DA5467A73}"/>
    <cellStyle name="Normal 3 2 2 3 2 2 2 2 2 2 2" xfId="8523" xr:uid="{9916A6A8-8249-4D79-AFAC-AB426BA2E479}"/>
    <cellStyle name="Normal 3 2 2 3 2 2 2 2 2 2 2 2" xfId="8524" xr:uid="{08174065-E067-49DC-A9F2-F716C90DCF04}"/>
    <cellStyle name="Normal 3 2 2 3 2 2 2 2 2 2 2 3" xfId="8525" xr:uid="{891B8C87-79F6-43D6-B292-78C115361C38}"/>
    <cellStyle name="Normal 3 2 2 3 2 2 2 2 2 2 2 4" xfId="8526" xr:uid="{DEB61183-11C3-4AF3-BAB4-E41CE0DCF2F1}"/>
    <cellStyle name="Normal 3 2 2 3 2 2 2 2 2 2 2 5" xfId="8527" xr:uid="{6C7C5FF1-EEDB-48D3-BC03-044793ACFE6D}"/>
    <cellStyle name="Normal 3 2 2 3 2 2 2 2 2 2 2 6" xfId="8528" xr:uid="{5C9DEE56-E9C9-4A93-AE08-2A19E15ECB8B}"/>
    <cellStyle name="Normal 3 2 2 3 2 2 2 2 2 2 2 7" xfId="8529" xr:uid="{4366CD67-C5D1-4201-8373-4FFC1D0DB8F6}"/>
    <cellStyle name="Normal 3 2 2 3 2 2 2 2 2 2 2 8" xfId="8530" xr:uid="{376ACB8C-8564-4F8C-BA9F-73D416FBC6FB}"/>
    <cellStyle name="Normal 3 2 2 3 2 2 2 2 2 2 3" xfId="8531" xr:uid="{27FD53A3-44CE-4DFB-90A5-5E0A9BFE3170}"/>
    <cellStyle name="Normal 3 2 2 3 2 2 2 2 2 2 4" xfId="8532" xr:uid="{A36350BE-44E2-4ED1-850D-F1A3FA85EF4F}"/>
    <cellStyle name="Normal 3 2 2 3 2 2 2 2 2 2 5" xfId="8533" xr:uid="{8CC962AA-1BD9-4887-8ACB-F74AF3660CE1}"/>
    <cellStyle name="Normal 3 2 2 3 2 2 2 2 2 2 6" xfId="8534" xr:uid="{C8FA4810-7564-4C87-95A8-7CDB6ACD515A}"/>
    <cellStyle name="Normal 3 2 2 3 2 2 2 2 2 2 7" xfId="8535" xr:uid="{B355B074-DDA8-4622-898C-2F8B41C1F1C6}"/>
    <cellStyle name="Normal 3 2 2 3 2 2 2 2 2 2 8" xfId="8536" xr:uid="{89686318-6938-44BA-B0E7-4E0E9515AE46}"/>
    <cellStyle name="Normal 3 2 2 3 2 2 2 2 2 3" xfId="8537" xr:uid="{AA929914-48D9-457B-B52F-619A46B1C92D}"/>
    <cellStyle name="Normal 3 2 2 3 2 2 2 2 2 4" xfId="8538" xr:uid="{7DCD465C-4A51-4AAF-B602-EBA3B3CBBEA7}"/>
    <cellStyle name="Normal 3 2 2 3 2 2 2 2 2 5" xfId="8539" xr:uid="{C403BB20-CB2E-41C6-951A-91A2F5F6D605}"/>
    <cellStyle name="Normal 3 2 2 3 2 2 2 2 2 6" xfId="8540" xr:uid="{6D5E9CA4-3744-44CF-BE85-440CB67E3DA3}"/>
    <cellStyle name="Normal 3 2 2 3 2 2 2 2 2 7" xfId="8541" xr:uid="{009C7580-77A0-4139-961B-53D7522BC567}"/>
    <cellStyle name="Normal 3 2 2 3 2 2 2 2 2 8" xfId="8542" xr:uid="{AD507FF7-D4E2-456D-B743-20062F9E1E89}"/>
    <cellStyle name="Normal 3 2 2 3 2 2 2 2 2 9" xfId="8543" xr:uid="{A793AD76-4345-4905-9548-454E8BEE3119}"/>
    <cellStyle name="Normal 3 2 2 3 2 2 2 2 3" xfId="8544" xr:uid="{14420363-A8BB-4E21-A46F-5547BE14AF67}"/>
    <cellStyle name="Normal 3 2 2 3 2 2 2 2 4" xfId="8545" xr:uid="{1356BD1C-C584-402E-B00D-2740A575FA9D}"/>
    <cellStyle name="Normal 3 2 2 3 2 2 2 2 4 2" xfId="8546" xr:uid="{22F4E8E4-E5DD-4182-86CA-2A8459BA0497}"/>
    <cellStyle name="Normal 3 2 2 3 2 2 2 2 4 3" xfId="8547" xr:uid="{B2B705C8-715E-4438-9E31-3E8925C93A5B}"/>
    <cellStyle name="Normal 3 2 2 3 2 2 2 2 4 4" xfId="8548" xr:uid="{A74308DA-881B-4262-BD51-D2E3107C0322}"/>
    <cellStyle name="Normal 3 2 2 3 2 2 2 2 4 5" xfId="8549" xr:uid="{EE18B649-D77E-4E51-B287-B2F9F24156C2}"/>
    <cellStyle name="Normal 3 2 2 3 2 2 2 2 4 6" xfId="8550" xr:uid="{24A57699-4126-4CD4-8224-6271957D1910}"/>
    <cellStyle name="Normal 3 2 2 3 2 2 2 2 4 7" xfId="8551" xr:uid="{8FC77E34-0BAB-43F6-A183-E4EC1B7939BA}"/>
    <cellStyle name="Normal 3 2 2 3 2 2 2 2 4 8" xfId="8552" xr:uid="{6D807C66-2D79-4F7D-BBC9-EE6E251727F7}"/>
    <cellStyle name="Normal 3 2 2 3 2 2 2 2 5" xfId="8553" xr:uid="{64B5FD70-216C-4206-9CDC-B0E886B5F026}"/>
    <cellStyle name="Normal 3 2 2 3 2 2 2 2 6" xfId="8554" xr:uid="{FBD87FF8-D929-443E-A492-862337713B70}"/>
    <cellStyle name="Normal 3 2 2 3 2 2 2 2 7" xfId="8555" xr:uid="{8F554F83-F1F8-4E91-953B-B5AC23FE0439}"/>
    <cellStyle name="Normal 3 2 2 3 2 2 2 2 8" xfId="8556" xr:uid="{5BEC34AC-CC2E-4F28-BD30-518EFE423BEE}"/>
    <cellStyle name="Normal 3 2 2 3 2 2 2 2 9" xfId="8557" xr:uid="{93CF0BBF-D5AE-4EA9-A659-8098113684D0}"/>
    <cellStyle name="Normal 3 2 2 3 2 2 2 3" xfId="8558" xr:uid="{4FED5C58-F3C0-4EAE-B433-B49B8E5398C2}"/>
    <cellStyle name="Normal 3 2 2 3 2 2 2 4" xfId="8559" xr:uid="{7F1127AB-EBD0-4758-8B4A-4955EAE8DA2C}"/>
    <cellStyle name="Normal 3 2 2 3 2 2 2 5" xfId="8560" xr:uid="{242A2935-BB70-40BF-AAC1-D330C54A6756}"/>
    <cellStyle name="Normal 3 2 2 3 2 2 2 6" xfId="8561" xr:uid="{C03FECA6-76A6-4276-BD33-56CADFBFF5DD}"/>
    <cellStyle name="Normal 3 2 2 3 2 2 2 7" xfId="8562" xr:uid="{308EFF74-4DCA-4F28-BC3F-9A4959622883}"/>
    <cellStyle name="Normal 3 2 2 3 2 2 2 8" xfId="8563" xr:uid="{4E5A839A-9955-4E35-B35E-E72AC0744A15}"/>
    <cellStyle name="Normal 3 2 2 3 2 2 2 9" xfId="8564" xr:uid="{847883FB-01C1-41D6-BA5C-FF9F5A90DE42}"/>
    <cellStyle name="Normal 3 2 2 3 2 2 3" xfId="8565" xr:uid="{7AA2F495-D69D-4954-9040-4E5253A39AF2}"/>
    <cellStyle name="Normal 3 2 2 3 2 2 3 10" xfId="8566" xr:uid="{B3A476D0-6A86-4953-ABCD-8B5F01385A93}"/>
    <cellStyle name="Normal 3 2 2 3 2 2 3 2" xfId="8567" xr:uid="{CD07F7A9-CF31-4DD3-BB82-A3165F8BAD58}"/>
    <cellStyle name="Normal 3 2 2 3 2 2 3 2 2" xfId="8568" xr:uid="{DA1C7FAB-4604-4AC7-8C27-CCA7F5C25F9A}"/>
    <cellStyle name="Normal 3 2 2 3 2 2 3 2 2 2" xfId="8569" xr:uid="{BE8A2525-658D-40EB-8D7B-8CD5B80CE889}"/>
    <cellStyle name="Normal 3 2 2 3 2 2 3 2 2 2 2" xfId="8570" xr:uid="{1F09696D-5242-4EC3-8636-11067019C0B2}"/>
    <cellStyle name="Normal 3 2 2 3 2 2 3 2 2 2 3" xfId="8571" xr:uid="{103CF1A8-1F2E-4264-AD74-BF129FDCE6F4}"/>
    <cellStyle name="Normal 3 2 2 3 2 2 3 2 2 2 4" xfId="8572" xr:uid="{16FD2F49-5843-4B73-BD76-15DA97DE6ACD}"/>
    <cellStyle name="Normal 3 2 2 3 2 2 3 2 2 2 5" xfId="8573" xr:uid="{B252C10D-1A2B-4D95-B984-7CAC1E672A76}"/>
    <cellStyle name="Normal 3 2 2 3 2 2 3 2 2 2 6" xfId="8574" xr:uid="{E23D8DC8-684E-4B4C-8269-44C58F47374C}"/>
    <cellStyle name="Normal 3 2 2 3 2 2 3 2 2 2 7" xfId="8575" xr:uid="{A976502F-F9F4-4399-A8CA-2C24AD8BB148}"/>
    <cellStyle name="Normal 3 2 2 3 2 2 3 2 2 2 8" xfId="8576" xr:uid="{E23884BA-54CB-40DF-8816-9FD2CC9AA4BF}"/>
    <cellStyle name="Normal 3 2 2 3 2 2 3 2 2 3" xfId="8577" xr:uid="{B9B753A6-0C8A-43A7-8C8A-C6DE38CE624F}"/>
    <cellStyle name="Normal 3 2 2 3 2 2 3 2 2 4" xfId="8578" xr:uid="{283FC33E-E0D0-4CCC-9392-954AC2BC61B4}"/>
    <cellStyle name="Normal 3 2 2 3 2 2 3 2 2 5" xfId="8579" xr:uid="{2463C832-72C0-45D3-8112-A5AC983B18EF}"/>
    <cellStyle name="Normal 3 2 2 3 2 2 3 2 2 6" xfId="8580" xr:uid="{105CED7F-9C7E-480D-A810-839FDA155FA0}"/>
    <cellStyle name="Normal 3 2 2 3 2 2 3 2 2 7" xfId="8581" xr:uid="{CE8EDDF2-6A78-4E13-94A2-6F8C10A3677D}"/>
    <cellStyle name="Normal 3 2 2 3 2 2 3 2 2 8" xfId="8582" xr:uid="{D3C76F50-F9EB-4051-9BB6-7EB9452B69EA}"/>
    <cellStyle name="Normal 3 2 2 3 2 2 3 2 3" xfId="8583" xr:uid="{E01D3DE4-F787-462B-8F15-8B0E81138DC2}"/>
    <cellStyle name="Normal 3 2 2 3 2 2 3 2 4" xfId="8584" xr:uid="{C2BCBE9F-6225-4B8D-AC8A-08B48C585077}"/>
    <cellStyle name="Normal 3 2 2 3 2 2 3 2 5" xfId="8585" xr:uid="{5EFF4A23-C453-4466-9E30-6605DBE8E5EB}"/>
    <cellStyle name="Normal 3 2 2 3 2 2 3 2 6" xfId="8586" xr:uid="{3AACEC1A-320C-435B-A6E4-D2B768968C57}"/>
    <cellStyle name="Normal 3 2 2 3 2 2 3 2 7" xfId="8587" xr:uid="{7D0B228C-9DF4-489C-8457-5420759994A8}"/>
    <cellStyle name="Normal 3 2 2 3 2 2 3 2 8" xfId="8588" xr:uid="{D7B22A43-338B-43EB-9F38-DE389ED8D046}"/>
    <cellStyle name="Normal 3 2 2 3 2 2 3 2 9" xfId="8589" xr:uid="{839BFEF7-02EF-408E-9BB7-20E2AE49C2BE}"/>
    <cellStyle name="Normal 3 2 2 3 2 2 3 3" xfId="8590" xr:uid="{6FAC861B-0726-4B15-B5BD-180595FE5F8E}"/>
    <cellStyle name="Normal 3 2 2 3 2 2 3 4" xfId="8591" xr:uid="{993BE713-CB43-45F7-860C-30BE5F937829}"/>
    <cellStyle name="Normal 3 2 2 3 2 2 3 4 2" xfId="8592" xr:uid="{73B08330-122C-4A33-8298-4EC947D83A49}"/>
    <cellStyle name="Normal 3 2 2 3 2 2 3 4 3" xfId="8593" xr:uid="{F829FC16-69A6-4381-8AC4-4CFDE89F3D2A}"/>
    <cellStyle name="Normal 3 2 2 3 2 2 3 4 4" xfId="8594" xr:uid="{F8E59D4C-1F30-41B2-9150-D51CF24BC682}"/>
    <cellStyle name="Normal 3 2 2 3 2 2 3 4 5" xfId="8595" xr:uid="{84E01148-C2C9-4164-A81F-EF68D0D9E694}"/>
    <cellStyle name="Normal 3 2 2 3 2 2 3 4 6" xfId="8596" xr:uid="{C3F8FCC7-A353-4A4D-8AAA-3AB78EE1F630}"/>
    <cellStyle name="Normal 3 2 2 3 2 2 3 4 7" xfId="8597" xr:uid="{55477A7D-6622-4768-A6D5-F8AA2C7B747D}"/>
    <cellStyle name="Normal 3 2 2 3 2 2 3 4 8" xfId="8598" xr:uid="{7EDCCBAD-9F98-4EAD-A943-2E3D25F4D73B}"/>
    <cellStyle name="Normal 3 2 2 3 2 2 3 5" xfId="8599" xr:uid="{B49CDDDE-833D-4AA2-BD90-FC03845BAAF9}"/>
    <cellStyle name="Normal 3 2 2 3 2 2 3 6" xfId="8600" xr:uid="{17B2F53E-ABC8-44B9-BACF-4B0D09C66308}"/>
    <cellStyle name="Normal 3 2 2 3 2 2 3 7" xfId="8601" xr:uid="{508E973A-32AF-425E-B88E-406EE70A430F}"/>
    <cellStyle name="Normal 3 2 2 3 2 2 3 8" xfId="8602" xr:uid="{A8C9A8C0-DFD6-489C-BCCF-19C5E8B2D9A3}"/>
    <cellStyle name="Normal 3 2 2 3 2 2 3 9" xfId="8603" xr:uid="{B97BFD78-4BD0-4FDE-B8AC-A5CA7A0C0A55}"/>
    <cellStyle name="Normal 3 2 2 3 2 2 4" xfId="8604" xr:uid="{D4B9D6FD-3F73-4C64-81C1-A0352116780E}"/>
    <cellStyle name="Normal 3 2 2 3 2 2 5" xfId="8605" xr:uid="{59D7D254-5118-43E4-8174-F24ED2FAF26C}"/>
    <cellStyle name="Normal 3 2 2 3 2 2 6" xfId="8606" xr:uid="{A41FEA38-C7B1-44A5-80DC-04AFA4FEAA74}"/>
    <cellStyle name="Normal 3 2 2 3 2 2 7" xfId="8607" xr:uid="{2C6C608F-46DE-4DB0-B0F0-EDAAA33342A7}"/>
    <cellStyle name="Normal 3 2 2 3 2 2 8" xfId="8608" xr:uid="{357C66FA-DB2B-4DC5-9C89-35A979D8CCCC}"/>
    <cellStyle name="Normal 3 2 2 3 2 2 9" xfId="8609" xr:uid="{5DADE04C-D3F5-47E5-B4AA-9059B017CDE6}"/>
    <cellStyle name="Normal 3 2 2 3 2 20" xfId="8610" xr:uid="{DD583DCB-3D4E-493E-8A69-616EF5AECC50}"/>
    <cellStyle name="Normal 3 2 2 3 2 21" xfId="8611" xr:uid="{B2A2C808-25D5-4261-AEA4-A4900733E08E}"/>
    <cellStyle name="Normal 3 2 2 3 2 22" xfId="8612" xr:uid="{40D573BC-E99C-4241-B5E7-5608E714E996}"/>
    <cellStyle name="Normal 3 2 2 3 2 3" xfId="8613" xr:uid="{341C5D4E-BF61-4A20-A205-D8C1F6F42336}"/>
    <cellStyle name="Normal 3 2 2 3 2 4" xfId="8614" xr:uid="{C2CB08BF-DFFB-418F-8A5D-2F5F9B193DB9}"/>
    <cellStyle name="Normal 3 2 2 3 2 5" xfId="8615" xr:uid="{5E851F90-E5B8-4613-BA53-CD1C01CF963B}"/>
    <cellStyle name="Normal 3 2 2 3 2 6" xfId="8616" xr:uid="{5605737A-950D-45AD-BA3F-268EA1AD1390}"/>
    <cellStyle name="Normal 3 2 2 3 2 7" xfId="8617" xr:uid="{1F9EC59B-C3B1-4201-8864-4B769CD5DC67}"/>
    <cellStyle name="Normal 3 2 2 3 2 7 10" xfId="8618" xr:uid="{5797F5EB-2C2E-4BD8-9509-B7B4544A0A6A}"/>
    <cellStyle name="Normal 3 2 2 3 2 7 2" xfId="8619" xr:uid="{25B96997-2B90-48ED-B1DE-A95597171B34}"/>
    <cellStyle name="Normal 3 2 2 3 2 7 2 2" xfId="8620" xr:uid="{8D28E222-E574-411B-B6CC-4554A5D6CD0D}"/>
    <cellStyle name="Normal 3 2 2 3 2 7 2 2 2" xfId="8621" xr:uid="{1A279106-CCC5-45CC-B9EB-1C7F5C9B4562}"/>
    <cellStyle name="Normal 3 2 2 3 2 7 2 2 2 2" xfId="8622" xr:uid="{5C70764A-5410-4955-A3B3-1B1756397BB3}"/>
    <cellStyle name="Normal 3 2 2 3 2 7 2 2 2 3" xfId="8623" xr:uid="{88E2AFA7-78FE-41F2-AF42-1D40BB6EBB4E}"/>
    <cellStyle name="Normal 3 2 2 3 2 7 2 2 2 4" xfId="8624" xr:uid="{28544A1C-C858-4118-B7ED-62D61520470F}"/>
    <cellStyle name="Normal 3 2 2 3 2 7 2 2 2 5" xfId="8625" xr:uid="{7648E697-7874-4C99-BAC8-7A54FD56B2DD}"/>
    <cellStyle name="Normal 3 2 2 3 2 7 2 2 2 6" xfId="8626" xr:uid="{6A2632AB-2EC7-4A76-B9C8-856D54C5EE0D}"/>
    <cellStyle name="Normal 3 2 2 3 2 7 2 2 2 7" xfId="8627" xr:uid="{39D72B33-B037-489A-87F0-198D3CE9DA5D}"/>
    <cellStyle name="Normal 3 2 2 3 2 7 2 2 2 8" xfId="8628" xr:uid="{48525C68-C9FA-4169-9467-AD5752890471}"/>
    <cellStyle name="Normal 3 2 2 3 2 7 2 2 3" xfId="8629" xr:uid="{C7508FB9-59C3-4B6D-BAB3-E5C1E75BFFE0}"/>
    <cellStyle name="Normal 3 2 2 3 2 7 2 2 4" xfId="8630" xr:uid="{1D0DCA23-D07E-4457-BED6-33E7AB7E6E70}"/>
    <cellStyle name="Normal 3 2 2 3 2 7 2 2 5" xfId="8631" xr:uid="{A46AAC36-67AB-4CC3-9498-0FBE0877A7A5}"/>
    <cellStyle name="Normal 3 2 2 3 2 7 2 2 6" xfId="8632" xr:uid="{60FCCC0C-0AB3-4779-9977-A683FE84CF4E}"/>
    <cellStyle name="Normal 3 2 2 3 2 7 2 2 7" xfId="8633" xr:uid="{FBAE0ADC-A406-4419-941B-2FB05FF52569}"/>
    <cellStyle name="Normal 3 2 2 3 2 7 2 2 8" xfId="8634" xr:uid="{1AF7422B-6407-4218-A88D-F136A789115E}"/>
    <cellStyle name="Normal 3 2 2 3 2 7 2 3" xfId="8635" xr:uid="{40852BA7-0497-4DCB-AECF-A9078107D257}"/>
    <cellStyle name="Normal 3 2 2 3 2 7 2 4" xfId="8636" xr:uid="{725850F4-71FA-4529-B5C9-8A1758E3FF87}"/>
    <cellStyle name="Normal 3 2 2 3 2 7 2 5" xfId="8637" xr:uid="{8210A2ED-AC06-41DA-9E09-91F0A6FD1275}"/>
    <cellStyle name="Normal 3 2 2 3 2 7 2 6" xfId="8638" xr:uid="{D17E53E6-E1EC-4E86-BDF3-E772820822F9}"/>
    <cellStyle name="Normal 3 2 2 3 2 7 2 7" xfId="8639" xr:uid="{09C26F37-7EF3-498C-BE8C-E383A99AD27B}"/>
    <cellStyle name="Normal 3 2 2 3 2 7 2 8" xfId="8640" xr:uid="{E9A646E0-BC94-464A-B76A-4E63751D3877}"/>
    <cellStyle name="Normal 3 2 2 3 2 7 2 9" xfId="8641" xr:uid="{0C4207DF-BBEA-49D2-A9D4-4D1A0D4C1C02}"/>
    <cellStyle name="Normal 3 2 2 3 2 7 3" xfId="8642" xr:uid="{B36488E3-FDE3-46C7-B5EC-7BD8805F8AF8}"/>
    <cellStyle name="Normal 3 2 2 3 2 7 4" xfId="8643" xr:uid="{2B0D8AC5-F4DC-436B-9430-0E1073856CC3}"/>
    <cellStyle name="Normal 3 2 2 3 2 7 4 2" xfId="8644" xr:uid="{47691CCB-1015-404F-B400-E989674516D8}"/>
    <cellStyle name="Normal 3 2 2 3 2 7 4 3" xfId="8645" xr:uid="{4DD07FD6-886F-4D9F-8B4D-2A27BE43229E}"/>
    <cellStyle name="Normal 3 2 2 3 2 7 4 4" xfId="8646" xr:uid="{A321DF95-81AE-4DB6-9396-E31FE2BF380A}"/>
    <cellStyle name="Normal 3 2 2 3 2 7 4 5" xfId="8647" xr:uid="{DFB0F3D5-2EFB-4E82-A524-A757D3C13D57}"/>
    <cellStyle name="Normal 3 2 2 3 2 7 4 6" xfId="8648" xr:uid="{A1361E03-3E33-43A8-8486-AA13CBF286A0}"/>
    <cellStyle name="Normal 3 2 2 3 2 7 4 7" xfId="8649" xr:uid="{98FA69F2-748B-4C66-B63E-FFA77AC80793}"/>
    <cellStyle name="Normal 3 2 2 3 2 7 4 8" xfId="8650" xr:uid="{6DF60333-D089-405C-829F-6114234C610E}"/>
    <cellStyle name="Normal 3 2 2 3 2 7 5" xfId="8651" xr:uid="{2CC3963B-9041-4D2E-8E66-ADE74CC906A1}"/>
    <cellStyle name="Normal 3 2 2 3 2 7 6" xfId="8652" xr:uid="{A357C99E-885A-468D-B83D-D1809AD509E1}"/>
    <cellStyle name="Normal 3 2 2 3 2 7 7" xfId="8653" xr:uid="{50002E44-278A-4C58-8910-E4B7637278E9}"/>
    <cellStyle name="Normal 3 2 2 3 2 7 8" xfId="8654" xr:uid="{2DA41E13-D234-4891-9934-44434487A279}"/>
    <cellStyle name="Normal 3 2 2 3 2 7 9" xfId="8655" xr:uid="{B3CC426A-31EF-4EA0-994B-808ECAEE150A}"/>
    <cellStyle name="Normal 3 2 2 3 2 8" xfId="8656" xr:uid="{E90FBC35-AF03-4A5B-B0A8-54B625776FD0}"/>
    <cellStyle name="Normal 3 2 2 3 2 9" xfId="8657" xr:uid="{C09754F2-ED9F-40AB-9728-520B73FC9DB3}"/>
    <cellStyle name="Normal 3 2 2 3 20" xfId="8658" xr:uid="{0A066E1E-505C-43FF-87D5-19B5C335C67A}"/>
    <cellStyle name="Normal 3 2 2 3 21" xfId="8659" xr:uid="{8EDFD1D6-E7D1-4C45-9DB7-0D7E8906235F}"/>
    <cellStyle name="Normal 3 2 2 3 22" xfId="8660" xr:uid="{2FF4DB0D-3088-40AA-855D-0E8FCBE216BB}"/>
    <cellStyle name="Normal 3 2 2 3 3" xfId="8661" xr:uid="{E11EBBC7-9E9E-4D5D-809B-4D44FF907320}"/>
    <cellStyle name="Normal 3 2 2 3 3 10" xfId="8662" xr:uid="{7465C6F9-F587-466E-A348-7CF6A95B892C}"/>
    <cellStyle name="Normal 3 2 2 3 3 10 2" xfId="8663" xr:uid="{AC99FB40-28E8-4CFD-8D00-DB55F8D89E78}"/>
    <cellStyle name="Normal 3 2 2 3 3 10 2 2" xfId="8664" xr:uid="{A39FE079-DD29-43D0-AB89-7C365FCAB0FD}"/>
    <cellStyle name="Normal 3 2 2 3 3 10 2 2 2" xfId="8665" xr:uid="{68688B81-5BCE-4877-A016-692AE1AD0D04}"/>
    <cellStyle name="Normal 3 2 2 3 3 10 2 2 3" xfId="8666" xr:uid="{6F1C9C08-1314-410E-9509-0E6E2195CD0D}"/>
    <cellStyle name="Normal 3 2 2 3 3 10 2 2 4" xfId="8667" xr:uid="{7FD91D11-35E4-45E8-BDC3-361CB88C787A}"/>
    <cellStyle name="Normal 3 2 2 3 3 10 2 2 5" xfId="8668" xr:uid="{09F26BAB-35AF-4995-9569-FFB245F0E5F9}"/>
    <cellStyle name="Normal 3 2 2 3 3 10 2 2 6" xfId="8669" xr:uid="{A407C772-AB1A-4A2C-A03D-EB892A838831}"/>
    <cellStyle name="Normal 3 2 2 3 3 10 2 2 7" xfId="8670" xr:uid="{20EFF50E-7E51-4AC0-8CC3-A89FB8D3E29F}"/>
    <cellStyle name="Normal 3 2 2 3 3 10 2 2 8" xfId="8671" xr:uid="{48A3F191-FB8B-4C38-9D83-A91351688847}"/>
    <cellStyle name="Normal 3 2 2 3 3 10 2 3" xfId="8672" xr:uid="{F701BBC9-3758-4583-9168-6E0007F948B9}"/>
    <cellStyle name="Normal 3 2 2 3 3 10 2 4" xfId="8673" xr:uid="{51DA49E3-AF91-4159-9307-A2C9788D60B7}"/>
    <cellStyle name="Normal 3 2 2 3 3 10 2 5" xfId="8674" xr:uid="{1C600425-7E15-43A0-980D-E56F2DA132C1}"/>
    <cellStyle name="Normal 3 2 2 3 3 10 2 6" xfId="8675" xr:uid="{2E301F52-0521-42A4-95D2-B3559876DCDF}"/>
    <cellStyle name="Normal 3 2 2 3 3 10 2 7" xfId="8676" xr:uid="{D61C93C1-F2B6-429A-8A92-D8AB49C860E6}"/>
    <cellStyle name="Normal 3 2 2 3 3 10 2 8" xfId="8677" xr:uid="{4DA88CF7-083C-4179-87A9-620E9875620F}"/>
    <cellStyle name="Normal 3 2 2 3 3 10 3" xfId="8678" xr:uid="{3AABB582-2316-4E55-A811-DC226E28F6FF}"/>
    <cellStyle name="Normal 3 2 2 3 3 10 4" xfId="8679" xr:uid="{8ABF3E43-81CA-4E9E-9AC1-D7CB13AE60D6}"/>
    <cellStyle name="Normal 3 2 2 3 3 10 5" xfId="8680" xr:uid="{FC7A3A1F-6E0B-4A8D-B3C2-F5DAFD878580}"/>
    <cellStyle name="Normal 3 2 2 3 3 10 6" xfId="8681" xr:uid="{B3790EA9-9541-42DC-8517-AC4EC78C3553}"/>
    <cellStyle name="Normal 3 2 2 3 3 10 7" xfId="8682" xr:uid="{F79C8483-07DB-4D6E-B968-A087F19EA2CA}"/>
    <cellStyle name="Normal 3 2 2 3 3 10 8" xfId="8683" xr:uid="{614B5C07-159C-41CF-832F-A77A7ACEA3ED}"/>
    <cellStyle name="Normal 3 2 2 3 3 10 9" xfId="8684" xr:uid="{1C063C51-6CB3-4333-AC87-38F60B9C6E86}"/>
    <cellStyle name="Normal 3 2 2 3 3 11" xfId="8685" xr:uid="{918DD64A-4EF4-4C0A-A2EC-BB19C8184815}"/>
    <cellStyle name="Normal 3 2 2 3 3 11 2" xfId="8686" xr:uid="{C93EFD64-82BA-46F1-AF62-A6F5DDB3819F}"/>
    <cellStyle name="Normal 3 2 2 3 3 11 3" xfId="8687" xr:uid="{91ED9253-8507-4003-90E0-D7F5660A1F6C}"/>
    <cellStyle name="Normal 3 2 2 3 3 11 4" xfId="8688" xr:uid="{F254A53B-B026-4D09-B167-F73F1F62AFD2}"/>
    <cellStyle name="Normal 3 2 2 3 3 11 5" xfId="8689" xr:uid="{E99EDA16-7E64-47A0-BDD3-31F24BDE4648}"/>
    <cellStyle name="Normal 3 2 2 3 3 11 6" xfId="8690" xr:uid="{C69514BB-F186-454E-9618-151A2E16FFC9}"/>
    <cellStyle name="Normal 3 2 2 3 3 11 7" xfId="8691" xr:uid="{82220A11-3777-4D60-B594-64A06D5249B7}"/>
    <cellStyle name="Normal 3 2 2 3 3 11 8" xfId="8692" xr:uid="{7727F179-E441-4656-AD67-6842670056D7}"/>
    <cellStyle name="Normal 3 2 2 3 3 12" xfId="8693" xr:uid="{2FD139B9-3939-449F-97EA-BBAEACDB8036}"/>
    <cellStyle name="Normal 3 2 2 3 3 13" xfId="8694" xr:uid="{39710EC6-7BFF-4C01-AB45-83069CCAF9D3}"/>
    <cellStyle name="Normal 3 2 2 3 3 14" xfId="8695" xr:uid="{587F956D-C15B-41CA-8539-E8BC125ADF2D}"/>
    <cellStyle name="Normal 3 2 2 3 3 15" xfId="8696" xr:uid="{3C5DAB60-6F2D-46CE-8A8B-A6B0088CC5EB}"/>
    <cellStyle name="Normal 3 2 2 3 3 16" xfId="8697" xr:uid="{D1E38E81-8BB8-426B-9B3B-4DD17EF1136F}"/>
    <cellStyle name="Normal 3 2 2 3 3 17" xfId="8698" xr:uid="{B8AB724A-23D9-4D3F-A2EE-F62B877A583C}"/>
    <cellStyle name="Normal 3 2 2 3 3 2" xfId="8699" xr:uid="{69D11793-D240-49D9-8E4F-5CB098A864DA}"/>
    <cellStyle name="Normal 3 2 2 3 3 2 10" xfId="8700" xr:uid="{DC8B6E35-C67A-436D-BDB6-949EDECAAF6B}"/>
    <cellStyle name="Normal 3 2 2 3 3 2 10 2" xfId="8701" xr:uid="{A9F58084-C8F1-46E1-8675-1591F91DC84E}"/>
    <cellStyle name="Normal 3 2 2 3 3 2 10 2 2" xfId="8702" xr:uid="{5B9C41A7-094D-436B-AD17-B3F499691733}"/>
    <cellStyle name="Normal 3 2 2 3 3 2 10 2 2 2" xfId="8703" xr:uid="{17D90128-5E20-4460-B74F-1446F1B677DD}"/>
    <cellStyle name="Normal 3 2 2 3 3 2 10 2 2 3" xfId="8704" xr:uid="{9AC26D27-6135-4003-891C-5B9DF7E7C571}"/>
    <cellStyle name="Normal 3 2 2 3 3 2 10 2 2 4" xfId="8705" xr:uid="{051EC7DD-28C2-4F61-9B26-27F89B7D0A0F}"/>
    <cellStyle name="Normal 3 2 2 3 3 2 10 2 2 5" xfId="8706" xr:uid="{00701284-E59D-4626-B9D9-43AC05AA29DC}"/>
    <cellStyle name="Normal 3 2 2 3 3 2 10 2 2 6" xfId="8707" xr:uid="{B5E3B713-DBFC-40C2-A0D3-2D6A51A09638}"/>
    <cellStyle name="Normal 3 2 2 3 3 2 10 2 2 7" xfId="8708" xr:uid="{75CC18D4-C634-4C86-98E4-0729420B2AF9}"/>
    <cellStyle name="Normal 3 2 2 3 3 2 10 2 2 8" xfId="8709" xr:uid="{01660DA2-6974-4505-A509-C2F3D116920A}"/>
    <cellStyle name="Normal 3 2 2 3 3 2 10 2 3" xfId="8710" xr:uid="{1E639178-BF70-4F91-8F2F-5139B0F785E0}"/>
    <cellStyle name="Normal 3 2 2 3 3 2 10 2 4" xfId="8711" xr:uid="{C4CE5399-A3A5-4BC0-AB8B-2696DCC863C2}"/>
    <cellStyle name="Normal 3 2 2 3 3 2 10 2 5" xfId="8712" xr:uid="{8F611943-F164-4B39-BA1A-F143BBA8047C}"/>
    <cellStyle name="Normal 3 2 2 3 3 2 10 2 6" xfId="8713" xr:uid="{DA519567-75A8-4048-9499-AB4C2B15BD67}"/>
    <cellStyle name="Normal 3 2 2 3 3 2 10 2 7" xfId="8714" xr:uid="{CC24035C-5E9E-4304-A41C-1FC7ACB765F4}"/>
    <cellStyle name="Normal 3 2 2 3 3 2 10 2 8" xfId="8715" xr:uid="{1509D734-8138-4181-92EC-9DB40E184B0A}"/>
    <cellStyle name="Normal 3 2 2 3 3 2 10 3" xfId="8716" xr:uid="{9414C1B0-41D1-43CC-99F7-304B16BDFFDD}"/>
    <cellStyle name="Normal 3 2 2 3 3 2 10 4" xfId="8717" xr:uid="{2DB66038-5D42-478A-8864-BA81C802BD66}"/>
    <cellStyle name="Normal 3 2 2 3 3 2 10 5" xfId="8718" xr:uid="{CA093F99-74E7-47B6-9148-E95F43040AC8}"/>
    <cellStyle name="Normal 3 2 2 3 3 2 10 6" xfId="8719" xr:uid="{E03C8ED1-AA8B-492F-9A22-E14E8B2ECAD2}"/>
    <cellStyle name="Normal 3 2 2 3 3 2 10 7" xfId="8720" xr:uid="{E90F0A3C-7F41-4B9B-A100-8C7B915B5559}"/>
    <cellStyle name="Normal 3 2 2 3 3 2 10 8" xfId="8721" xr:uid="{9D8E93B8-816A-4FE8-8940-E13127928F67}"/>
    <cellStyle name="Normal 3 2 2 3 3 2 10 9" xfId="8722" xr:uid="{46BABF5C-240B-4F84-B3C3-77604B84D03F}"/>
    <cellStyle name="Normal 3 2 2 3 3 2 11" xfId="8723" xr:uid="{7096593F-49BA-4C18-87E6-3BF2273125D6}"/>
    <cellStyle name="Normal 3 2 2 3 3 2 11 2" xfId="8724" xr:uid="{0F7F9867-42E4-4427-93F2-0FA6E8E3F16E}"/>
    <cellStyle name="Normal 3 2 2 3 3 2 11 3" xfId="8725" xr:uid="{EFB3FC88-414D-47FA-9D81-0DA98A4579CB}"/>
    <cellStyle name="Normal 3 2 2 3 3 2 11 4" xfId="8726" xr:uid="{5C0BE048-AF2B-4451-A140-D54C6724A5F1}"/>
    <cellStyle name="Normal 3 2 2 3 3 2 11 5" xfId="8727" xr:uid="{05D5452C-B943-4944-92B5-E92B8ACAD247}"/>
    <cellStyle name="Normal 3 2 2 3 3 2 11 6" xfId="8728" xr:uid="{DDAE59EF-10AA-49EC-9173-F539CB49D9E2}"/>
    <cellStyle name="Normal 3 2 2 3 3 2 11 7" xfId="8729" xr:uid="{384E9308-B55F-4D11-B069-17B5804D2C5C}"/>
    <cellStyle name="Normal 3 2 2 3 3 2 11 8" xfId="8730" xr:uid="{A388BF99-AE0C-45CB-9A8F-1138FE9F0D06}"/>
    <cellStyle name="Normal 3 2 2 3 3 2 12" xfId="8731" xr:uid="{6459A287-D51A-4F95-B8AA-09C3E18C88A2}"/>
    <cellStyle name="Normal 3 2 2 3 3 2 13" xfId="8732" xr:uid="{F514632B-0574-4B39-9505-F584E64DFB90}"/>
    <cellStyle name="Normal 3 2 2 3 3 2 14" xfId="8733" xr:uid="{23A893B4-E51C-4941-BD26-A7A667D05C32}"/>
    <cellStyle name="Normal 3 2 2 3 3 2 15" xfId="8734" xr:uid="{48E4807D-32E7-4E2D-9415-A6CB8BC7CF44}"/>
    <cellStyle name="Normal 3 2 2 3 3 2 16" xfId="8735" xr:uid="{9348D9AE-C1E3-4458-85CD-713B96BCFEDE}"/>
    <cellStyle name="Normal 3 2 2 3 3 2 17" xfId="8736" xr:uid="{130A15CE-2234-458D-9E02-A5EEEEF64AD3}"/>
    <cellStyle name="Normal 3 2 2 3 3 2 2" xfId="8737" xr:uid="{3A646B1E-3CE3-47FD-A477-B71F19C47874}"/>
    <cellStyle name="Normal 3 2 2 3 3 2 2 10" xfId="8738" xr:uid="{712A02F2-7546-42E9-9F81-17965CF2A285}"/>
    <cellStyle name="Normal 3 2 2 3 3 2 2 2" xfId="8739" xr:uid="{7FAC65AE-CE6B-490E-85C7-EE745A1FFDB6}"/>
    <cellStyle name="Normal 3 2 2 3 3 2 2 2 2" xfId="8740" xr:uid="{59018E72-CA13-4AC0-8934-5112A2F6BCAA}"/>
    <cellStyle name="Normal 3 2 2 3 3 2 2 2 2 2" xfId="8741" xr:uid="{82A80118-311C-4AFD-92DA-D12EAD79F0A9}"/>
    <cellStyle name="Normal 3 2 2 3 3 2 2 2 2 2 2" xfId="8742" xr:uid="{FC5AAB1F-60D4-46F7-B897-FA50AE4D7CF3}"/>
    <cellStyle name="Normal 3 2 2 3 3 2 2 2 2 2 3" xfId="8743" xr:uid="{5B9003C9-FE29-458F-87B2-FBB3E3F6D113}"/>
    <cellStyle name="Normal 3 2 2 3 3 2 2 2 2 2 4" xfId="8744" xr:uid="{B6770E49-EF1B-46C9-9895-8F56FB1B4469}"/>
    <cellStyle name="Normal 3 2 2 3 3 2 2 2 2 2 5" xfId="8745" xr:uid="{D001B6CC-6392-47A7-A953-CC1A6385639E}"/>
    <cellStyle name="Normal 3 2 2 3 3 2 2 2 2 2 6" xfId="8746" xr:uid="{2756696D-2383-4156-8045-61DA880706FD}"/>
    <cellStyle name="Normal 3 2 2 3 3 2 2 2 2 2 7" xfId="8747" xr:uid="{5E1AB82F-492B-4A8A-A91A-0B3463F04225}"/>
    <cellStyle name="Normal 3 2 2 3 3 2 2 2 2 2 8" xfId="8748" xr:uid="{5CF9B3D5-E262-40C3-B876-01700D646632}"/>
    <cellStyle name="Normal 3 2 2 3 3 2 2 2 2 3" xfId="8749" xr:uid="{947DECC9-F996-4678-BA6A-3105DC0B86AE}"/>
    <cellStyle name="Normal 3 2 2 3 3 2 2 2 2 4" xfId="8750" xr:uid="{27D22234-65B8-4AA8-8664-86F187551B58}"/>
    <cellStyle name="Normal 3 2 2 3 3 2 2 2 2 5" xfId="8751" xr:uid="{709C7B25-D00F-4378-8657-2280C45DDE18}"/>
    <cellStyle name="Normal 3 2 2 3 3 2 2 2 2 6" xfId="8752" xr:uid="{89807131-90C4-4A72-A66E-0312DE7DB078}"/>
    <cellStyle name="Normal 3 2 2 3 3 2 2 2 2 7" xfId="8753" xr:uid="{00F9D70F-7D86-4524-A2A7-B8A575C2ADD3}"/>
    <cellStyle name="Normal 3 2 2 3 3 2 2 2 2 8" xfId="8754" xr:uid="{A235C533-D429-43A6-9590-81520FCD4E2C}"/>
    <cellStyle name="Normal 3 2 2 3 3 2 2 2 3" xfId="8755" xr:uid="{25B96DD5-DAE7-4014-B82A-F747E3268FAB}"/>
    <cellStyle name="Normal 3 2 2 3 3 2 2 2 4" xfId="8756" xr:uid="{881F9552-731B-413D-BA50-8B20F8FCB78E}"/>
    <cellStyle name="Normal 3 2 2 3 3 2 2 2 5" xfId="8757" xr:uid="{88DF23B2-E906-4616-AD44-848AD1A9A1B9}"/>
    <cellStyle name="Normal 3 2 2 3 3 2 2 2 6" xfId="8758" xr:uid="{CAB437C0-945B-434B-A4C6-F024EF7466B9}"/>
    <cellStyle name="Normal 3 2 2 3 3 2 2 2 7" xfId="8759" xr:uid="{41F1D8C6-EC68-4433-9575-906F71E09720}"/>
    <cellStyle name="Normal 3 2 2 3 3 2 2 2 8" xfId="8760" xr:uid="{4A28F8AE-E815-4B19-BB60-5EDBDFD6403F}"/>
    <cellStyle name="Normal 3 2 2 3 3 2 2 2 9" xfId="8761" xr:uid="{5236CFDC-EBB0-46BD-A9E3-85A7BD4D6163}"/>
    <cellStyle name="Normal 3 2 2 3 3 2 2 3" xfId="8762" xr:uid="{32FEDCC5-3A25-40A1-8D9F-EC65D644B9E7}"/>
    <cellStyle name="Normal 3 2 2 3 3 2 2 4" xfId="8763" xr:uid="{2783565C-573E-4BCA-8547-E103AE0627A6}"/>
    <cellStyle name="Normal 3 2 2 3 3 2 2 4 2" xfId="8764" xr:uid="{87C98822-D3D8-491E-90B3-8200B2F892D0}"/>
    <cellStyle name="Normal 3 2 2 3 3 2 2 4 3" xfId="8765" xr:uid="{18851FA5-7711-4B84-8CC8-90A9DD0304EA}"/>
    <cellStyle name="Normal 3 2 2 3 3 2 2 4 4" xfId="8766" xr:uid="{6E77E91B-08F7-491C-8972-7DD50AAB8A67}"/>
    <cellStyle name="Normal 3 2 2 3 3 2 2 4 5" xfId="8767" xr:uid="{0E4891B2-08EC-4DE0-8FE8-2672D38F8A32}"/>
    <cellStyle name="Normal 3 2 2 3 3 2 2 4 6" xfId="8768" xr:uid="{F10C87F0-DF4E-481C-A4E3-2A05DF26A5F0}"/>
    <cellStyle name="Normal 3 2 2 3 3 2 2 4 7" xfId="8769" xr:uid="{5B3605A2-BDA9-4EF8-A426-D23262E912C9}"/>
    <cellStyle name="Normal 3 2 2 3 3 2 2 4 8" xfId="8770" xr:uid="{82D3250D-2378-4346-A94C-C860F90CF78F}"/>
    <cellStyle name="Normal 3 2 2 3 3 2 2 5" xfId="8771" xr:uid="{DD618320-4711-45ED-9A4B-8013133E2D1A}"/>
    <cellStyle name="Normal 3 2 2 3 3 2 2 6" xfId="8772" xr:uid="{76148E04-DB6E-4365-B81F-B26737097BFA}"/>
    <cellStyle name="Normal 3 2 2 3 3 2 2 7" xfId="8773" xr:uid="{B49B37F6-B59A-4A26-96CF-84FD15ACAE40}"/>
    <cellStyle name="Normal 3 2 2 3 3 2 2 8" xfId="8774" xr:uid="{E4FF5F0C-3C89-4C89-A1BC-71570B3173BF}"/>
    <cellStyle name="Normal 3 2 2 3 3 2 2 9" xfId="8775" xr:uid="{67FBFBA8-FCA5-441C-9E70-C59633C06CFD}"/>
    <cellStyle name="Normal 3 2 2 3 3 2 3" xfId="8776" xr:uid="{8A3F317D-4420-404B-8582-77AF23BCA9C4}"/>
    <cellStyle name="Normal 3 2 2 3 3 2 4" xfId="8777" xr:uid="{A41F3BE6-E062-4F11-B7D0-FC5C04457ADA}"/>
    <cellStyle name="Normal 3 2 2 3 3 2 5" xfId="8778" xr:uid="{F170ACEE-E998-412F-A6DE-3BFD558D6DDB}"/>
    <cellStyle name="Normal 3 2 2 3 3 2 6" xfId="8779" xr:uid="{AFF05486-5BC4-4342-8494-553E2CA841B8}"/>
    <cellStyle name="Normal 3 2 2 3 3 2 7" xfId="8780" xr:uid="{CF264A73-1932-47FD-8BAC-87486FC7FFA7}"/>
    <cellStyle name="Normal 3 2 2 3 3 2 8" xfId="8781" xr:uid="{E55561B8-9B15-41B9-BEBC-A64FCD24A582}"/>
    <cellStyle name="Normal 3 2 2 3 3 2 9" xfId="8782" xr:uid="{2D3F84E7-10F8-4A99-B895-AFA5ED58D5A5}"/>
    <cellStyle name="Normal 3 2 2 3 3 3" xfId="8783" xr:uid="{6416A755-97B8-48D1-AAF7-6C36C251F328}"/>
    <cellStyle name="Normal 3 2 2 3 3 3 10" xfId="8784" xr:uid="{6129F531-6C58-4546-9164-2C64A87896E0}"/>
    <cellStyle name="Normal 3 2 2 3 3 3 2" xfId="8785" xr:uid="{D14622BD-A285-4D42-ADED-6EF4406DB009}"/>
    <cellStyle name="Normal 3 2 2 3 3 3 2 2" xfId="8786" xr:uid="{91D53CC3-63FF-4AAE-8BAD-30FE954EB3D9}"/>
    <cellStyle name="Normal 3 2 2 3 3 3 2 2 2" xfId="8787" xr:uid="{12552F0B-6386-4DB4-A82B-40856CE6705A}"/>
    <cellStyle name="Normal 3 2 2 3 3 3 2 2 2 2" xfId="8788" xr:uid="{12B3C49C-BADE-4754-9D35-BE20F7EB1562}"/>
    <cellStyle name="Normal 3 2 2 3 3 3 2 2 2 3" xfId="8789" xr:uid="{8F4D5153-9D15-4CE5-82A7-6A5861B119FB}"/>
    <cellStyle name="Normal 3 2 2 3 3 3 2 2 2 4" xfId="8790" xr:uid="{4EBCC77E-DA51-4501-A759-498A6FDDA328}"/>
    <cellStyle name="Normal 3 2 2 3 3 3 2 2 2 5" xfId="8791" xr:uid="{4EFB5520-5A07-4F1F-B9BB-A1A05AE85203}"/>
    <cellStyle name="Normal 3 2 2 3 3 3 2 2 2 6" xfId="8792" xr:uid="{1625DD35-4A82-4030-B16B-ACCE56DFB231}"/>
    <cellStyle name="Normal 3 2 2 3 3 3 2 2 2 7" xfId="8793" xr:uid="{4B3A632E-46D7-418B-9CFF-1FBB94D35885}"/>
    <cellStyle name="Normal 3 2 2 3 3 3 2 2 2 8" xfId="8794" xr:uid="{053FEE44-88AF-419A-BD67-34B3FDFBC753}"/>
    <cellStyle name="Normal 3 2 2 3 3 3 2 2 3" xfId="8795" xr:uid="{5ED48FED-B992-4DE7-B4E7-6F49821AC25A}"/>
    <cellStyle name="Normal 3 2 2 3 3 3 2 2 4" xfId="8796" xr:uid="{3A7C16A7-DA58-4E0A-B353-C501AEF9226B}"/>
    <cellStyle name="Normal 3 2 2 3 3 3 2 2 5" xfId="8797" xr:uid="{F67AFA9F-4248-4474-8567-2CF64662E469}"/>
    <cellStyle name="Normal 3 2 2 3 3 3 2 2 6" xfId="8798" xr:uid="{F139A966-DBC0-4159-9D13-50406EB6128C}"/>
    <cellStyle name="Normal 3 2 2 3 3 3 2 2 7" xfId="8799" xr:uid="{4806519B-34B9-42DD-8714-A6126FF16F4C}"/>
    <cellStyle name="Normal 3 2 2 3 3 3 2 2 8" xfId="8800" xr:uid="{7CA8E076-550E-470D-B1CA-90201FE7F9D0}"/>
    <cellStyle name="Normal 3 2 2 3 3 3 2 3" xfId="8801" xr:uid="{F67062FB-20A0-4592-865E-8A609CBC4089}"/>
    <cellStyle name="Normal 3 2 2 3 3 3 2 4" xfId="8802" xr:uid="{61392876-1E37-47EC-90EB-A76E84A6E952}"/>
    <cellStyle name="Normal 3 2 2 3 3 3 2 5" xfId="8803" xr:uid="{A755C9E4-84D7-48BA-AA45-68C0CF0BA231}"/>
    <cellStyle name="Normal 3 2 2 3 3 3 2 6" xfId="8804" xr:uid="{1996490F-DA6C-4A8A-B3D9-F301F62C2144}"/>
    <cellStyle name="Normal 3 2 2 3 3 3 2 7" xfId="8805" xr:uid="{FD587F5C-4366-44AA-9AFA-32A5C5210061}"/>
    <cellStyle name="Normal 3 2 2 3 3 3 2 8" xfId="8806" xr:uid="{E7A3B90D-0135-4A72-88EA-187277CCED92}"/>
    <cellStyle name="Normal 3 2 2 3 3 3 2 9" xfId="8807" xr:uid="{2E0CB9EC-5C2C-450B-A223-A77166549B0D}"/>
    <cellStyle name="Normal 3 2 2 3 3 3 3" xfId="8808" xr:uid="{59C26BC7-B777-49C7-9C4B-5E4C4269E438}"/>
    <cellStyle name="Normal 3 2 2 3 3 3 4" xfId="8809" xr:uid="{212C3484-097B-45A6-BD18-694033C099B8}"/>
    <cellStyle name="Normal 3 2 2 3 3 3 4 2" xfId="8810" xr:uid="{471ACAC5-42B4-4F02-B627-7EB0FCEC14EC}"/>
    <cellStyle name="Normal 3 2 2 3 3 3 4 3" xfId="8811" xr:uid="{32C50109-DAFD-4856-A9E3-B9364E01540C}"/>
    <cellStyle name="Normal 3 2 2 3 3 3 4 4" xfId="8812" xr:uid="{D502739B-0E76-4239-851F-3A302DEE7456}"/>
    <cellStyle name="Normal 3 2 2 3 3 3 4 5" xfId="8813" xr:uid="{0F7E8DD6-1A12-493E-8EA7-56121931A6D2}"/>
    <cellStyle name="Normal 3 2 2 3 3 3 4 6" xfId="8814" xr:uid="{03F35811-E100-476B-869D-A1DBAAA52DED}"/>
    <cellStyle name="Normal 3 2 2 3 3 3 4 7" xfId="8815" xr:uid="{CE2CE682-50BF-4693-B991-3CA45008428E}"/>
    <cellStyle name="Normal 3 2 2 3 3 3 4 8" xfId="8816" xr:uid="{CC93E020-2F00-4B75-B435-6D7317C3661C}"/>
    <cellStyle name="Normal 3 2 2 3 3 3 5" xfId="8817" xr:uid="{15FCAFB2-8C79-499C-A4DA-2B0E99250128}"/>
    <cellStyle name="Normal 3 2 2 3 3 3 6" xfId="8818" xr:uid="{6C9C314B-E6F0-47B1-A3F4-F5495E44C099}"/>
    <cellStyle name="Normal 3 2 2 3 3 3 7" xfId="8819" xr:uid="{96F97147-27AB-4EF4-A05C-A21DC723A2DC}"/>
    <cellStyle name="Normal 3 2 2 3 3 3 8" xfId="8820" xr:uid="{F9346AD2-8889-4F28-9DB6-599BAA58DEFE}"/>
    <cellStyle name="Normal 3 2 2 3 3 3 9" xfId="8821" xr:uid="{EE4A5315-C042-4F03-92AC-66AC6CF53D5D}"/>
    <cellStyle name="Normal 3 2 2 3 3 4" xfId="8822" xr:uid="{98E44AC9-ED89-43F4-B658-DFF7E67A5944}"/>
    <cellStyle name="Normal 3 2 2 3 3 5" xfId="8823" xr:uid="{C9DFA8BE-117C-4CB2-82B7-65403F980F68}"/>
    <cellStyle name="Normal 3 2 2 3 3 6" xfId="8824" xr:uid="{E2BF750D-94DB-4F9F-9957-D378B6AC99FD}"/>
    <cellStyle name="Normal 3 2 2 3 3 7" xfId="8825" xr:uid="{692A7A12-651C-4785-BBD2-EA9F5EB3C5FF}"/>
    <cellStyle name="Normal 3 2 2 3 3 8" xfId="8826" xr:uid="{E4E72467-F83F-47FF-B22B-9281B2DF437B}"/>
    <cellStyle name="Normal 3 2 2 3 3 9" xfId="8827" xr:uid="{BD97F560-38A8-41FC-BCFE-E967512C676B}"/>
    <cellStyle name="Normal 3 2 2 3 4" xfId="8828" xr:uid="{7C8C585C-670C-4540-810D-B4F80FB80136}"/>
    <cellStyle name="Normal 3 2 2 3 5" xfId="8829" xr:uid="{7ED5D77B-DAA3-4225-BD05-C329818192D7}"/>
    <cellStyle name="Normal 3 2 2 3 6" xfId="8830" xr:uid="{21F2A6C4-099E-4C38-9472-C95AF1453376}"/>
    <cellStyle name="Normal 3 2 2 3 7" xfId="8831" xr:uid="{E95263BF-8530-4A67-817C-F54FF3C23E13}"/>
    <cellStyle name="Normal 3 2 2 3 7 10" xfId="8832" xr:uid="{BCB4F0EC-11F3-494C-8343-F24592E73232}"/>
    <cellStyle name="Normal 3 2 2 3 7 2" xfId="8833" xr:uid="{BDA94DE7-123B-44E3-82D0-B33617C530E7}"/>
    <cellStyle name="Normal 3 2 2 3 7 2 2" xfId="8834" xr:uid="{F0655456-CECB-44EA-86EA-1F7DE0A8A889}"/>
    <cellStyle name="Normal 3 2 2 3 7 2 2 2" xfId="8835" xr:uid="{70851106-45DB-4A4B-8681-59BF00B049A9}"/>
    <cellStyle name="Normal 3 2 2 3 7 2 2 2 2" xfId="8836" xr:uid="{30AF498E-5373-4A37-9A33-387D8B854660}"/>
    <cellStyle name="Normal 3 2 2 3 7 2 2 2 3" xfId="8837" xr:uid="{0F09FF45-4824-492C-8B4F-8D11A31CC979}"/>
    <cellStyle name="Normal 3 2 2 3 7 2 2 2 4" xfId="8838" xr:uid="{0AD1E06A-F024-41F8-84D1-29BC42AFBC4B}"/>
    <cellStyle name="Normal 3 2 2 3 7 2 2 2 5" xfId="8839" xr:uid="{D28C23DD-C3C1-4C0E-9BAF-7594D1E4A1ED}"/>
    <cellStyle name="Normal 3 2 2 3 7 2 2 2 6" xfId="8840" xr:uid="{43E4CD87-8F0C-4BB5-AA29-6BEC6A300D16}"/>
    <cellStyle name="Normal 3 2 2 3 7 2 2 2 7" xfId="8841" xr:uid="{CC971742-261D-4C49-845D-CC7995BCDD49}"/>
    <cellStyle name="Normal 3 2 2 3 7 2 2 2 8" xfId="8842" xr:uid="{C2B8A026-7815-4D14-BFFB-28086A9C1835}"/>
    <cellStyle name="Normal 3 2 2 3 7 2 2 3" xfId="8843" xr:uid="{67F0C37E-68FF-4A4C-B672-3DD100AEF52B}"/>
    <cellStyle name="Normal 3 2 2 3 7 2 2 4" xfId="8844" xr:uid="{1025FB27-008D-4F76-AF1B-7745AA0080C5}"/>
    <cellStyle name="Normal 3 2 2 3 7 2 2 5" xfId="8845" xr:uid="{5B751D17-F90A-44B3-9603-DD8D91E3F2EC}"/>
    <cellStyle name="Normal 3 2 2 3 7 2 2 6" xfId="8846" xr:uid="{DD5D69C1-411E-4ED5-9DE5-908D5A11F8BA}"/>
    <cellStyle name="Normal 3 2 2 3 7 2 2 7" xfId="8847" xr:uid="{D54859C6-4685-4A9A-8E12-C665ECA10152}"/>
    <cellStyle name="Normal 3 2 2 3 7 2 2 8" xfId="8848" xr:uid="{1516D8C7-0C7E-4A37-B35D-35F2E841CBF8}"/>
    <cellStyle name="Normal 3 2 2 3 7 2 3" xfId="8849" xr:uid="{91803E8E-4DC0-4304-869E-5F80DC29A46F}"/>
    <cellStyle name="Normal 3 2 2 3 7 2 4" xfId="8850" xr:uid="{C6015EFA-42AF-42FC-9540-B4D2FDB20AD9}"/>
    <cellStyle name="Normal 3 2 2 3 7 2 5" xfId="8851" xr:uid="{048F8C2C-1D06-44DF-BFDF-900DA9C24B36}"/>
    <cellStyle name="Normal 3 2 2 3 7 2 6" xfId="8852" xr:uid="{A1F2BE03-1ADD-439B-9894-80FCE769EBD1}"/>
    <cellStyle name="Normal 3 2 2 3 7 2 7" xfId="8853" xr:uid="{936B18CC-DDA8-4298-A2FD-94336587E03B}"/>
    <cellStyle name="Normal 3 2 2 3 7 2 8" xfId="8854" xr:uid="{8B313327-C1F8-44BA-8D48-D7E0FD97107D}"/>
    <cellStyle name="Normal 3 2 2 3 7 2 9" xfId="8855" xr:uid="{02DCF77A-7BBF-488F-BAAF-3601D2FBC43A}"/>
    <cellStyle name="Normal 3 2 2 3 7 3" xfId="8856" xr:uid="{1A0B8998-F12E-4AAA-A546-CE93FC1D5E04}"/>
    <cellStyle name="Normal 3 2 2 3 7 4" xfId="8857" xr:uid="{A88BC327-3BB0-4344-BF2B-F492A48317B0}"/>
    <cellStyle name="Normal 3 2 2 3 7 4 2" xfId="8858" xr:uid="{11A6D1CA-2DA7-436A-9BDB-5F25B0D57F7A}"/>
    <cellStyle name="Normal 3 2 2 3 7 4 3" xfId="8859" xr:uid="{6D10BFB4-C866-4433-AB86-5685E5A79120}"/>
    <cellStyle name="Normal 3 2 2 3 7 4 4" xfId="8860" xr:uid="{2DED6D29-28C5-426B-8CCE-4D63AF5551FA}"/>
    <cellStyle name="Normal 3 2 2 3 7 4 5" xfId="8861" xr:uid="{D15885AF-A69A-4D3F-8135-CFF57ECDC481}"/>
    <cellStyle name="Normal 3 2 2 3 7 4 6" xfId="8862" xr:uid="{10F6217F-FC8B-4F4B-B492-7DCB8BB06D7D}"/>
    <cellStyle name="Normal 3 2 2 3 7 4 7" xfId="8863" xr:uid="{C80DAABB-3D0D-461A-B116-D678348D61C3}"/>
    <cellStyle name="Normal 3 2 2 3 7 4 8" xfId="8864" xr:uid="{8C4D9FC3-1FE1-4E7D-9EC9-D63593A71C13}"/>
    <cellStyle name="Normal 3 2 2 3 7 5" xfId="8865" xr:uid="{7B73612F-4181-47DB-911F-7A58D94A8418}"/>
    <cellStyle name="Normal 3 2 2 3 7 6" xfId="8866" xr:uid="{FC47996B-5C76-42F8-89B7-A96DE6141D82}"/>
    <cellStyle name="Normal 3 2 2 3 7 7" xfId="8867" xr:uid="{021ABA3B-8199-40B8-85E8-F1A2F2D41FC9}"/>
    <cellStyle name="Normal 3 2 2 3 7 8" xfId="8868" xr:uid="{164DDC08-0922-49AF-9861-EE114473B6FC}"/>
    <cellStyle name="Normal 3 2 2 3 7 9" xfId="8869" xr:uid="{E5C07792-1FE9-4DCF-8E5D-B151F5EA86E2}"/>
    <cellStyle name="Normal 3 2 2 3 8" xfId="8870" xr:uid="{15C967D2-0F3D-4F19-AE95-6518249A3B76}"/>
    <cellStyle name="Normal 3 2 2 3 9" xfId="8871" xr:uid="{5B1768A2-79E3-411E-B1D3-3897F2E639A3}"/>
    <cellStyle name="Normal 3 2 2 30" xfId="8872" xr:uid="{FC029D08-9F11-4EBD-978E-41CED36BFFBB}"/>
    <cellStyle name="Normal 3 2 2 31" xfId="8873" xr:uid="{E858C960-5CA5-4201-8F43-B87029B06F71}"/>
    <cellStyle name="Normal 3 2 2 32" xfId="8874" xr:uid="{AE99AF82-2D92-4104-A64E-B6A49C62C31A}"/>
    <cellStyle name="Normal 3 2 2 33" xfId="8875" xr:uid="{A4410CF6-3223-451C-9AE2-E5476095931B}"/>
    <cellStyle name="Normal 3 2 2 34" xfId="8876" xr:uid="{171BA068-A3D9-4DEA-9C92-E8C47B6B41E4}"/>
    <cellStyle name="Normal 3 2 2 35" xfId="8877" xr:uid="{323D60F3-ABF5-4FBA-9021-CF4B5B3594EC}"/>
    <cellStyle name="Normal 3 2 2 36" xfId="8878" xr:uid="{87F4502E-AA21-4015-B207-3E1A94353DFE}"/>
    <cellStyle name="Normal 3 2 2 36 2" xfId="8879" xr:uid="{71F8CF57-9812-46DF-BC71-9D768A9162B4}"/>
    <cellStyle name="Normal 3 2 2 36 2 2" xfId="8880" xr:uid="{D7B6FE6F-AB30-4319-8186-C7EBB2D22B56}"/>
    <cellStyle name="Normal 3 2 2 36 2 2 2" xfId="8881" xr:uid="{8795EF4E-EBB1-443E-A2C1-07B12C99EB39}"/>
    <cellStyle name="Normal 3 2 2 36 2 2 3" xfId="8882" xr:uid="{526E5A49-AEFA-4AA6-BFD6-5497719F2D08}"/>
    <cellStyle name="Normal 3 2 2 36 2 2 4" xfId="8883" xr:uid="{868DC274-096D-4CBA-91D9-2ED3AF95DE74}"/>
    <cellStyle name="Normal 3 2 2 36 2 2 5" xfId="8884" xr:uid="{41FFA8BA-4612-44D7-8DA0-B832A3B893BB}"/>
    <cellStyle name="Normal 3 2 2 36 2 2 6" xfId="8885" xr:uid="{5DD31E00-2AB4-426B-9A70-BB158463CCEA}"/>
    <cellStyle name="Normal 3 2 2 36 2 2 7" xfId="8886" xr:uid="{F96D6993-1D89-4FEC-A74A-F7926A8ED965}"/>
    <cellStyle name="Normal 3 2 2 36 2 2 8" xfId="8887" xr:uid="{79762629-5B53-4D8F-842E-4BF4F27E7E26}"/>
    <cellStyle name="Normal 3 2 2 36 2 3" xfId="8888" xr:uid="{06C63E90-DDF2-4E2D-B5AA-C5B4871350F5}"/>
    <cellStyle name="Normal 3 2 2 36 2 4" xfId="8889" xr:uid="{153A8943-2933-4A4F-A76C-BD9A7EF3F6A5}"/>
    <cellStyle name="Normal 3 2 2 36 2 5" xfId="8890" xr:uid="{58189807-206D-4C53-B7AD-75B6E4F95980}"/>
    <cellStyle name="Normal 3 2 2 36 2 6" xfId="8891" xr:uid="{A5FD185A-42F0-4AF6-AB95-302D9852FDFD}"/>
    <cellStyle name="Normal 3 2 2 36 2 7" xfId="8892" xr:uid="{29C9C2A7-4453-41A9-ADF7-B1BEEEC6EB5B}"/>
    <cellStyle name="Normal 3 2 2 36 2 8" xfId="8893" xr:uid="{5E7E5BC3-C935-41B7-AE48-BF0B2E2DB967}"/>
    <cellStyle name="Normal 3 2 2 36 3" xfId="8894" xr:uid="{CC4B2E50-3AC2-4ED2-9C44-B08858B22BA1}"/>
    <cellStyle name="Normal 3 2 2 36 4" xfId="8895" xr:uid="{6B1137CD-D39C-49DD-A241-66E0C48F635B}"/>
    <cellStyle name="Normal 3 2 2 36 5" xfId="8896" xr:uid="{A95D4F2C-1BDD-4971-BD4F-0BD2698499FA}"/>
    <cellStyle name="Normal 3 2 2 36 6" xfId="8897" xr:uid="{46508DC8-667E-44AD-8241-8EBB31183C32}"/>
    <cellStyle name="Normal 3 2 2 36 7" xfId="8898" xr:uid="{731975C4-D08B-42EE-B098-E8E474CECDE0}"/>
    <cellStyle name="Normal 3 2 2 36 8" xfId="8899" xr:uid="{74C445BD-1400-4F5E-A7E1-99505F3EF703}"/>
    <cellStyle name="Normal 3 2 2 36 9" xfId="8900" xr:uid="{38B5F25D-6914-40CE-8F22-C952CEE71D1B}"/>
    <cellStyle name="Normal 3 2 2 37" xfId="8901" xr:uid="{177403DF-435F-496F-8C4B-13ECB5923433}"/>
    <cellStyle name="Normal 3 2 2 37 2" xfId="8902" xr:uid="{5A2C4A6F-5F69-4CB6-9811-A8D50F5236B3}"/>
    <cellStyle name="Normal 3 2 2 37 3" xfId="8903" xr:uid="{2959B370-5A1C-4D57-97DA-79D886E17993}"/>
    <cellStyle name="Normal 3 2 2 37 4" xfId="8904" xr:uid="{3227E957-34C2-4594-A138-462D6274CA60}"/>
    <cellStyle name="Normal 3 2 2 37 5" xfId="8905" xr:uid="{78E5CE11-B1A8-404D-AAC6-56824210ED65}"/>
    <cellStyle name="Normal 3 2 2 37 6" xfId="8906" xr:uid="{A8FFFD56-2C79-4F40-A718-4AF9B151464C}"/>
    <cellStyle name="Normal 3 2 2 37 7" xfId="8907" xr:uid="{CFF469EC-15B7-42BD-8162-A1C2EAF25CC4}"/>
    <cellStyle name="Normal 3 2 2 37 8" xfId="8908" xr:uid="{FD430CFB-5596-43EA-B0A1-E09FECFB45F6}"/>
    <cellStyle name="Normal 3 2 2 38" xfId="8909" xr:uid="{D6315403-E377-427A-898D-1BC05E3507AD}"/>
    <cellStyle name="Normal 3 2 2 39" xfId="8910" xr:uid="{6C65E81F-983D-4639-B1E0-3E18CA0A3D68}"/>
    <cellStyle name="Normal 3 2 2 4" xfId="8911" xr:uid="{F26BF6DC-FDE4-435E-8E6E-94127EBE1B14}"/>
    <cellStyle name="Normal 3 2 2 40" xfId="8912" xr:uid="{5932701D-67E5-491B-8D33-7336DFFFDB21}"/>
    <cellStyle name="Normal 3 2 2 41" xfId="8913" xr:uid="{E7BDD8A2-E7C7-40B4-9CB9-0358985D6944}"/>
    <cellStyle name="Normal 3 2 2 42" xfId="8914" xr:uid="{EFF2FA31-7BDE-4652-B490-60661497FA6C}"/>
    <cellStyle name="Normal 3 2 2 43" xfId="8915" xr:uid="{19CFB1DD-4508-4186-97D3-3DF3B3CC263B}"/>
    <cellStyle name="Normal 3 2 2 5" xfId="8916" xr:uid="{C79F381E-593B-4232-B2A7-8CAB14AF5A77}"/>
    <cellStyle name="Normal 3 2 2 6" xfId="8917" xr:uid="{A56FBDF6-2C25-4A5D-89C8-2A7F824823B4}"/>
    <cellStyle name="Normal 3 2 2 7" xfId="8918" xr:uid="{E3E3C971-D924-445A-9DED-FC932BF12B39}"/>
    <cellStyle name="Normal 3 2 2 8" xfId="8919" xr:uid="{71C7D599-7381-4B43-A59F-1ABE188C25E3}"/>
    <cellStyle name="Normal 3 2 2 9" xfId="8920" xr:uid="{1B3037CC-408E-4F60-B395-519BF888D552}"/>
    <cellStyle name="Normal 3 2 20" xfId="8921" xr:uid="{74B7EB03-202C-42E6-8954-A423C6313E04}"/>
    <cellStyle name="Normal 3 2 21" xfId="8922" xr:uid="{264A273C-E253-4454-85A3-D580BB752A5C}"/>
    <cellStyle name="Normal 3 2 22" xfId="8923" xr:uid="{A0F2B47B-ADDE-4CD8-9109-A6BBB556336E}"/>
    <cellStyle name="Normal 3 2 23" xfId="8924" xr:uid="{9E0DF373-3C5D-4299-AEAD-7309FB6114FB}"/>
    <cellStyle name="Normal 3 2 24" xfId="8925" xr:uid="{BBC3CDC4-A980-42FD-8552-84FEBCFD941B}"/>
    <cellStyle name="Normal 3 2 25" xfId="8926" xr:uid="{7C6044C2-F652-4013-A23E-200A11753144}"/>
    <cellStyle name="Normal 3 2 26" xfId="8927" xr:uid="{35AA34D4-A7A9-4405-BEFC-A4C65E1BB498}"/>
    <cellStyle name="Normal 3 2 27" xfId="8928" xr:uid="{73ADF301-F13D-46A7-A359-B2DA28094A27}"/>
    <cellStyle name="Normal 3 2 28" xfId="8929" xr:uid="{7B04B3EB-0C04-4E0A-9D2F-774C5549626F}"/>
    <cellStyle name="Normal 3 2 29" xfId="8930" xr:uid="{C9B1401D-CB26-410A-8F24-9AE9B79E07E5}"/>
    <cellStyle name="Normal 3 2 3" xfId="8931" xr:uid="{DAAF769A-631C-4691-82F2-B7B86BA29EC1}"/>
    <cellStyle name="Normal 3 2 30" xfId="8932" xr:uid="{12D47027-2369-4A71-94D0-93B00A2C7B23}"/>
    <cellStyle name="Normal 3 2 31" xfId="8933" xr:uid="{37EC1E54-D74E-4210-8D2E-CBE54F14B4D9}"/>
    <cellStyle name="Normal 3 2 32" xfId="8934" xr:uid="{964948D5-9E69-43D8-B859-2A342DE93B85}"/>
    <cellStyle name="Normal 3 2 33" xfId="8935" xr:uid="{85CC0095-7C89-4DD1-AD25-676E9CB87A42}"/>
    <cellStyle name="Normal 3 2 33 10" xfId="8936" xr:uid="{34D68355-EF96-4885-AFEA-56A07F178833}"/>
    <cellStyle name="Normal 3 2 33 10 2" xfId="8937" xr:uid="{6E7C7243-F68B-4514-A89D-9A32A0F1F6A0}"/>
    <cellStyle name="Normal 3 2 33 10 2 2" xfId="8938" xr:uid="{6268B54D-ECF1-4458-8D16-FA4AD1D266C9}"/>
    <cellStyle name="Normal 3 2 33 10 2 2 2" xfId="8939" xr:uid="{01BB676B-FC71-44DC-AB6E-627EE55C79E7}"/>
    <cellStyle name="Normal 3 2 33 10 2 2 3" xfId="8940" xr:uid="{5888F5FF-A484-4EF6-B103-942646D24794}"/>
    <cellStyle name="Normal 3 2 33 10 2 2 4" xfId="8941" xr:uid="{0F97C1EE-6F82-419A-B4B0-DA4C00218C0D}"/>
    <cellStyle name="Normal 3 2 33 10 2 2 5" xfId="8942" xr:uid="{F205C20D-4080-4675-B5E4-FF14E8A969ED}"/>
    <cellStyle name="Normal 3 2 33 10 2 2 6" xfId="8943" xr:uid="{0767B68F-D088-49C6-8887-DCF49133B011}"/>
    <cellStyle name="Normal 3 2 33 10 2 2 7" xfId="8944" xr:uid="{5B402C8F-A768-4002-889E-127E05112A5E}"/>
    <cellStyle name="Normal 3 2 33 10 2 2 8" xfId="8945" xr:uid="{8F2C72B3-C14B-4A72-BB5D-F202D82A8420}"/>
    <cellStyle name="Normal 3 2 33 10 2 3" xfId="8946" xr:uid="{D27479DA-E76D-4988-8D93-E98895D57B07}"/>
    <cellStyle name="Normal 3 2 33 10 2 4" xfId="8947" xr:uid="{53062431-C28A-4C7B-82E1-759709369DCB}"/>
    <cellStyle name="Normal 3 2 33 10 2 5" xfId="8948" xr:uid="{D926FD38-767D-47C9-802C-196F3B4BE589}"/>
    <cellStyle name="Normal 3 2 33 10 2 6" xfId="8949" xr:uid="{3534C5C5-515D-40E0-A59C-03E9ACFFEF03}"/>
    <cellStyle name="Normal 3 2 33 10 2 7" xfId="8950" xr:uid="{13A8ABB5-E1F0-4642-A202-FC6042DD0708}"/>
    <cellStyle name="Normal 3 2 33 10 2 8" xfId="8951" xr:uid="{877DCECC-F44C-4CFA-A7C7-38A82C64D0B7}"/>
    <cellStyle name="Normal 3 2 33 10 3" xfId="8952" xr:uid="{52E58E9E-A360-47F6-8B87-818A0750265E}"/>
    <cellStyle name="Normal 3 2 33 10 4" xfId="8953" xr:uid="{F0E584AF-A31F-448D-B57D-E19545B6655E}"/>
    <cellStyle name="Normal 3 2 33 10 5" xfId="8954" xr:uid="{ADA6FF8D-431E-4280-8946-1BAC043BFE48}"/>
    <cellStyle name="Normal 3 2 33 10 6" xfId="8955" xr:uid="{35C8A856-AC79-4B26-B22F-27DC628D360C}"/>
    <cellStyle name="Normal 3 2 33 10 7" xfId="8956" xr:uid="{4CFADA46-6FF0-426E-A02B-699C37FA2AC4}"/>
    <cellStyle name="Normal 3 2 33 10 8" xfId="8957" xr:uid="{16CB61DF-2BDF-4A6B-8910-AE5C98852AC0}"/>
    <cellStyle name="Normal 3 2 33 10 9" xfId="8958" xr:uid="{3E966893-142C-4FCB-B37B-1B9795A80EB4}"/>
    <cellStyle name="Normal 3 2 33 11" xfId="8959" xr:uid="{A180E6EB-9333-4070-B467-1FEB005F131C}"/>
    <cellStyle name="Normal 3 2 33 11 2" xfId="8960" xr:uid="{BC779F39-D9F6-4256-B13E-F675D86D133A}"/>
    <cellStyle name="Normal 3 2 33 11 3" xfId="8961" xr:uid="{C5A43BCA-DA62-4FDC-B697-4746EF1E1543}"/>
    <cellStyle name="Normal 3 2 33 11 4" xfId="8962" xr:uid="{27BD0FD7-9493-4837-A287-958E1D69F8C7}"/>
    <cellStyle name="Normal 3 2 33 11 5" xfId="8963" xr:uid="{C93D608F-53E5-495C-816F-7EDAAA17FFDB}"/>
    <cellStyle name="Normal 3 2 33 11 6" xfId="8964" xr:uid="{2165A4F4-A5A8-4961-B54D-B1CC1EBA2107}"/>
    <cellStyle name="Normal 3 2 33 11 7" xfId="8965" xr:uid="{7F95CF39-D992-48EC-B66F-E56C932C2E22}"/>
    <cellStyle name="Normal 3 2 33 11 8" xfId="8966" xr:uid="{EECA1229-7C4D-4ABF-94EC-6BF9F106EC18}"/>
    <cellStyle name="Normal 3 2 33 12" xfId="8967" xr:uid="{31387D04-A3FA-4DCB-989A-47706E5CA962}"/>
    <cellStyle name="Normal 3 2 33 13" xfId="8968" xr:uid="{43875C42-276F-44FC-B088-63F84A517D1E}"/>
    <cellStyle name="Normal 3 2 33 14" xfId="8969" xr:uid="{1DBC94E1-63B6-4D97-A32E-DFE8E538694D}"/>
    <cellStyle name="Normal 3 2 33 15" xfId="8970" xr:uid="{5508FC49-7E26-4431-9B16-BD924B9ECAA6}"/>
    <cellStyle name="Normal 3 2 33 16" xfId="8971" xr:uid="{D4CA518A-AD45-4EA9-8BB9-4822472E31B9}"/>
    <cellStyle name="Normal 3 2 33 17" xfId="8972" xr:uid="{A85532F1-66ED-4AD7-924A-52FB51735A52}"/>
    <cellStyle name="Normal 3 2 33 2" xfId="8973" xr:uid="{0426C137-8D54-4404-93AF-A941A49BC1C4}"/>
    <cellStyle name="Normal 3 2 33 2 10" xfId="8974" xr:uid="{50979861-AA45-44E5-BE19-9A3690C9CE3A}"/>
    <cellStyle name="Normal 3 2 33 2 10 2" xfId="8975" xr:uid="{E6F65DDC-AC19-4997-A9A9-4DD066E8794D}"/>
    <cellStyle name="Normal 3 2 33 2 10 2 2" xfId="8976" xr:uid="{47D5B6AB-53FA-434D-9774-63225FD37B02}"/>
    <cellStyle name="Normal 3 2 33 2 10 2 2 2" xfId="8977" xr:uid="{B99DBFB9-39E9-4495-A364-D23208832694}"/>
    <cellStyle name="Normal 3 2 33 2 10 2 2 3" xfId="8978" xr:uid="{3617C0DD-CF4F-4B9A-ADC7-2D08EA30426D}"/>
    <cellStyle name="Normal 3 2 33 2 10 2 2 4" xfId="8979" xr:uid="{6B8DEA17-FFB8-4A15-BF8A-D98F7B4A9972}"/>
    <cellStyle name="Normal 3 2 33 2 10 2 2 5" xfId="8980" xr:uid="{F877D642-20FC-4B5B-B27F-3251C32B3DB3}"/>
    <cellStyle name="Normal 3 2 33 2 10 2 2 6" xfId="8981" xr:uid="{A13B1FEB-D984-44EA-ABA9-0C0BD8C053FF}"/>
    <cellStyle name="Normal 3 2 33 2 10 2 2 7" xfId="8982" xr:uid="{644F6DAD-EB14-4709-AFAD-1E5BAA5047F8}"/>
    <cellStyle name="Normal 3 2 33 2 10 2 2 8" xfId="8983" xr:uid="{29BE80FE-168E-4BA1-B35E-747621CF35C3}"/>
    <cellStyle name="Normal 3 2 33 2 10 2 3" xfId="8984" xr:uid="{63B7111C-E860-4F6E-B04A-4F6686FD6CB9}"/>
    <cellStyle name="Normal 3 2 33 2 10 2 4" xfId="8985" xr:uid="{835AE01B-436A-4EDE-9A33-7CF9E4296DBE}"/>
    <cellStyle name="Normal 3 2 33 2 10 2 5" xfId="8986" xr:uid="{517CDF1D-D34A-4B83-948C-BC79513D67D6}"/>
    <cellStyle name="Normal 3 2 33 2 10 2 6" xfId="8987" xr:uid="{DC68FD45-3970-41F9-8880-8B79966C2B40}"/>
    <cellStyle name="Normal 3 2 33 2 10 2 7" xfId="8988" xr:uid="{9487315A-2B67-4755-88A6-67A99A910F93}"/>
    <cellStyle name="Normal 3 2 33 2 10 2 8" xfId="8989" xr:uid="{A1C6B383-E9F4-43CB-B165-36B82182AF57}"/>
    <cellStyle name="Normal 3 2 33 2 10 3" xfId="8990" xr:uid="{AB4401B3-AF89-466F-B0D8-A02B3F86B442}"/>
    <cellStyle name="Normal 3 2 33 2 10 4" xfId="8991" xr:uid="{1608D6BA-91C7-47F2-A5DE-C0D1B7DE3083}"/>
    <cellStyle name="Normal 3 2 33 2 10 5" xfId="8992" xr:uid="{D9FD51FC-99ED-4C50-9B8A-C1CF299D0F9C}"/>
    <cellStyle name="Normal 3 2 33 2 10 6" xfId="8993" xr:uid="{A62EF518-0633-425A-9998-9D7AC854D52E}"/>
    <cellStyle name="Normal 3 2 33 2 10 7" xfId="8994" xr:uid="{AB8101AD-D477-4588-A9E8-8BBD0319FB60}"/>
    <cellStyle name="Normal 3 2 33 2 10 8" xfId="8995" xr:uid="{2CDE1D51-0D35-43D0-930D-88E55FC71CAD}"/>
    <cellStyle name="Normal 3 2 33 2 10 9" xfId="8996" xr:uid="{A063057E-E0D8-42E5-A3CA-28B83CB3ADE5}"/>
    <cellStyle name="Normal 3 2 33 2 11" xfId="8997" xr:uid="{9D2D57EB-311A-411A-9095-92604336A025}"/>
    <cellStyle name="Normal 3 2 33 2 11 2" xfId="8998" xr:uid="{91521AE1-B26D-4E34-BEC2-9A201BBE5083}"/>
    <cellStyle name="Normal 3 2 33 2 11 3" xfId="8999" xr:uid="{F6CED0E7-EB1E-469C-9368-9E3E305604FA}"/>
    <cellStyle name="Normal 3 2 33 2 11 4" xfId="9000" xr:uid="{67003386-93D6-4177-80EA-B1BCEEE0A77C}"/>
    <cellStyle name="Normal 3 2 33 2 11 5" xfId="9001" xr:uid="{CD7C52A7-8AF5-4C4C-A107-37A2EA6CB470}"/>
    <cellStyle name="Normal 3 2 33 2 11 6" xfId="9002" xr:uid="{FA1D3F6A-C105-4825-A880-15F9515D0047}"/>
    <cellStyle name="Normal 3 2 33 2 11 7" xfId="9003" xr:uid="{BF9A2843-74D6-4059-AE59-B1B523825722}"/>
    <cellStyle name="Normal 3 2 33 2 11 8" xfId="9004" xr:uid="{DADF6B72-21E5-460E-9137-C4877F730594}"/>
    <cellStyle name="Normal 3 2 33 2 12" xfId="9005" xr:uid="{D74AEC6D-264A-4CA7-A411-C5AB127336D9}"/>
    <cellStyle name="Normal 3 2 33 2 13" xfId="9006" xr:uid="{1A0636BA-61AB-4494-A29E-3764FA444949}"/>
    <cellStyle name="Normal 3 2 33 2 14" xfId="9007" xr:uid="{8525A0DA-846C-4986-9874-ACDF6980AF83}"/>
    <cellStyle name="Normal 3 2 33 2 15" xfId="9008" xr:uid="{58C7DB96-907B-4A44-BF65-9A60E217689F}"/>
    <cellStyle name="Normal 3 2 33 2 16" xfId="9009" xr:uid="{C9537797-27AF-4019-9679-B4D9B1DC064D}"/>
    <cellStyle name="Normal 3 2 33 2 17" xfId="9010" xr:uid="{0B1F2E27-5B9F-4198-945E-5E3B95B3B418}"/>
    <cellStyle name="Normal 3 2 33 2 2" xfId="9011" xr:uid="{AF324626-F96C-4843-B808-6E7B936B658F}"/>
    <cellStyle name="Normal 3 2 33 2 2 10" xfId="9012" xr:uid="{A31A34FA-AAC0-478B-A348-945D245F226C}"/>
    <cellStyle name="Normal 3 2 33 2 2 2" xfId="9013" xr:uid="{A6D4F76E-4FE0-4983-9C1C-112CE7266B66}"/>
    <cellStyle name="Normal 3 2 33 2 2 2 2" xfId="9014" xr:uid="{B81307CC-94D6-4C3F-9196-88911608E7B7}"/>
    <cellStyle name="Normal 3 2 33 2 2 2 2 2" xfId="9015" xr:uid="{549D9698-DA95-4C28-869D-5E40F6550D5D}"/>
    <cellStyle name="Normal 3 2 33 2 2 2 2 2 2" xfId="9016" xr:uid="{D0C13659-5B2F-477B-B9F3-755DF036214E}"/>
    <cellStyle name="Normal 3 2 33 2 2 2 2 2 3" xfId="9017" xr:uid="{D9453EBC-AA22-40E4-B1A3-2696B3F407EE}"/>
    <cellStyle name="Normal 3 2 33 2 2 2 2 2 4" xfId="9018" xr:uid="{D44C0064-1C0F-46CC-933D-15756E5706FB}"/>
    <cellStyle name="Normal 3 2 33 2 2 2 2 2 5" xfId="9019" xr:uid="{4AA6F898-E51A-4153-882F-FBA5BE416EF9}"/>
    <cellStyle name="Normal 3 2 33 2 2 2 2 2 6" xfId="9020" xr:uid="{92A17E0D-5970-443A-AA00-6FE14ECC409C}"/>
    <cellStyle name="Normal 3 2 33 2 2 2 2 2 7" xfId="9021" xr:uid="{96B60F43-DC54-4300-8159-30320F771A21}"/>
    <cellStyle name="Normal 3 2 33 2 2 2 2 2 8" xfId="9022" xr:uid="{B8E60E77-553B-4FCC-92F0-34DA5AB72B3B}"/>
    <cellStyle name="Normal 3 2 33 2 2 2 2 3" xfId="9023" xr:uid="{5FD67B20-3A7F-43E9-9ABD-680CFD1992DB}"/>
    <cellStyle name="Normal 3 2 33 2 2 2 2 4" xfId="9024" xr:uid="{282DF324-E023-420D-9C4E-80433C46A86C}"/>
    <cellStyle name="Normal 3 2 33 2 2 2 2 5" xfId="9025" xr:uid="{2AE4B1D2-BAA7-4418-9E82-6738CAD737DB}"/>
    <cellStyle name="Normal 3 2 33 2 2 2 2 6" xfId="9026" xr:uid="{6FA521F7-A1A3-4A8C-957D-B356538D9511}"/>
    <cellStyle name="Normal 3 2 33 2 2 2 2 7" xfId="9027" xr:uid="{7C8B0BF1-0C9D-4C91-9951-F10DF5220F29}"/>
    <cellStyle name="Normal 3 2 33 2 2 2 2 8" xfId="9028" xr:uid="{20474D7E-55AA-451B-8FB2-755FF8C59045}"/>
    <cellStyle name="Normal 3 2 33 2 2 2 3" xfId="9029" xr:uid="{A41A53D9-EAA0-4F1E-83FA-CBF9FEA038D5}"/>
    <cellStyle name="Normal 3 2 33 2 2 2 4" xfId="9030" xr:uid="{173B5BCC-AAD2-48DB-9D1B-274F7020D7DA}"/>
    <cellStyle name="Normal 3 2 33 2 2 2 5" xfId="9031" xr:uid="{C8910A51-79E8-498A-80A5-089F324E527A}"/>
    <cellStyle name="Normal 3 2 33 2 2 2 6" xfId="9032" xr:uid="{9BF6A6BA-CEC2-4E9D-BBC1-6AC4E2D3D9A4}"/>
    <cellStyle name="Normal 3 2 33 2 2 2 7" xfId="9033" xr:uid="{BB3FA980-3CD0-442A-B71E-01AA926E98C3}"/>
    <cellStyle name="Normal 3 2 33 2 2 2 8" xfId="9034" xr:uid="{BE1EBC03-FE6F-46C8-BA91-B5AB65DE54CC}"/>
    <cellStyle name="Normal 3 2 33 2 2 2 9" xfId="9035" xr:uid="{5E9A1832-255B-4F2E-BE36-850171565BD1}"/>
    <cellStyle name="Normal 3 2 33 2 2 3" xfId="9036" xr:uid="{921A1ED4-33C5-48CE-8791-41B1434B4014}"/>
    <cellStyle name="Normal 3 2 33 2 2 4" xfId="9037" xr:uid="{8DB295E2-9F3A-44CE-B940-288B3969876B}"/>
    <cellStyle name="Normal 3 2 33 2 2 4 2" xfId="9038" xr:uid="{319A0605-938D-468F-AB2F-1AABD5AC2D03}"/>
    <cellStyle name="Normal 3 2 33 2 2 4 3" xfId="9039" xr:uid="{BB2DF9B3-D676-4E1C-925D-1295C6547786}"/>
    <cellStyle name="Normal 3 2 33 2 2 4 4" xfId="9040" xr:uid="{58EED9C2-9BC3-4E42-9781-80011AC3D337}"/>
    <cellStyle name="Normal 3 2 33 2 2 4 5" xfId="9041" xr:uid="{5D7F07CE-9A05-491B-9D3F-A77301694C9C}"/>
    <cellStyle name="Normal 3 2 33 2 2 4 6" xfId="9042" xr:uid="{EE762C21-F264-4679-A887-C2A9BFE8861C}"/>
    <cellStyle name="Normal 3 2 33 2 2 4 7" xfId="9043" xr:uid="{E5FDBE64-4DE1-467F-9A91-1AFBE344F324}"/>
    <cellStyle name="Normal 3 2 33 2 2 4 8" xfId="9044" xr:uid="{B4496EEA-AFB4-4F66-A5C1-430E0432ABB3}"/>
    <cellStyle name="Normal 3 2 33 2 2 5" xfId="9045" xr:uid="{31C6DD4B-7270-4FD9-A2CC-069547374549}"/>
    <cellStyle name="Normal 3 2 33 2 2 6" xfId="9046" xr:uid="{259C0FEC-5F1F-4C23-92A3-31105001371A}"/>
    <cellStyle name="Normal 3 2 33 2 2 7" xfId="9047" xr:uid="{D1CE6AF7-FE14-4818-A93C-F94FE7DEA6E1}"/>
    <cellStyle name="Normal 3 2 33 2 2 8" xfId="9048" xr:uid="{0995E586-813D-485F-AFFB-0606C13A5A9E}"/>
    <cellStyle name="Normal 3 2 33 2 2 9" xfId="9049" xr:uid="{4B417233-2264-4E8C-9281-FED538B648F0}"/>
    <cellStyle name="Normal 3 2 33 2 3" xfId="9050" xr:uid="{5F1A1B0E-3382-4E0F-A91E-C6BE1E39F3A0}"/>
    <cellStyle name="Normal 3 2 33 2 4" xfId="9051" xr:uid="{1EAC1634-86B8-4CE0-8971-4211EA22F0A4}"/>
    <cellStyle name="Normal 3 2 33 2 5" xfId="9052" xr:uid="{DACBD16F-680A-42B4-965C-33C9F5D4ACAF}"/>
    <cellStyle name="Normal 3 2 33 2 6" xfId="9053" xr:uid="{11D68634-A819-4062-B5E4-32D5F7A8F9DD}"/>
    <cellStyle name="Normal 3 2 33 2 7" xfId="9054" xr:uid="{08A5B447-1575-4AD8-B223-F33E1F185469}"/>
    <cellStyle name="Normal 3 2 33 2 8" xfId="9055" xr:uid="{675824AE-67E3-4A96-9581-8FD3785331C3}"/>
    <cellStyle name="Normal 3 2 33 2 9" xfId="9056" xr:uid="{43B32DAB-7EEF-40C0-8ADC-979883EAA101}"/>
    <cellStyle name="Normal 3 2 33 3" xfId="9057" xr:uid="{FC84D8E0-B6E6-4A05-9560-9D73EA46933D}"/>
    <cellStyle name="Normal 3 2 33 3 10" xfId="9058" xr:uid="{C172F994-575C-474F-A8EC-9A3EE1FBCA03}"/>
    <cellStyle name="Normal 3 2 33 3 2" xfId="9059" xr:uid="{4B7E4F5C-94A3-4EF5-B573-1BD08517C263}"/>
    <cellStyle name="Normal 3 2 33 3 2 2" xfId="9060" xr:uid="{7D9AF61E-9340-42F3-8135-67F41E4F9B46}"/>
    <cellStyle name="Normal 3 2 33 3 2 2 2" xfId="9061" xr:uid="{E4545830-CBD9-42B4-9D8A-B12A8CA23674}"/>
    <cellStyle name="Normal 3 2 33 3 2 2 2 2" xfId="9062" xr:uid="{73E43FF9-56FA-402C-83E9-75A260A5AE5D}"/>
    <cellStyle name="Normal 3 2 33 3 2 2 2 3" xfId="9063" xr:uid="{8F22ACDC-8493-441C-89B4-4010FA0A519D}"/>
    <cellStyle name="Normal 3 2 33 3 2 2 2 4" xfId="9064" xr:uid="{BAB9F24C-C122-4093-A82B-773980AE7505}"/>
    <cellStyle name="Normal 3 2 33 3 2 2 2 5" xfId="9065" xr:uid="{6AC713ED-2F57-46B1-A5C7-D767D50144D9}"/>
    <cellStyle name="Normal 3 2 33 3 2 2 2 6" xfId="9066" xr:uid="{3C322AB5-5E39-4FF0-A080-96BA70BAE4EB}"/>
    <cellStyle name="Normal 3 2 33 3 2 2 2 7" xfId="9067" xr:uid="{28B55074-869D-4A1E-ADDA-9CBE03CD3AE6}"/>
    <cellStyle name="Normal 3 2 33 3 2 2 2 8" xfId="9068" xr:uid="{959F2F6E-0F93-4CA9-A4C5-D2908A00F814}"/>
    <cellStyle name="Normal 3 2 33 3 2 2 3" xfId="9069" xr:uid="{E4BD5100-8861-4BED-B274-A58C0AC87E3C}"/>
    <cellStyle name="Normal 3 2 33 3 2 2 4" xfId="9070" xr:uid="{B2498092-D2F5-4933-BA24-19A4E163B675}"/>
    <cellStyle name="Normal 3 2 33 3 2 2 5" xfId="9071" xr:uid="{56570087-7530-47AC-8768-861C765E2D45}"/>
    <cellStyle name="Normal 3 2 33 3 2 2 6" xfId="9072" xr:uid="{9DD41D33-7D9E-4127-BA61-44B056DE9E2D}"/>
    <cellStyle name="Normal 3 2 33 3 2 2 7" xfId="9073" xr:uid="{564CC6BA-C801-43BA-BF30-5F96B9265EA3}"/>
    <cellStyle name="Normal 3 2 33 3 2 2 8" xfId="9074" xr:uid="{37F48B35-C306-496E-BF2C-55E539A19BB6}"/>
    <cellStyle name="Normal 3 2 33 3 2 3" xfId="9075" xr:uid="{ED2494FF-403F-4CA3-B706-C53EB8FA8786}"/>
    <cellStyle name="Normal 3 2 33 3 2 4" xfId="9076" xr:uid="{CC8ADA24-2EB5-40F9-A3A3-6B1BC6DDAACB}"/>
    <cellStyle name="Normal 3 2 33 3 2 5" xfId="9077" xr:uid="{7B913F41-DE0E-4BB3-84FA-1EB778C6DFA5}"/>
    <cellStyle name="Normal 3 2 33 3 2 6" xfId="9078" xr:uid="{24667334-629D-4474-98DA-E38AC747BCAB}"/>
    <cellStyle name="Normal 3 2 33 3 2 7" xfId="9079" xr:uid="{1E7C14D4-6CA4-406D-AD3F-16BAD4FB2EAB}"/>
    <cellStyle name="Normal 3 2 33 3 2 8" xfId="9080" xr:uid="{8A07E475-4524-4A7F-AE49-8315054721BE}"/>
    <cellStyle name="Normal 3 2 33 3 2 9" xfId="9081" xr:uid="{6A5A3CAD-C5CE-49FC-8424-879315F51BF1}"/>
    <cellStyle name="Normal 3 2 33 3 3" xfId="9082" xr:uid="{581D671A-D2F0-4BB6-A48B-A2CD98A6FEE9}"/>
    <cellStyle name="Normal 3 2 33 3 4" xfId="9083" xr:uid="{D7320293-3AF6-4146-8922-96BFFCDD3663}"/>
    <cellStyle name="Normal 3 2 33 3 4 2" xfId="9084" xr:uid="{7BE121CA-7F4E-4C1C-81A6-FE23AC2B287C}"/>
    <cellStyle name="Normal 3 2 33 3 4 3" xfId="9085" xr:uid="{B54D6E3B-3445-495C-8CA9-2206A39668EF}"/>
    <cellStyle name="Normal 3 2 33 3 4 4" xfId="9086" xr:uid="{DAFEB6FC-40E3-4868-9E3F-E3A1EE31602D}"/>
    <cellStyle name="Normal 3 2 33 3 4 5" xfId="9087" xr:uid="{5EECB492-18FE-4A4E-B904-AA450F69D601}"/>
    <cellStyle name="Normal 3 2 33 3 4 6" xfId="9088" xr:uid="{2AAA7C6C-97FB-4CB9-9502-5D0303B26523}"/>
    <cellStyle name="Normal 3 2 33 3 4 7" xfId="9089" xr:uid="{F77A4C4D-BE0A-4DCA-B562-7EBB021B12A3}"/>
    <cellStyle name="Normal 3 2 33 3 4 8" xfId="9090" xr:uid="{B432D79E-30EC-4E93-B103-17A4C6EA08F2}"/>
    <cellStyle name="Normal 3 2 33 3 5" xfId="9091" xr:uid="{EACDC6EA-889A-4CB2-BB5B-5F7D71E07C1C}"/>
    <cellStyle name="Normal 3 2 33 3 6" xfId="9092" xr:uid="{FDBA7B78-DAA7-41CD-AAE5-351C634428C7}"/>
    <cellStyle name="Normal 3 2 33 3 7" xfId="9093" xr:uid="{5469F7DB-CF69-4DA2-A57A-B776E7EEE3F7}"/>
    <cellStyle name="Normal 3 2 33 3 8" xfId="9094" xr:uid="{A4B064BF-6553-4B31-8422-C67D2D8DB94C}"/>
    <cellStyle name="Normal 3 2 33 3 9" xfId="9095" xr:uid="{D404C97A-CBF3-4141-85F5-C29B515DC102}"/>
    <cellStyle name="Normal 3 2 33 4" xfId="9096" xr:uid="{CAFDBDAB-76E8-424A-966C-F15D86FA9061}"/>
    <cellStyle name="Normal 3 2 33 5" xfId="9097" xr:uid="{CC845907-03D7-461A-9443-917892484F85}"/>
    <cellStyle name="Normal 3 2 33 6" xfId="9098" xr:uid="{6B1A3662-A676-45DA-8285-E4396F93DFF0}"/>
    <cellStyle name="Normal 3 2 33 7" xfId="9099" xr:uid="{7DD59AD0-06E2-42E4-BC05-BF96F5DE7697}"/>
    <cellStyle name="Normal 3 2 33 8" xfId="9100" xr:uid="{F1F20191-70DF-4573-A068-C4CD18CF8717}"/>
    <cellStyle name="Normal 3 2 33 9" xfId="9101" xr:uid="{3657F2E3-B340-4612-9B53-DA695E8F458A}"/>
    <cellStyle name="Normal 3 2 34" xfId="9102" xr:uid="{A0CA6B60-037B-44AE-B1ED-B64410B20BD7}"/>
    <cellStyle name="Normal 3 2 35" xfId="9103" xr:uid="{648AE1E7-D344-4BB1-AEA8-ACEB0E65631E}"/>
    <cellStyle name="Normal 3 2 36" xfId="9104" xr:uid="{1F672960-1EB4-471F-A486-3E51374E5948}"/>
    <cellStyle name="Normal 3 2 37" xfId="9105" xr:uid="{8C7AE03E-6F20-422F-9A5C-6E786B044B32}"/>
    <cellStyle name="Normal 3 2 38" xfId="9106" xr:uid="{2ABDBFF2-8E9D-42CE-A080-84C81930AF58}"/>
    <cellStyle name="Normal 3 2 38 10" xfId="9107" xr:uid="{6105EDA5-8BF8-4293-BE01-96FE29245884}"/>
    <cellStyle name="Normal 3 2 38 2" xfId="9108" xr:uid="{1E18913A-41ED-434A-8D1E-F392EF4B861D}"/>
    <cellStyle name="Normal 3 2 38 2 2" xfId="9109" xr:uid="{48E96AC6-5984-4EBF-BA43-D0D76815084D}"/>
    <cellStyle name="Normal 3 2 38 2 2 2" xfId="9110" xr:uid="{6DFE36D2-7F25-4AF5-993B-817459B69602}"/>
    <cellStyle name="Normal 3 2 38 2 2 2 2" xfId="9111" xr:uid="{7D809FD5-E121-4DAA-AFBD-AC973937635D}"/>
    <cellStyle name="Normal 3 2 38 2 2 2 3" xfId="9112" xr:uid="{8CB6F393-0B8C-4231-8224-F055ECD6684C}"/>
    <cellStyle name="Normal 3 2 38 2 2 2 4" xfId="9113" xr:uid="{66EB6329-A98E-41DC-A798-7286ACEB56FF}"/>
    <cellStyle name="Normal 3 2 38 2 2 2 5" xfId="9114" xr:uid="{C8D361E6-E447-4851-B376-9A1B7F932CD5}"/>
    <cellStyle name="Normal 3 2 38 2 2 2 6" xfId="9115" xr:uid="{1CE21F6A-C178-4039-89EB-01EA65877417}"/>
    <cellStyle name="Normal 3 2 38 2 2 2 7" xfId="9116" xr:uid="{1CCB8D81-9AB6-47CF-A3C3-CB9182F17F2E}"/>
    <cellStyle name="Normal 3 2 38 2 2 2 8" xfId="9117" xr:uid="{57A730B5-4F39-427E-98A2-50467D363DA7}"/>
    <cellStyle name="Normal 3 2 38 2 2 3" xfId="9118" xr:uid="{C2F10E3E-1346-4288-8536-B6BE8217409D}"/>
    <cellStyle name="Normal 3 2 38 2 2 4" xfId="9119" xr:uid="{40F87B17-C51D-4662-9EDB-AA3FD6AC94E9}"/>
    <cellStyle name="Normal 3 2 38 2 2 5" xfId="9120" xr:uid="{1541AEA9-8214-4CEF-93A4-3A577DFF2615}"/>
    <cellStyle name="Normal 3 2 38 2 2 6" xfId="9121" xr:uid="{1E0C3CBE-C7E4-4825-BBCE-42421A47E56A}"/>
    <cellStyle name="Normal 3 2 38 2 2 7" xfId="9122" xr:uid="{724CFC90-1898-4047-970E-835B47BA589F}"/>
    <cellStyle name="Normal 3 2 38 2 2 8" xfId="9123" xr:uid="{EA02B4A7-F336-435F-B171-55BFF99566F4}"/>
    <cellStyle name="Normal 3 2 38 2 3" xfId="9124" xr:uid="{105C5BB7-91A9-48CD-AC07-332730C6FE7E}"/>
    <cellStyle name="Normal 3 2 38 2 4" xfId="9125" xr:uid="{8938AEF3-576B-4416-B833-64BC1B0E02CB}"/>
    <cellStyle name="Normal 3 2 38 2 5" xfId="9126" xr:uid="{81381F49-31E4-4225-8CA7-39E18F18343D}"/>
    <cellStyle name="Normal 3 2 38 2 6" xfId="9127" xr:uid="{9369DBD7-6702-4081-974B-23F7BE4F3935}"/>
    <cellStyle name="Normal 3 2 38 2 7" xfId="9128" xr:uid="{13AAB608-E5C7-4127-B99E-4D18388CC9CB}"/>
    <cellStyle name="Normal 3 2 38 2 8" xfId="9129" xr:uid="{50DDA2D4-C39B-42EE-B4FB-AEDE559D550D}"/>
    <cellStyle name="Normal 3 2 38 2 9" xfId="9130" xr:uid="{A03EDA94-6300-416B-812D-6BE57B24F061}"/>
    <cellStyle name="Normal 3 2 38 3" xfId="9131" xr:uid="{E3D17CED-B88A-4225-A34B-34C733DCD046}"/>
    <cellStyle name="Normal 3 2 38 4" xfId="9132" xr:uid="{09920463-C333-4148-8A97-2CF90613C986}"/>
    <cellStyle name="Normal 3 2 38 4 2" xfId="9133" xr:uid="{FB62E604-55A5-495F-BEF9-7875D62EE134}"/>
    <cellStyle name="Normal 3 2 38 4 3" xfId="9134" xr:uid="{B4C16E29-5DCE-4482-BEE2-0FE2A428A8F8}"/>
    <cellStyle name="Normal 3 2 38 4 4" xfId="9135" xr:uid="{3C44E4A5-1088-47ED-AAF4-01AF72D0C752}"/>
    <cellStyle name="Normal 3 2 38 4 5" xfId="9136" xr:uid="{217B7AB4-3DA1-45E0-902C-B82431E8C3F5}"/>
    <cellStyle name="Normal 3 2 38 4 6" xfId="9137" xr:uid="{48262CBE-9D5A-4181-BC7A-DB9B34490821}"/>
    <cellStyle name="Normal 3 2 38 4 7" xfId="9138" xr:uid="{80387D5B-35A8-4D72-B380-0662F845F863}"/>
    <cellStyle name="Normal 3 2 38 4 8" xfId="9139" xr:uid="{BC936457-D219-43CF-B158-7981766083AA}"/>
    <cellStyle name="Normal 3 2 38 5" xfId="9140" xr:uid="{A0A4911C-6B05-440E-8019-0646A5AC0E67}"/>
    <cellStyle name="Normal 3 2 38 6" xfId="9141" xr:uid="{45E8FA87-5A50-4ACB-BA0C-57212E2C49B9}"/>
    <cellStyle name="Normal 3 2 38 7" xfId="9142" xr:uid="{DDB22BF3-82B5-4AFD-A2BC-AC9A648595A8}"/>
    <cellStyle name="Normal 3 2 38 8" xfId="9143" xr:uid="{FD7B505B-55B1-482F-AE44-DA43C7297AA1}"/>
    <cellStyle name="Normal 3 2 38 9" xfId="9144" xr:uid="{793CFF46-158C-4AF3-A213-FBC7DF365CE4}"/>
    <cellStyle name="Normal 3 2 39" xfId="9145" xr:uid="{B74564B9-7EB4-4B69-A241-D73E60E59B96}"/>
    <cellStyle name="Normal 3 2 4" xfId="9146" xr:uid="{045F3655-050F-4B96-940E-E35B83A2C258}"/>
    <cellStyle name="Normal 3 2 40" xfId="9147" xr:uid="{430205DE-E434-4BC8-8DD1-E2F6A72D949B}"/>
    <cellStyle name="Normal 3 2 41" xfId="9148" xr:uid="{02025F8D-B130-4F6B-B165-0F254CC57D1D}"/>
    <cellStyle name="Normal 3 2 42" xfId="9149" xr:uid="{DED04812-BE3A-4A7C-937D-6E6F6274B390}"/>
    <cellStyle name="Normal 3 2 43" xfId="9150" xr:uid="{B9588F07-952C-464E-B567-38AA16D6E0F8}"/>
    <cellStyle name="Normal 3 2 44" xfId="9151" xr:uid="{531B42E1-D291-473D-9180-C77BF86E5F26}"/>
    <cellStyle name="Normal 3 2 45" xfId="9152" xr:uid="{AD93E63B-D7A0-4271-BD35-D29325794A86}"/>
    <cellStyle name="Normal 3 2 46" xfId="9153" xr:uid="{A79F9904-D5C2-4CF3-82F2-B02FC69613A6}"/>
    <cellStyle name="Normal 3 2 46 2" xfId="9154" xr:uid="{85F741B8-8282-4A28-AF0F-368D1C85A569}"/>
    <cellStyle name="Normal 3 2 46 2 2" xfId="9155" xr:uid="{EAD6A7DA-AEC3-4E7B-8287-A0799914FCCE}"/>
    <cellStyle name="Normal 3 2 46 2 2 2" xfId="9156" xr:uid="{6B403ABF-C0F1-476E-9764-54FF540E7E40}"/>
    <cellStyle name="Normal 3 2 46 2 2 3" xfId="9157" xr:uid="{7CD8A671-25F4-4004-977C-767377A7F96F}"/>
    <cellStyle name="Normal 3 2 46 2 2 4" xfId="9158" xr:uid="{51063AC8-1E2C-44D2-8FF5-62F68D882955}"/>
    <cellStyle name="Normal 3 2 46 2 2 5" xfId="9159" xr:uid="{5F23359A-D0E0-4577-B6C4-03D0B7884826}"/>
    <cellStyle name="Normal 3 2 46 2 2 6" xfId="9160" xr:uid="{D9B17BE4-1258-4136-8690-E2652D29543C}"/>
    <cellStyle name="Normal 3 2 46 2 2 7" xfId="9161" xr:uid="{A64D5F57-D380-4DD1-891A-113D46C39745}"/>
    <cellStyle name="Normal 3 2 46 2 2 8" xfId="9162" xr:uid="{563B5353-1021-49CF-8D30-6DD7C8A6C775}"/>
    <cellStyle name="Normal 3 2 46 2 3" xfId="9163" xr:uid="{25519338-9651-4299-90B5-43AE843F0059}"/>
    <cellStyle name="Normal 3 2 46 2 4" xfId="9164" xr:uid="{F720474C-BD5C-427E-BB27-8AE450A367C5}"/>
    <cellStyle name="Normal 3 2 46 2 5" xfId="9165" xr:uid="{8BDC5796-8E0F-4240-A678-E5BFEEE17511}"/>
    <cellStyle name="Normal 3 2 46 2 6" xfId="9166" xr:uid="{6E5F51EB-F7C1-4137-AC43-095CA4095E24}"/>
    <cellStyle name="Normal 3 2 46 2 7" xfId="9167" xr:uid="{D60D68D8-6ECF-43B9-BE4B-FD810364EACE}"/>
    <cellStyle name="Normal 3 2 46 2 8" xfId="9168" xr:uid="{EEC19FFC-9877-41F5-85A0-A71C50534ED3}"/>
    <cellStyle name="Normal 3 2 46 3" xfId="9169" xr:uid="{BB0CD5E2-27A4-4A06-8E81-719D2F235FA1}"/>
    <cellStyle name="Normal 3 2 46 4" xfId="9170" xr:uid="{05113285-AF5B-4476-8FCA-5E2E98E64C1B}"/>
    <cellStyle name="Normal 3 2 46 5" xfId="9171" xr:uid="{DFDEC826-B976-46BB-ABE3-54AE182E0DD4}"/>
    <cellStyle name="Normal 3 2 46 6" xfId="9172" xr:uid="{E3C7A339-F984-4FA9-BCC2-537B5691DFDD}"/>
    <cellStyle name="Normal 3 2 46 7" xfId="9173" xr:uid="{5E6D6F31-50F0-41F6-B9CA-94E3685655F3}"/>
    <cellStyle name="Normal 3 2 46 8" xfId="9174" xr:uid="{4381EE55-187A-47CD-BA71-32E47C7E5D14}"/>
    <cellStyle name="Normal 3 2 46 9" xfId="9175" xr:uid="{C2E4C7C0-BD6B-4030-96EF-FB07D092D2E8}"/>
    <cellStyle name="Normal 3 2 47" xfId="9176" xr:uid="{59F1AF39-595C-4E39-9D92-9E72CEE3B478}"/>
    <cellStyle name="Normal 3 2 47 2" xfId="9177" xr:uid="{DAE5BC85-732D-4A18-8BA4-1C037628B84D}"/>
    <cellStyle name="Normal 3 2 47 3" xfId="9178" xr:uid="{CAE06CDA-11A5-4B5F-836D-85486C523A0B}"/>
    <cellStyle name="Normal 3 2 47 4" xfId="9179" xr:uid="{7B7BF703-D2D7-40B8-A14C-85BC06245F84}"/>
    <cellStyle name="Normal 3 2 47 5" xfId="9180" xr:uid="{D29C0E1D-31F8-42F5-80F2-317AE7AE5C0E}"/>
    <cellStyle name="Normal 3 2 47 6" xfId="9181" xr:uid="{8AA70897-803D-4B4C-A841-F5FED7E3349D}"/>
    <cellStyle name="Normal 3 2 47 7" xfId="9182" xr:uid="{FEF18A89-AB8C-4843-B766-B28D36A43841}"/>
    <cellStyle name="Normal 3 2 47 8" xfId="9183" xr:uid="{132D8EF0-C60A-460C-A551-F1C64583372D}"/>
    <cellStyle name="Normal 3 2 48" xfId="9184" xr:uid="{E34CA97C-E8C9-4242-BA7C-0C442197093B}"/>
    <cellStyle name="Normal 3 2 49" xfId="9185" xr:uid="{86DD9C1D-FBC5-4941-B8CE-914C612A3204}"/>
    <cellStyle name="Normal 3 2 5" xfId="9186" xr:uid="{1E21F3CA-D863-4A6C-929F-8B3B350F8314}"/>
    <cellStyle name="Normal 3 2 50" xfId="9187" xr:uid="{6811D196-0A37-462F-A556-74C329B125C9}"/>
    <cellStyle name="Normal 3 2 51" xfId="9188" xr:uid="{4D60AB57-B1FA-4DD8-824F-1D96FAFB06DD}"/>
    <cellStyle name="Normal 3 2 52" xfId="9189" xr:uid="{3E17AD5F-C1A5-41D4-BEC1-4B0CFBF2099A}"/>
    <cellStyle name="Normal 3 2 53" xfId="9190" xr:uid="{BF6430A4-F011-4285-9901-55F49C6D91D7}"/>
    <cellStyle name="Normal 3 2 6" xfId="9191" xr:uid="{852378F7-2BDA-4823-950E-83C075BB7972}"/>
    <cellStyle name="Normal 3 2 7" xfId="9192" xr:uid="{D5DF8ACE-B4F4-48E1-BE95-316A7AA1F39C}"/>
    <cellStyle name="Normal 3 2 8" xfId="9193" xr:uid="{FD1EF6A3-3AB5-4747-BAFC-6D5704E3CE59}"/>
    <cellStyle name="Normal 3 2 9" xfId="9194" xr:uid="{301F41AC-B16C-4D48-8758-90212B1409F9}"/>
    <cellStyle name="Normal 3 20" xfId="9195" xr:uid="{486DDA92-73FD-468D-8124-41B7EDBC25D2}"/>
    <cellStyle name="Normal 3 21" xfId="9196" xr:uid="{E80B3D67-CC04-4888-A9B4-AB792ECCE73C}"/>
    <cellStyle name="Normal 3 22" xfId="9197" xr:uid="{9360FF41-7B9E-4156-99FC-448D8B2FA10A}"/>
    <cellStyle name="Normal 3 23" xfId="9198" xr:uid="{E12AC76D-50CA-4732-873F-A3F263781826}"/>
    <cellStyle name="Normal 3 24" xfId="9199" xr:uid="{D391AD28-AAA4-4461-8487-376D22386A26}"/>
    <cellStyle name="Normal 3 25" xfId="9200" xr:uid="{96C74D61-7293-4DF8-AF83-BEED85C85CDA}"/>
    <cellStyle name="Normal 3 3" xfId="9201" xr:uid="{18A3E729-E2E9-471C-A4FF-7A76A8AD6086}"/>
    <cellStyle name="Normal 3 3 10" xfId="9202" xr:uid="{472DF4E7-38D0-4427-A27E-86B86829B160}"/>
    <cellStyle name="Normal 3 3 11" xfId="9203" xr:uid="{D1C138CF-5F12-46B0-984E-DB3C4E805DD3}"/>
    <cellStyle name="Normal 3 3 12" xfId="9204" xr:uid="{11BBDDA7-6B09-459A-900E-9DDCBA6C3935}"/>
    <cellStyle name="Normal 3 3 13" xfId="9205" xr:uid="{9CB751D3-BA0E-41D5-8901-E5C114202737}"/>
    <cellStyle name="Normal 3 3 14" xfId="9206" xr:uid="{8532C861-74F5-4C5B-9A8D-47C7ED6FE82C}"/>
    <cellStyle name="Normal 3 3 15" xfId="9207" xr:uid="{13DE6915-F1BD-4D52-B2B0-7344B1A46EFD}"/>
    <cellStyle name="Normal 3 3 16" xfId="9208" xr:uid="{358AE8DF-87BD-4294-B3E8-4EC5E0C4F695}"/>
    <cellStyle name="Normal 3 3 17" xfId="9209" xr:uid="{A3C0AAFE-65BE-4CD4-9AD7-A8B8FF393472}"/>
    <cellStyle name="Normal 3 3 18" xfId="9210" xr:uid="{CE77F5EE-D56F-480F-881D-93C42D3E875B}"/>
    <cellStyle name="Normal 3 3 19" xfId="9211" xr:uid="{5CB1523E-88AB-42B7-8A38-BDA916F44B19}"/>
    <cellStyle name="Normal 3 3 2" xfId="9212" xr:uid="{23409B5D-985C-4043-AD4B-E4FF2404DAA0}"/>
    <cellStyle name="Normal 3 3 2 10" xfId="9213" xr:uid="{CCDDA7EF-E594-4E65-BD83-0D2F7148AAC5}"/>
    <cellStyle name="Normal 3 3 2 11" xfId="9214" xr:uid="{182C10D8-BFD5-4039-B37A-E4D87D7DF133}"/>
    <cellStyle name="Normal 3 3 2 12" xfId="9215" xr:uid="{997ACAF1-CCCA-49AF-8DE0-38578FD19CC2}"/>
    <cellStyle name="Normal 3 3 2 13" xfId="9216" xr:uid="{BF330CD9-D09A-46DF-A989-D4842B15EB63}"/>
    <cellStyle name="Normal 3 3 2 14" xfId="9217" xr:uid="{B344B5BE-CAA5-4533-9052-F1A1C5A19D0C}"/>
    <cellStyle name="Normal 3 3 2 15" xfId="9218" xr:uid="{2ABBBCA5-F2F5-4A5D-95DC-3674CCF081E6}"/>
    <cellStyle name="Normal 3 3 2 16" xfId="9219" xr:uid="{8271FBE1-2FF5-492D-869E-C0ACF7EB29CB}"/>
    <cellStyle name="Normal 3 3 2 17" xfId="9220" xr:uid="{B0A2C6E7-72E5-488C-868A-A99C78912CB5}"/>
    <cellStyle name="Normal 3 3 2 18" xfId="9221" xr:uid="{9DB209F4-2C2B-4E27-86D3-69C926F2B234}"/>
    <cellStyle name="Normal 3 3 2 19" xfId="9222" xr:uid="{39A96AE6-3912-4D21-8336-DB1BD488A237}"/>
    <cellStyle name="Normal 3 3 2 2" xfId="9223" xr:uid="{8D3AC9AC-429C-4481-9F74-04F50EA8A6EB}"/>
    <cellStyle name="Normal 3 3 2 2 10" xfId="9224" xr:uid="{B5291DD8-9048-46ED-A83C-88B31D7D8837}"/>
    <cellStyle name="Normal 3 3 2 2 11" xfId="9225" xr:uid="{5C7E6516-6F57-4532-95B2-04AA7D8BF854}"/>
    <cellStyle name="Normal 3 3 2 2 12" xfId="9226" xr:uid="{B9029668-AB28-4226-B23E-E989F6346713}"/>
    <cellStyle name="Normal 3 3 2 2 13" xfId="9227" xr:uid="{0005FDDA-EEFF-47A4-AB61-383957D8C3AD}"/>
    <cellStyle name="Normal 3 3 2 2 14" xfId="9228" xr:uid="{0492BCD5-B7E4-4B2A-8E7B-D30867FB4BE4}"/>
    <cellStyle name="Normal 3 3 2 2 15" xfId="9229" xr:uid="{968E8DB9-8CDE-4EA6-95DF-43CB90118185}"/>
    <cellStyle name="Normal 3 3 2 2 15 2" xfId="9230" xr:uid="{8BC70541-02E1-483A-A8DC-0AD22215F749}"/>
    <cellStyle name="Normal 3 3 2 2 15 2 2" xfId="9231" xr:uid="{70D3B81A-50A7-4AAB-A6BB-BFE66FBAF95D}"/>
    <cellStyle name="Normal 3 3 2 2 15 2 2 2" xfId="9232" xr:uid="{B440C06F-57AF-4BC9-8290-D78FC0051851}"/>
    <cellStyle name="Normal 3 3 2 2 15 2 2 3" xfId="9233" xr:uid="{4E9B8470-EDED-4BEE-B69C-7255183BE146}"/>
    <cellStyle name="Normal 3 3 2 2 15 2 2 4" xfId="9234" xr:uid="{8B676C81-C931-4E30-86AD-0C35202D9CFB}"/>
    <cellStyle name="Normal 3 3 2 2 15 2 2 5" xfId="9235" xr:uid="{E8B03F74-815A-446E-8878-312481A360FF}"/>
    <cellStyle name="Normal 3 3 2 2 15 2 2 6" xfId="9236" xr:uid="{1B76367D-8D9F-474F-B9A5-8340BA4CD9C0}"/>
    <cellStyle name="Normal 3 3 2 2 15 2 2 7" xfId="9237" xr:uid="{CBD3A008-3A26-43E9-AFEC-BDB346179969}"/>
    <cellStyle name="Normal 3 3 2 2 15 2 2 8" xfId="9238" xr:uid="{6087AC05-EBE9-4A14-AD8F-2343176D9303}"/>
    <cellStyle name="Normal 3 3 2 2 15 2 3" xfId="9239" xr:uid="{CA211C28-017F-40DD-86FA-2EB8095AF190}"/>
    <cellStyle name="Normal 3 3 2 2 15 2 4" xfId="9240" xr:uid="{529A748C-80D2-4ADE-991D-5274550A7FD7}"/>
    <cellStyle name="Normal 3 3 2 2 15 2 5" xfId="9241" xr:uid="{A3DA05BE-7A89-4B23-AF0E-FFC988D36C9A}"/>
    <cellStyle name="Normal 3 3 2 2 15 2 6" xfId="9242" xr:uid="{07974947-0471-4684-BED5-42B8AB0D0F30}"/>
    <cellStyle name="Normal 3 3 2 2 15 2 7" xfId="9243" xr:uid="{EA052D8A-6FC6-4209-9C75-CF858E0876EE}"/>
    <cellStyle name="Normal 3 3 2 2 15 2 8" xfId="9244" xr:uid="{6EBDFE6F-9801-4A23-8C59-9E4923108C21}"/>
    <cellStyle name="Normal 3 3 2 2 15 3" xfId="9245" xr:uid="{012AD5D5-ECD4-44D2-ADCA-6C5243E21C4E}"/>
    <cellStyle name="Normal 3 3 2 2 15 4" xfId="9246" xr:uid="{83795D2B-FCBB-4D91-91F9-8287E046D83D}"/>
    <cellStyle name="Normal 3 3 2 2 15 5" xfId="9247" xr:uid="{139B2905-2F53-4B77-AB63-56DE45878108}"/>
    <cellStyle name="Normal 3 3 2 2 15 6" xfId="9248" xr:uid="{69D15A9B-C175-4881-942A-BF8FE112730E}"/>
    <cellStyle name="Normal 3 3 2 2 15 7" xfId="9249" xr:uid="{A5EF69D8-F1FF-4CEC-9DFB-73AF0292F992}"/>
    <cellStyle name="Normal 3 3 2 2 15 8" xfId="9250" xr:uid="{F412951A-7F25-4E4D-A585-FEEDA6C6B4E1}"/>
    <cellStyle name="Normal 3 3 2 2 15 9" xfId="9251" xr:uid="{87F2F3C9-7126-425E-97D5-6DD106394D39}"/>
    <cellStyle name="Normal 3 3 2 2 16" xfId="9252" xr:uid="{09316279-3F05-41A7-A6F3-99565561BA00}"/>
    <cellStyle name="Normal 3 3 2 2 16 2" xfId="9253" xr:uid="{3A11ECEB-033D-466A-886F-D2B01723B70A}"/>
    <cellStyle name="Normal 3 3 2 2 16 3" xfId="9254" xr:uid="{1C5487CB-FDDF-4A85-A876-33113453E9D5}"/>
    <cellStyle name="Normal 3 3 2 2 16 4" xfId="9255" xr:uid="{9F69FC6B-4257-45ED-B252-BF2D1F725DC6}"/>
    <cellStyle name="Normal 3 3 2 2 16 5" xfId="9256" xr:uid="{21E2A511-186A-4102-B6B6-2E199DE9CEBA}"/>
    <cellStyle name="Normal 3 3 2 2 16 6" xfId="9257" xr:uid="{CD185902-5948-48D9-8E89-BDFCAD69F677}"/>
    <cellStyle name="Normal 3 3 2 2 16 7" xfId="9258" xr:uid="{F20C140B-BAFD-4FD8-9A82-A171E9D93358}"/>
    <cellStyle name="Normal 3 3 2 2 16 8" xfId="9259" xr:uid="{26C09913-B6EE-4B86-A343-661F675F92F1}"/>
    <cellStyle name="Normal 3 3 2 2 17" xfId="9260" xr:uid="{6A5F22E3-7CC6-49EF-BD3C-A828A41B12E1}"/>
    <cellStyle name="Normal 3 3 2 2 18" xfId="9261" xr:uid="{7F6BFB22-F64D-4BA3-A804-BA92180EF394}"/>
    <cellStyle name="Normal 3 3 2 2 19" xfId="9262" xr:uid="{BCE5BE9F-D11D-4CB0-BF6F-2A72894F1BF8}"/>
    <cellStyle name="Normal 3 3 2 2 2" xfId="9263" xr:uid="{C5365610-C34F-422F-A3D0-20B3DCC0D874}"/>
    <cellStyle name="Normal 3 3 2 2 2 10" xfId="9264" xr:uid="{5DC6D73E-2347-4767-AF7A-DC6370F2C4A9}"/>
    <cellStyle name="Normal 3 3 2 2 2 11" xfId="9265" xr:uid="{EC994E55-AD81-410F-8A7B-E33A2C80F064}"/>
    <cellStyle name="Normal 3 3 2 2 2 12" xfId="9266" xr:uid="{D6D37FDC-B0CD-482B-A2DD-12D9D2D39107}"/>
    <cellStyle name="Normal 3 3 2 2 2 13" xfId="9267" xr:uid="{86F63772-8004-4710-9588-F8D2BE19EE4C}"/>
    <cellStyle name="Normal 3 3 2 2 2 14" xfId="9268" xr:uid="{B9EE615C-D42E-4938-BF43-3DF242EF6892}"/>
    <cellStyle name="Normal 3 3 2 2 2 15" xfId="9269" xr:uid="{0B3974E4-F978-48E0-86EC-7C0FF586B9BC}"/>
    <cellStyle name="Normal 3 3 2 2 2 15 2" xfId="9270" xr:uid="{717DA550-CFC8-4FF0-AA32-37B970B56C9F}"/>
    <cellStyle name="Normal 3 3 2 2 2 15 2 2" xfId="9271" xr:uid="{15FC87EF-9824-4D96-811A-D7FA0579B5B8}"/>
    <cellStyle name="Normal 3 3 2 2 2 15 2 2 2" xfId="9272" xr:uid="{83B460A4-F86D-4B87-817A-7A5529A77AD3}"/>
    <cellStyle name="Normal 3 3 2 2 2 15 2 2 3" xfId="9273" xr:uid="{77F1690D-56C0-4EBE-8CFB-B0EB359E3792}"/>
    <cellStyle name="Normal 3 3 2 2 2 15 2 2 4" xfId="9274" xr:uid="{272272E0-89D0-4563-BC18-F238D5A65B44}"/>
    <cellStyle name="Normal 3 3 2 2 2 15 2 2 5" xfId="9275" xr:uid="{1A90D825-1AF9-45E9-9D49-215A2E29DB7B}"/>
    <cellStyle name="Normal 3 3 2 2 2 15 2 2 6" xfId="9276" xr:uid="{A4EAE001-8702-43A6-9ED9-61BDB3D275CF}"/>
    <cellStyle name="Normal 3 3 2 2 2 15 2 2 7" xfId="9277" xr:uid="{E458A020-2F7A-4A74-86F5-18A148F20938}"/>
    <cellStyle name="Normal 3 3 2 2 2 15 2 2 8" xfId="9278" xr:uid="{45DA3E2A-A2FF-4E5C-A527-73DA785DCED5}"/>
    <cellStyle name="Normal 3 3 2 2 2 15 2 3" xfId="9279" xr:uid="{EDDCF07B-57C0-4E97-BCE7-7CBA0BB337EB}"/>
    <cellStyle name="Normal 3 3 2 2 2 15 2 4" xfId="9280" xr:uid="{0DB1E6FB-2B41-468A-A416-995C8D6C88D2}"/>
    <cellStyle name="Normal 3 3 2 2 2 15 2 5" xfId="9281" xr:uid="{57DB5741-6AD6-4BDC-B6E2-4789B524E9FF}"/>
    <cellStyle name="Normal 3 3 2 2 2 15 2 6" xfId="9282" xr:uid="{EF2A8955-6887-4011-BE79-65BF6994378C}"/>
    <cellStyle name="Normal 3 3 2 2 2 15 2 7" xfId="9283" xr:uid="{C9526F28-EC6A-47F3-B5B7-80C8EA712565}"/>
    <cellStyle name="Normal 3 3 2 2 2 15 2 8" xfId="9284" xr:uid="{ECD4DBD2-2A19-4C74-AA35-81E5CC321C0E}"/>
    <cellStyle name="Normal 3 3 2 2 2 15 3" xfId="9285" xr:uid="{8CB5B996-4CB8-453C-9FCC-8943C35B1466}"/>
    <cellStyle name="Normal 3 3 2 2 2 15 4" xfId="9286" xr:uid="{CFA58FDB-DD6B-43A2-AEE5-8B077D09615E}"/>
    <cellStyle name="Normal 3 3 2 2 2 15 5" xfId="9287" xr:uid="{61D03D31-9C45-49E2-8BE2-7BADA2CD67B9}"/>
    <cellStyle name="Normal 3 3 2 2 2 15 6" xfId="9288" xr:uid="{8BE20647-DCAF-48C9-9E00-39DED78766BC}"/>
    <cellStyle name="Normal 3 3 2 2 2 15 7" xfId="9289" xr:uid="{028EE03A-EBE6-4CF1-A374-C056F040A63D}"/>
    <cellStyle name="Normal 3 3 2 2 2 15 8" xfId="9290" xr:uid="{92E78D4E-B3CA-4C69-A86A-8CEFDC09FD7B}"/>
    <cellStyle name="Normal 3 3 2 2 2 15 9" xfId="9291" xr:uid="{B3093154-41D6-4724-AB1B-AFD6EACDFFD3}"/>
    <cellStyle name="Normal 3 3 2 2 2 16" xfId="9292" xr:uid="{6DE196C2-B757-40E6-8FED-6E8E90D45503}"/>
    <cellStyle name="Normal 3 3 2 2 2 16 2" xfId="9293" xr:uid="{76295C51-6527-4F11-A2E2-E35B597015E0}"/>
    <cellStyle name="Normal 3 3 2 2 2 16 3" xfId="9294" xr:uid="{E2024463-4F22-4415-BFF0-D64D99009969}"/>
    <cellStyle name="Normal 3 3 2 2 2 16 4" xfId="9295" xr:uid="{C0B95AF4-8F7F-48E3-81B3-37C783368774}"/>
    <cellStyle name="Normal 3 3 2 2 2 16 5" xfId="9296" xr:uid="{AC272BC4-C850-4BC8-936E-EC7237BE0739}"/>
    <cellStyle name="Normal 3 3 2 2 2 16 6" xfId="9297" xr:uid="{DDAD3155-4870-4D05-A2B6-B712D7134DA0}"/>
    <cellStyle name="Normal 3 3 2 2 2 16 7" xfId="9298" xr:uid="{FE48D930-4C13-4643-A5AF-69DAD9AA17E0}"/>
    <cellStyle name="Normal 3 3 2 2 2 16 8" xfId="9299" xr:uid="{169B60F9-EC06-47D6-B6DB-AD4B96A74AB2}"/>
    <cellStyle name="Normal 3 3 2 2 2 17" xfId="9300" xr:uid="{F1F6912A-FF81-4C38-A32F-8768CADD1756}"/>
    <cellStyle name="Normal 3 3 2 2 2 18" xfId="9301" xr:uid="{D31D49C7-7E82-46DD-AF6E-29C2ED94ED80}"/>
    <cellStyle name="Normal 3 3 2 2 2 19" xfId="9302" xr:uid="{56ED4274-EA86-4B1A-8C2C-7442FB679DE6}"/>
    <cellStyle name="Normal 3 3 2 2 2 2" xfId="9303" xr:uid="{20B0904B-829B-4302-8659-46A9C8EE4681}"/>
    <cellStyle name="Normal 3 3 2 2 2 2 10" xfId="9304" xr:uid="{7525F9F3-FF87-4096-B9F0-02986447EE5A}"/>
    <cellStyle name="Normal 3 3 2 2 2 2 10 2" xfId="9305" xr:uid="{9B63B9FA-F2B1-4C80-A8B4-A008A2306E25}"/>
    <cellStyle name="Normal 3 3 2 2 2 2 10 2 2" xfId="9306" xr:uid="{A0F2E5DC-D025-4BD2-9B0F-426B8AAAEC58}"/>
    <cellStyle name="Normal 3 3 2 2 2 2 10 2 2 2" xfId="9307" xr:uid="{D1E8BC5D-B84A-4C47-835E-875EDB501515}"/>
    <cellStyle name="Normal 3 3 2 2 2 2 10 2 2 3" xfId="9308" xr:uid="{C6D8B2CB-C7C5-4B81-B736-BD6E03AD3D13}"/>
    <cellStyle name="Normal 3 3 2 2 2 2 10 2 2 4" xfId="9309" xr:uid="{6256E98F-3FFC-4C45-BEE0-053FFC62C80C}"/>
    <cellStyle name="Normal 3 3 2 2 2 2 10 2 2 5" xfId="9310" xr:uid="{426AF594-CDD2-457C-AB55-A698A893B795}"/>
    <cellStyle name="Normal 3 3 2 2 2 2 10 2 2 6" xfId="9311" xr:uid="{E9C8D634-3A0D-4D62-BA78-CCB693B0B9D2}"/>
    <cellStyle name="Normal 3 3 2 2 2 2 10 2 2 7" xfId="9312" xr:uid="{E2F40BE0-E1F7-41CB-937A-6AD2CAE5AB26}"/>
    <cellStyle name="Normal 3 3 2 2 2 2 10 2 2 8" xfId="9313" xr:uid="{FA0AE03C-0583-45A1-B268-17E86954CA2F}"/>
    <cellStyle name="Normal 3 3 2 2 2 2 10 2 3" xfId="9314" xr:uid="{AA911171-954C-482E-85E7-10297664847D}"/>
    <cellStyle name="Normal 3 3 2 2 2 2 10 2 4" xfId="9315" xr:uid="{5EE3E2C5-DA13-4B55-83DE-C9406216FE86}"/>
    <cellStyle name="Normal 3 3 2 2 2 2 10 2 5" xfId="9316" xr:uid="{70E937F7-78FD-469D-A246-9CA701DA98CE}"/>
    <cellStyle name="Normal 3 3 2 2 2 2 10 2 6" xfId="9317" xr:uid="{91B351B5-6B9F-42ED-ABCC-E747025657DF}"/>
    <cellStyle name="Normal 3 3 2 2 2 2 10 2 7" xfId="9318" xr:uid="{B52FB70E-3199-4985-8EE7-CE877E478273}"/>
    <cellStyle name="Normal 3 3 2 2 2 2 10 2 8" xfId="9319" xr:uid="{A10CC372-ED1E-4686-86B6-61A2E4F8EDB3}"/>
    <cellStyle name="Normal 3 3 2 2 2 2 10 3" xfId="9320" xr:uid="{C834D9EB-2F62-4766-A178-76CF6975BFA3}"/>
    <cellStyle name="Normal 3 3 2 2 2 2 10 4" xfId="9321" xr:uid="{811F9946-3416-4852-B998-252BC2EE75E5}"/>
    <cellStyle name="Normal 3 3 2 2 2 2 10 5" xfId="9322" xr:uid="{1BFD0323-32BB-428B-B47A-458B188D6019}"/>
    <cellStyle name="Normal 3 3 2 2 2 2 10 6" xfId="9323" xr:uid="{A1CA686A-2804-40B0-912E-E9150384FDA7}"/>
    <cellStyle name="Normal 3 3 2 2 2 2 10 7" xfId="9324" xr:uid="{C56204D3-1DE7-4BE2-81D0-C7BCF2F728B5}"/>
    <cellStyle name="Normal 3 3 2 2 2 2 10 8" xfId="9325" xr:uid="{674894A8-4CEE-4146-8277-261D655E3DF0}"/>
    <cellStyle name="Normal 3 3 2 2 2 2 10 9" xfId="9326" xr:uid="{DD8FE815-9437-4C67-837A-4FDC43F995E6}"/>
    <cellStyle name="Normal 3 3 2 2 2 2 11" xfId="9327" xr:uid="{466BE65F-5F3F-4D60-A12E-73EE26E456C8}"/>
    <cellStyle name="Normal 3 3 2 2 2 2 11 2" xfId="9328" xr:uid="{BD1A62A4-F113-412F-A14A-4A5BEB2E3049}"/>
    <cellStyle name="Normal 3 3 2 2 2 2 11 3" xfId="9329" xr:uid="{D83B9D4B-4E16-41E0-8DB5-56154C3C4AE6}"/>
    <cellStyle name="Normal 3 3 2 2 2 2 11 4" xfId="9330" xr:uid="{B88163B7-42CF-43A2-9819-A051AD122973}"/>
    <cellStyle name="Normal 3 3 2 2 2 2 11 5" xfId="9331" xr:uid="{022FB7BF-8D76-4342-859E-E883AA749700}"/>
    <cellStyle name="Normal 3 3 2 2 2 2 11 6" xfId="9332" xr:uid="{18C65B08-61F2-44E0-A0A9-6FDA0AA02730}"/>
    <cellStyle name="Normal 3 3 2 2 2 2 11 7" xfId="9333" xr:uid="{981484EC-C072-4F53-A16C-836C6C9A7032}"/>
    <cellStyle name="Normal 3 3 2 2 2 2 11 8" xfId="9334" xr:uid="{B1451D81-3A41-481F-A33C-19FC7580386D}"/>
    <cellStyle name="Normal 3 3 2 2 2 2 12" xfId="9335" xr:uid="{C2742E94-C654-46DA-912C-E6581699356A}"/>
    <cellStyle name="Normal 3 3 2 2 2 2 13" xfId="9336" xr:uid="{2E5E33C2-8E72-4282-B619-1933FDE8D655}"/>
    <cellStyle name="Normal 3 3 2 2 2 2 14" xfId="9337" xr:uid="{318A7FCA-8D78-4C47-81B7-244896A06ED9}"/>
    <cellStyle name="Normal 3 3 2 2 2 2 15" xfId="9338" xr:uid="{A3248250-AF6F-4F2F-B3E7-FE8B0ED4F87B}"/>
    <cellStyle name="Normal 3 3 2 2 2 2 16" xfId="9339" xr:uid="{15764ECB-DDBD-48C5-972F-A2CA17D768FB}"/>
    <cellStyle name="Normal 3 3 2 2 2 2 17" xfId="9340" xr:uid="{4D49A3E0-E34B-4C72-867D-F01F228C0A3D}"/>
    <cellStyle name="Normal 3 3 2 2 2 2 2" xfId="9341" xr:uid="{AFF46217-EA37-4EB0-A8C1-FFB057A1CFE7}"/>
    <cellStyle name="Normal 3 3 2 2 2 2 2 10" xfId="9342" xr:uid="{31844F83-5456-4344-8008-DB86254E16EA}"/>
    <cellStyle name="Normal 3 3 2 2 2 2 2 10 2" xfId="9343" xr:uid="{2D017578-21ED-4024-8604-FA4BE09CE273}"/>
    <cellStyle name="Normal 3 3 2 2 2 2 2 10 2 2" xfId="9344" xr:uid="{470E652C-0DB5-4521-8E9A-1AA0E39C9BC0}"/>
    <cellStyle name="Normal 3 3 2 2 2 2 2 10 2 2 2" xfId="9345" xr:uid="{DB0A2981-236B-41E8-A8D6-206CCD334AF5}"/>
    <cellStyle name="Normal 3 3 2 2 2 2 2 10 2 2 3" xfId="9346" xr:uid="{CDC17B69-4C7E-44E9-9816-9E9F6D9B5E86}"/>
    <cellStyle name="Normal 3 3 2 2 2 2 2 10 2 2 4" xfId="9347" xr:uid="{25713D55-0B5C-4709-B5C3-6C5A9A521EDD}"/>
    <cellStyle name="Normal 3 3 2 2 2 2 2 10 2 2 5" xfId="9348" xr:uid="{9C94D016-DD26-439C-9885-6C9872279367}"/>
    <cellStyle name="Normal 3 3 2 2 2 2 2 10 2 2 6" xfId="9349" xr:uid="{420C9B1F-6ACD-4027-A055-5FEE212E9019}"/>
    <cellStyle name="Normal 3 3 2 2 2 2 2 10 2 2 7" xfId="9350" xr:uid="{D08B0B4B-1F31-42D1-BA64-C2301645ED0C}"/>
    <cellStyle name="Normal 3 3 2 2 2 2 2 10 2 2 8" xfId="9351" xr:uid="{2F98BAB1-7FB1-42D9-82F3-2F0AD6613890}"/>
    <cellStyle name="Normal 3 3 2 2 2 2 2 10 2 3" xfId="9352" xr:uid="{DDF2BB9C-0A46-4598-AB52-744DFC003D5D}"/>
    <cellStyle name="Normal 3 3 2 2 2 2 2 10 2 4" xfId="9353" xr:uid="{8DFB5A9F-4608-4E3A-BEB0-C889BEDA1891}"/>
    <cellStyle name="Normal 3 3 2 2 2 2 2 10 2 5" xfId="9354" xr:uid="{B87C9A53-71B3-4BE4-BB88-2D5C34F2B3E1}"/>
    <cellStyle name="Normal 3 3 2 2 2 2 2 10 2 6" xfId="9355" xr:uid="{075AB210-CCB3-4337-9324-7EA6201DD30E}"/>
    <cellStyle name="Normal 3 3 2 2 2 2 2 10 2 7" xfId="9356" xr:uid="{796EA9C9-C3DE-4919-BEE1-8B7B62DB144A}"/>
    <cellStyle name="Normal 3 3 2 2 2 2 2 10 2 8" xfId="9357" xr:uid="{931B33E1-AC42-43CD-A426-6A6AD78DB2A0}"/>
    <cellStyle name="Normal 3 3 2 2 2 2 2 10 3" xfId="9358" xr:uid="{CB9E197E-3902-4AD8-8B14-031FC7EEB941}"/>
    <cellStyle name="Normal 3 3 2 2 2 2 2 10 4" xfId="9359" xr:uid="{92D9531C-11A7-4D12-83B0-AFF33825058F}"/>
    <cellStyle name="Normal 3 3 2 2 2 2 2 10 5" xfId="9360" xr:uid="{DEADD504-BDF9-4D82-BF8D-FA41845D0590}"/>
    <cellStyle name="Normal 3 3 2 2 2 2 2 10 6" xfId="9361" xr:uid="{A880695B-61D3-45A8-9373-DA5FD3ED10AA}"/>
    <cellStyle name="Normal 3 3 2 2 2 2 2 10 7" xfId="9362" xr:uid="{B7ECE7E9-17AA-4E14-BB28-64C2846CFC38}"/>
    <cellStyle name="Normal 3 3 2 2 2 2 2 10 8" xfId="9363" xr:uid="{E1CCE18D-D797-4711-B1A1-2931A08FF4E4}"/>
    <cellStyle name="Normal 3 3 2 2 2 2 2 10 9" xfId="9364" xr:uid="{27FF1D87-31D7-4A70-BAF7-D66C374030B4}"/>
    <cellStyle name="Normal 3 3 2 2 2 2 2 11" xfId="9365" xr:uid="{10064A21-D19F-4248-A3E8-B7CB8BB332C9}"/>
    <cellStyle name="Normal 3 3 2 2 2 2 2 11 2" xfId="9366" xr:uid="{2E8801D4-7BB1-4A6D-9853-0ED28CE93282}"/>
    <cellStyle name="Normal 3 3 2 2 2 2 2 11 3" xfId="9367" xr:uid="{6778E71F-6F30-404E-A492-58204E861E5B}"/>
    <cellStyle name="Normal 3 3 2 2 2 2 2 11 4" xfId="9368" xr:uid="{0FDC6708-7537-4B65-B718-2E003A8BC703}"/>
    <cellStyle name="Normal 3 3 2 2 2 2 2 11 5" xfId="9369" xr:uid="{18AF19C1-D250-498F-81E5-E961C636E583}"/>
    <cellStyle name="Normal 3 3 2 2 2 2 2 11 6" xfId="9370" xr:uid="{5376601E-69FC-4A43-8B84-FF2484DBB5BE}"/>
    <cellStyle name="Normal 3 3 2 2 2 2 2 11 7" xfId="9371" xr:uid="{E066D75F-F0E4-41DF-994F-6C4A633CC6E7}"/>
    <cellStyle name="Normal 3 3 2 2 2 2 2 11 8" xfId="9372" xr:uid="{6B82F533-90FC-480E-8414-0873F19E9A44}"/>
    <cellStyle name="Normal 3 3 2 2 2 2 2 12" xfId="9373" xr:uid="{1FD2850D-1998-435C-B30F-45AE2F36292E}"/>
    <cellStyle name="Normal 3 3 2 2 2 2 2 13" xfId="9374" xr:uid="{5D704465-0F8F-45D8-9B85-1F9066E33801}"/>
    <cellStyle name="Normal 3 3 2 2 2 2 2 14" xfId="9375" xr:uid="{1FA0C261-8CAE-439B-9EEC-7D0AB5B63EAC}"/>
    <cellStyle name="Normal 3 3 2 2 2 2 2 15" xfId="9376" xr:uid="{9C1CE7D3-DBC2-4B2F-A957-E856DA7178CA}"/>
    <cellStyle name="Normal 3 3 2 2 2 2 2 16" xfId="9377" xr:uid="{AB3F99C2-DAD3-4708-9633-9DBE8DFB80F7}"/>
    <cellStyle name="Normal 3 3 2 2 2 2 2 17" xfId="9378" xr:uid="{AF6E5410-1552-40D7-8B31-4A13E88B18D0}"/>
    <cellStyle name="Normal 3 3 2 2 2 2 2 2" xfId="9379" xr:uid="{2D531FA6-68C8-493E-BF5A-340984B46C65}"/>
    <cellStyle name="Normal 3 3 2 2 2 2 2 2 10" xfId="9380" xr:uid="{C40483BD-EFAE-4EF1-A7C3-A3C720208A34}"/>
    <cellStyle name="Normal 3 3 2 2 2 2 2 2 2" xfId="9381" xr:uid="{552C9F46-43E5-4531-AD8E-8DAEFF254641}"/>
    <cellStyle name="Normal 3 3 2 2 2 2 2 2 2 2" xfId="9382" xr:uid="{BA507188-CADD-4137-82D5-81265DCC9917}"/>
    <cellStyle name="Normal 3 3 2 2 2 2 2 2 2 2 2" xfId="9383" xr:uid="{16DF6F18-8651-4732-8FD2-01658EF277D7}"/>
    <cellStyle name="Normal 3 3 2 2 2 2 2 2 2 2 2 2" xfId="9384" xr:uid="{7A23FBD1-8906-440C-9BD6-2CD85E6E6464}"/>
    <cellStyle name="Normal 3 3 2 2 2 2 2 2 2 2 2 3" xfId="9385" xr:uid="{3EC4F014-D761-440C-971F-BB5910D53636}"/>
    <cellStyle name="Normal 3 3 2 2 2 2 2 2 2 2 2 4" xfId="9386" xr:uid="{265F2546-4881-4E80-8FB4-F335B4E703B8}"/>
    <cellStyle name="Normal 3 3 2 2 2 2 2 2 2 2 2 5" xfId="9387" xr:uid="{386C25C6-D492-4873-BD0B-0DB4D5A10716}"/>
    <cellStyle name="Normal 3 3 2 2 2 2 2 2 2 2 2 6" xfId="9388" xr:uid="{1693E8B2-1159-4A66-9C77-F51692CE9EC6}"/>
    <cellStyle name="Normal 3 3 2 2 2 2 2 2 2 2 2 7" xfId="9389" xr:uid="{17752E35-4E57-46E3-BC87-4B2D97B77E51}"/>
    <cellStyle name="Normal 3 3 2 2 2 2 2 2 2 2 2 8" xfId="9390" xr:uid="{54B38D00-0BA3-43FF-B8DF-71E30852AF95}"/>
    <cellStyle name="Normal 3 3 2 2 2 2 2 2 2 2 3" xfId="9391" xr:uid="{98AB89A3-807B-4DD5-B22C-FF0950E71804}"/>
    <cellStyle name="Normal 3 3 2 2 2 2 2 2 2 2 4" xfId="9392" xr:uid="{381276C1-17AA-40A0-A306-AFCAAA2833E6}"/>
    <cellStyle name="Normal 3 3 2 2 2 2 2 2 2 2 5" xfId="9393" xr:uid="{5303E2AC-7836-4EEB-9A82-2E0AEEC96E6C}"/>
    <cellStyle name="Normal 3 3 2 2 2 2 2 2 2 2 6" xfId="9394" xr:uid="{86779976-8AD0-4ABD-A586-C49EC75B8436}"/>
    <cellStyle name="Normal 3 3 2 2 2 2 2 2 2 2 7" xfId="9395" xr:uid="{2F764BF2-3F7B-46DF-95E9-6A2F47931D91}"/>
    <cellStyle name="Normal 3 3 2 2 2 2 2 2 2 2 8" xfId="9396" xr:uid="{55DA94D2-3BC0-49F1-9B95-868E70D7F7DC}"/>
    <cellStyle name="Normal 3 3 2 2 2 2 2 2 2 3" xfId="9397" xr:uid="{D498293C-522C-401A-B2DE-6F5E90C8C1FC}"/>
    <cellStyle name="Normal 3 3 2 2 2 2 2 2 2 4" xfId="9398" xr:uid="{1E597E2F-DB58-4DF4-8BD3-467F08FD4220}"/>
    <cellStyle name="Normal 3 3 2 2 2 2 2 2 2 5" xfId="9399" xr:uid="{C5EDE50E-ECCD-4648-AFDE-50A1D043D690}"/>
    <cellStyle name="Normal 3 3 2 2 2 2 2 2 2 6" xfId="9400" xr:uid="{4968BECA-0FF1-4277-8747-33CACA16B713}"/>
    <cellStyle name="Normal 3 3 2 2 2 2 2 2 2 7" xfId="9401" xr:uid="{42CE6E81-3F06-42AB-BB43-9CE652851F9F}"/>
    <cellStyle name="Normal 3 3 2 2 2 2 2 2 2 8" xfId="9402" xr:uid="{F21CE9D1-FC3B-40C0-A8DE-7DC192D48625}"/>
    <cellStyle name="Normal 3 3 2 2 2 2 2 2 2 9" xfId="9403" xr:uid="{B5087AAD-6FF6-4FB0-AD37-B6AE61AEC284}"/>
    <cellStyle name="Normal 3 3 2 2 2 2 2 2 3" xfId="9404" xr:uid="{783E97CF-93D7-4612-917F-8E290AC3EF5B}"/>
    <cellStyle name="Normal 3 3 2 2 2 2 2 2 4" xfId="9405" xr:uid="{E2ED5431-65C4-4091-9580-D91A39445945}"/>
    <cellStyle name="Normal 3 3 2 2 2 2 2 2 4 2" xfId="9406" xr:uid="{9BD473F8-165B-4BE9-9596-6835F07801C1}"/>
    <cellStyle name="Normal 3 3 2 2 2 2 2 2 4 3" xfId="9407" xr:uid="{31EBEBC8-84F5-4360-A0B4-C7FDC38D479F}"/>
    <cellStyle name="Normal 3 3 2 2 2 2 2 2 4 4" xfId="9408" xr:uid="{D7C00920-FB81-407C-94BB-90B57750DA26}"/>
    <cellStyle name="Normal 3 3 2 2 2 2 2 2 4 5" xfId="9409" xr:uid="{11AFDEC2-15F1-4D77-A53B-3C64C2D6EB29}"/>
    <cellStyle name="Normal 3 3 2 2 2 2 2 2 4 6" xfId="9410" xr:uid="{CB6A822F-2B76-45DF-874E-EEFC5194CBEC}"/>
    <cellStyle name="Normal 3 3 2 2 2 2 2 2 4 7" xfId="9411" xr:uid="{7B528427-2826-4E61-8EE0-48177F146A86}"/>
    <cellStyle name="Normal 3 3 2 2 2 2 2 2 4 8" xfId="9412" xr:uid="{34965407-E85E-42A3-ABEC-EF37CD17874D}"/>
    <cellStyle name="Normal 3 3 2 2 2 2 2 2 5" xfId="9413" xr:uid="{E1367799-2AA4-4C89-9C5E-68433D00DFBF}"/>
    <cellStyle name="Normal 3 3 2 2 2 2 2 2 6" xfId="9414" xr:uid="{0B678728-D980-41E7-A45D-B157F3DDACF7}"/>
    <cellStyle name="Normal 3 3 2 2 2 2 2 2 7" xfId="9415" xr:uid="{B94F9798-3E54-4BFC-A994-343E39B7748F}"/>
    <cellStyle name="Normal 3 3 2 2 2 2 2 2 8" xfId="9416" xr:uid="{D010F2C9-EA56-496E-AD5A-A0E8D61C06FD}"/>
    <cellStyle name="Normal 3 3 2 2 2 2 2 2 9" xfId="9417" xr:uid="{FDDE7308-203D-48A3-92C9-875B9DDF6E57}"/>
    <cellStyle name="Normal 3 3 2 2 2 2 2 3" xfId="9418" xr:uid="{EBCC81AB-6CE2-4EE2-A382-381D22F99181}"/>
    <cellStyle name="Normal 3 3 2 2 2 2 2 4" xfId="9419" xr:uid="{8DF12C24-121A-4883-A194-4EAFC3C0911F}"/>
    <cellStyle name="Normal 3 3 2 2 2 2 2 5" xfId="9420" xr:uid="{5E57851E-9142-4992-96D0-91F0C9B15EF1}"/>
    <cellStyle name="Normal 3 3 2 2 2 2 2 6" xfId="9421" xr:uid="{C3CF83A3-BEE2-41C3-A2D1-45E52FFD419A}"/>
    <cellStyle name="Normal 3 3 2 2 2 2 2 7" xfId="9422" xr:uid="{93667ACC-0AB2-4CBC-B0DC-7A1C7008ED7A}"/>
    <cellStyle name="Normal 3 3 2 2 2 2 2 8" xfId="9423" xr:uid="{3E58DF94-C65A-4D7F-8094-CAB1D17F723D}"/>
    <cellStyle name="Normal 3 3 2 2 2 2 2 9" xfId="9424" xr:uid="{DE251575-1821-4282-822D-3DF408D5A6E8}"/>
    <cellStyle name="Normal 3 3 2 2 2 2 3" xfId="9425" xr:uid="{12081BCA-ACBA-42E3-8E31-305FF1B78A28}"/>
    <cellStyle name="Normal 3 3 2 2 2 2 3 10" xfId="9426" xr:uid="{366D3232-238E-4D8B-AC88-F276BF17A715}"/>
    <cellStyle name="Normal 3 3 2 2 2 2 3 2" xfId="9427" xr:uid="{ADC71E20-6568-45B8-AD08-7739A139F7D6}"/>
    <cellStyle name="Normal 3 3 2 2 2 2 3 2 2" xfId="9428" xr:uid="{795144F9-C739-4ECA-83C5-01A75E22AC6C}"/>
    <cellStyle name="Normal 3 3 2 2 2 2 3 2 2 2" xfId="9429" xr:uid="{2CA629D4-D33D-4D66-B7BC-ABA3FBA0315F}"/>
    <cellStyle name="Normal 3 3 2 2 2 2 3 2 2 2 2" xfId="9430" xr:uid="{DFEB8CF4-6FC8-4C79-8419-3889DD1E0382}"/>
    <cellStyle name="Normal 3 3 2 2 2 2 3 2 2 2 3" xfId="9431" xr:uid="{925B5C58-4299-41BD-B50A-375B1934DD8E}"/>
    <cellStyle name="Normal 3 3 2 2 2 2 3 2 2 2 4" xfId="9432" xr:uid="{221C4A4E-A3F2-424C-AAA4-CFCB7BEF4B61}"/>
    <cellStyle name="Normal 3 3 2 2 2 2 3 2 2 2 5" xfId="9433" xr:uid="{B7BA8B19-84B2-40A3-A0C6-C43C024ECAB8}"/>
    <cellStyle name="Normal 3 3 2 2 2 2 3 2 2 2 6" xfId="9434" xr:uid="{8902C486-BFE3-48DF-8A6C-14640CA03601}"/>
    <cellStyle name="Normal 3 3 2 2 2 2 3 2 2 2 7" xfId="9435" xr:uid="{FF911DD7-10E1-49AD-BDDA-361380895749}"/>
    <cellStyle name="Normal 3 3 2 2 2 2 3 2 2 2 8" xfId="9436" xr:uid="{E3746D2F-FC3F-45ED-8407-5916394C1B72}"/>
    <cellStyle name="Normal 3 3 2 2 2 2 3 2 2 3" xfId="9437" xr:uid="{86A284EB-ACEF-4120-A698-143A617B73DE}"/>
    <cellStyle name="Normal 3 3 2 2 2 2 3 2 2 4" xfId="9438" xr:uid="{92CD9CFB-ECEF-439A-86B5-FFDED48948C8}"/>
    <cellStyle name="Normal 3 3 2 2 2 2 3 2 2 5" xfId="9439" xr:uid="{36992EE6-D08F-4A8F-B7A0-B2460FB4A305}"/>
    <cellStyle name="Normal 3 3 2 2 2 2 3 2 2 6" xfId="9440" xr:uid="{4431D7FE-22F4-4336-B4AB-9446471B8F01}"/>
    <cellStyle name="Normal 3 3 2 2 2 2 3 2 2 7" xfId="9441" xr:uid="{F193B4C3-4CA3-42B0-8CB1-24A42E5D4BF7}"/>
    <cellStyle name="Normal 3 3 2 2 2 2 3 2 2 8" xfId="9442" xr:uid="{A2146FC4-1A91-4B54-A5FB-C05C19AAD146}"/>
    <cellStyle name="Normal 3 3 2 2 2 2 3 2 3" xfId="9443" xr:uid="{347C6410-F59A-4DA6-A9A6-C9BA5E5DED41}"/>
    <cellStyle name="Normal 3 3 2 2 2 2 3 2 4" xfId="9444" xr:uid="{E3B4EE24-FC87-4555-8421-29FECBC5473D}"/>
    <cellStyle name="Normal 3 3 2 2 2 2 3 2 5" xfId="9445" xr:uid="{7F1C770A-BADA-42EA-9065-15E9B5553351}"/>
    <cellStyle name="Normal 3 3 2 2 2 2 3 2 6" xfId="9446" xr:uid="{846FF644-EDAB-4CD7-9FEA-4F13A86357E8}"/>
    <cellStyle name="Normal 3 3 2 2 2 2 3 2 7" xfId="9447" xr:uid="{7C058322-F8EF-4519-AB07-1B2803757CAD}"/>
    <cellStyle name="Normal 3 3 2 2 2 2 3 2 8" xfId="9448" xr:uid="{EAF31F65-29AA-47FC-9577-4EA52F0CCEC1}"/>
    <cellStyle name="Normal 3 3 2 2 2 2 3 2 9" xfId="9449" xr:uid="{84D0E736-B5EB-40CE-8080-27EBF540CFD7}"/>
    <cellStyle name="Normal 3 3 2 2 2 2 3 3" xfId="9450" xr:uid="{B8AD74A5-9195-4F5B-BC5D-D762EDDF1C7F}"/>
    <cellStyle name="Normal 3 3 2 2 2 2 3 4" xfId="9451" xr:uid="{42ED4A22-6CC6-4B05-A7A8-22E8B1067FE1}"/>
    <cellStyle name="Normal 3 3 2 2 2 2 3 4 2" xfId="9452" xr:uid="{F300B5BC-E63F-4C4C-BD13-998DEE9F3937}"/>
    <cellStyle name="Normal 3 3 2 2 2 2 3 4 3" xfId="9453" xr:uid="{2D36687B-12E2-4341-84B2-2A29CC8FB7E6}"/>
    <cellStyle name="Normal 3 3 2 2 2 2 3 4 4" xfId="9454" xr:uid="{4BA90586-8B22-4987-876C-E0EE13D5CE1E}"/>
    <cellStyle name="Normal 3 3 2 2 2 2 3 4 5" xfId="9455" xr:uid="{E4A0FD65-E427-42D1-886D-3313FC49A513}"/>
    <cellStyle name="Normal 3 3 2 2 2 2 3 4 6" xfId="9456" xr:uid="{48CB5C87-BE9A-4CF5-8443-2DBD2993F44B}"/>
    <cellStyle name="Normal 3 3 2 2 2 2 3 4 7" xfId="9457" xr:uid="{A75E310D-EB9A-41B9-BBFE-2BD7BE92A091}"/>
    <cellStyle name="Normal 3 3 2 2 2 2 3 4 8" xfId="9458" xr:uid="{05D09BD6-BE4B-428C-844C-8F5D3C4EA71C}"/>
    <cellStyle name="Normal 3 3 2 2 2 2 3 5" xfId="9459" xr:uid="{CEB0B4ED-0029-4215-8F15-D24776289EF9}"/>
    <cellStyle name="Normal 3 3 2 2 2 2 3 6" xfId="9460" xr:uid="{AEA9F850-7E6F-469D-92ED-4003BE4CE363}"/>
    <cellStyle name="Normal 3 3 2 2 2 2 3 7" xfId="9461" xr:uid="{779C33B1-B1C3-4A32-82EC-21701FA45F5E}"/>
    <cellStyle name="Normal 3 3 2 2 2 2 3 8" xfId="9462" xr:uid="{FE04AE69-19D1-4E49-9C6F-EB0B4582F141}"/>
    <cellStyle name="Normal 3 3 2 2 2 2 3 9" xfId="9463" xr:uid="{75647B87-4583-4B32-AA9D-2480B749494F}"/>
    <cellStyle name="Normal 3 3 2 2 2 2 4" xfId="9464" xr:uid="{BEAC16D4-7B9C-4469-A1EC-D66E360B1594}"/>
    <cellStyle name="Normal 3 3 2 2 2 2 5" xfId="9465" xr:uid="{A696C4B8-1E10-450C-8BA0-683276FA6739}"/>
    <cellStyle name="Normal 3 3 2 2 2 2 6" xfId="9466" xr:uid="{349B58BC-3391-4136-AC9A-D4E71C657D0B}"/>
    <cellStyle name="Normal 3 3 2 2 2 2 7" xfId="9467" xr:uid="{DB3FDBC4-5DDE-493E-AFDD-5753D2AC0BB6}"/>
    <cellStyle name="Normal 3 3 2 2 2 2 8" xfId="9468" xr:uid="{358AC519-DCA8-458C-ACA5-23970B5D3D06}"/>
    <cellStyle name="Normal 3 3 2 2 2 2 9" xfId="9469" xr:uid="{FC3270FE-94DE-4A0E-8F43-B5C872F0329C}"/>
    <cellStyle name="Normal 3 3 2 2 2 20" xfId="9470" xr:uid="{70D24502-4670-4345-86D0-0C86C1717437}"/>
    <cellStyle name="Normal 3 3 2 2 2 21" xfId="9471" xr:uid="{45E65E2A-41D3-44F8-98FD-5BC63C5FB850}"/>
    <cellStyle name="Normal 3 3 2 2 2 22" xfId="9472" xr:uid="{5703D668-9A02-480B-86DB-7BD639D51BA1}"/>
    <cellStyle name="Normal 3 3 2 2 2 3" xfId="9473" xr:uid="{CF51826B-FB36-421E-8974-F50B73D1059F}"/>
    <cellStyle name="Normal 3 3 2 2 2 4" xfId="9474" xr:uid="{73BE3630-7626-4A2C-A07F-E64769C73ED3}"/>
    <cellStyle name="Normal 3 3 2 2 2 5" xfId="9475" xr:uid="{46647A71-406D-46E2-B326-BFFAF0E7ED30}"/>
    <cellStyle name="Normal 3 3 2 2 2 6" xfId="9476" xr:uid="{8B541570-3189-4ECD-874E-14093D03A44C}"/>
    <cellStyle name="Normal 3 3 2 2 2 7" xfId="9477" xr:uid="{7EF9ECA9-5CF6-45E8-8E6F-F743737741DE}"/>
    <cellStyle name="Normal 3 3 2 2 2 7 10" xfId="9478" xr:uid="{562C5AAA-114F-41B0-B767-E2F08577C8FC}"/>
    <cellStyle name="Normal 3 3 2 2 2 7 2" xfId="9479" xr:uid="{972B1C2D-D217-40DF-9EF1-7872D1925CEB}"/>
    <cellStyle name="Normal 3 3 2 2 2 7 2 2" xfId="9480" xr:uid="{4BDC6F57-ACBA-49DB-A7BF-34C8C2C0DC74}"/>
    <cellStyle name="Normal 3 3 2 2 2 7 2 2 2" xfId="9481" xr:uid="{5451A7A2-C105-44A1-9558-EC401FD1728E}"/>
    <cellStyle name="Normal 3 3 2 2 2 7 2 2 2 2" xfId="9482" xr:uid="{7E4906E6-FD3C-4DD4-8DE3-FFE99C47E90B}"/>
    <cellStyle name="Normal 3 3 2 2 2 7 2 2 2 3" xfId="9483" xr:uid="{14678678-7332-4E34-B1C6-A7BA8C21FFAD}"/>
    <cellStyle name="Normal 3 3 2 2 2 7 2 2 2 4" xfId="9484" xr:uid="{8315A18F-E03C-4AB8-B62E-412CF4672A46}"/>
    <cellStyle name="Normal 3 3 2 2 2 7 2 2 2 5" xfId="9485" xr:uid="{A3B73187-6D54-48BB-B517-6270727C54E0}"/>
    <cellStyle name="Normal 3 3 2 2 2 7 2 2 2 6" xfId="9486" xr:uid="{5A7053FD-3A3B-41DE-97C8-1E06A4146F52}"/>
    <cellStyle name="Normal 3 3 2 2 2 7 2 2 2 7" xfId="9487" xr:uid="{06695DBD-E2AA-4609-83CB-39C00901686C}"/>
    <cellStyle name="Normal 3 3 2 2 2 7 2 2 2 8" xfId="9488" xr:uid="{65429F02-B2BC-4534-AEC3-2DEA75292AD4}"/>
    <cellStyle name="Normal 3 3 2 2 2 7 2 2 3" xfId="9489" xr:uid="{A574F1EF-E571-4E17-920B-6BDE5F9DF517}"/>
    <cellStyle name="Normal 3 3 2 2 2 7 2 2 4" xfId="9490" xr:uid="{C97B22D6-5ED9-41F1-8D08-D76FD737D30D}"/>
    <cellStyle name="Normal 3 3 2 2 2 7 2 2 5" xfId="9491" xr:uid="{A18E09C2-5E6C-42D8-8420-039D608A6BE1}"/>
    <cellStyle name="Normal 3 3 2 2 2 7 2 2 6" xfId="9492" xr:uid="{75BD3444-6F22-49FE-9E10-D99F48451A6D}"/>
    <cellStyle name="Normal 3 3 2 2 2 7 2 2 7" xfId="9493" xr:uid="{559EF037-4D68-4503-8A02-1CF33133FC80}"/>
    <cellStyle name="Normal 3 3 2 2 2 7 2 2 8" xfId="9494" xr:uid="{524E6E73-DB71-405F-8619-542A7D97432A}"/>
    <cellStyle name="Normal 3 3 2 2 2 7 2 3" xfId="9495" xr:uid="{B7770C20-E5B8-40FD-84F0-0AF4A2F69E6E}"/>
    <cellStyle name="Normal 3 3 2 2 2 7 2 4" xfId="9496" xr:uid="{FE692E13-6361-4891-973B-0DEAE7DA8114}"/>
    <cellStyle name="Normal 3 3 2 2 2 7 2 5" xfId="9497" xr:uid="{559CE2E7-AFEE-4469-93E6-0D8F5B5633C0}"/>
    <cellStyle name="Normal 3 3 2 2 2 7 2 6" xfId="9498" xr:uid="{DAC055F4-F4C9-4F5A-974A-E377B08006C7}"/>
    <cellStyle name="Normal 3 3 2 2 2 7 2 7" xfId="9499" xr:uid="{1802BD76-C3EE-4F45-A5BC-F03D36FD57CC}"/>
    <cellStyle name="Normal 3 3 2 2 2 7 2 8" xfId="9500" xr:uid="{2D3C4157-740E-4ABD-A124-02E8F598DD45}"/>
    <cellStyle name="Normal 3 3 2 2 2 7 2 9" xfId="9501" xr:uid="{C81BFFB9-41E6-498D-820A-8DDF6D998AFD}"/>
    <cellStyle name="Normal 3 3 2 2 2 7 3" xfId="9502" xr:uid="{AC241F7D-3F3F-4D10-AB71-1FD9F1FBC03E}"/>
    <cellStyle name="Normal 3 3 2 2 2 7 4" xfId="9503" xr:uid="{136E49BA-631F-453B-AAE3-F71517CCEFC1}"/>
    <cellStyle name="Normal 3 3 2 2 2 7 4 2" xfId="9504" xr:uid="{D9ABA449-D9CA-4974-8B22-F9565BAC706F}"/>
    <cellStyle name="Normal 3 3 2 2 2 7 4 3" xfId="9505" xr:uid="{DDDCF2DE-AABE-4AF1-B73C-1BEAA62315EC}"/>
    <cellStyle name="Normal 3 3 2 2 2 7 4 4" xfId="9506" xr:uid="{4B2F5CCF-5800-45E0-9B12-2DE980DEDA86}"/>
    <cellStyle name="Normal 3 3 2 2 2 7 4 5" xfId="9507" xr:uid="{29C8D19E-8B81-40BA-B070-867BE351401C}"/>
    <cellStyle name="Normal 3 3 2 2 2 7 4 6" xfId="9508" xr:uid="{8CDB8E13-5C18-4D15-AFF6-671BC4C08EAD}"/>
    <cellStyle name="Normal 3 3 2 2 2 7 4 7" xfId="9509" xr:uid="{435985F1-4773-4C87-A485-3F2311662DBA}"/>
    <cellStyle name="Normal 3 3 2 2 2 7 4 8" xfId="9510" xr:uid="{41B62617-455B-479B-9AD7-659879B2B189}"/>
    <cellStyle name="Normal 3 3 2 2 2 7 5" xfId="9511" xr:uid="{D0847844-E443-4FEA-A328-18EE6FA9057F}"/>
    <cellStyle name="Normal 3 3 2 2 2 7 6" xfId="9512" xr:uid="{2DB0065B-A246-43FE-AAC4-C2C840BA799C}"/>
    <cellStyle name="Normal 3 3 2 2 2 7 7" xfId="9513" xr:uid="{942534FF-AE38-4079-87C4-E55A7661CA25}"/>
    <cellStyle name="Normal 3 3 2 2 2 7 8" xfId="9514" xr:uid="{15C059F2-90E8-48AE-B966-0A143FD9AB95}"/>
    <cellStyle name="Normal 3 3 2 2 2 7 9" xfId="9515" xr:uid="{E0A373B9-3A91-4437-A930-26CF0B3AC4C9}"/>
    <cellStyle name="Normal 3 3 2 2 2 8" xfId="9516" xr:uid="{5BCC1933-0454-4EE2-9878-F20C13C29911}"/>
    <cellStyle name="Normal 3 3 2 2 2 9" xfId="9517" xr:uid="{14A3FF45-4AFE-40E6-8F9E-9DFDEE8366FA}"/>
    <cellStyle name="Normal 3 3 2 2 20" xfId="9518" xr:uid="{783D9ADC-2C68-44C1-94E5-230C1046E436}"/>
    <cellStyle name="Normal 3 3 2 2 21" xfId="9519" xr:uid="{0C173A05-51C3-448E-A902-93585F3AE946}"/>
    <cellStyle name="Normal 3 3 2 2 22" xfId="9520" xr:uid="{8980DFCA-1799-4FB2-AE98-977DD7DB0E63}"/>
    <cellStyle name="Normal 3 3 2 2 3" xfId="9521" xr:uid="{EA139158-4AF0-4820-BA07-61724411DFAE}"/>
    <cellStyle name="Normal 3 3 2 2 3 10" xfId="9522" xr:uid="{59AFB267-F090-4E0E-9ED8-C6918D934707}"/>
    <cellStyle name="Normal 3 3 2 2 3 10 2" xfId="9523" xr:uid="{0763A33E-267F-4BD1-BF9F-C510FF484708}"/>
    <cellStyle name="Normal 3 3 2 2 3 10 2 2" xfId="9524" xr:uid="{52513AFA-627D-482E-8668-1E2278897A6E}"/>
    <cellStyle name="Normal 3 3 2 2 3 10 2 2 2" xfId="9525" xr:uid="{FF86C479-C9CF-4099-B01B-0B6EB4BA2147}"/>
    <cellStyle name="Normal 3 3 2 2 3 10 2 2 3" xfId="9526" xr:uid="{FE529503-1B54-47AE-8620-866C85F743F9}"/>
    <cellStyle name="Normal 3 3 2 2 3 10 2 2 4" xfId="9527" xr:uid="{674ED896-74A7-410C-9F91-26C9F13210BF}"/>
    <cellStyle name="Normal 3 3 2 2 3 10 2 2 5" xfId="9528" xr:uid="{E4EBFF44-896D-47CB-B1FA-C4F9BB87610C}"/>
    <cellStyle name="Normal 3 3 2 2 3 10 2 2 6" xfId="9529" xr:uid="{3E0D5FBC-64B2-490B-8053-F89210C94501}"/>
    <cellStyle name="Normal 3 3 2 2 3 10 2 2 7" xfId="9530" xr:uid="{0E4723D9-D29B-4D8D-B91C-EAAD36C922DB}"/>
    <cellStyle name="Normal 3 3 2 2 3 10 2 2 8" xfId="9531" xr:uid="{5A05FE80-6594-4C07-BA47-16264D3CDB5D}"/>
    <cellStyle name="Normal 3 3 2 2 3 10 2 3" xfId="9532" xr:uid="{89B4EB70-312A-488A-A68C-2FB7FFF18BBB}"/>
    <cellStyle name="Normal 3 3 2 2 3 10 2 4" xfId="9533" xr:uid="{1DA702D8-DDB2-4F89-B258-449068CDBE5F}"/>
    <cellStyle name="Normal 3 3 2 2 3 10 2 5" xfId="9534" xr:uid="{A560DB73-CC01-4860-80E1-6408859876E7}"/>
    <cellStyle name="Normal 3 3 2 2 3 10 2 6" xfId="9535" xr:uid="{9CC03C83-15B6-4FD8-AB2B-BF6E475CC957}"/>
    <cellStyle name="Normal 3 3 2 2 3 10 2 7" xfId="9536" xr:uid="{1310D4C1-9614-404D-81E5-E555BB602176}"/>
    <cellStyle name="Normal 3 3 2 2 3 10 2 8" xfId="9537" xr:uid="{2C51504B-0EED-4523-BB72-6A5C4EED321E}"/>
    <cellStyle name="Normal 3 3 2 2 3 10 3" xfId="9538" xr:uid="{052CE9EF-0680-4818-9A39-307E4AF69F31}"/>
    <cellStyle name="Normal 3 3 2 2 3 10 4" xfId="9539" xr:uid="{3EED8E69-E470-425B-85FD-6E5F884B1D0F}"/>
    <cellStyle name="Normal 3 3 2 2 3 10 5" xfId="9540" xr:uid="{6EB0CE97-642F-419C-9FD2-1D8B88205C90}"/>
    <cellStyle name="Normal 3 3 2 2 3 10 6" xfId="9541" xr:uid="{DA4E8A86-269E-4B21-BE0F-5C65188D4C2E}"/>
    <cellStyle name="Normal 3 3 2 2 3 10 7" xfId="9542" xr:uid="{6466891B-42C4-410C-BE44-280E754CE82C}"/>
    <cellStyle name="Normal 3 3 2 2 3 10 8" xfId="9543" xr:uid="{D461885D-2758-464B-8663-21B881E977DA}"/>
    <cellStyle name="Normal 3 3 2 2 3 10 9" xfId="9544" xr:uid="{86BDDB2B-B6A4-47EF-B1E6-FEFA877F5175}"/>
    <cellStyle name="Normal 3 3 2 2 3 11" xfId="9545" xr:uid="{AFA9A049-0BCF-49D0-AF30-CA8439439ABE}"/>
    <cellStyle name="Normal 3 3 2 2 3 11 2" xfId="9546" xr:uid="{E4FC0DE1-E31C-40A0-91E3-21FDD4B79098}"/>
    <cellStyle name="Normal 3 3 2 2 3 11 3" xfId="9547" xr:uid="{303F6467-2897-4E32-AD4B-1FC6D06D313A}"/>
    <cellStyle name="Normal 3 3 2 2 3 11 4" xfId="9548" xr:uid="{A806FB96-EEEC-4359-8A2D-A8B64292E952}"/>
    <cellStyle name="Normal 3 3 2 2 3 11 5" xfId="9549" xr:uid="{598347F3-0E9D-411A-A081-CE7836805A16}"/>
    <cellStyle name="Normal 3 3 2 2 3 11 6" xfId="9550" xr:uid="{2C7AC2FC-D3A3-45C6-B64C-1DEAD7BD83C4}"/>
    <cellStyle name="Normal 3 3 2 2 3 11 7" xfId="9551" xr:uid="{29CE38E0-B79C-4AC8-B354-D624D213F125}"/>
    <cellStyle name="Normal 3 3 2 2 3 11 8" xfId="9552" xr:uid="{9B8DD318-4721-4586-A3D0-61B04766716C}"/>
    <cellStyle name="Normal 3 3 2 2 3 12" xfId="9553" xr:uid="{ABC8B625-3178-4BD9-8EDD-8BCFB5C7C6F5}"/>
    <cellStyle name="Normal 3 3 2 2 3 13" xfId="9554" xr:uid="{9892C0AF-0D17-483B-B063-021562FB3F1C}"/>
    <cellStyle name="Normal 3 3 2 2 3 14" xfId="9555" xr:uid="{9EA0DA8D-04EB-46DA-B65F-95C5C3E51817}"/>
    <cellStyle name="Normal 3 3 2 2 3 15" xfId="9556" xr:uid="{0B7AEA02-630E-4214-855D-B9C270AAA22E}"/>
    <cellStyle name="Normal 3 3 2 2 3 16" xfId="9557" xr:uid="{B9979D8E-C090-4B41-996A-9397CFBFAA6E}"/>
    <cellStyle name="Normal 3 3 2 2 3 17" xfId="9558" xr:uid="{1CAC9A81-FD89-4170-BB4E-D0EE948FA6C7}"/>
    <cellStyle name="Normal 3 3 2 2 3 2" xfId="9559" xr:uid="{4242ECC4-91C6-429C-B8B4-4CBE30D88AB8}"/>
    <cellStyle name="Normal 3 3 2 2 3 2 10" xfId="9560" xr:uid="{67624004-3009-4CF3-AAC1-72837C4309DF}"/>
    <cellStyle name="Normal 3 3 2 2 3 2 10 2" xfId="9561" xr:uid="{857122D7-E17D-4931-BA58-714B1B983F83}"/>
    <cellStyle name="Normal 3 3 2 2 3 2 10 2 2" xfId="9562" xr:uid="{249EF4FA-9C56-4695-A9BC-A8C232C12425}"/>
    <cellStyle name="Normal 3 3 2 2 3 2 10 2 2 2" xfId="9563" xr:uid="{9C7A0071-1EF5-444B-8831-E9B31DD4829B}"/>
    <cellStyle name="Normal 3 3 2 2 3 2 10 2 2 3" xfId="9564" xr:uid="{FF78BC6F-338B-4C5A-A87A-D13A1242B749}"/>
    <cellStyle name="Normal 3 3 2 2 3 2 10 2 2 4" xfId="9565" xr:uid="{DF4067D9-08CC-4AF3-A496-0EBB8C868BAE}"/>
    <cellStyle name="Normal 3 3 2 2 3 2 10 2 2 5" xfId="9566" xr:uid="{2CA9BC55-2C69-4BA2-A5C8-0A138D378196}"/>
    <cellStyle name="Normal 3 3 2 2 3 2 10 2 2 6" xfId="9567" xr:uid="{6004C384-042F-4441-B9CA-4A1DF8C41132}"/>
    <cellStyle name="Normal 3 3 2 2 3 2 10 2 2 7" xfId="9568" xr:uid="{0F5CA7C3-FF57-4E06-925A-B497892B5B95}"/>
    <cellStyle name="Normal 3 3 2 2 3 2 10 2 2 8" xfId="9569" xr:uid="{B9DA6067-048F-4C07-B023-8B0B4D5CA877}"/>
    <cellStyle name="Normal 3 3 2 2 3 2 10 2 3" xfId="9570" xr:uid="{C1BAE82D-A8F3-4AD6-A18E-8AAAA693608F}"/>
    <cellStyle name="Normal 3 3 2 2 3 2 10 2 4" xfId="9571" xr:uid="{5961BC55-4D62-4C82-8699-A73DF2A980AA}"/>
    <cellStyle name="Normal 3 3 2 2 3 2 10 2 5" xfId="9572" xr:uid="{410A0B6C-7E00-448B-86BA-EF0D9CD584C9}"/>
    <cellStyle name="Normal 3 3 2 2 3 2 10 2 6" xfId="9573" xr:uid="{6CF97D1C-68DD-4B86-8BC1-1545E2B7F358}"/>
    <cellStyle name="Normal 3 3 2 2 3 2 10 2 7" xfId="9574" xr:uid="{136F37E1-BC13-4A9C-A49A-4EDFDE11D70D}"/>
    <cellStyle name="Normal 3 3 2 2 3 2 10 2 8" xfId="9575" xr:uid="{C5BF4C56-9478-4CA0-9899-825CA3067A11}"/>
    <cellStyle name="Normal 3 3 2 2 3 2 10 3" xfId="9576" xr:uid="{5FA41409-7658-4A4A-B090-1689E118E7B2}"/>
    <cellStyle name="Normal 3 3 2 2 3 2 10 4" xfId="9577" xr:uid="{8367BDB8-192E-415D-A19C-66632D7EE243}"/>
    <cellStyle name="Normal 3 3 2 2 3 2 10 5" xfId="9578" xr:uid="{7A01FAA5-D993-4C6A-A1FB-94287968B014}"/>
    <cellStyle name="Normal 3 3 2 2 3 2 10 6" xfId="9579" xr:uid="{79DCACEE-497E-4672-8F49-FBA572992B1D}"/>
    <cellStyle name="Normal 3 3 2 2 3 2 10 7" xfId="9580" xr:uid="{5BFF616B-2750-4A72-A5CB-4F767ADCBA3C}"/>
    <cellStyle name="Normal 3 3 2 2 3 2 10 8" xfId="9581" xr:uid="{FEBF4707-5BB9-4B66-B527-12989B6099C3}"/>
    <cellStyle name="Normal 3 3 2 2 3 2 10 9" xfId="9582" xr:uid="{99AC797E-CDEE-4AB7-BB9D-AC67FD1B97E0}"/>
    <cellStyle name="Normal 3 3 2 2 3 2 11" xfId="9583" xr:uid="{89A28F51-01E9-43A7-B1C6-2384D195AA3E}"/>
    <cellStyle name="Normal 3 3 2 2 3 2 11 2" xfId="9584" xr:uid="{4D5FD3F4-EA87-4C43-8C4C-17835CBC3278}"/>
    <cellStyle name="Normal 3 3 2 2 3 2 11 3" xfId="9585" xr:uid="{70EA7753-3DF2-4E6B-B036-F29F6C6FF330}"/>
    <cellStyle name="Normal 3 3 2 2 3 2 11 4" xfId="9586" xr:uid="{5F592A42-2167-4674-927E-C119CE3C39DB}"/>
    <cellStyle name="Normal 3 3 2 2 3 2 11 5" xfId="9587" xr:uid="{AE6B5A54-409D-4E1E-83D5-F2F75A996272}"/>
    <cellStyle name="Normal 3 3 2 2 3 2 11 6" xfId="9588" xr:uid="{EE4D192A-DF86-429E-91C4-044D291DC3FE}"/>
    <cellStyle name="Normal 3 3 2 2 3 2 11 7" xfId="9589" xr:uid="{B2E2BCAC-FE30-4517-AFC1-CF06C033F802}"/>
    <cellStyle name="Normal 3 3 2 2 3 2 11 8" xfId="9590" xr:uid="{22FD1162-070F-4BF1-941C-F787BCF0E907}"/>
    <cellStyle name="Normal 3 3 2 2 3 2 12" xfId="9591" xr:uid="{8DFE6DD0-BD35-4A87-A2B1-225E071D8308}"/>
    <cellStyle name="Normal 3 3 2 2 3 2 13" xfId="9592" xr:uid="{84DD609A-FE60-4182-B7DA-8E2238ACDB30}"/>
    <cellStyle name="Normal 3 3 2 2 3 2 14" xfId="9593" xr:uid="{4BA85E50-6172-4C9E-A0EC-1BD98909C293}"/>
    <cellStyle name="Normal 3 3 2 2 3 2 15" xfId="9594" xr:uid="{0DB37DCF-82C2-43F7-A07E-30D9FBF72B41}"/>
    <cellStyle name="Normal 3 3 2 2 3 2 16" xfId="9595" xr:uid="{35445631-21A1-47C6-858A-019EC1E65C48}"/>
    <cellStyle name="Normal 3 3 2 2 3 2 17" xfId="9596" xr:uid="{67C65EE6-D2FE-4178-AEC2-D5DE7FC0F2CF}"/>
    <cellStyle name="Normal 3 3 2 2 3 2 2" xfId="9597" xr:uid="{DAFAD54A-A9DF-465B-8CBC-DDE54DDD16EA}"/>
    <cellStyle name="Normal 3 3 2 2 3 2 2 10" xfId="9598" xr:uid="{14D48933-CD38-4420-8534-370583470E86}"/>
    <cellStyle name="Normal 3 3 2 2 3 2 2 2" xfId="9599" xr:uid="{A429D54E-1F2D-4780-9D73-AC454EAE328E}"/>
    <cellStyle name="Normal 3 3 2 2 3 2 2 2 2" xfId="9600" xr:uid="{DF566036-7A2C-4B21-91F6-6542C0B431EE}"/>
    <cellStyle name="Normal 3 3 2 2 3 2 2 2 2 2" xfId="9601" xr:uid="{141D8DFE-5311-43E4-AF25-F60F05506980}"/>
    <cellStyle name="Normal 3 3 2 2 3 2 2 2 2 2 2" xfId="9602" xr:uid="{5BB0323A-FB96-45D6-BBEE-4F87F38FE560}"/>
    <cellStyle name="Normal 3 3 2 2 3 2 2 2 2 2 3" xfId="9603" xr:uid="{411F2682-D3F1-40A1-8849-A67C3E4A0734}"/>
    <cellStyle name="Normal 3 3 2 2 3 2 2 2 2 2 4" xfId="9604" xr:uid="{57C4D58E-2443-4C7F-AD2D-6E3B04D038BF}"/>
    <cellStyle name="Normal 3 3 2 2 3 2 2 2 2 2 5" xfId="9605" xr:uid="{DD99420F-353C-4CC0-9C36-281FF8799B74}"/>
    <cellStyle name="Normal 3 3 2 2 3 2 2 2 2 2 6" xfId="9606" xr:uid="{D9A67D46-8148-40C4-839B-0C42F5832B13}"/>
    <cellStyle name="Normal 3 3 2 2 3 2 2 2 2 2 7" xfId="9607" xr:uid="{6F0ED526-8825-44A1-A4D8-DB5302A46E3F}"/>
    <cellStyle name="Normal 3 3 2 2 3 2 2 2 2 2 8" xfId="9608" xr:uid="{B28ACC8E-0A08-477D-AE18-D33318ECE871}"/>
    <cellStyle name="Normal 3 3 2 2 3 2 2 2 2 3" xfId="9609" xr:uid="{AB99AC30-32B1-4A73-A938-A53A0F1F68DA}"/>
    <cellStyle name="Normal 3 3 2 2 3 2 2 2 2 4" xfId="9610" xr:uid="{CE53897E-6521-4FAF-8D70-6851CFC0F5C5}"/>
    <cellStyle name="Normal 3 3 2 2 3 2 2 2 2 5" xfId="9611" xr:uid="{463DE8BD-340E-4C6B-A6E3-E0F1F3B92E6B}"/>
    <cellStyle name="Normal 3 3 2 2 3 2 2 2 2 6" xfId="9612" xr:uid="{776A94BD-1089-4B89-85FB-FF45F84F933C}"/>
    <cellStyle name="Normal 3 3 2 2 3 2 2 2 2 7" xfId="9613" xr:uid="{06CCD44D-60BC-48FD-970C-229229E4A7A0}"/>
    <cellStyle name="Normal 3 3 2 2 3 2 2 2 2 8" xfId="9614" xr:uid="{BC03EA35-6CA9-4B99-A02D-AB0F20B47838}"/>
    <cellStyle name="Normal 3 3 2 2 3 2 2 2 3" xfId="9615" xr:uid="{81AD871B-D07C-4D02-9E57-6EB6B3332B47}"/>
    <cellStyle name="Normal 3 3 2 2 3 2 2 2 4" xfId="9616" xr:uid="{8D9DC99B-176F-48DF-BEC4-0D611645A261}"/>
    <cellStyle name="Normal 3 3 2 2 3 2 2 2 5" xfId="9617" xr:uid="{B436D4D8-4C82-413F-BF24-956BFCAF4E53}"/>
    <cellStyle name="Normal 3 3 2 2 3 2 2 2 6" xfId="9618" xr:uid="{5E6B3331-EE7B-40C2-A13D-F83B24A322A8}"/>
    <cellStyle name="Normal 3 3 2 2 3 2 2 2 7" xfId="9619" xr:uid="{6640432F-7789-4A0A-8841-071EA00107CF}"/>
    <cellStyle name="Normal 3 3 2 2 3 2 2 2 8" xfId="9620" xr:uid="{3CF7EBE5-20E9-4D74-8D8E-DC4E437BAB42}"/>
    <cellStyle name="Normal 3 3 2 2 3 2 2 2 9" xfId="9621" xr:uid="{3FF59FE7-0567-4FDD-906D-8B1B3256DCAF}"/>
    <cellStyle name="Normal 3 3 2 2 3 2 2 3" xfId="9622" xr:uid="{82434AA0-FE4D-4512-AA34-3B65DC7BA058}"/>
    <cellStyle name="Normal 3 3 2 2 3 2 2 4" xfId="9623" xr:uid="{D774DBE4-F2EA-43D4-9273-EFFEEC978AF8}"/>
    <cellStyle name="Normal 3 3 2 2 3 2 2 4 2" xfId="9624" xr:uid="{1683D1B2-D431-4476-B41B-3BD9726F3DA7}"/>
    <cellStyle name="Normal 3 3 2 2 3 2 2 4 3" xfId="9625" xr:uid="{14BE5A18-593C-4DD2-9941-C606D70FCAD6}"/>
    <cellStyle name="Normal 3 3 2 2 3 2 2 4 4" xfId="9626" xr:uid="{1ECB5D9A-9AE8-4045-8655-0CF965CAB7EE}"/>
    <cellStyle name="Normal 3 3 2 2 3 2 2 4 5" xfId="9627" xr:uid="{50743F7B-6C3E-448D-8C5A-3800D41308A3}"/>
    <cellStyle name="Normal 3 3 2 2 3 2 2 4 6" xfId="9628" xr:uid="{BB1514BF-2A1E-4478-A8B8-FE12B9719D50}"/>
    <cellStyle name="Normal 3 3 2 2 3 2 2 4 7" xfId="9629" xr:uid="{2855194C-9F3E-4E1B-B747-C3C74B3FF664}"/>
    <cellStyle name="Normal 3 3 2 2 3 2 2 4 8" xfId="9630" xr:uid="{42849467-B8F2-48C0-B363-514FF6178743}"/>
    <cellStyle name="Normal 3 3 2 2 3 2 2 5" xfId="9631" xr:uid="{90F7FAF4-340B-448A-8E30-5E707499B421}"/>
    <cellStyle name="Normal 3 3 2 2 3 2 2 6" xfId="9632" xr:uid="{D8151CF0-1846-4470-AFA0-D5A2B04A019C}"/>
    <cellStyle name="Normal 3 3 2 2 3 2 2 7" xfId="9633" xr:uid="{B30B006D-971F-4459-8389-A8290D5728BC}"/>
    <cellStyle name="Normal 3 3 2 2 3 2 2 8" xfId="9634" xr:uid="{7DB475B4-4591-49A8-A001-9A8419325703}"/>
    <cellStyle name="Normal 3 3 2 2 3 2 2 9" xfId="9635" xr:uid="{C038C61D-49D0-4B4D-9D8D-DD3B5D1E34B4}"/>
    <cellStyle name="Normal 3 3 2 2 3 2 3" xfId="9636" xr:uid="{C57BEF2C-DA08-40CC-827D-4C65AB6523F6}"/>
    <cellStyle name="Normal 3 3 2 2 3 2 4" xfId="9637" xr:uid="{9FE51614-9D40-42A2-84D2-C8B4D72372CE}"/>
    <cellStyle name="Normal 3 3 2 2 3 2 5" xfId="9638" xr:uid="{72A2606F-F6BE-46EE-A581-5CFA8D2E5E82}"/>
    <cellStyle name="Normal 3 3 2 2 3 2 6" xfId="9639" xr:uid="{E98F924E-4A82-4FAF-BD62-FB05C6D0C5AF}"/>
    <cellStyle name="Normal 3 3 2 2 3 2 7" xfId="9640" xr:uid="{F34F424C-CB0C-4BB5-A5DB-AB3D920D3E6F}"/>
    <cellStyle name="Normal 3 3 2 2 3 2 8" xfId="9641" xr:uid="{6203019A-D23A-4496-AC3B-A9F0735E59F0}"/>
    <cellStyle name="Normal 3 3 2 2 3 2 9" xfId="9642" xr:uid="{6D71DC21-7511-4BBC-BF07-72AE5479B37F}"/>
    <cellStyle name="Normal 3 3 2 2 3 3" xfId="9643" xr:uid="{622A635F-3F63-4AA4-B042-1B4A8839EEC1}"/>
    <cellStyle name="Normal 3 3 2 2 3 3 10" xfId="9644" xr:uid="{948F9612-BCF6-4B73-8CC6-C18C9CB9AA01}"/>
    <cellStyle name="Normal 3 3 2 2 3 3 2" xfId="9645" xr:uid="{E140FFE0-9CAB-404D-9A5A-4FFB437D9512}"/>
    <cellStyle name="Normal 3 3 2 2 3 3 2 2" xfId="9646" xr:uid="{4D03B99C-69A2-4360-8BC9-7DD2CAEE53C5}"/>
    <cellStyle name="Normal 3 3 2 2 3 3 2 2 2" xfId="9647" xr:uid="{B0BE7D35-DBBE-4522-9C30-B9F6FA27055F}"/>
    <cellStyle name="Normal 3 3 2 2 3 3 2 2 2 2" xfId="9648" xr:uid="{4C460B37-3604-463F-94C3-13408DA5449D}"/>
    <cellStyle name="Normal 3 3 2 2 3 3 2 2 2 3" xfId="9649" xr:uid="{B20D0024-9A0F-4E3E-8880-2C974F107A67}"/>
    <cellStyle name="Normal 3 3 2 2 3 3 2 2 2 4" xfId="9650" xr:uid="{62DEC4A6-517C-4D17-8488-B6536FA7D05F}"/>
    <cellStyle name="Normal 3 3 2 2 3 3 2 2 2 5" xfId="9651" xr:uid="{2CCCB9F5-F14C-4D97-974C-2A77586EEA27}"/>
    <cellStyle name="Normal 3 3 2 2 3 3 2 2 2 6" xfId="9652" xr:uid="{4331636A-4C56-441E-9459-56791EEF47E8}"/>
    <cellStyle name="Normal 3 3 2 2 3 3 2 2 2 7" xfId="9653" xr:uid="{B155977B-7E74-477B-ABAD-2F2D68C4F501}"/>
    <cellStyle name="Normal 3 3 2 2 3 3 2 2 2 8" xfId="9654" xr:uid="{34A82AAE-D711-4F5E-8B32-69DB09737257}"/>
    <cellStyle name="Normal 3 3 2 2 3 3 2 2 3" xfId="9655" xr:uid="{5F8F7F0A-3DA3-4EA0-8E14-5E931BE0F2A1}"/>
    <cellStyle name="Normal 3 3 2 2 3 3 2 2 4" xfId="9656" xr:uid="{34A791AC-C5C8-41F6-A648-87D1CE185C70}"/>
    <cellStyle name="Normal 3 3 2 2 3 3 2 2 5" xfId="9657" xr:uid="{E68C4E6D-B186-4EA0-BE0F-E9B1FF576067}"/>
    <cellStyle name="Normal 3 3 2 2 3 3 2 2 6" xfId="9658" xr:uid="{1CB043F3-A7ED-4F59-BB96-4C31AF54905E}"/>
    <cellStyle name="Normal 3 3 2 2 3 3 2 2 7" xfId="9659" xr:uid="{6FD51323-0661-4856-9CC5-4F07A57D25DD}"/>
    <cellStyle name="Normal 3 3 2 2 3 3 2 2 8" xfId="9660" xr:uid="{00ED15F8-35C7-4DB0-B164-CD5004EFE067}"/>
    <cellStyle name="Normal 3 3 2 2 3 3 2 3" xfId="9661" xr:uid="{D9119C92-7D8D-45F1-8EEF-A757DA5594BD}"/>
    <cellStyle name="Normal 3 3 2 2 3 3 2 4" xfId="9662" xr:uid="{10A6D859-C1B9-46D6-870A-ABCAF6AF40FB}"/>
    <cellStyle name="Normal 3 3 2 2 3 3 2 5" xfId="9663" xr:uid="{98F059A2-F998-438D-8EB0-727A811AFB93}"/>
    <cellStyle name="Normal 3 3 2 2 3 3 2 6" xfId="9664" xr:uid="{C4BF3C00-91BA-4380-8312-98197E266879}"/>
    <cellStyle name="Normal 3 3 2 2 3 3 2 7" xfId="9665" xr:uid="{A032BDEA-7DA3-4F07-809A-C2EF3EF79D49}"/>
    <cellStyle name="Normal 3 3 2 2 3 3 2 8" xfId="9666" xr:uid="{8CFD6A77-67EB-471E-AABC-890E2111AF5B}"/>
    <cellStyle name="Normal 3 3 2 2 3 3 2 9" xfId="9667" xr:uid="{7048A8AC-9E94-4B4A-9F9C-CBC3A4125EBC}"/>
    <cellStyle name="Normal 3 3 2 2 3 3 3" xfId="9668" xr:uid="{61ACAB27-400B-4295-8996-6750CA502664}"/>
    <cellStyle name="Normal 3 3 2 2 3 3 4" xfId="9669" xr:uid="{B775800A-3806-4905-93C4-6917A4022DFE}"/>
    <cellStyle name="Normal 3 3 2 2 3 3 4 2" xfId="9670" xr:uid="{BC7E1B9A-6FD0-46D8-9D36-E01FA5620CAA}"/>
    <cellStyle name="Normal 3 3 2 2 3 3 4 3" xfId="9671" xr:uid="{1EF2DFAC-8F47-4BC0-A4D9-FE05291504AA}"/>
    <cellStyle name="Normal 3 3 2 2 3 3 4 4" xfId="9672" xr:uid="{9C6843D0-6845-4993-ADDB-842C50D93760}"/>
    <cellStyle name="Normal 3 3 2 2 3 3 4 5" xfId="9673" xr:uid="{E2F2E43F-8187-4F0A-AB46-496F41005332}"/>
    <cellStyle name="Normal 3 3 2 2 3 3 4 6" xfId="9674" xr:uid="{BFE41372-E146-42FE-804A-E44FB40AB3EE}"/>
    <cellStyle name="Normal 3 3 2 2 3 3 4 7" xfId="9675" xr:uid="{CA7CFC5F-29FE-4FFF-92F1-39B2D186BF44}"/>
    <cellStyle name="Normal 3 3 2 2 3 3 4 8" xfId="9676" xr:uid="{A3923F1C-53EF-4FDA-962A-ED19B43FDD94}"/>
    <cellStyle name="Normal 3 3 2 2 3 3 5" xfId="9677" xr:uid="{16FCC739-4CC4-4D8F-AD5A-C518442DB82E}"/>
    <cellStyle name="Normal 3 3 2 2 3 3 6" xfId="9678" xr:uid="{D74C9F34-6077-4EF6-A9D4-A11DE7A1F0D3}"/>
    <cellStyle name="Normal 3 3 2 2 3 3 7" xfId="9679" xr:uid="{37251EDE-599E-4236-BD8C-32837D5B8AB6}"/>
    <cellStyle name="Normal 3 3 2 2 3 3 8" xfId="9680" xr:uid="{CFEB76DD-044D-48FC-9B0E-F81D27F55480}"/>
    <cellStyle name="Normal 3 3 2 2 3 3 9" xfId="9681" xr:uid="{2E2D2C1D-A652-401C-B952-75A9C7E3E13D}"/>
    <cellStyle name="Normal 3 3 2 2 3 4" xfId="9682" xr:uid="{8738C276-1751-46F8-90FA-3D59EB63F267}"/>
    <cellStyle name="Normal 3 3 2 2 3 5" xfId="9683" xr:uid="{42A02606-A495-40FB-B6AF-CDD709585171}"/>
    <cellStyle name="Normal 3 3 2 2 3 6" xfId="9684" xr:uid="{D606FAE3-016E-451D-8688-3887A2E285B7}"/>
    <cellStyle name="Normal 3 3 2 2 3 7" xfId="9685" xr:uid="{EC0AEA73-9D02-4261-9EB8-DC6FA5805048}"/>
    <cellStyle name="Normal 3 3 2 2 3 8" xfId="9686" xr:uid="{E211EA3A-8C30-4B3E-9317-1F6184EBAFAA}"/>
    <cellStyle name="Normal 3 3 2 2 3 9" xfId="9687" xr:uid="{EFD08942-4212-4023-8334-7ED3D36E57FD}"/>
    <cellStyle name="Normal 3 3 2 2 4" xfId="9688" xr:uid="{4DBD440D-B1ED-4034-A98F-E74AB696CA10}"/>
    <cellStyle name="Normal 3 3 2 2 5" xfId="9689" xr:uid="{37E65A17-32E7-4EE3-81AC-5F90611C2E30}"/>
    <cellStyle name="Normal 3 3 2 2 6" xfId="9690" xr:uid="{4173BF71-918A-4B32-9842-73C248456316}"/>
    <cellStyle name="Normal 3 3 2 2 7" xfId="9691" xr:uid="{AFCA43F4-3EB0-458B-A84F-E76163A6431D}"/>
    <cellStyle name="Normal 3 3 2 2 7 10" xfId="9692" xr:uid="{76EB4CEC-99D2-4BEA-AEEA-4B32E29C5D70}"/>
    <cellStyle name="Normal 3 3 2 2 7 2" xfId="9693" xr:uid="{CB4E81D7-CE35-4B34-8BB8-8992E1A1E053}"/>
    <cellStyle name="Normal 3 3 2 2 7 2 2" xfId="9694" xr:uid="{3863FCA6-A6CF-4EFD-B4F5-F559DDC46088}"/>
    <cellStyle name="Normal 3 3 2 2 7 2 2 2" xfId="9695" xr:uid="{EB893766-0937-4F34-84B9-2FECAB9D3DB7}"/>
    <cellStyle name="Normal 3 3 2 2 7 2 2 2 2" xfId="9696" xr:uid="{1CA8B8E8-2A2A-47BF-9ECA-427DFB80DB61}"/>
    <cellStyle name="Normal 3 3 2 2 7 2 2 2 3" xfId="9697" xr:uid="{5517C936-6CE6-4443-9B0B-7B43DC0A0C15}"/>
    <cellStyle name="Normal 3 3 2 2 7 2 2 2 4" xfId="9698" xr:uid="{7BB0AF0A-4DF4-4552-861F-44D55D0B586B}"/>
    <cellStyle name="Normal 3 3 2 2 7 2 2 2 5" xfId="9699" xr:uid="{D2653DA5-1482-4179-8AB7-0F6BB4B741E6}"/>
    <cellStyle name="Normal 3 3 2 2 7 2 2 2 6" xfId="9700" xr:uid="{9C344CF8-E47A-430D-9C22-36420697CA4E}"/>
    <cellStyle name="Normal 3 3 2 2 7 2 2 2 7" xfId="9701" xr:uid="{B0394011-5561-4817-9E67-10067DEA0B9C}"/>
    <cellStyle name="Normal 3 3 2 2 7 2 2 2 8" xfId="9702" xr:uid="{DC1D6F88-AD26-43E2-AB04-1557F63EAE57}"/>
    <cellStyle name="Normal 3 3 2 2 7 2 2 3" xfId="9703" xr:uid="{8248B469-2D2E-4E11-80C7-550BC054BB03}"/>
    <cellStyle name="Normal 3 3 2 2 7 2 2 4" xfId="9704" xr:uid="{45B038B4-F979-4082-9678-78E0D7B79ED7}"/>
    <cellStyle name="Normal 3 3 2 2 7 2 2 5" xfId="9705" xr:uid="{B5834CFF-4C67-489A-B4C4-DB7232930F7B}"/>
    <cellStyle name="Normal 3 3 2 2 7 2 2 6" xfId="9706" xr:uid="{CA589529-BEE9-4E20-8432-2A51F79D2502}"/>
    <cellStyle name="Normal 3 3 2 2 7 2 2 7" xfId="9707" xr:uid="{FD6F7529-DF9A-4A23-A488-90C124D3C49E}"/>
    <cellStyle name="Normal 3 3 2 2 7 2 2 8" xfId="9708" xr:uid="{1595DE07-7987-439B-8889-31B482D2033E}"/>
    <cellStyle name="Normal 3 3 2 2 7 2 3" xfId="9709" xr:uid="{B50D796A-5A92-4276-9064-B68A11A249C6}"/>
    <cellStyle name="Normal 3 3 2 2 7 2 4" xfId="9710" xr:uid="{3CF0276C-0F58-4093-BA13-7A6D9850C48F}"/>
    <cellStyle name="Normal 3 3 2 2 7 2 5" xfId="9711" xr:uid="{8D0AA006-B77B-480D-8A6F-04E46D182ED8}"/>
    <cellStyle name="Normal 3 3 2 2 7 2 6" xfId="9712" xr:uid="{6D4CA1DE-1521-4ECC-BA55-BB95B4D42095}"/>
    <cellStyle name="Normal 3 3 2 2 7 2 7" xfId="9713" xr:uid="{6DE7C757-E57F-4475-8B8C-9279754F127E}"/>
    <cellStyle name="Normal 3 3 2 2 7 2 8" xfId="9714" xr:uid="{A6771530-D726-4893-8FF3-77A0DF68242A}"/>
    <cellStyle name="Normal 3 3 2 2 7 2 9" xfId="9715" xr:uid="{AE11EE11-985A-4521-8F9F-C40EB416FAAA}"/>
    <cellStyle name="Normal 3 3 2 2 7 3" xfId="9716" xr:uid="{68732F9A-434F-4BAC-9344-C08BCB38FBDE}"/>
    <cellStyle name="Normal 3 3 2 2 7 4" xfId="9717" xr:uid="{FE64E630-3846-4FDC-AA3F-D12069C9C994}"/>
    <cellStyle name="Normal 3 3 2 2 7 4 2" xfId="9718" xr:uid="{EBE3649C-ED24-4D81-93E4-9A2D3615AF29}"/>
    <cellStyle name="Normal 3 3 2 2 7 4 3" xfId="9719" xr:uid="{A87B3043-E27B-42FF-916F-7D4AE868A96E}"/>
    <cellStyle name="Normal 3 3 2 2 7 4 4" xfId="9720" xr:uid="{683DBC51-716F-46FE-8CED-39CD8BD9BCED}"/>
    <cellStyle name="Normal 3 3 2 2 7 4 5" xfId="9721" xr:uid="{6824883B-84EA-42CE-8AFA-11AF6A52185B}"/>
    <cellStyle name="Normal 3 3 2 2 7 4 6" xfId="9722" xr:uid="{E7BFC02C-AFA1-4D6A-A9F9-4CE25471CD7F}"/>
    <cellStyle name="Normal 3 3 2 2 7 4 7" xfId="9723" xr:uid="{742BBDA0-4A1F-45B5-B130-CB8C402A4D6C}"/>
    <cellStyle name="Normal 3 3 2 2 7 4 8" xfId="9724" xr:uid="{2F6204BF-777C-4FE2-9DD3-2841FF09C88F}"/>
    <cellStyle name="Normal 3 3 2 2 7 5" xfId="9725" xr:uid="{C7A0BC93-016F-42AD-960B-6B05985275CC}"/>
    <cellStyle name="Normal 3 3 2 2 7 6" xfId="9726" xr:uid="{8378ACDA-AF1F-4907-9864-AD24C71BF1B4}"/>
    <cellStyle name="Normal 3 3 2 2 7 7" xfId="9727" xr:uid="{EC45EE64-1FCF-4310-9B63-B8BA4AE79A63}"/>
    <cellStyle name="Normal 3 3 2 2 7 8" xfId="9728" xr:uid="{CE86DF2C-E1A5-4698-BA34-74783EE58E2E}"/>
    <cellStyle name="Normal 3 3 2 2 7 9" xfId="9729" xr:uid="{E1CF3B9F-3874-4E0D-A96A-2CD4AB81A887}"/>
    <cellStyle name="Normal 3 3 2 2 8" xfId="9730" xr:uid="{232023EE-2E84-45E3-988B-0E779FA42AB2}"/>
    <cellStyle name="Normal 3 3 2 2 9" xfId="9731" xr:uid="{2D7BB4CE-E19D-4314-8D8B-D5327B668E37}"/>
    <cellStyle name="Normal 3 3 2 20" xfId="9732" xr:uid="{B02D1E30-33A9-442F-9E3F-4B01F1FEF458}"/>
    <cellStyle name="Normal 3 3 2 21" xfId="9733" xr:uid="{500282BC-9921-4AFD-93B4-E555323F138D}"/>
    <cellStyle name="Normal 3 3 2 22" xfId="9734" xr:uid="{02E26D5C-8445-4AE8-872E-5E500AF7463F}"/>
    <cellStyle name="Normal 3 3 2 23" xfId="9735" xr:uid="{30A969AD-4AFE-430F-978F-4E1405245D3D}"/>
    <cellStyle name="Normal 3 3 2 23 10" xfId="9736" xr:uid="{3C8CF09B-7DB6-4A81-82BE-84569E086B4B}"/>
    <cellStyle name="Normal 3 3 2 23 10 2" xfId="9737" xr:uid="{96EC0D84-CE91-482E-8770-280E2CEFE226}"/>
    <cellStyle name="Normal 3 3 2 23 10 2 2" xfId="9738" xr:uid="{0CF2CE80-7640-4EE2-8FEB-2A598C4C0877}"/>
    <cellStyle name="Normal 3 3 2 23 10 2 2 2" xfId="9739" xr:uid="{8AD39298-E383-4FAB-A1B5-4E2872E2ECE2}"/>
    <cellStyle name="Normal 3 3 2 23 10 2 2 3" xfId="9740" xr:uid="{A1E3F2DC-74D4-488D-B165-4C21D703D187}"/>
    <cellStyle name="Normal 3 3 2 23 10 2 2 4" xfId="9741" xr:uid="{B8AE64E2-1F2E-407E-9ED3-AC1D236C920B}"/>
    <cellStyle name="Normal 3 3 2 23 10 2 2 5" xfId="9742" xr:uid="{370CB05A-7652-474C-A89D-191EBF8A9920}"/>
    <cellStyle name="Normal 3 3 2 23 10 2 2 6" xfId="9743" xr:uid="{89000DD0-B23B-4DF3-9A05-F96B72CC7306}"/>
    <cellStyle name="Normal 3 3 2 23 10 2 2 7" xfId="9744" xr:uid="{0D696FE8-4C85-47E8-A02A-23EF0CE5FC83}"/>
    <cellStyle name="Normal 3 3 2 23 10 2 2 8" xfId="9745" xr:uid="{57A6191D-44F7-4FF4-BE57-014E4EF60B88}"/>
    <cellStyle name="Normal 3 3 2 23 10 2 3" xfId="9746" xr:uid="{D1613614-2657-4E12-8498-5E0AE6888CFB}"/>
    <cellStyle name="Normal 3 3 2 23 10 2 4" xfId="9747" xr:uid="{AE588283-872F-40B3-8F38-53E316884DC7}"/>
    <cellStyle name="Normal 3 3 2 23 10 2 5" xfId="9748" xr:uid="{8C15C335-DBFE-494E-9416-37552257D2F5}"/>
    <cellStyle name="Normal 3 3 2 23 10 2 6" xfId="9749" xr:uid="{F6EBD1E6-0D98-4A82-B2C6-B8D245C666A0}"/>
    <cellStyle name="Normal 3 3 2 23 10 2 7" xfId="9750" xr:uid="{28990B08-2542-456A-A897-2779F8F2A511}"/>
    <cellStyle name="Normal 3 3 2 23 10 2 8" xfId="9751" xr:uid="{A9257FFD-865E-4292-B0B7-6CD254F67289}"/>
    <cellStyle name="Normal 3 3 2 23 10 3" xfId="9752" xr:uid="{C926A282-C1C6-4871-8330-BEDD98BE519C}"/>
    <cellStyle name="Normal 3 3 2 23 10 4" xfId="9753" xr:uid="{CAE339EE-E5A8-4DFF-854F-5FF9F368A88F}"/>
    <cellStyle name="Normal 3 3 2 23 10 5" xfId="9754" xr:uid="{0D03B607-3B74-42CF-B64F-A4D0D5CBCD35}"/>
    <cellStyle name="Normal 3 3 2 23 10 6" xfId="9755" xr:uid="{C20E1AF7-5FE7-4480-A7A9-68E08553D036}"/>
    <cellStyle name="Normal 3 3 2 23 10 7" xfId="9756" xr:uid="{8D7F63E2-4843-48D9-A0E9-169A69796DE5}"/>
    <cellStyle name="Normal 3 3 2 23 10 8" xfId="9757" xr:uid="{36E8312C-1E57-4389-A0F1-0E9D5DDB751F}"/>
    <cellStyle name="Normal 3 3 2 23 10 9" xfId="9758" xr:uid="{4553031D-1CAC-428F-933A-EE59FD8349A1}"/>
    <cellStyle name="Normal 3 3 2 23 11" xfId="9759" xr:uid="{258FD221-3413-44FC-A927-CC095EB7875A}"/>
    <cellStyle name="Normal 3 3 2 23 11 2" xfId="9760" xr:uid="{1F06C3DF-4654-448B-A3CC-36B47688C5C2}"/>
    <cellStyle name="Normal 3 3 2 23 11 3" xfId="9761" xr:uid="{E1B647DD-90A6-4154-8437-5538E8DF887C}"/>
    <cellStyle name="Normal 3 3 2 23 11 4" xfId="9762" xr:uid="{E947FED7-E233-4FE4-8470-A0719D76D1D5}"/>
    <cellStyle name="Normal 3 3 2 23 11 5" xfId="9763" xr:uid="{FA98B380-1346-4628-BDA7-25311BF78155}"/>
    <cellStyle name="Normal 3 3 2 23 11 6" xfId="9764" xr:uid="{F71A1E1B-8893-49D0-8B7A-811DF6254496}"/>
    <cellStyle name="Normal 3 3 2 23 11 7" xfId="9765" xr:uid="{E06C1227-E2F4-4078-B95D-5D8ECF7D382B}"/>
    <cellStyle name="Normal 3 3 2 23 11 8" xfId="9766" xr:uid="{ED2F68E0-E3E9-4AE1-AFFD-9FF2B0DCCAED}"/>
    <cellStyle name="Normal 3 3 2 23 12" xfId="9767" xr:uid="{032CE07E-2341-4421-B9D1-73838035B4E0}"/>
    <cellStyle name="Normal 3 3 2 23 13" xfId="9768" xr:uid="{DE7839EE-D1E1-40C3-BBD3-E3B4FEFC9A64}"/>
    <cellStyle name="Normal 3 3 2 23 14" xfId="9769" xr:uid="{C23C986D-B066-429A-BB23-85D52C3D7D6C}"/>
    <cellStyle name="Normal 3 3 2 23 15" xfId="9770" xr:uid="{1EB2F2DC-994A-41EE-852C-6F2B33853F41}"/>
    <cellStyle name="Normal 3 3 2 23 16" xfId="9771" xr:uid="{1782BB51-B25B-4615-9F0A-D19BB66FFD2D}"/>
    <cellStyle name="Normal 3 3 2 23 17" xfId="9772" xr:uid="{3F4EE280-91F8-4DBA-8B0E-28F2E1D570E0}"/>
    <cellStyle name="Normal 3 3 2 23 2" xfId="9773" xr:uid="{AAEB8C4D-4F78-4C1B-BC58-13D6C5AE96D9}"/>
    <cellStyle name="Normal 3 3 2 23 2 10" xfId="9774" xr:uid="{5DE2104B-1F7E-496A-9F38-ADD1AB012D9A}"/>
    <cellStyle name="Normal 3 3 2 23 2 10 2" xfId="9775" xr:uid="{0E78037C-A873-4D95-993E-E5975ED11810}"/>
    <cellStyle name="Normal 3 3 2 23 2 10 2 2" xfId="9776" xr:uid="{96D905C9-AEE7-4DEC-A621-7784E6EDF707}"/>
    <cellStyle name="Normal 3 3 2 23 2 10 2 2 2" xfId="9777" xr:uid="{1250DBAC-1544-4A75-A483-5490B3DC6514}"/>
    <cellStyle name="Normal 3 3 2 23 2 10 2 2 3" xfId="9778" xr:uid="{78519373-484E-4535-848D-8D43338776F0}"/>
    <cellStyle name="Normal 3 3 2 23 2 10 2 2 4" xfId="9779" xr:uid="{DD7EE44D-B188-4CAB-B52F-F50C2D1AB2B7}"/>
    <cellStyle name="Normal 3 3 2 23 2 10 2 2 5" xfId="9780" xr:uid="{4B299048-E776-4820-BB47-1A04CEC58613}"/>
    <cellStyle name="Normal 3 3 2 23 2 10 2 2 6" xfId="9781" xr:uid="{59C97EB0-CBCC-4B00-9D78-2ED0134804BA}"/>
    <cellStyle name="Normal 3 3 2 23 2 10 2 2 7" xfId="9782" xr:uid="{34280BC2-AE45-4989-946B-3591C152C2B1}"/>
    <cellStyle name="Normal 3 3 2 23 2 10 2 2 8" xfId="9783" xr:uid="{25B4D2E7-E78A-4E6E-8479-0C3D263DBD74}"/>
    <cellStyle name="Normal 3 3 2 23 2 10 2 3" xfId="9784" xr:uid="{27A73B59-7872-43D3-B351-31E01095B6BD}"/>
    <cellStyle name="Normal 3 3 2 23 2 10 2 4" xfId="9785" xr:uid="{826FDED8-005A-4979-A7C5-FBF6CEFF39D1}"/>
    <cellStyle name="Normal 3 3 2 23 2 10 2 5" xfId="9786" xr:uid="{2627BCFB-C28A-4547-92C5-E7478227FB9B}"/>
    <cellStyle name="Normal 3 3 2 23 2 10 2 6" xfId="9787" xr:uid="{9561862B-8F04-4CCC-B196-BA8D33895D62}"/>
    <cellStyle name="Normal 3 3 2 23 2 10 2 7" xfId="9788" xr:uid="{1CAB0AAC-D3E6-4864-AC51-006ED474D166}"/>
    <cellStyle name="Normal 3 3 2 23 2 10 2 8" xfId="9789" xr:uid="{026026F8-0DB6-4203-9FEF-15E99E17B98E}"/>
    <cellStyle name="Normal 3 3 2 23 2 10 3" xfId="9790" xr:uid="{A9D76BA0-FCF6-429F-A8DB-06B40ECC7239}"/>
    <cellStyle name="Normal 3 3 2 23 2 10 4" xfId="9791" xr:uid="{F7E67B93-A35B-4135-878A-3C2B66903D93}"/>
    <cellStyle name="Normal 3 3 2 23 2 10 5" xfId="9792" xr:uid="{172BA1A2-2F6E-48E0-A3C6-2C753B433DA5}"/>
    <cellStyle name="Normal 3 3 2 23 2 10 6" xfId="9793" xr:uid="{6FE054AA-9AA3-4B5B-B723-0E2A9925097F}"/>
    <cellStyle name="Normal 3 3 2 23 2 10 7" xfId="9794" xr:uid="{9120A29B-53BA-425A-8F6E-DE45F6D283CB}"/>
    <cellStyle name="Normal 3 3 2 23 2 10 8" xfId="9795" xr:uid="{A5DAAE68-107B-49E9-A32E-CF77D0236790}"/>
    <cellStyle name="Normal 3 3 2 23 2 10 9" xfId="9796" xr:uid="{19264A36-7D7E-4DC3-A5C2-A57ED646C5BA}"/>
    <cellStyle name="Normal 3 3 2 23 2 11" xfId="9797" xr:uid="{B17FEEA5-0A93-404E-9EAE-A6169D9F1B45}"/>
    <cellStyle name="Normal 3 3 2 23 2 11 2" xfId="9798" xr:uid="{40CB763A-5351-4CB8-BB63-C5C95D218D37}"/>
    <cellStyle name="Normal 3 3 2 23 2 11 3" xfId="9799" xr:uid="{F1F47E81-C3BB-4A99-85BA-FD3FA9B1D058}"/>
    <cellStyle name="Normal 3 3 2 23 2 11 4" xfId="9800" xr:uid="{D89AD656-BC83-4F5D-B9D9-CEB6BA76E698}"/>
    <cellStyle name="Normal 3 3 2 23 2 11 5" xfId="9801" xr:uid="{ABCCE8B8-2E0A-4A21-B334-BD600CAADBF2}"/>
    <cellStyle name="Normal 3 3 2 23 2 11 6" xfId="9802" xr:uid="{59060238-3987-48A6-AB93-D2C180C3AD3A}"/>
    <cellStyle name="Normal 3 3 2 23 2 11 7" xfId="9803" xr:uid="{4A8C13B3-CAD4-47D3-9895-FDDA85C677BC}"/>
    <cellStyle name="Normal 3 3 2 23 2 11 8" xfId="9804" xr:uid="{1997E9A3-D1D8-4FBD-92FF-556EDF4D1ED0}"/>
    <cellStyle name="Normal 3 3 2 23 2 12" xfId="9805" xr:uid="{6A618F25-C89F-4049-A0E7-864478B70457}"/>
    <cellStyle name="Normal 3 3 2 23 2 13" xfId="9806" xr:uid="{B15BBEDD-02C0-4687-8994-3B98E5FD9B00}"/>
    <cellStyle name="Normal 3 3 2 23 2 14" xfId="9807" xr:uid="{57B18077-6181-4B24-8272-29A9CC80EDF7}"/>
    <cellStyle name="Normal 3 3 2 23 2 15" xfId="9808" xr:uid="{DFA7109B-02BC-46D4-A8EC-3CF365227031}"/>
    <cellStyle name="Normal 3 3 2 23 2 16" xfId="9809" xr:uid="{F7951A41-D61F-4A6D-9877-0AB35D50F1B6}"/>
    <cellStyle name="Normal 3 3 2 23 2 17" xfId="9810" xr:uid="{03C4636B-E292-483C-A393-D5FDF3F4D814}"/>
    <cellStyle name="Normal 3 3 2 23 2 2" xfId="9811" xr:uid="{583F0CBB-2101-438E-99F1-1DACF0A2C168}"/>
    <cellStyle name="Normal 3 3 2 23 2 2 10" xfId="9812" xr:uid="{046BCA03-CE13-49BF-8CAA-E9786F098CD9}"/>
    <cellStyle name="Normal 3 3 2 23 2 2 2" xfId="9813" xr:uid="{85BD5998-7BD1-48E1-B4BD-C4909F65559A}"/>
    <cellStyle name="Normal 3 3 2 23 2 2 2 2" xfId="9814" xr:uid="{CC392C7C-2BA4-4A65-A4A8-4AF7C502CDFA}"/>
    <cellStyle name="Normal 3 3 2 23 2 2 2 2 2" xfId="9815" xr:uid="{ECD1207D-199F-4E87-B7CF-22BF1E00CA4E}"/>
    <cellStyle name="Normal 3 3 2 23 2 2 2 2 2 2" xfId="9816" xr:uid="{4EBB4CB6-313B-4B82-8743-2CAEE0156896}"/>
    <cellStyle name="Normal 3 3 2 23 2 2 2 2 2 3" xfId="9817" xr:uid="{CE224995-7391-4850-81C7-3C162019D904}"/>
    <cellStyle name="Normal 3 3 2 23 2 2 2 2 2 4" xfId="9818" xr:uid="{40046D5D-62E7-4BBE-8726-6B4A42F24DD8}"/>
    <cellStyle name="Normal 3 3 2 23 2 2 2 2 2 5" xfId="9819" xr:uid="{9760EA0B-65C2-4E46-8119-7E05E7F1995B}"/>
    <cellStyle name="Normal 3 3 2 23 2 2 2 2 2 6" xfId="9820" xr:uid="{9C016610-2533-41A8-8DD2-BD2465578D6E}"/>
    <cellStyle name="Normal 3 3 2 23 2 2 2 2 2 7" xfId="9821" xr:uid="{436DE52E-5B1F-46A5-B70B-DCFF008B579A}"/>
    <cellStyle name="Normal 3 3 2 23 2 2 2 2 2 8" xfId="9822" xr:uid="{37C8A363-E8FF-418B-A2E3-E58C93A1CB4E}"/>
    <cellStyle name="Normal 3 3 2 23 2 2 2 2 3" xfId="9823" xr:uid="{3BDBF659-8F86-48F6-A043-B4C3F79B8FD4}"/>
    <cellStyle name="Normal 3 3 2 23 2 2 2 2 4" xfId="9824" xr:uid="{323D5B5F-D161-4842-BE26-BD67DE69C1F9}"/>
    <cellStyle name="Normal 3 3 2 23 2 2 2 2 5" xfId="9825" xr:uid="{E47FE2B2-8BE5-44AA-B8CA-97389F0BDB8C}"/>
    <cellStyle name="Normal 3 3 2 23 2 2 2 2 6" xfId="9826" xr:uid="{71690784-7BB1-4194-AF65-320F173B5C09}"/>
    <cellStyle name="Normal 3 3 2 23 2 2 2 2 7" xfId="9827" xr:uid="{37AE1AFF-26E7-4D4F-BBF1-71A8ACE66739}"/>
    <cellStyle name="Normal 3 3 2 23 2 2 2 2 8" xfId="9828" xr:uid="{EE08E67A-2830-4B97-9CFB-4DD8A08BA59E}"/>
    <cellStyle name="Normal 3 3 2 23 2 2 2 3" xfId="9829" xr:uid="{564B6C05-1502-45B6-B931-22CC2C003ED1}"/>
    <cellStyle name="Normal 3 3 2 23 2 2 2 4" xfId="9830" xr:uid="{1BC5F9A1-3951-4CA6-9AEB-9547010B56AD}"/>
    <cellStyle name="Normal 3 3 2 23 2 2 2 5" xfId="9831" xr:uid="{0B2CD4C6-AE2A-41B7-A2E2-83D69612AD44}"/>
    <cellStyle name="Normal 3 3 2 23 2 2 2 6" xfId="9832" xr:uid="{DF7737E8-68B4-4EAF-AF8B-716DB9188CAF}"/>
    <cellStyle name="Normal 3 3 2 23 2 2 2 7" xfId="9833" xr:uid="{48D6A8CA-39F1-49F6-8EE2-1C103E6F80F3}"/>
    <cellStyle name="Normal 3 3 2 23 2 2 2 8" xfId="9834" xr:uid="{924634E9-84E3-4459-90D5-0B1F06BC296D}"/>
    <cellStyle name="Normal 3 3 2 23 2 2 2 9" xfId="9835" xr:uid="{28F7FAED-3D24-4FF6-8DCB-0F5B61B58618}"/>
    <cellStyle name="Normal 3 3 2 23 2 2 3" xfId="9836" xr:uid="{C67C7B20-C5E2-47AC-9BC1-39DB08DCCB5B}"/>
    <cellStyle name="Normal 3 3 2 23 2 2 4" xfId="9837" xr:uid="{6C5493B1-8F1A-43C1-9600-5321BD15285D}"/>
    <cellStyle name="Normal 3 3 2 23 2 2 4 2" xfId="9838" xr:uid="{DE36593B-EE16-4B4C-B72B-2A9AF3FCC452}"/>
    <cellStyle name="Normal 3 3 2 23 2 2 4 3" xfId="9839" xr:uid="{AB75EB95-F98A-4C77-9A7D-D41277C0076A}"/>
    <cellStyle name="Normal 3 3 2 23 2 2 4 4" xfId="9840" xr:uid="{D374570B-1886-40E1-8BD4-623C1F5D9B13}"/>
    <cellStyle name="Normal 3 3 2 23 2 2 4 5" xfId="9841" xr:uid="{99F2FF97-6904-478E-B75C-E7E2EE053524}"/>
    <cellStyle name="Normal 3 3 2 23 2 2 4 6" xfId="9842" xr:uid="{C3AA448C-1A10-4E7D-ABD8-762F6077E4AB}"/>
    <cellStyle name="Normal 3 3 2 23 2 2 4 7" xfId="9843" xr:uid="{9827D2D8-058D-4392-B6CB-79B2A910315F}"/>
    <cellStyle name="Normal 3 3 2 23 2 2 4 8" xfId="9844" xr:uid="{55308741-76ED-4413-B33C-6EFBA4B3AAA4}"/>
    <cellStyle name="Normal 3 3 2 23 2 2 5" xfId="9845" xr:uid="{88625C4D-796F-4497-A4E0-37ABD0DBC48F}"/>
    <cellStyle name="Normal 3 3 2 23 2 2 6" xfId="9846" xr:uid="{A2854327-7C1E-4041-81C8-E41ABDBA4628}"/>
    <cellStyle name="Normal 3 3 2 23 2 2 7" xfId="9847" xr:uid="{851F9C47-BFF2-4485-AA3A-2C930AD56601}"/>
    <cellStyle name="Normal 3 3 2 23 2 2 8" xfId="9848" xr:uid="{6535DCFC-4DB5-4B3A-9EEB-488885B2CC95}"/>
    <cellStyle name="Normal 3 3 2 23 2 2 9" xfId="9849" xr:uid="{458B8E9B-140A-4229-A192-9C7F6284766A}"/>
    <cellStyle name="Normal 3 3 2 23 2 3" xfId="9850" xr:uid="{25EF17B7-9E5D-4015-8B37-E20228498B8E}"/>
    <cellStyle name="Normal 3 3 2 23 2 4" xfId="9851" xr:uid="{75EA910A-75B3-4756-A44B-4B91D030461F}"/>
    <cellStyle name="Normal 3 3 2 23 2 5" xfId="9852" xr:uid="{EE3C5121-3614-4263-8F7C-095F1B45BAF7}"/>
    <cellStyle name="Normal 3 3 2 23 2 6" xfId="9853" xr:uid="{BBE8C60D-F15C-4A1C-93A5-339EA8EA4ACD}"/>
    <cellStyle name="Normal 3 3 2 23 2 7" xfId="9854" xr:uid="{5F483284-434B-47AA-B227-1BDAB41CC50A}"/>
    <cellStyle name="Normal 3 3 2 23 2 8" xfId="9855" xr:uid="{5DEBE4E1-A2A5-4E28-B916-810902E10743}"/>
    <cellStyle name="Normal 3 3 2 23 2 9" xfId="9856" xr:uid="{141AE9BC-CA4F-4DAD-831F-12E66C99622C}"/>
    <cellStyle name="Normal 3 3 2 23 3" xfId="9857" xr:uid="{5F8D8396-91EF-4029-8FEF-C0286A848AF3}"/>
    <cellStyle name="Normal 3 3 2 23 3 10" xfId="9858" xr:uid="{3DB6D4AD-D174-45CF-A278-018D88883AA4}"/>
    <cellStyle name="Normal 3 3 2 23 3 2" xfId="9859" xr:uid="{4B3E9C98-23A5-42A2-92CB-484E56D12ADE}"/>
    <cellStyle name="Normal 3 3 2 23 3 2 2" xfId="9860" xr:uid="{9CA01D37-19FE-42E6-B85D-E0EA1E2E1956}"/>
    <cellStyle name="Normal 3 3 2 23 3 2 2 2" xfId="9861" xr:uid="{EAEC3656-9E6A-41B4-9E35-60AE8AF92E5B}"/>
    <cellStyle name="Normal 3 3 2 23 3 2 2 2 2" xfId="9862" xr:uid="{A4B24D1A-61D5-42E3-AD9B-02A2CBEFB866}"/>
    <cellStyle name="Normal 3 3 2 23 3 2 2 2 3" xfId="9863" xr:uid="{31F045B0-5789-4694-A52C-AB8527A901FE}"/>
    <cellStyle name="Normal 3 3 2 23 3 2 2 2 4" xfId="9864" xr:uid="{A4D64C81-09A1-4A0B-9120-B6B9525FC162}"/>
    <cellStyle name="Normal 3 3 2 23 3 2 2 2 5" xfId="9865" xr:uid="{000D10DA-EAF3-42AA-A364-9BA1DABF2A16}"/>
    <cellStyle name="Normal 3 3 2 23 3 2 2 2 6" xfId="9866" xr:uid="{9E0822A0-3555-4103-8582-1138A73E5660}"/>
    <cellStyle name="Normal 3 3 2 23 3 2 2 2 7" xfId="9867" xr:uid="{567FBF97-4394-4F43-9A0A-1FB5B3D429EC}"/>
    <cellStyle name="Normal 3 3 2 23 3 2 2 2 8" xfId="9868" xr:uid="{187FEB86-2095-43EC-920C-BDD52A0E5408}"/>
    <cellStyle name="Normal 3 3 2 23 3 2 2 3" xfId="9869" xr:uid="{480668A0-E8B3-4FBD-8443-774C25D77C27}"/>
    <cellStyle name="Normal 3 3 2 23 3 2 2 4" xfId="9870" xr:uid="{BE6286A7-139B-4F09-A501-3973B7F2BDF7}"/>
    <cellStyle name="Normal 3 3 2 23 3 2 2 5" xfId="9871" xr:uid="{A809E543-7EFE-4FE0-9E12-911D12442937}"/>
    <cellStyle name="Normal 3 3 2 23 3 2 2 6" xfId="9872" xr:uid="{C3D00F15-16AA-48F1-8CC3-9D289BD2458F}"/>
    <cellStyle name="Normal 3 3 2 23 3 2 2 7" xfId="9873" xr:uid="{06A7476E-17FE-4FB0-A802-7ACFA57571B6}"/>
    <cellStyle name="Normal 3 3 2 23 3 2 2 8" xfId="9874" xr:uid="{8A30A19F-2189-4A41-9D9A-A8487EB4A5DD}"/>
    <cellStyle name="Normal 3 3 2 23 3 2 3" xfId="9875" xr:uid="{47D72C73-88A6-4B00-92A5-EC4EE5B02F46}"/>
    <cellStyle name="Normal 3 3 2 23 3 2 4" xfId="9876" xr:uid="{EB034503-EF98-468E-8E38-BA003AA2D598}"/>
    <cellStyle name="Normal 3 3 2 23 3 2 5" xfId="9877" xr:uid="{DFC1E50D-9CE5-4AA0-9848-2D7D52563DC0}"/>
    <cellStyle name="Normal 3 3 2 23 3 2 6" xfId="9878" xr:uid="{A8E7F3EC-4059-4173-B9C7-842EB39C33E7}"/>
    <cellStyle name="Normal 3 3 2 23 3 2 7" xfId="9879" xr:uid="{BA7E1711-9950-4FC0-B4C3-94F9584E4019}"/>
    <cellStyle name="Normal 3 3 2 23 3 2 8" xfId="9880" xr:uid="{13C4D082-1E22-4FD3-8A21-1632FFE59F27}"/>
    <cellStyle name="Normal 3 3 2 23 3 2 9" xfId="9881" xr:uid="{9244908C-1C23-4351-9A88-3AC59F99E1A8}"/>
    <cellStyle name="Normal 3 3 2 23 3 3" xfId="9882" xr:uid="{C388D392-A052-4953-AF31-F1487E7FFF5B}"/>
    <cellStyle name="Normal 3 3 2 23 3 4" xfId="9883" xr:uid="{233A36BF-609B-4D51-BBEE-0B6B3A2073E0}"/>
    <cellStyle name="Normal 3 3 2 23 3 4 2" xfId="9884" xr:uid="{78F4A1C6-9AF7-4FE5-B668-EEA3BFDD255A}"/>
    <cellStyle name="Normal 3 3 2 23 3 4 3" xfId="9885" xr:uid="{8E28F30D-8A76-4490-9FBE-4B8E7BACD80C}"/>
    <cellStyle name="Normal 3 3 2 23 3 4 4" xfId="9886" xr:uid="{22F8D88D-3B0C-4540-870C-AF047C0A8E70}"/>
    <cellStyle name="Normal 3 3 2 23 3 4 5" xfId="9887" xr:uid="{62A81DE4-9441-42ED-8DF3-B133FD2ABE12}"/>
    <cellStyle name="Normal 3 3 2 23 3 4 6" xfId="9888" xr:uid="{016918E7-5AA8-4D7F-8698-F4E55C49FA03}"/>
    <cellStyle name="Normal 3 3 2 23 3 4 7" xfId="9889" xr:uid="{830F737E-BA5C-499D-8123-30B288D08562}"/>
    <cellStyle name="Normal 3 3 2 23 3 4 8" xfId="9890" xr:uid="{66F4061E-BE7B-4469-8FAB-A3AC491D4A1F}"/>
    <cellStyle name="Normal 3 3 2 23 3 5" xfId="9891" xr:uid="{011DDD5E-4D6C-4BAE-BA3D-658584E47543}"/>
    <cellStyle name="Normal 3 3 2 23 3 6" xfId="9892" xr:uid="{11482F0A-649E-4BC5-BF10-B5AD8D0DC83C}"/>
    <cellStyle name="Normal 3 3 2 23 3 7" xfId="9893" xr:uid="{95B055FC-5ABC-4CD2-915E-A6B916EE4706}"/>
    <cellStyle name="Normal 3 3 2 23 3 8" xfId="9894" xr:uid="{59604E28-3F0A-4C06-BA25-992A79F7C664}"/>
    <cellStyle name="Normal 3 3 2 23 3 9" xfId="9895" xr:uid="{178DCC88-F780-45BC-96F4-4C8A99D4AE20}"/>
    <cellStyle name="Normal 3 3 2 23 4" xfId="9896" xr:uid="{6617BA20-58DF-46F0-A2EA-606423A85FDD}"/>
    <cellStyle name="Normal 3 3 2 23 5" xfId="9897" xr:uid="{4BBE53F8-B352-484B-BE99-4811A6AB6F66}"/>
    <cellStyle name="Normal 3 3 2 23 6" xfId="9898" xr:uid="{E83FA043-5482-4B17-9255-DF009A6113B6}"/>
    <cellStyle name="Normal 3 3 2 23 7" xfId="9899" xr:uid="{EA18156B-091E-4724-B309-1FFBDB14E627}"/>
    <cellStyle name="Normal 3 3 2 23 8" xfId="9900" xr:uid="{275F58BA-2B0F-4248-AAC5-0BD8C5EB138C}"/>
    <cellStyle name="Normal 3 3 2 23 9" xfId="9901" xr:uid="{87F98317-B24A-4467-A694-75FC8123FEF2}"/>
    <cellStyle name="Normal 3 3 2 24" xfId="9902" xr:uid="{6EE1EA54-A65A-487F-A1F1-0721CF558637}"/>
    <cellStyle name="Normal 3 3 2 25" xfId="9903" xr:uid="{A5BB818E-04FC-4E20-8DB3-90390036675C}"/>
    <cellStyle name="Normal 3 3 2 26" xfId="9904" xr:uid="{35EF12DB-3370-4BE2-ACEE-06F490FA697F}"/>
    <cellStyle name="Normal 3 3 2 27" xfId="9905" xr:uid="{3D530288-640A-4C46-A6A1-8E551776A0DA}"/>
    <cellStyle name="Normal 3 3 2 28" xfId="9906" xr:uid="{9549943A-7101-43B0-A5E2-544E83B5DE27}"/>
    <cellStyle name="Normal 3 3 2 28 10" xfId="9907" xr:uid="{D2DB09A8-DBDF-4B44-AC2C-71A0F4995998}"/>
    <cellStyle name="Normal 3 3 2 28 2" xfId="9908" xr:uid="{75E20864-8987-4730-8016-2C9FFBF8E32E}"/>
    <cellStyle name="Normal 3 3 2 28 2 2" xfId="9909" xr:uid="{47336C40-AC92-4285-A2CA-A5CB30BF2F69}"/>
    <cellStyle name="Normal 3 3 2 28 2 2 2" xfId="9910" xr:uid="{CB03BE1F-579A-41C2-B66C-A71587B9B9CF}"/>
    <cellStyle name="Normal 3 3 2 28 2 2 2 2" xfId="9911" xr:uid="{7D5220C7-02E7-45F0-BAB3-2489A9D1F603}"/>
    <cellStyle name="Normal 3 3 2 28 2 2 2 3" xfId="9912" xr:uid="{2F0D8B06-F8DA-44E3-A3AB-F708273593C3}"/>
    <cellStyle name="Normal 3 3 2 28 2 2 2 4" xfId="9913" xr:uid="{B6293F23-37B0-42ED-81AE-09B698042237}"/>
    <cellStyle name="Normal 3 3 2 28 2 2 2 5" xfId="9914" xr:uid="{CAAA28D4-8F8F-4360-8E4F-787308F9CD0E}"/>
    <cellStyle name="Normal 3 3 2 28 2 2 2 6" xfId="9915" xr:uid="{A5EA7FBE-D6CC-4A3E-B358-A3FE211A7F79}"/>
    <cellStyle name="Normal 3 3 2 28 2 2 2 7" xfId="9916" xr:uid="{4AAB0884-0279-4E55-8E60-E05CC6D9154E}"/>
    <cellStyle name="Normal 3 3 2 28 2 2 2 8" xfId="9917" xr:uid="{7FE3C4B6-889D-4DA5-B8CB-746CA915EAC8}"/>
    <cellStyle name="Normal 3 3 2 28 2 2 3" xfId="9918" xr:uid="{E7DA994E-075B-407A-9BDA-92D47223E5DD}"/>
    <cellStyle name="Normal 3 3 2 28 2 2 4" xfId="9919" xr:uid="{D039D495-BFF1-43FF-8519-4A2DBD79FF8B}"/>
    <cellStyle name="Normal 3 3 2 28 2 2 5" xfId="9920" xr:uid="{2E12DC8E-063C-40DB-BAD5-3D5882B4A36D}"/>
    <cellStyle name="Normal 3 3 2 28 2 2 6" xfId="9921" xr:uid="{808A3B9A-1693-4F50-B57D-39F5E53CFEB1}"/>
    <cellStyle name="Normal 3 3 2 28 2 2 7" xfId="9922" xr:uid="{71A355D9-92DA-4410-AD00-DD2B6C885E83}"/>
    <cellStyle name="Normal 3 3 2 28 2 2 8" xfId="9923" xr:uid="{4B2ACB21-375F-4263-9625-86826AB4D34D}"/>
    <cellStyle name="Normal 3 3 2 28 2 3" xfId="9924" xr:uid="{771E4AD4-7460-4A89-8C96-9D32E41E513A}"/>
    <cellStyle name="Normal 3 3 2 28 2 4" xfId="9925" xr:uid="{3C03CFC2-8819-442E-BBAA-DA69756B6041}"/>
    <cellStyle name="Normal 3 3 2 28 2 5" xfId="9926" xr:uid="{7D766554-4E7A-4461-97A0-D69DE0F2C90E}"/>
    <cellStyle name="Normal 3 3 2 28 2 6" xfId="9927" xr:uid="{5C6BE598-0B43-4332-8B46-75EE409E4241}"/>
    <cellStyle name="Normal 3 3 2 28 2 7" xfId="9928" xr:uid="{C41EF2AC-E855-489B-AD22-D23E0AA762E5}"/>
    <cellStyle name="Normal 3 3 2 28 2 8" xfId="9929" xr:uid="{F6E4617F-1FE8-4B87-BE1B-1C345B103B37}"/>
    <cellStyle name="Normal 3 3 2 28 2 9" xfId="9930" xr:uid="{1CB1B33E-6166-489E-AE02-516860EDCE41}"/>
    <cellStyle name="Normal 3 3 2 28 3" xfId="9931" xr:uid="{E3E44DD9-AB22-4F71-BFAD-3C9421CFBE75}"/>
    <cellStyle name="Normal 3 3 2 28 4" xfId="9932" xr:uid="{E6B7E98A-D58F-4424-8693-50F674F1A4ED}"/>
    <cellStyle name="Normal 3 3 2 28 4 2" xfId="9933" xr:uid="{48E77CE3-37C0-42DF-A9D4-52051A29D507}"/>
    <cellStyle name="Normal 3 3 2 28 4 3" xfId="9934" xr:uid="{DD55D87E-5B4B-4834-91A3-424A7DD9E18B}"/>
    <cellStyle name="Normal 3 3 2 28 4 4" xfId="9935" xr:uid="{BB336DDE-6ED0-4D4C-BB3A-F8F93E7B4C84}"/>
    <cellStyle name="Normal 3 3 2 28 4 5" xfId="9936" xr:uid="{29269984-CB46-455E-BB4B-23B3FA02DFC1}"/>
    <cellStyle name="Normal 3 3 2 28 4 6" xfId="9937" xr:uid="{B686E772-DAAF-4315-90ED-30F325F0AC5C}"/>
    <cellStyle name="Normal 3 3 2 28 4 7" xfId="9938" xr:uid="{A785EA6A-3511-4EE5-ABAA-87B20333A7A6}"/>
    <cellStyle name="Normal 3 3 2 28 4 8" xfId="9939" xr:uid="{C55091D2-5CC4-4C29-8C60-46213CC9757B}"/>
    <cellStyle name="Normal 3 3 2 28 5" xfId="9940" xr:uid="{9D02CE56-ED9D-4B06-9DEE-684A6289A2FB}"/>
    <cellStyle name="Normal 3 3 2 28 6" xfId="9941" xr:uid="{6BC0DA2B-3440-4DE5-8227-BA18182C534C}"/>
    <cellStyle name="Normal 3 3 2 28 7" xfId="9942" xr:uid="{4A48A243-4350-4A6F-9FCB-33E0C7EF1CE3}"/>
    <cellStyle name="Normal 3 3 2 28 8" xfId="9943" xr:uid="{8B1EE6D9-2E30-40C9-8C2C-486A0E86D031}"/>
    <cellStyle name="Normal 3 3 2 28 9" xfId="9944" xr:uid="{5DBEEED5-FA7B-41A0-AAB3-E333A6C17671}"/>
    <cellStyle name="Normal 3 3 2 29" xfId="9945" xr:uid="{BAE6F61F-008E-4CEA-B223-A099CC62A809}"/>
    <cellStyle name="Normal 3 3 2 3" xfId="9946" xr:uid="{931D63CD-9652-4FE8-8C49-AD9835ECD254}"/>
    <cellStyle name="Normal 3 3 2 30" xfId="9947" xr:uid="{D073E19B-1314-4CBB-AE40-4B0E79F313BF}"/>
    <cellStyle name="Normal 3 3 2 31" xfId="9948" xr:uid="{51BFB48E-18EF-4918-A834-3B9FB5FEE92F}"/>
    <cellStyle name="Normal 3 3 2 32" xfId="9949" xr:uid="{E54A3373-75BF-4DFF-94C9-A4B758CA90EC}"/>
    <cellStyle name="Normal 3 3 2 33" xfId="9950" xr:uid="{565164C9-AA3A-4B23-AEDB-553F13E655CB}"/>
    <cellStyle name="Normal 3 3 2 34" xfId="9951" xr:uid="{BD41714F-9B1F-4BFB-9AB3-841A8380F53C}"/>
    <cellStyle name="Normal 3 3 2 35" xfId="9952" xr:uid="{C132F65B-FDFE-432D-8F18-BCE003B2FA46}"/>
    <cellStyle name="Normal 3 3 2 36" xfId="9953" xr:uid="{3F8429A2-0FF3-4A86-A78F-40BA6044215D}"/>
    <cellStyle name="Normal 3 3 2 36 2" xfId="9954" xr:uid="{82429BA1-19E7-4D51-9C76-A955FE3E642B}"/>
    <cellStyle name="Normal 3 3 2 36 2 2" xfId="9955" xr:uid="{F78F8850-3D15-4823-930F-8ED030C2F3EE}"/>
    <cellStyle name="Normal 3 3 2 36 2 2 2" xfId="9956" xr:uid="{E3BD4FED-B6D0-438B-8DAA-37E163BCAC47}"/>
    <cellStyle name="Normal 3 3 2 36 2 2 3" xfId="9957" xr:uid="{DAD80E32-DEA7-4E22-89D6-374E08A40A0E}"/>
    <cellStyle name="Normal 3 3 2 36 2 2 4" xfId="9958" xr:uid="{8FE631BE-77EA-4C4F-B612-95D9DCE78E9E}"/>
    <cellStyle name="Normal 3 3 2 36 2 2 5" xfId="9959" xr:uid="{7781E1BC-8669-4093-9F10-A857DA442E25}"/>
    <cellStyle name="Normal 3 3 2 36 2 2 6" xfId="9960" xr:uid="{E4215666-DB9A-405E-B357-546F1D339B7A}"/>
    <cellStyle name="Normal 3 3 2 36 2 2 7" xfId="9961" xr:uid="{0CBFB2FA-3177-4E50-8D08-91A4265A99AA}"/>
    <cellStyle name="Normal 3 3 2 36 2 2 8" xfId="9962" xr:uid="{DD649B01-4D5D-4F8D-9A6A-6206A9D57E1B}"/>
    <cellStyle name="Normal 3 3 2 36 2 3" xfId="9963" xr:uid="{A9FD8533-FFAF-44AC-8DB6-2B7DC07B7DB3}"/>
    <cellStyle name="Normal 3 3 2 36 2 4" xfId="9964" xr:uid="{50263D67-DE97-4167-9E2D-A7C2346B5BC7}"/>
    <cellStyle name="Normal 3 3 2 36 2 5" xfId="9965" xr:uid="{D084F4C1-72BD-4044-A2E9-1717CB1642C2}"/>
    <cellStyle name="Normal 3 3 2 36 2 6" xfId="9966" xr:uid="{DBF92A9C-E9F6-40AC-B6AB-567C9D44BD1D}"/>
    <cellStyle name="Normal 3 3 2 36 2 7" xfId="9967" xr:uid="{DC740223-EB49-4E4D-B5C0-166B50A3B299}"/>
    <cellStyle name="Normal 3 3 2 36 2 8" xfId="9968" xr:uid="{1368D0BA-3C69-48CD-89E8-3F2A74F02763}"/>
    <cellStyle name="Normal 3 3 2 36 3" xfId="9969" xr:uid="{0B5843E3-7206-442F-A43D-17CE3A3C0CD9}"/>
    <cellStyle name="Normal 3 3 2 36 4" xfId="9970" xr:uid="{00EE9EC0-5661-437D-835B-369868A9BA46}"/>
    <cellStyle name="Normal 3 3 2 36 5" xfId="9971" xr:uid="{2526C5E3-F7AE-4F5A-B4A4-239F904D6D21}"/>
    <cellStyle name="Normal 3 3 2 36 6" xfId="9972" xr:uid="{F69B741E-0F47-46CD-8FD6-9FB8C34E4DB7}"/>
    <cellStyle name="Normal 3 3 2 36 7" xfId="9973" xr:uid="{E763BDA1-283E-415B-BA4D-77852DAAC831}"/>
    <cellStyle name="Normal 3 3 2 36 8" xfId="9974" xr:uid="{8277986F-E7DE-4E08-8E8E-FE1397F7D93F}"/>
    <cellStyle name="Normal 3 3 2 36 9" xfId="9975" xr:uid="{74766179-B7DC-42B1-8EEC-AF907BE54D73}"/>
    <cellStyle name="Normal 3 3 2 37" xfId="9976" xr:uid="{B204A708-A014-4AE3-AE08-F7EE19F2C177}"/>
    <cellStyle name="Normal 3 3 2 37 2" xfId="9977" xr:uid="{9BB54BCE-E72B-400F-886C-2E0E82A80F56}"/>
    <cellStyle name="Normal 3 3 2 37 3" xfId="9978" xr:uid="{F69AB107-C23B-4D32-9200-6A7F44F3A2C4}"/>
    <cellStyle name="Normal 3 3 2 37 4" xfId="9979" xr:uid="{D3FB8C6F-290D-41A5-832E-49AE9821EAA7}"/>
    <cellStyle name="Normal 3 3 2 37 5" xfId="9980" xr:uid="{0C00F188-8289-4D76-8644-82987A89570C}"/>
    <cellStyle name="Normal 3 3 2 37 6" xfId="9981" xr:uid="{40D06076-BECA-40C2-82CC-82D5B39C111A}"/>
    <cellStyle name="Normal 3 3 2 37 7" xfId="9982" xr:uid="{F4BDF251-B853-4375-8232-C8649CDB73F2}"/>
    <cellStyle name="Normal 3 3 2 37 8" xfId="9983" xr:uid="{2CC14C81-B934-4FBE-90C7-6506ED815AD9}"/>
    <cellStyle name="Normal 3 3 2 38" xfId="9984" xr:uid="{33E14427-B952-439E-B449-704E15271754}"/>
    <cellStyle name="Normal 3 3 2 39" xfId="9985" xr:uid="{A70834F3-ACF7-4994-B268-E059EE4CF781}"/>
    <cellStyle name="Normal 3 3 2 4" xfId="9986" xr:uid="{EBB78977-54F0-4EF9-81E6-BF745FB2FB49}"/>
    <cellStyle name="Normal 3 3 2 40" xfId="9987" xr:uid="{A73AE5AF-F31B-4A11-AEE4-FD8FF9C7E736}"/>
    <cellStyle name="Normal 3 3 2 41" xfId="9988" xr:uid="{64DB62FC-58EC-495E-8B0C-186B5D4BFCD3}"/>
    <cellStyle name="Normal 3 3 2 42" xfId="9989" xr:uid="{99100F1D-4C85-4E44-A45D-D4AC9D5FE24B}"/>
    <cellStyle name="Normal 3 3 2 43" xfId="9990" xr:uid="{1AE04C86-01B0-4444-B93C-A7EA44781644}"/>
    <cellStyle name="Normal 3 3 2 5" xfId="9991" xr:uid="{D0F51E73-5B86-4B60-92B8-7FFAFDBA48FE}"/>
    <cellStyle name="Normal 3 3 2 6" xfId="9992" xr:uid="{C3194BEE-28D6-481D-9EAD-9E31508FA80E}"/>
    <cellStyle name="Normal 3 3 2 7" xfId="9993" xr:uid="{5E5CC923-F8E6-4757-92D1-74025B8B5507}"/>
    <cellStyle name="Normal 3 3 2 8" xfId="9994" xr:uid="{CEDEC0C1-C646-4057-B16F-4B399DDD1519}"/>
    <cellStyle name="Normal 3 3 2 9" xfId="9995" xr:uid="{71BC1E34-8F28-4BAA-B378-5261981FCE7D}"/>
    <cellStyle name="Normal 3 3 20" xfId="9996" xr:uid="{2D8A9256-15A7-4941-8F2D-AAA412D19693}"/>
    <cellStyle name="Normal 3 3 21" xfId="9997" xr:uid="{BD07077F-B845-4472-BE7F-9C1A04F2329D}"/>
    <cellStyle name="Normal 3 3 22" xfId="9998" xr:uid="{FC0980A2-6189-48E1-AFDB-403AC39F5D1D}"/>
    <cellStyle name="Normal 3 3 23" xfId="9999" xr:uid="{71B6C9B1-CA8F-4E44-9E5F-DABB9E79E1DD}"/>
    <cellStyle name="Normal 3 3 23 10" xfId="10000" xr:uid="{2F00EED2-4FC9-4A50-A9BE-547D96365F71}"/>
    <cellStyle name="Normal 3 3 23 10 2" xfId="10001" xr:uid="{3A965623-03D7-49D5-8737-9F7F079B5F14}"/>
    <cellStyle name="Normal 3 3 23 10 2 2" xfId="10002" xr:uid="{BD60E260-13F7-4C75-AF73-65CF15C777AE}"/>
    <cellStyle name="Normal 3 3 23 10 2 2 2" xfId="10003" xr:uid="{B2CEB29A-AA7E-41F0-AD1D-63DFB157456B}"/>
    <cellStyle name="Normal 3 3 23 10 2 2 3" xfId="10004" xr:uid="{86998237-0318-47A0-A22D-A1517686AD05}"/>
    <cellStyle name="Normal 3 3 23 10 2 2 4" xfId="10005" xr:uid="{37BC70BC-DB5E-4466-A1BA-7479BB20BE1B}"/>
    <cellStyle name="Normal 3 3 23 10 2 2 5" xfId="10006" xr:uid="{6B1FAFBB-C4C7-4D05-8AB8-4F0F9C47B986}"/>
    <cellStyle name="Normal 3 3 23 10 2 2 6" xfId="10007" xr:uid="{55333FBD-10C4-49C4-BB45-72B557F49EBD}"/>
    <cellStyle name="Normal 3 3 23 10 2 2 7" xfId="10008" xr:uid="{27AF0405-796B-4D52-8C61-D6855D92BE3E}"/>
    <cellStyle name="Normal 3 3 23 10 2 2 8" xfId="10009" xr:uid="{DAF3CBCF-6670-450F-BEA4-ACBA837D772E}"/>
    <cellStyle name="Normal 3 3 23 10 2 3" xfId="10010" xr:uid="{CC759FA6-5C57-43BB-A6FD-49443074DA0E}"/>
    <cellStyle name="Normal 3 3 23 10 2 4" xfId="10011" xr:uid="{6A98FFA2-2F27-46B9-B273-9733B9C05016}"/>
    <cellStyle name="Normal 3 3 23 10 2 5" xfId="10012" xr:uid="{BD434A61-D6BA-40A2-B6E4-26921A5DB658}"/>
    <cellStyle name="Normal 3 3 23 10 2 6" xfId="10013" xr:uid="{7EF01844-87B0-4CD1-BD3C-16906BB597DD}"/>
    <cellStyle name="Normal 3 3 23 10 2 7" xfId="10014" xr:uid="{C3591344-0F07-46F2-90E8-A82E96C4A7FA}"/>
    <cellStyle name="Normal 3 3 23 10 2 8" xfId="10015" xr:uid="{F4F5414E-9404-463E-B846-BCB17143ED0E}"/>
    <cellStyle name="Normal 3 3 23 10 3" xfId="10016" xr:uid="{C0CE1453-D6A3-41FC-A539-6BCC7A392336}"/>
    <cellStyle name="Normal 3 3 23 10 4" xfId="10017" xr:uid="{619A914A-9045-41F2-912D-406CEACEE75F}"/>
    <cellStyle name="Normal 3 3 23 10 5" xfId="10018" xr:uid="{1172918C-E1C8-4426-A7C1-68E80B656E6E}"/>
    <cellStyle name="Normal 3 3 23 10 6" xfId="10019" xr:uid="{E43577B8-57EC-4C9B-958F-988011419941}"/>
    <cellStyle name="Normal 3 3 23 10 7" xfId="10020" xr:uid="{587D5904-AE66-4267-BA26-2B3673E9DAA4}"/>
    <cellStyle name="Normal 3 3 23 10 8" xfId="10021" xr:uid="{0BA8C4BB-5D3D-430E-8C42-AD0F2D001476}"/>
    <cellStyle name="Normal 3 3 23 10 9" xfId="10022" xr:uid="{A3BE9E35-0B6C-477D-A355-17E2F8585177}"/>
    <cellStyle name="Normal 3 3 23 11" xfId="10023" xr:uid="{9346EE40-B6FF-4048-AF65-632B1BA503DD}"/>
    <cellStyle name="Normal 3 3 23 11 2" xfId="10024" xr:uid="{95F597AB-FD76-497E-AA05-035F78EEBC3A}"/>
    <cellStyle name="Normal 3 3 23 11 3" xfId="10025" xr:uid="{946C55A7-5C52-418E-957C-05D4F8467A5B}"/>
    <cellStyle name="Normal 3 3 23 11 4" xfId="10026" xr:uid="{DE4D0AD1-F8AF-4891-B50E-E55870E74A3C}"/>
    <cellStyle name="Normal 3 3 23 11 5" xfId="10027" xr:uid="{1D3B7539-9F36-429D-970B-083BA9AE58BD}"/>
    <cellStyle name="Normal 3 3 23 11 6" xfId="10028" xr:uid="{14F9212D-CFA3-4372-BF02-603FDC42A890}"/>
    <cellStyle name="Normal 3 3 23 11 7" xfId="10029" xr:uid="{EFFA11D6-A922-4DAB-9B35-A763CA224B61}"/>
    <cellStyle name="Normal 3 3 23 11 8" xfId="10030" xr:uid="{B8D36224-B356-45AD-A32E-601D08E9131C}"/>
    <cellStyle name="Normal 3 3 23 12" xfId="10031" xr:uid="{CDC38B1A-AB52-4B5B-BC84-20D97FF23D93}"/>
    <cellStyle name="Normal 3 3 23 13" xfId="10032" xr:uid="{57AD1EB0-103D-4E32-BACD-E545CF1C4E20}"/>
    <cellStyle name="Normal 3 3 23 14" xfId="10033" xr:uid="{5DA19934-D7AB-4234-A8BE-96DA2AE93D39}"/>
    <cellStyle name="Normal 3 3 23 15" xfId="10034" xr:uid="{DFA58310-FCF3-4E50-82D8-2D24F6F79C16}"/>
    <cellStyle name="Normal 3 3 23 16" xfId="10035" xr:uid="{1AC3A513-BA2F-4540-86E1-CF7E577E68F7}"/>
    <cellStyle name="Normal 3 3 23 17" xfId="10036" xr:uid="{19362C63-7138-4E29-8ABE-AE1B0A1E2704}"/>
    <cellStyle name="Normal 3 3 23 2" xfId="10037" xr:uid="{6822D36E-3CBF-4BDB-8D03-D60557F70D5C}"/>
    <cellStyle name="Normal 3 3 23 2 10" xfId="10038" xr:uid="{AD12CF17-9A9C-4966-AFA7-CEA4E0517FFF}"/>
    <cellStyle name="Normal 3 3 23 2 10 2" xfId="10039" xr:uid="{CC25CD35-C336-4D0F-93D4-B0ADD38CF8B7}"/>
    <cellStyle name="Normal 3 3 23 2 10 2 2" xfId="10040" xr:uid="{91F48AD9-1DB7-4237-B701-40C155D051A7}"/>
    <cellStyle name="Normal 3 3 23 2 10 2 2 2" xfId="10041" xr:uid="{F442CFBE-782F-4790-BDE1-00D9709A5E39}"/>
    <cellStyle name="Normal 3 3 23 2 10 2 2 3" xfId="10042" xr:uid="{91EB8D36-82FD-4091-8FA1-160135A96375}"/>
    <cellStyle name="Normal 3 3 23 2 10 2 2 4" xfId="10043" xr:uid="{CD2926C6-DAED-4D1A-9DF7-6BB1C2C80837}"/>
    <cellStyle name="Normal 3 3 23 2 10 2 2 5" xfId="10044" xr:uid="{5E51A06C-03B6-44AC-ACF0-7B743737376D}"/>
    <cellStyle name="Normal 3 3 23 2 10 2 2 6" xfId="10045" xr:uid="{40AD1880-2E5E-46B2-9EA5-0A8D239378EA}"/>
    <cellStyle name="Normal 3 3 23 2 10 2 2 7" xfId="10046" xr:uid="{35F79A84-7556-48DD-A743-87F45CC48B60}"/>
    <cellStyle name="Normal 3 3 23 2 10 2 2 8" xfId="10047" xr:uid="{E19D2066-59F2-4D28-96D9-E5833D46DC16}"/>
    <cellStyle name="Normal 3 3 23 2 10 2 3" xfId="10048" xr:uid="{E37987E0-665B-4EDC-80FF-58834ADD8219}"/>
    <cellStyle name="Normal 3 3 23 2 10 2 4" xfId="10049" xr:uid="{8FE994CD-1C5A-44E7-9597-C940A3BFE78F}"/>
    <cellStyle name="Normal 3 3 23 2 10 2 5" xfId="10050" xr:uid="{2AB9648A-6268-4EDD-8B67-F332D7B0135A}"/>
    <cellStyle name="Normal 3 3 23 2 10 2 6" xfId="10051" xr:uid="{39843804-2865-40B7-9119-E4FC0B6B86F8}"/>
    <cellStyle name="Normal 3 3 23 2 10 2 7" xfId="10052" xr:uid="{EF5F0BD4-A582-4F4A-9CB5-B205AA731ABB}"/>
    <cellStyle name="Normal 3 3 23 2 10 2 8" xfId="10053" xr:uid="{9C519347-DFD8-427C-AF6A-12FE89D3B316}"/>
    <cellStyle name="Normal 3 3 23 2 10 3" xfId="10054" xr:uid="{4B2DF4E3-E40C-4F99-8B14-043ACC215FD5}"/>
    <cellStyle name="Normal 3 3 23 2 10 4" xfId="10055" xr:uid="{8DC11AC2-97F2-4E6C-B556-EF670BACE4C2}"/>
    <cellStyle name="Normal 3 3 23 2 10 5" xfId="10056" xr:uid="{9C69EEA4-E40D-4D0E-814A-BF9F3DF96DB2}"/>
    <cellStyle name="Normal 3 3 23 2 10 6" xfId="10057" xr:uid="{93638B36-EBF9-40BF-AD6B-C1270BDC766D}"/>
    <cellStyle name="Normal 3 3 23 2 10 7" xfId="10058" xr:uid="{888E66A6-D6AC-42F5-8F04-3D778BC54DF3}"/>
    <cellStyle name="Normal 3 3 23 2 10 8" xfId="10059" xr:uid="{29A68CD0-DC78-4A2C-9FC0-0D1C2AB3B3DE}"/>
    <cellStyle name="Normal 3 3 23 2 10 9" xfId="10060" xr:uid="{0BF17110-9786-4605-8F4B-D549334219D3}"/>
    <cellStyle name="Normal 3 3 23 2 11" xfId="10061" xr:uid="{78D9C123-6EFB-4EE5-B7E7-316947604E64}"/>
    <cellStyle name="Normal 3 3 23 2 11 2" xfId="10062" xr:uid="{00B2BFB2-92B2-404A-A5FF-6516FFA46104}"/>
    <cellStyle name="Normal 3 3 23 2 11 3" xfId="10063" xr:uid="{3527AFF9-95B9-4053-90D2-F275A9DA34C0}"/>
    <cellStyle name="Normal 3 3 23 2 11 4" xfId="10064" xr:uid="{CE7D6A7F-CDA8-465A-98CD-52088EB175E7}"/>
    <cellStyle name="Normal 3 3 23 2 11 5" xfId="10065" xr:uid="{19058337-252F-41D3-B3CD-B30887A6C6E7}"/>
    <cellStyle name="Normal 3 3 23 2 11 6" xfId="10066" xr:uid="{6FFADC7E-AF46-4BA2-BFA0-4CE4632EC04C}"/>
    <cellStyle name="Normal 3 3 23 2 11 7" xfId="10067" xr:uid="{85211312-C6DD-483E-921C-71E45F79FF24}"/>
    <cellStyle name="Normal 3 3 23 2 11 8" xfId="10068" xr:uid="{DA5CE629-61B2-43A4-BA53-8CF4F9F6C754}"/>
    <cellStyle name="Normal 3 3 23 2 12" xfId="10069" xr:uid="{84A43183-17BC-44DA-99C8-4EC7CA3B8954}"/>
    <cellStyle name="Normal 3 3 23 2 13" xfId="10070" xr:uid="{1DDC17B1-364A-4C88-A53B-8B359C81B326}"/>
    <cellStyle name="Normal 3 3 23 2 14" xfId="10071" xr:uid="{410AA0B5-FCAF-4A10-9195-552478B027DA}"/>
    <cellStyle name="Normal 3 3 23 2 15" xfId="10072" xr:uid="{4666136B-9E0C-4444-8203-A3854DDE67B1}"/>
    <cellStyle name="Normal 3 3 23 2 16" xfId="10073" xr:uid="{3C7F0B8F-8B8B-4A81-82C6-D7FD7321140C}"/>
    <cellStyle name="Normal 3 3 23 2 17" xfId="10074" xr:uid="{6864ED73-1251-476A-AB01-23083D9C8B3C}"/>
    <cellStyle name="Normal 3 3 23 2 2" xfId="10075" xr:uid="{FAD39361-8B08-40AD-A64A-8D5B69B30DEE}"/>
    <cellStyle name="Normal 3 3 23 2 2 10" xfId="10076" xr:uid="{F9CA65F3-7E5D-4D49-BDDF-081461924100}"/>
    <cellStyle name="Normal 3 3 23 2 2 2" xfId="10077" xr:uid="{F90C52CC-9925-43AB-8C65-335DD31D5D27}"/>
    <cellStyle name="Normal 3 3 23 2 2 2 2" xfId="10078" xr:uid="{467CE929-D3DE-4FD5-83C2-EA276472D6E7}"/>
    <cellStyle name="Normal 3 3 23 2 2 2 2 2" xfId="10079" xr:uid="{4386C163-6C70-4FC2-AE16-2D07E815628C}"/>
    <cellStyle name="Normal 3 3 23 2 2 2 2 2 2" xfId="10080" xr:uid="{F6762588-10B7-4CA1-B236-5281D01E4257}"/>
    <cellStyle name="Normal 3 3 23 2 2 2 2 2 3" xfId="10081" xr:uid="{97CB6F63-28E7-4A21-B56A-F38166461580}"/>
    <cellStyle name="Normal 3 3 23 2 2 2 2 2 4" xfId="10082" xr:uid="{04F4CC2B-BD49-483B-BC60-68AEF3ED7B1B}"/>
    <cellStyle name="Normal 3 3 23 2 2 2 2 2 5" xfId="10083" xr:uid="{1E9A73CE-16D1-4A91-8F50-64EC8C639DFD}"/>
    <cellStyle name="Normal 3 3 23 2 2 2 2 2 6" xfId="10084" xr:uid="{C07933F4-B4AA-472C-967C-110D0A54AE14}"/>
    <cellStyle name="Normal 3 3 23 2 2 2 2 2 7" xfId="10085" xr:uid="{6E557DDF-653B-4F4A-A1F4-D9DB74550471}"/>
    <cellStyle name="Normal 3 3 23 2 2 2 2 2 8" xfId="10086" xr:uid="{AC953C86-CA46-4737-917F-703F5448E087}"/>
    <cellStyle name="Normal 3 3 23 2 2 2 2 3" xfId="10087" xr:uid="{7088363E-A720-456C-90D8-42CE69242D37}"/>
    <cellStyle name="Normal 3 3 23 2 2 2 2 4" xfId="10088" xr:uid="{AB64DBEE-225E-4010-B584-04857DB9B2F0}"/>
    <cellStyle name="Normal 3 3 23 2 2 2 2 5" xfId="10089" xr:uid="{A432B7D6-A03D-4E3A-A303-AE32B78C4428}"/>
    <cellStyle name="Normal 3 3 23 2 2 2 2 6" xfId="10090" xr:uid="{92FC11A0-824A-4AFA-BB64-3228BA0F2D43}"/>
    <cellStyle name="Normal 3 3 23 2 2 2 2 7" xfId="10091" xr:uid="{6004125F-02ED-40F6-A3F7-EECD0AA218AA}"/>
    <cellStyle name="Normal 3 3 23 2 2 2 2 8" xfId="10092" xr:uid="{F208A6A8-8EBE-407A-A78F-0126C56F0EC3}"/>
    <cellStyle name="Normal 3 3 23 2 2 2 3" xfId="10093" xr:uid="{F69E5BBA-4F20-475B-B9A0-9AFE2F1BB2BE}"/>
    <cellStyle name="Normal 3 3 23 2 2 2 4" xfId="10094" xr:uid="{6802E213-37C0-4267-BEB6-B842344DBF1B}"/>
    <cellStyle name="Normal 3 3 23 2 2 2 5" xfId="10095" xr:uid="{20843875-29E0-4A6C-9C00-88A8203E2784}"/>
    <cellStyle name="Normal 3 3 23 2 2 2 6" xfId="10096" xr:uid="{B43B5464-FEB8-4233-8AF9-85A36ECF1AF2}"/>
    <cellStyle name="Normal 3 3 23 2 2 2 7" xfId="10097" xr:uid="{54D0286E-B6BD-4F3C-8A84-596A8B1B1643}"/>
    <cellStyle name="Normal 3 3 23 2 2 2 8" xfId="10098" xr:uid="{00B3FB08-A127-4C00-85FA-315292D860F3}"/>
    <cellStyle name="Normal 3 3 23 2 2 2 9" xfId="10099" xr:uid="{D399CD20-1DA4-40F3-B833-F2E00A78419A}"/>
    <cellStyle name="Normal 3 3 23 2 2 3" xfId="10100" xr:uid="{4E888A96-5E35-4ECD-90C2-6C0227F59260}"/>
    <cellStyle name="Normal 3 3 23 2 2 4" xfId="10101" xr:uid="{E4E8CB12-D674-4811-8B0A-4BE94F3A63B6}"/>
    <cellStyle name="Normal 3 3 23 2 2 4 2" xfId="10102" xr:uid="{E881C40E-1FA6-4532-BF43-FF02CEDD130E}"/>
    <cellStyle name="Normal 3 3 23 2 2 4 3" xfId="10103" xr:uid="{CA6B472F-9DF9-47DA-B63F-CF13A7E821E5}"/>
    <cellStyle name="Normal 3 3 23 2 2 4 4" xfId="10104" xr:uid="{93CADCAD-2D3C-4097-A5FC-CA81A28DD0C8}"/>
    <cellStyle name="Normal 3 3 23 2 2 4 5" xfId="10105" xr:uid="{91523F40-377C-4A68-AC9B-7A94F8C906E4}"/>
    <cellStyle name="Normal 3 3 23 2 2 4 6" xfId="10106" xr:uid="{CEEC6EFF-B6EE-407C-B80D-B9713D17EE0E}"/>
    <cellStyle name="Normal 3 3 23 2 2 4 7" xfId="10107" xr:uid="{A2C2DD63-6302-4325-A36B-8988C6DFF274}"/>
    <cellStyle name="Normal 3 3 23 2 2 4 8" xfId="10108" xr:uid="{B4B37330-FC9A-483E-A687-A5EF8736D928}"/>
    <cellStyle name="Normal 3 3 23 2 2 5" xfId="10109" xr:uid="{825BD647-703B-4FC1-B6D4-3C9C6437FACF}"/>
    <cellStyle name="Normal 3 3 23 2 2 6" xfId="10110" xr:uid="{96A58EE0-FD13-4DA5-8B13-D6BCB425CDC3}"/>
    <cellStyle name="Normal 3 3 23 2 2 7" xfId="10111" xr:uid="{E63C5078-9295-4360-B8FF-DDB5D6F5CA5B}"/>
    <cellStyle name="Normal 3 3 23 2 2 8" xfId="10112" xr:uid="{B7DD1E42-158D-43C9-B24E-6AC0175233FF}"/>
    <cellStyle name="Normal 3 3 23 2 2 9" xfId="10113" xr:uid="{CF89243C-5732-4F70-92B6-735A1903AF2C}"/>
    <cellStyle name="Normal 3 3 23 2 3" xfId="10114" xr:uid="{AA00359A-09B5-45BF-9655-B69D29B64AF0}"/>
    <cellStyle name="Normal 3 3 23 2 4" xfId="10115" xr:uid="{45B3679C-C901-4E2B-8AF2-5AD2E75D7A15}"/>
    <cellStyle name="Normal 3 3 23 2 5" xfId="10116" xr:uid="{9B32F1D2-9DD7-457C-96AB-5B89498D9190}"/>
    <cellStyle name="Normal 3 3 23 2 6" xfId="10117" xr:uid="{23922E27-F796-4E11-9D21-4F0229FC7A7C}"/>
    <cellStyle name="Normal 3 3 23 2 7" xfId="10118" xr:uid="{98FADBC9-9FB1-4B0D-AD85-570D8E38B662}"/>
    <cellStyle name="Normal 3 3 23 2 8" xfId="10119" xr:uid="{B60DD4F9-EEE1-4B4F-B2C1-C92D13BE555D}"/>
    <cellStyle name="Normal 3 3 23 2 9" xfId="10120" xr:uid="{B522DBAC-DDF5-4FDD-83EE-8DF52E92836D}"/>
    <cellStyle name="Normal 3 3 23 3" xfId="10121" xr:uid="{B2C4D28C-151C-4734-8EBC-B848590406C9}"/>
    <cellStyle name="Normal 3 3 23 3 10" xfId="10122" xr:uid="{A1000660-AB13-4F72-878F-00152AD5F91C}"/>
    <cellStyle name="Normal 3 3 23 3 2" xfId="10123" xr:uid="{EF5B75A6-0A7E-49A3-A726-2C74B66A4754}"/>
    <cellStyle name="Normal 3 3 23 3 2 2" xfId="10124" xr:uid="{872211DC-EA34-489A-8F4A-493E24E66A63}"/>
    <cellStyle name="Normal 3 3 23 3 2 2 2" xfId="10125" xr:uid="{0F849511-29DF-4837-B378-C6F54E82331A}"/>
    <cellStyle name="Normal 3 3 23 3 2 2 2 2" xfId="10126" xr:uid="{65FB1930-B925-4738-A1CA-8B3D4D663AC5}"/>
    <cellStyle name="Normal 3 3 23 3 2 2 2 3" xfId="10127" xr:uid="{A3B8C3B0-A0CF-4681-AD8A-DFACD6BD41F5}"/>
    <cellStyle name="Normal 3 3 23 3 2 2 2 4" xfId="10128" xr:uid="{96AB225B-4AF1-43DB-97AF-10C3589B40FC}"/>
    <cellStyle name="Normal 3 3 23 3 2 2 2 5" xfId="10129" xr:uid="{989462CD-AFD8-4490-9424-63EC951F8671}"/>
    <cellStyle name="Normal 3 3 23 3 2 2 2 6" xfId="10130" xr:uid="{B8B41F1E-5D92-41A5-97AC-64AF4DE3A171}"/>
    <cellStyle name="Normal 3 3 23 3 2 2 2 7" xfId="10131" xr:uid="{4CD262BA-AD9E-43EA-8D54-7729DED2BBCD}"/>
    <cellStyle name="Normal 3 3 23 3 2 2 2 8" xfId="10132" xr:uid="{BE386AA8-5292-43C5-AE89-717FA7C3D528}"/>
    <cellStyle name="Normal 3 3 23 3 2 2 3" xfId="10133" xr:uid="{F9E3EF97-0C51-4762-B6F0-F19002FCB260}"/>
    <cellStyle name="Normal 3 3 23 3 2 2 4" xfId="10134" xr:uid="{06DDFEDE-2CBF-41C5-AEE4-5DD42471D375}"/>
    <cellStyle name="Normal 3 3 23 3 2 2 5" xfId="10135" xr:uid="{F90D86C2-45E3-47F1-88C3-EC722F20AEDE}"/>
    <cellStyle name="Normal 3 3 23 3 2 2 6" xfId="10136" xr:uid="{66CE6B58-89D4-4624-86E8-4CE143EA572F}"/>
    <cellStyle name="Normal 3 3 23 3 2 2 7" xfId="10137" xr:uid="{9B924397-3EDF-4596-9CEF-D951982D54D4}"/>
    <cellStyle name="Normal 3 3 23 3 2 2 8" xfId="10138" xr:uid="{93D589B2-E59B-47AE-9737-031C1DD1E6B0}"/>
    <cellStyle name="Normal 3 3 23 3 2 3" xfId="10139" xr:uid="{0DFC2612-AF12-4309-BD48-C5D540050EFA}"/>
    <cellStyle name="Normal 3 3 23 3 2 4" xfId="10140" xr:uid="{8B9F1134-AF99-437B-9FE6-1CF5A1D7349F}"/>
    <cellStyle name="Normal 3 3 23 3 2 5" xfId="10141" xr:uid="{373B4994-4721-4AF5-8CC9-BF301FB8E97E}"/>
    <cellStyle name="Normal 3 3 23 3 2 6" xfId="10142" xr:uid="{981BDD6E-3E30-41B2-96F2-3812D2E06DA6}"/>
    <cellStyle name="Normal 3 3 23 3 2 7" xfId="10143" xr:uid="{470908A2-B6F2-48E7-86E4-155FF4692C6C}"/>
    <cellStyle name="Normal 3 3 23 3 2 8" xfId="10144" xr:uid="{BBBA5ED3-19E8-4A31-8D22-9646129578BC}"/>
    <cellStyle name="Normal 3 3 23 3 2 9" xfId="10145" xr:uid="{FE123751-FFF5-492F-AF53-44401540AB68}"/>
    <cellStyle name="Normal 3 3 23 3 3" xfId="10146" xr:uid="{2C74E4B3-300C-4800-AE2E-FA57BF0636D1}"/>
    <cellStyle name="Normal 3 3 23 3 4" xfId="10147" xr:uid="{80CB331B-29FC-4E76-9F64-FAC505BB9A3F}"/>
    <cellStyle name="Normal 3 3 23 3 4 2" xfId="10148" xr:uid="{C5F2E9FC-CE0E-434E-8C35-C735BF3A53E1}"/>
    <cellStyle name="Normal 3 3 23 3 4 3" xfId="10149" xr:uid="{6FCCEA91-2228-4324-A6C2-18179F4FA580}"/>
    <cellStyle name="Normal 3 3 23 3 4 4" xfId="10150" xr:uid="{57F05C2C-085D-4948-82FA-CF02BABDC306}"/>
    <cellStyle name="Normal 3 3 23 3 4 5" xfId="10151" xr:uid="{D1D54BD7-3300-4063-8885-74561ED0790E}"/>
    <cellStyle name="Normal 3 3 23 3 4 6" xfId="10152" xr:uid="{5D77E7A2-AF07-4338-9EBC-6EAB6C9F54EC}"/>
    <cellStyle name="Normal 3 3 23 3 4 7" xfId="10153" xr:uid="{B52F82CF-22B9-4722-895A-5292E7530815}"/>
    <cellStyle name="Normal 3 3 23 3 4 8" xfId="10154" xr:uid="{54329C73-2DF2-415D-92BE-1911D18A9966}"/>
    <cellStyle name="Normal 3 3 23 3 5" xfId="10155" xr:uid="{3D7D1C88-E8F5-4574-9075-0E113EF6DEF2}"/>
    <cellStyle name="Normal 3 3 23 3 6" xfId="10156" xr:uid="{9FDC07D5-0CB7-4135-ABF7-A4FEB7A9E40F}"/>
    <cellStyle name="Normal 3 3 23 3 7" xfId="10157" xr:uid="{6F0FDCC7-B9B6-46EB-A7DF-BDA4F3F1238A}"/>
    <cellStyle name="Normal 3 3 23 3 8" xfId="10158" xr:uid="{33C7EAFC-BAA7-44C5-990A-DFC59C8221D4}"/>
    <cellStyle name="Normal 3 3 23 3 9" xfId="10159" xr:uid="{990BF140-2417-4675-85F2-041427472F91}"/>
    <cellStyle name="Normal 3 3 23 4" xfId="10160" xr:uid="{0B87CA21-45AB-42D4-88A7-274FDA9E2594}"/>
    <cellStyle name="Normal 3 3 23 5" xfId="10161" xr:uid="{4B27F16F-366C-4870-AF20-65E65D225FB7}"/>
    <cellStyle name="Normal 3 3 23 6" xfId="10162" xr:uid="{A9C4B890-B0E2-478A-B34A-1979906D7166}"/>
    <cellStyle name="Normal 3 3 23 7" xfId="10163" xr:uid="{45872484-1B59-4B42-9163-6FD9D07CFD54}"/>
    <cellStyle name="Normal 3 3 23 8" xfId="10164" xr:uid="{800CF2D1-2095-4ADC-9C0C-BB01F844CDC4}"/>
    <cellStyle name="Normal 3 3 23 9" xfId="10165" xr:uid="{3E07B238-6AC7-4C04-9D26-E7C4E71BBC0F}"/>
    <cellStyle name="Normal 3 3 24" xfId="10166" xr:uid="{8734B790-A8B8-4C71-9A88-EB525C05AE09}"/>
    <cellStyle name="Normal 3 3 25" xfId="10167" xr:uid="{F011BBB0-BFBE-4102-B4AA-F4C7964482C2}"/>
    <cellStyle name="Normal 3 3 26" xfId="10168" xr:uid="{B887C83A-E02C-4F24-AB7D-EDBF31483F2D}"/>
    <cellStyle name="Normal 3 3 27" xfId="10169" xr:uid="{9204532D-F97E-48FB-95C6-084BFA3A3096}"/>
    <cellStyle name="Normal 3 3 28" xfId="10170" xr:uid="{2B5B18D2-9784-4334-A1DC-0A6E7BD4E107}"/>
    <cellStyle name="Normal 3 3 28 10" xfId="10171" xr:uid="{305FF184-9752-4ECF-BC1E-3F020BE0D78E}"/>
    <cellStyle name="Normal 3 3 28 2" xfId="10172" xr:uid="{9714511C-55FD-42D9-A38A-65AB8268E01E}"/>
    <cellStyle name="Normal 3 3 28 2 2" xfId="10173" xr:uid="{AF425AB5-D369-46D5-9EE8-ECE99A590549}"/>
    <cellStyle name="Normal 3 3 28 2 2 2" xfId="10174" xr:uid="{529FB7F6-D3EF-49D2-9520-181979F3A0C4}"/>
    <cellStyle name="Normal 3 3 28 2 2 2 2" xfId="10175" xr:uid="{533AEC1D-4820-4F91-AF22-B086C8BACFBE}"/>
    <cellStyle name="Normal 3 3 28 2 2 2 3" xfId="10176" xr:uid="{65B2A1BF-9299-464D-A9B3-14D7C1C9BA3B}"/>
    <cellStyle name="Normal 3 3 28 2 2 2 4" xfId="10177" xr:uid="{348B0F1A-4A69-4D76-91F1-0B5C4098CA3D}"/>
    <cellStyle name="Normal 3 3 28 2 2 2 5" xfId="10178" xr:uid="{3E17996B-8778-415F-9981-7BEE6CA79151}"/>
    <cellStyle name="Normal 3 3 28 2 2 2 6" xfId="10179" xr:uid="{87B2CEB0-FF89-49DE-B784-5251915950AE}"/>
    <cellStyle name="Normal 3 3 28 2 2 2 7" xfId="10180" xr:uid="{7762544B-C138-4FAE-A2DC-7BB72AF3F2EC}"/>
    <cellStyle name="Normal 3 3 28 2 2 2 8" xfId="10181" xr:uid="{4B0B6512-0EA2-46E6-AAE6-ED38B88962CA}"/>
    <cellStyle name="Normal 3 3 28 2 2 3" xfId="10182" xr:uid="{99F7427C-7C08-47B7-B7C8-2369DE7858B1}"/>
    <cellStyle name="Normal 3 3 28 2 2 4" xfId="10183" xr:uid="{25F069C3-26D6-44B2-9C36-1B8C4261DFC3}"/>
    <cellStyle name="Normal 3 3 28 2 2 5" xfId="10184" xr:uid="{CB4B8EC3-8EAE-4834-8E0D-F06410540C52}"/>
    <cellStyle name="Normal 3 3 28 2 2 6" xfId="10185" xr:uid="{E77630B8-6D29-45A5-86C9-312B98229901}"/>
    <cellStyle name="Normal 3 3 28 2 2 7" xfId="10186" xr:uid="{E16B5B8E-23C5-451B-8B8B-93DC96924593}"/>
    <cellStyle name="Normal 3 3 28 2 2 8" xfId="10187" xr:uid="{08BF463E-68B3-4E70-BDC2-E1A55D510892}"/>
    <cellStyle name="Normal 3 3 28 2 3" xfId="10188" xr:uid="{C4B0A399-25E7-4253-A817-2E32B1A99809}"/>
    <cellStyle name="Normal 3 3 28 2 4" xfId="10189" xr:uid="{4835AA0D-FC0A-416D-95BA-740A567EE294}"/>
    <cellStyle name="Normal 3 3 28 2 5" xfId="10190" xr:uid="{F549FCCC-B8F8-42B8-802F-04C78DD9CA60}"/>
    <cellStyle name="Normal 3 3 28 2 6" xfId="10191" xr:uid="{30BDC027-CF01-4D88-8964-C31DDA326AF0}"/>
    <cellStyle name="Normal 3 3 28 2 7" xfId="10192" xr:uid="{8F03DB74-FBCB-4BFA-ACFB-A6EF39DA1899}"/>
    <cellStyle name="Normal 3 3 28 2 8" xfId="10193" xr:uid="{71117267-86F1-4321-A9BD-E7ACBCB6831D}"/>
    <cellStyle name="Normal 3 3 28 2 9" xfId="10194" xr:uid="{1C972E2C-9655-4A73-A3DA-FB6B3849F28D}"/>
    <cellStyle name="Normal 3 3 28 3" xfId="10195" xr:uid="{37A9F127-F3DE-43DD-AC3C-AC2F394E86A6}"/>
    <cellStyle name="Normal 3 3 28 4" xfId="10196" xr:uid="{FF4E8EE4-325A-4F25-9A58-E7DB2FF1C2F5}"/>
    <cellStyle name="Normal 3 3 28 4 2" xfId="10197" xr:uid="{8F88AFF9-9080-4633-B309-C1F083F993C2}"/>
    <cellStyle name="Normal 3 3 28 4 3" xfId="10198" xr:uid="{D4167AF6-E7AB-4FFF-9B52-1D0CB8513C54}"/>
    <cellStyle name="Normal 3 3 28 4 4" xfId="10199" xr:uid="{9F3C4113-7409-47C7-9A56-D984BB04D5CB}"/>
    <cellStyle name="Normal 3 3 28 4 5" xfId="10200" xr:uid="{A2662897-EFBC-4FE0-88DC-4A7CEEF2137D}"/>
    <cellStyle name="Normal 3 3 28 4 6" xfId="10201" xr:uid="{C72B0E87-DCFB-4678-87A2-CD3EA3EEEE73}"/>
    <cellStyle name="Normal 3 3 28 4 7" xfId="10202" xr:uid="{E2493044-B637-4FDF-BE1F-C78C93310CF2}"/>
    <cellStyle name="Normal 3 3 28 4 8" xfId="10203" xr:uid="{96ED57B6-F742-4D5C-85C4-EAB9B8959469}"/>
    <cellStyle name="Normal 3 3 28 5" xfId="10204" xr:uid="{2EAD98CD-055F-4F08-8EF2-A8B115C08846}"/>
    <cellStyle name="Normal 3 3 28 6" xfId="10205" xr:uid="{7BF13F95-BB89-4ABC-A01E-A0E684A40CF8}"/>
    <cellStyle name="Normal 3 3 28 7" xfId="10206" xr:uid="{1E792583-E502-4A5A-9621-DA2A5FA936E4}"/>
    <cellStyle name="Normal 3 3 28 8" xfId="10207" xr:uid="{6EE9D6E1-3D99-49E1-9238-48D6BE58EFAB}"/>
    <cellStyle name="Normal 3 3 28 9" xfId="10208" xr:uid="{F6D4DC51-F4B7-46DA-B9FC-E7AB1F7B0E4A}"/>
    <cellStyle name="Normal 3 3 29" xfId="10209" xr:uid="{6B9A1C7A-55D1-420B-963A-B5C1567367D8}"/>
    <cellStyle name="Normal 3 3 3" xfId="10210" xr:uid="{E61D9142-94FC-42B7-89B4-C18DA061EAC5}"/>
    <cellStyle name="Normal 3 3 3 10" xfId="10211" xr:uid="{69DD5DAE-C111-478F-9DAA-03E9AAABCB50}"/>
    <cellStyle name="Normal 3 3 3 11" xfId="10212" xr:uid="{F07C4B06-96A9-46E0-9FE0-FDAB008A057F}"/>
    <cellStyle name="Normal 3 3 3 12" xfId="10213" xr:uid="{81731DF5-4ACD-4082-A3E9-AA6FE3C5324F}"/>
    <cellStyle name="Normal 3 3 3 13" xfId="10214" xr:uid="{9CD93419-C1F5-4904-AD2C-667DDE432280}"/>
    <cellStyle name="Normal 3 3 3 14" xfId="10215" xr:uid="{A8AE76FE-08AD-4176-91A5-BCBA4DA17029}"/>
    <cellStyle name="Normal 3 3 3 15" xfId="10216" xr:uid="{0C39B750-BA61-4B6B-A5CE-546B66B74373}"/>
    <cellStyle name="Normal 3 3 3 15 2" xfId="10217" xr:uid="{27219760-4116-4D86-BC84-CE8EBA76FF3A}"/>
    <cellStyle name="Normal 3 3 3 15 2 2" xfId="10218" xr:uid="{EBEF6570-7EA7-4836-89A8-72F2D9955498}"/>
    <cellStyle name="Normal 3 3 3 15 2 2 2" xfId="10219" xr:uid="{A023EA10-5891-46D4-81E6-1E6656E2D801}"/>
    <cellStyle name="Normal 3 3 3 15 2 2 3" xfId="10220" xr:uid="{8DCAEDE9-3E07-4688-BCD4-49DD8F045890}"/>
    <cellStyle name="Normal 3 3 3 15 2 2 4" xfId="10221" xr:uid="{D713D95D-B61D-4CC0-9F29-5E2A13F0AE72}"/>
    <cellStyle name="Normal 3 3 3 15 2 2 5" xfId="10222" xr:uid="{C5D3B195-D1E8-482D-9539-588A63D18E01}"/>
    <cellStyle name="Normal 3 3 3 15 2 2 6" xfId="10223" xr:uid="{E1C6C3A1-F9F3-4B5B-8FBA-033DE931C6F6}"/>
    <cellStyle name="Normal 3 3 3 15 2 2 7" xfId="10224" xr:uid="{319265BA-8B10-46CD-BBDB-0FF5B4E4A345}"/>
    <cellStyle name="Normal 3 3 3 15 2 2 8" xfId="10225" xr:uid="{920DB4C9-E611-4EEA-96BC-E188E326CF14}"/>
    <cellStyle name="Normal 3 3 3 15 2 3" xfId="10226" xr:uid="{0FF15DCD-9433-4359-B7FF-DD8D88829635}"/>
    <cellStyle name="Normal 3 3 3 15 2 4" xfId="10227" xr:uid="{798FF49D-F9E9-49C2-9042-9D980A5185E8}"/>
    <cellStyle name="Normal 3 3 3 15 2 5" xfId="10228" xr:uid="{124B98A8-CC50-450F-BE53-3F95A574F957}"/>
    <cellStyle name="Normal 3 3 3 15 2 6" xfId="10229" xr:uid="{D7F45BC1-000C-4C31-ADEA-1A54E5426CD5}"/>
    <cellStyle name="Normal 3 3 3 15 2 7" xfId="10230" xr:uid="{1A08029A-24B6-452B-9444-FDA635826B0E}"/>
    <cellStyle name="Normal 3 3 3 15 2 8" xfId="10231" xr:uid="{4BE2A920-41BE-4584-B81B-6FBC6259E82A}"/>
    <cellStyle name="Normal 3 3 3 15 3" xfId="10232" xr:uid="{66782124-D06A-4BE2-A7F6-62B4BEA40844}"/>
    <cellStyle name="Normal 3 3 3 15 4" xfId="10233" xr:uid="{8807E477-0B8B-41E7-A7D5-0A52116F483F}"/>
    <cellStyle name="Normal 3 3 3 15 5" xfId="10234" xr:uid="{127F272B-D864-4D9D-9DCB-4732ED4C0544}"/>
    <cellStyle name="Normal 3 3 3 15 6" xfId="10235" xr:uid="{904D962B-A7D6-48EC-8B71-EDCB83A1F20B}"/>
    <cellStyle name="Normal 3 3 3 15 7" xfId="10236" xr:uid="{AD44874B-B9D1-4FAE-AF68-CAA039ABCF5D}"/>
    <cellStyle name="Normal 3 3 3 15 8" xfId="10237" xr:uid="{ADFC9622-7EB7-4BBD-8956-3DDAFAE0C98D}"/>
    <cellStyle name="Normal 3 3 3 15 9" xfId="10238" xr:uid="{147274BA-2FAD-4890-8820-E2847D029397}"/>
    <cellStyle name="Normal 3 3 3 16" xfId="10239" xr:uid="{13B50AD3-C471-484F-AA39-432BD9A8B23B}"/>
    <cellStyle name="Normal 3 3 3 16 2" xfId="10240" xr:uid="{CDC0D567-807D-4030-999F-1FA63C4A8361}"/>
    <cellStyle name="Normal 3 3 3 16 3" xfId="10241" xr:uid="{1035DA07-EEF1-4F7F-8C01-6E182CBF788C}"/>
    <cellStyle name="Normal 3 3 3 16 4" xfId="10242" xr:uid="{CA1FD377-4FCC-469F-AD87-47762C52117C}"/>
    <cellStyle name="Normal 3 3 3 16 5" xfId="10243" xr:uid="{6276431C-4470-40B7-9D09-6E9154985138}"/>
    <cellStyle name="Normal 3 3 3 16 6" xfId="10244" xr:uid="{1052CF54-1F3B-4C0C-9EB0-7156BECD09DF}"/>
    <cellStyle name="Normal 3 3 3 16 7" xfId="10245" xr:uid="{61A41325-69C7-49EE-9756-CDA2F33BA8A3}"/>
    <cellStyle name="Normal 3 3 3 16 8" xfId="10246" xr:uid="{5839311E-4BFE-406C-9E5F-53E33521D4E9}"/>
    <cellStyle name="Normal 3 3 3 17" xfId="10247" xr:uid="{E89E6D57-6ABA-4D91-BC8D-2369910D40F5}"/>
    <cellStyle name="Normal 3 3 3 18" xfId="10248" xr:uid="{62F6D0CC-EA59-4533-A63E-1EA5B31E8F62}"/>
    <cellStyle name="Normal 3 3 3 19" xfId="10249" xr:uid="{BD5D49F4-2E9B-4F7C-840F-26DFC88E4AA5}"/>
    <cellStyle name="Normal 3 3 3 2" xfId="10250" xr:uid="{E04E4DF7-40AC-4F7F-A6FC-3167236F6289}"/>
    <cellStyle name="Normal 3 3 3 2 10" xfId="10251" xr:uid="{059B66FA-AA42-4D53-B520-C9C33E8401D3}"/>
    <cellStyle name="Normal 3 3 3 2 11" xfId="10252" xr:uid="{97A95428-46D2-4E82-AA71-26E03977E804}"/>
    <cellStyle name="Normal 3 3 3 2 12" xfId="10253" xr:uid="{DEA0206E-BA42-49A4-BCBB-F7EEBDC43060}"/>
    <cellStyle name="Normal 3 3 3 2 13" xfId="10254" xr:uid="{519F4B08-FB98-4DBB-857B-43168DA9D186}"/>
    <cellStyle name="Normal 3 3 3 2 14" xfId="10255" xr:uid="{58FCC4F9-6111-4F1D-9296-C8DEB40E769A}"/>
    <cellStyle name="Normal 3 3 3 2 15" xfId="10256" xr:uid="{2A1B50E5-21D2-4AC9-B225-3B9CB647B289}"/>
    <cellStyle name="Normal 3 3 3 2 15 2" xfId="10257" xr:uid="{BEABF126-7FF1-47D0-9C7D-03CAF7A81398}"/>
    <cellStyle name="Normal 3 3 3 2 15 2 2" xfId="10258" xr:uid="{5D6ABA2A-41D5-4812-AB39-FD65D298BCE4}"/>
    <cellStyle name="Normal 3 3 3 2 15 2 2 2" xfId="10259" xr:uid="{AD069827-6077-4464-A408-6EF695276BBD}"/>
    <cellStyle name="Normal 3 3 3 2 15 2 2 3" xfId="10260" xr:uid="{D992CC20-28C8-481C-846C-98F74E56F9BE}"/>
    <cellStyle name="Normal 3 3 3 2 15 2 2 4" xfId="10261" xr:uid="{FA0EA960-E998-47E8-A886-91D2EAC1ED9C}"/>
    <cellStyle name="Normal 3 3 3 2 15 2 2 5" xfId="10262" xr:uid="{BA75EEEA-EEF0-4D88-BBCC-50F9B6353216}"/>
    <cellStyle name="Normal 3 3 3 2 15 2 2 6" xfId="10263" xr:uid="{91FD33EB-F849-4B0E-9E04-DDAA25F65297}"/>
    <cellStyle name="Normal 3 3 3 2 15 2 2 7" xfId="10264" xr:uid="{CE398DE7-CB16-4FE2-A3FF-CBE47897FB87}"/>
    <cellStyle name="Normal 3 3 3 2 15 2 2 8" xfId="10265" xr:uid="{62BB417C-ABD8-4282-9A55-8FBB588FD6E6}"/>
    <cellStyle name="Normal 3 3 3 2 15 2 3" xfId="10266" xr:uid="{B826D51E-8B13-4D88-A822-406D1E054B97}"/>
    <cellStyle name="Normal 3 3 3 2 15 2 4" xfId="10267" xr:uid="{2FDA75C4-34A1-4DDE-BE61-7ACF8EFD4350}"/>
    <cellStyle name="Normal 3 3 3 2 15 2 5" xfId="10268" xr:uid="{051A7FA1-8A44-4E08-A6ED-E6BD7C17A778}"/>
    <cellStyle name="Normal 3 3 3 2 15 2 6" xfId="10269" xr:uid="{4FBAD1A6-EB0F-444E-8D24-D2A3F89E48D8}"/>
    <cellStyle name="Normal 3 3 3 2 15 2 7" xfId="10270" xr:uid="{AF00D89A-53BA-4DCC-BA2C-26B528275058}"/>
    <cellStyle name="Normal 3 3 3 2 15 2 8" xfId="10271" xr:uid="{048F70CB-C762-4959-B4EF-072D05D363EE}"/>
    <cellStyle name="Normal 3 3 3 2 15 3" xfId="10272" xr:uid="{2E7ED76C-E341-496A-8832-53167CEE5ED0}"/>
    <cellStyle name="Normal 3 3 3 2 15 4" xfId="10273" xr:uid="{2EBA6F2F-EBE3-4609-92E2-357DAF725644}"/>
    <cellStyle name="Normal 3 3 3 2 15 5" xfId="10274" xr:uid="{A1E05A29-AEB7-424A-BA59-7719DFA03E89}"/>
    <cellStyle name="Normal 3 3 3 2 15 6" xfId="10275" xr:uid="{2654212F-4C97-498E-87B6-010696E261D0}"/>
    <cellStyle name="Normal 3 3 3 2 15 7" xfId="10276" xr:uid="{77F09D98-1472-4DD7-BD77-B1747B622BEC}"/>
    <cellStyle name="Normal 3 3 3 2 15 8" xfId="10277" xr:uid="{40D6C1F7-45FD-4B53-9D53-0FD0E81D958D}"/>
    <cellStyle name="Normal 3 3 3 2 15 9" xfId="10278" xr:uid="{35D040ED-D08D-4554-99C2-06B04DF362D0}"/>
    <cellStyle name="Normal 3 3 3 2 16" xfId="10279" xr:uid="{C13F4F10-522B-4F57-B9C9-F3ED154AE4EF}"/>
    <cellStyle name="Normal 3 3 3 2 16 2" xfId="10280" xr:uid="{3D0F00AA-6AA2-4619-AA8D-1FACCE43694A}"/>
    <cellStyle name="Normal 3 3 3 2 16 3" xfId="10281" xr:uid="{83CB3FE0-BF78-4FA1-9069-6E7B75235949}"/>
    <cellStyle name="Normal 3 3 3 2 16 4" xfId="10282" xr:uid="{E6073629-F6E6-4979-BC25-76D9AA3661E1}"/>
    <cellStyle name="Normal 3 3 3 2 16 5" xfId="10283" xr:uid="{63556B2E-E77F-4826-86A5-727F9048B97A}"/>
    <cellStyle name="Normal 3 3 3 2 16 6" xfId="10284" xr:uid="{6DC19D9C-7953-4FC4-A443-5B6C78A2686E}"/>
    <cellStyle name="Normal 3 3 3 2 16 7" xfId="10285" xr:uid="{5AF64826-BBCB-41B9-9858-912DB8FF54E4}"/>
    <cellStyle name="Normal 3 3 3 2 16 8" xfId="10286" xr:uid="{235100BA-9EAC-4306-9227-462FAF358E7F}"/>
    <cellStyle name="Normal 3 3 3 2 17" xfId="10287" xr:uid="{5F862F70-4F85-46F3-A809-1F10ABF3297E}"/>
    <cellStyle name="Normal 3 3 3 2 18" xfId="10288" xr:uid="{21E0EBD3-6235-4E7E-98E0-15FE2E9CC443}"/>
    <cellStyle name="Normal 3 3 3 2 19" xfId="10289" xr:uid="{8B9C3670-2695-44F6-A43E-409E89F3AC9D}"/>
    <cellStyle name="Normal 3 3 3 2 2" xfId="10290" xr:uid="{7993C026-B549-4986-8757-E0F722E35138}"/>
    <cellStyle name="Normal 3 3 3 2 2 10" xfId="10291" xr:uid="{2E5F85FC-5ADF-4DA1-81FF-DD4EF70B07F0}"/>
    <cellStyle name="Normal 3 3 3 2 2 10 2" xfId="10292" xr:uid="{16959A66-8763-480F-915C-ACD8CE51F462}"/>
    <cellStyle name="Normal 3 3 3 2 2 10 2 2" xfId="10293" xr:uid="{BB2225C7-DF7B-4BFB-A147-CBDC32845A22}"/>
    <cellStyle name="Normal 3 3 3 2 2 10 2 2 2" xfId="10294" xr:uid="{2835807F-3192-47E5-814A-026D0AACE8EC}"/>
    <cellStyle name="Normal 3 3 3 2 2 10 2 2 3" xfId="10295" xr:uid="{997168C4-0ED2-408E-BF22-A9483E425D3B}"/>
    <cellStyle name="Normal 3 3 3 2 2 10 2 2 4" xfId="10296" xr:uid="{AC31BD28-6388-407B-9759-2D1F87EAF396}"/>
    <cellStyle name="Normal 3 3 3 2 2 10 2 2 5" xfId="10297" xr:uid="{F87F3C5A-DC38-4DB0-9619-4A40C20565B8}"/>
    <cellStyle name="Normal 3 3 3 2 2 10 2 2 6" xfId="10298" xr:uid="{F5F122BB-7226-4EDC-862A-06A248DCC612}"/>
    <cellStyle name="Normal 3 3 3 2 2 10 2 2 7" xfId="10299" xr:uid="{4D1A320C-7255-4D92-9CD2-376FB461C1F1}"/>
    <cellStyle name="Normal 3 3 3 2 2 10 2 2 8" xfId="10300" xr:uid="{EFC29F36-FE25-4329-BC7B-34A1B69A6AEA}"/>
    <cellStyle name="Normal 3 3 3 2 2 10 2 3" xfId="10301" xr:uid="{673384A0-054C-40A8-97D5-8A00EDD768EE}"/>
    <cellStyle name="Normal 3 3 3 2 2 10 2 4" xfId="10302" xr:uid="{5183C938-1372-47EF-BBAB-BBCA762E3279}"/>
    <cellStyle name="Normal 3 3 3 2 2 10 2 5" xfId="10303" xr:uid="{1232DFA6-0CC5-439E-97CB-B16950AC8F5C}"/>
    <cellStyle name="Normal 3 3 3 2 2 10 2 6" xfId="10304" xr:uid="{623CBE11-1015-4BB3-AB24-198F3DF68C7B}"/>
    <cellStyle name="Normal 3 3 3 2 2 10 2 7" xfId="10305" xr:uid="{4E704452-6A32-4643-B337-B378A8E9F055}"/>
    <cellStyle name="Normal 3 3 3 2 2 10 2 8" xfId="10306" xr:uid="{40405B1B-3225-4A4B-BB01-58CE56D3C41B}"/>
    <cellStyle name="Normal 3 3 3 2 2 10 3" xfId="10307" xr:uid="{2F6DF9BB-E26D-4BA4-9CA4-6183157E4B52}"/>
    <cellStyle name="Normal 3 3 3 2 2 10 4" xfId="10308" xr:uid="{B3C49393-DCF3-497A-AFD6-DFAF4AA364C6}"/>
    <cellStyle name="Normal 3 3 3 2 2 10 5" xfId="10309" xr:uid="{41592E77-201C-4F3F-A661-000930EF2877}"/>
    <cellStyle name="Normal 3 3 3 2 2 10 6" xfId="10310" xr:uid="{0D3C91F6-4A4E-446E-8318-103D63A4DFED}"/>
    <cellStyle name="Normal 3 3 3 2 2 10 7" xfId="10311" xr:uid="{BBD1F526-73F4-42F8-81FF-DAECFDD86340}"/>
    <cellStyle name="Normal 3 3 3 2 2 10 8" xfId="10312" xr:uid="{2018664C-9BC0-4802-9D36-F5143A2496EB}"/>
    <cellStyle name="Normal 3 3 3 2 2 10 9" xfId="10313" xr:uid="{4F518732-A33E-4EF2-A29C-C016180C7CD1}"/>
    <cellStyle name="Normal 3 3 3 2 2 11" xfId="10314" xr:uid="{3B8C5802-8C69-4768-83A1-50D276349859}"/>
    <cellStyle name="Normal 3 3 3 2 2 11 2" xfId="10315" xr:uid="{97876633-2817-4009-A5B7-3592D2E0CCA9}"/>
    <cellStyle name="Normal 3 3 3 2 2 11 3" xfId="10316" xr:uid="{B31000EB-217C-4787-937C-911A054F4667}"/>
    <cellStyle name="Normal 3 3 3 2 2 11 4" xfId="10317" xr:uid="{BF56C3F8-23E0-4A67-9AA7-7F60810789D6}"/>
    <cellStyle name="Normal 3 3 3 2 2 11 5" xfId="10318" xr:uid="{EBB08114-D6AC-40D8-BBF2-097512C8A8A1}"/>
    <cellStyle name="Normal 3 3 3 2 2 11 6" xfId="10319" xr:uid="{4D79D8A3-BBC9-407E-BEB0-69E180156D92}"/>
    <cellStyle name="Normal 3 3 3 2 2 11 7" xfId="10320" xr:uid="{19E70AD3-412E-46D0-8B9B-C7AD81F8E5C8}"/>
    <cellStyle name="Normal 3 3 3 2 2 11 8" xfId="10321" xr:uid="{4569EFBF-8079-420B-BF30-0819C3825C4A}"/>
    <cellStyle name="Normal 3 3 3 2 2 12" xfId="10322" xr:uid="{82A4C3F4-5A85-40BD-964F-CF07F5FEA4C1}"/>
    <cellStyle name="Normal 3 3 3 2 2 13" xfId="10323" xr:uid="{74B08623-FF56-4EF9-8F33-84E239F47206}"/>
    <cellStyle name="Normal 3 3 3 2 2 14" xfId="10324" xr:uid="{AB8AC62E-AA84-4CDA-891A-DDF463C4F604}"/>
    <cellStyle name="Normal 3 3 3 2 2 15" xfId="10325" xr:uid="{64157F3F-0D68-4D9B-8CA1-5E684B6E3F59}"/>
    <cellStyle name="Normal 3 3 3 2 2 16" xfId="10326" xr:uid="{C65F4AAF-2917-457F-9FB7-917250CCF42E}"/>
    <cellStyle name="Normal 3 3 3 2 2 17" xfId="10327" xr:uid="{705E875D-5781-4D06-A804-B2E667DB434F}"/>
    <cellStyle name="Normal 3 3 3 2 2 2" xfId="10328" xr:uid="{0E334909-E74E-4E9A-9273-54493817EB52}"/>
    <cellStyle name="Normal 3 3 3 2 2 2 10" xfId="10329" xr:uid="{948B5654-C35B-4DA9-9476-E9526B5632F1}"/>
    <cellStyle name="Normal 3 3 3 2 2 2 10 2" xfId="10330" xr:uid="{7410810C-27AA-4598-9AAF-4609867D6F6A}"/>
    <cellStyle name="Normal 3 3 3 2 2 2 10 2 2" xfId="10331" xr:uid="{DE222D3C-A5F5-4F2B-ABD5-4EF70F4AAFEE}"/>
    <cellStyle name="Normal 3 3 3 2 2 2 10 2 2 2" xfId="10332" xr:uid="{8FE008EE-6BDD-46E6-AC70-03A394B030E8}"/>
    <cellStyle name="Normal 3 3 3 2 2 2 10 2 2 3" xfId="10333" xr:uid="{2AEE992B-5F0F-4B2B-8DA8-120ECE625763}"/>
    <cellStyle name="Normal 3 3 3 2 2 2 10 2 2 4" xfId="10334" xr:uid="{BD425378-6C1A-476B-BF46-E086CF8A43EC}"/>
    <cellStyle name="Normal 3 3 3 2 2 2 10 2 2 5" xfId="10335" xr:uid="{FF403B3A-DE0B-4265-A75C-F7F595B283CB}"/>
    <cellStyle name="Normal 3 3 3 2 2 2 10 2 2 6" xfId="10336" xr:uid="{AEF794F4-091E-40B6-B9C4-009C8B070013}"/>
    <cellStyle name="Normal 3 3 3 2 2 2 10 2 2 7" xfId="10337" xr:uid="{CDFE76F3-F8E7-4512-87CC-A05FCF3D6F1F}"/>
    <cellStyle name="Normal 3 3 3 2 2 2 10 2 2 8" xfId="10338" xr:uid="{667AA74A-5DF5-47E0-B086-77288F9B00F3}"/>
    <cellStyle name="Normal 3 3 3 2 2 2 10 2 3" xfId="10339" xr:uid="{0BC2F574-3032-4151-98E4-3EFA17E2DBDB}"/>
    <cellStyle name="Normal 3 3 3 2 2 2 10 2 4" xfId="10340" xr:uid="{99C2AA57-71A9-428C-B0EF-89DD0680E528}"/>
    <cellStyle name="Normal 3 3 3 2 2 2 10 2 5" xfId="10341" xr:uid="{165BB3EB-F46C-4849-B71E-BC31BECD4A8A}"/>
    <cellStyle name="Normal 3 3 3 2 2 2 10 2 6" xfId="10342" xr:uid="{D2E1C103-A38C-407E-9A10-F871396BEB92}"/>
    <cellStyle name="Normal 3 3 3 2 2 2 10 2 7" xfId="10343" xr:uid="{C0E2557F-537C-4C49-8BF4-F098E4EE3619}"/>
    <cellStyle name="Normal 3 3 3 2 2 2 10 2 8" xfId="10344" xr:uid="{7D4E95B2-DE43-44DE-81FC-E151A21070AE}"/>
    <cellStyle name="Normal 3 3 3 2 2 2 10 3" xfId="10345" xr:uid="{5A707AB2-FB63-4BFB-8430-C8FE90C60A8F}"/>
    <cellStyle name="Normal 3 3 3 2 2 2 10 4" xfId="10346" xr:uid="{8B651808-9B96-4A11-83B8-D5AE06F3A36D}"/>
    <cellStyle name="Normal 3 3 3 2 2 2 10 5" xfId="10347" xr:uid="{59EC3F75-CAEB-4048-BCD0-F0404520824C}"/>
    <cellStyle name="Normal 3 3 3 2 2 2 10 6" xfId="10348" xr:uid="{57FBA3A7-CEC6-41D3-BC78-B790522216A3}"/>
    <cellStyle name="Normal 3 3 3 2 2 2 10 7" xfId="10349" xr:uid="{CFD9C5D8-5E95-4F32-85BC-4C694C4B263D}"/>
    <cellStyle name="Normal 3 3 3 2 2 2 10 8" xfId="10350" xr:uid="{734C7471-FA8F-4F64-A5A6-BCD9066C146E}"/>
    <cellStyle name="Normal 3 3 3 2 2 2 10 9" xfId="10351" xr:uid="{2FA00A72-C5AE-48A0-BB29-0EF10BB0DE57}"/>
    <cellStyle name="Normal 3 3 3 2 2 2 11" xfId="10352" xr:uid="{E6E70FA6-6EFE-476B-A298-3BA28CC66B42}"/>
    <cellStyle name="Normal 3 3 3 2 2 2 11 2" xfId="10353" xr:uid="{3D2562A5-317D-4CFF-88E5-84D3DCB86B23}"/>
    <cellStyle name="Normal 3 3 3 2 2 2 11 3" xfId="10354" xr:uid="{3BA53996-F9D1-4FDB-A8B0-56FE1BAB4667}"/>
    <cellStyle name="Normal 3 3 3 2 2 2 11 4" xfId="10355" xr:uid="{F70208F1-7B9B-49C6-B55A-5A2E4215548E}"/>
    <cellStyle name="Normal 3 3 3 2 2 2 11 5" xfId="10356" xr:uid="{19E757E7-8F8B-4C30-BC50-8B3B04167C5C}"/>
    <cellStyle name="Normal 3 3 3 2 2 2 11 6" xfId="10357" xr:uid="{DC86F9D6-17B0-4BED-8939-6749C3DC34EC}"/>
    <cellStyle name="Normal 3 3 3 2 2 2 11 7" xfId="10358" xr:uid="{9047C3E3-503A-4256-BC3D-A2B7CA82002F}"/>
    <cellStyle name="Normal 3 3 3 2 2 2 11 8" xfId="10359" xr:uid="{2EFA08B4-ED02-41B0-A386-4ED3A577C4A3}"/>
    <cellStyle name="Normal 3 3 3 2 2 2 12" xfId="10360" xr:uid="{3C717A3D-B5F5-4E4B-89B7-07D92FD3D69B}"/>
    <cellStyle name="Normal 3 3 3 2 2 2 13" xfId="10361" xr:uid="{30B9F193-58B5-4014-B3E8-543F3FFB14F5}"/>
    <cellStyle name="Normal 3 3 3 2 2 2 14" xfId="10362" xr:uid="{B359F9DA-AE9D-4F6F-B8A4-BC41F6576F49}"/>
    <cellStyle name="Normal 3 3 3 2 2 2 15" xfId="10363" xr:uid="{1CA39DA7-8D57-4018-B285-6E8FF2C7518C}"/>
    <cellStyle name="Normal 3 3 3 2 2 2 16" xfId="10364" xr:uid="{A29882B4-868D-4D16-871E-B2EAB0570414}"/>
    <cellStyle name="Normal 3 3 3 2 2 2 17" xfId="10365" xr:uid="{1424F780-9282-4DB8-9A16-A23FE4FB808D}"/>
    <cellStyle name="Normal 3 3 3 2 2 2 2" xfId="10366" xr:uid="{8761A7C0-5828-4599-91C7-BFF5129665E4}"/>
    <cellStyle name="Normal 3 3 3 2 2 2 2 10" xfId="10367" xr:uid="{E9B2340D-B1F3-40EF-82DD-D2059F5C8767}"/>
    <cellStyle name="Normal 3 3 3 2 2 2 2 2" xfId="10368" xr:uid="{B1255594-5273-4814-98D4-72AB23547ABD}"/>
    <cellStyle name="Normal 3 3 3 2 2 2 2 2 2" xfId="10369" xr:uid="{CE169420-7A74-4257-BBA7-ADD1F736CC49}"/>
    <cellStyle name="Normal 3 3 3 2 2 2 2 2 2 2" xfId="10370" xr:uid="{3A1438E4-6AF8-4B64-AB1A-233249A89921}"/>
    <cellStyle name="Normal 3 3 3 2 2 2 2 2 2 2 2" xfId="10371" xr:uid="{C96FBAA3-018F-4508-9D17-13A56EDF6811}"/>
    <cellStyle name="Normal 3 3 3 2 2 2 2 2 2 2 3" xfId="10372" xr:uid="{62F7CABD-E1B0-4FE2-8510-859421054906}"/>
    <cellStyle name="Normal 3 3 3 2 2 2 2 2 2 2 4" xfId="10373" xr:uid="{88D4BFD5-7E88-4E61-B1DB-CDE682D7C84A}"/>
    <cellStyle name="Normal 3 3 3 2 2 2 2 2 2 2 5" xfId="10374" xr:uid="{7BCD0FF8-C0D1-489D-B7A9-FC2FEC9A971F}"/>
    <cellStyle name="Normal 3 3 3 2 2 2 2 2 2 2 6" xfId="10375" xr:uid="{BDD9EDB9-F1B6-486E-B1B3-688404B0D584}"/>
    <cellStyle name="Normal 3 3 3 2 2 2 2 2 2 2 7" xfId="10376" xr:uid="{6E8F17AF-77D0-4070-85FA-7FA5B952DE9D}"/>
    <cellStyle name="Normal 3 3 3 2 2 2 2 2 2 2 8" xfId="10377" xr:uid="{F7CA1CAE-CAA0-4953-8597-2E6A8CB75BE9}"/>
    <cellStyle name="Normal 3 3 3 2 2 2 2 2 2 3" xfId="10378" xr:uid="{C469A5A4-CC78-477D-9002-349F31B6B648}"/>
    <cellStyle name="Normal 3 3 3 2 2 2 2 2 2 4" xfId="10379" xr:uid="{FD5A57D5-D216-4BA3-8E04-65C9A77487F0}"/>
    <cellStyle name="Normal 3 3 3 2 2 2 2 2 2 5" xfId="10380" xr:uid="{A5051CEE-F9E5-46F6-A722-A00F33809F59}"/>
    <cellStyle name="Normal 3 3 3 2 2 2 2 2 2 6" xfId="10381" xr:uid="{97ADFA23-F1F9-4B3A-93A8-4C245940F788}"/>
    <cellStyle name="Normal 3 3 3 2 2 2 2 2 2 7" xfId="10382" xr:uid="{54F231B8-5AFE-4623-9464-3F6D46B33A39}"/>
    <cellStyle name="Normal 3 3 3 2 2 2 2 2 2 8" xfId="10383" xr:uid="{AFD518F7-3C4B-4D96-A3A1-24A69FC41CEE}"/>
    <cellStyle name="Normal 3 3 3 2 2 2 2 2 3" xfId="10384" xr:uid="{30E5F108-6C33-4E5D-9BE7-EBB085A1A462}"/>
    <cellStyle name="Normal 3 3 3 2 2 2 2 2 4" xfId="10385" xr:uid="{20E5B06D-7822-4BD4-8B86-1A19DF5DC4F8}"/>
    <cellStyle name="Normal 3 3 3 2 2 2 2 2 5" xfId="10386" xr:uid="{448E2BB2-5B69-44D9-A00A-CF60326BF278}"/>
    <cellStyle name="Normal 3 3 3 2 2 2 2 2 6" xfId="10387" xr:uid="{50355DE4-C37A-4ACA-B3CE-A09FD85F7D4C}"/>
    <cellStyle name="Normal 3 3 3 2 2 2 2 2 7" xfId="10388" xr:uid="{F15CD6BD-6C19-4279-B582-79AABF52D8F1}"/>
    <cellStyle name="Normal 3 3 3 2 2 2 2 2 8" xfId="10389" xr:uid="{65E7ACB5-44F7-481D-804D-DC837FF89225}"/>
    <cellStyle name="Normal 3 3 3 2 2 2 2 2 9" xfId="10390" xr:uid="{93674E56-EA6D-4886-880C-7FFB9E92C8BA}"/>
    <cellStyle name="Normal 3 3 3 2 2 2 2 3" xfId="10391" xr:uid="{64986F1F-6170-40F7-A09D-051F80989E8A}"/>
    <cellStyle name="Normal 3 3 3 2 2 2 2 4" xfId="10392" xr:uid="{E8FBD1E6-7504-4D4E-A0DB-1580D8112C25}"/>
    <cellStyle name="Normal 3 3 3 2 2 2 2 4 2" xfId="10393" xr:uid="{4E9E3DEF-307E-45FC-82C5-6AD225182573}"/>
    <cellStyle name="Normal 3 3 3 2 2 2 2 4 3" xfId="10394" xr:uid="{BB5DD2AA-39B0-4A1F-8FE0-CDAE0A78744F}"/>
    <cellStyle name="Normal 3 3 3 2 2 2 2 4 4" xfId="10395" xr:uid="{449E7C4D-18D9-4465-A9F6-2417384D23CE}"/>
    <cellStyle name="Normal 3 3 3 2 2 2 2 4 5" xfId="10396" xr:uid="{9DA7017B-B0F3-4BE6-BC8A-61D3EAE8C532}"/>
    <cellStyle name="Normal 3 3 3 2 2 2 2 4 6" xfId="10397" xr:uid="{3B213CD7-39CD-48F1-97BA-35287EFD2CA1}"/>
    <cellStyle name="Normal 3 3 3 2 2 2 2 4 7" xfId="10398" xr:uid="{F947ED12-762D-4995-B19D-BB2AAD562DB4}"/>
    <cellStyle name="Normal 3 3 3 2 2 2 2 4 8" xfId="10399" xr:uid="{84C2599C-4261-4595-9275-0381FE1D560A}"/>
    <cellStyle name="Normal 3 3 3 2 2 2 2 5" xfId="10400" xr:uid="{5E8827C7-9997-4A3E-9AC2-3E060418A38D}"/>
    <cellStyle name="Normal 3 3 3 2 2 2 2 6" xfId="10401" xr:uid="{D8D1DDAB-80EC-4909-9C78-84B499E3B744}"/>
    <cellStyle name="Normal 3 3 3 2 2 2 2 7" xfId="10402" xr:uid="{F1D9A121-A541-438F-928C-43A71A7D77A7}"/>
    <cellStyle name="Normal 3 3 3 2 2 2 2 8" xfId="10403" xr:uid="{D80EA29D-D39A-4843-9051-FA1DAFBE753D}"/>
    <cellStyle name="Normal 3 3 3 2 2 2 2 9" xfId="10404" xr:uid="{20349494-E508-4322-8BB2-C3CFC83C21F8}"/>
    <cellStyle name="Normal 3 3 3 2 2 2 3" xfId="10405" xr:uid="{42BABE44-FF90-4980-ADED-1244834D1809}"/>
    <cellStyle name="Normal 3 3 3 2 2 2 4" xfId="10406" xr:uid="{326ACA00-8A7A-474F-8D82-5D2C567A2153}"/>
    <cellStyle name="Normal 3 3 3 2 2 2 5" xfId="10407" xr:uid="{1B049872-4522-49FF-9E50-44CD11BC1086}"/>
    <cellStyle name="Normal 3 3 3 2 2 2 6" xfId="10408" xr:uid="{F9249350-CA37-4763-98D6-DC98C7F1EC0F}"/>
    <cellStyle name="Normal 3 3 3 2 2 2 7" xfId="10409" xr:uid="{B92CD565-27D8-42EC-8FFC-C2D7E6592554}"/>
    <cellStyle name="Normal 3 3 3 2 2 2 8" xfId="10410" xr:uid="{DA9AA3F1-D2D4-425C-BB92-1F86A76E5128}"/>
    <cellStyle name="Normal 3 3 3 2 2 2 9" xfId="10411" xr:uid="{7A73904F-5F87-491B-983B-B182F88DB944}"/>
    <cellStyle name="Normal 3 3 3 2 2 3" xfId="10412" xr:uid="{A20066AC-FE41-4C7A-9822-3463A905BCE3}"/>
    <cellStyle name="Normal 3 3 3 2 2 3 10" xfId="10413" xr:uid="{A7011C12-D77C-40EF-AD78-AEF07D5F7EC3}"/>
    <cellStyle name="Normal 3 3 3 2 2 3 2" xfId="10414" xr:uid="{DEA52954-685B-47D4-8035-F018E8A5BCC1}"/>
    <cellStyle name="Normal 3 3 3 2 2 3 2 2" xfId="10415" xr:uid="{D91975AB-5255-4F06-B8AE-8AEF9E8562EE}"/>
    <cellStyle name="Normal 3 3 3 2 2 3 2 2 2" xfId="10416" xr:uid="{4CC90745-B53E-4EFD-B3F2-44E8EF39E29F}"/>
    <cellStyle name="Normal 3 3 3 2 2 3 2 2 2 2" xfId="10417" xr:uid="{3BE213D0-FECA-4728-AF9E-20F7A0C6E187}"/>
    <cellStyle name="Normal 3 3 3 2 2 3 2 2 2 3" xfId="10418" xr:uid="{EE273420-10EB-49C5-86C7-E7F11BDAA7A3}"/>
    <cellStyle name="Normal 3 3 3 2 2 3 2 2 2 4" xfId="10419" xr:uid="{4B6D2B97-3150-4EBE-8DF7-C1BF01A7E26C}"/>
    <cellStyle name="Normal 3 3 3 2 2 3 2 2 2 5" xfId="10420" xr:uid="{76F7BD86-6210-477D-A898-FC6173D968D9}"/>
    <cellStyle name="Normal 3 3 3 2 2 3 2 2 2 6" xfId="10421" xr:uid="{F6369A6A-8ECA-440E-98C1-E20669B557D2}"/>
    <cellStyle name="Normal 3 3 3 2 2 3 2 2 2 7" xfId="10422" xr:uid="{7C5F5DC7-29BD-409A-A8F7-DB884E68EABF}"/>
    <cellStyle name="Normal 3 3 3 2 2 3 2 2 2 8" xfId="10423" xr:uid="{D0C56C85-A6CA-465F-A04C-C898196EF1AF}"/>
    <cellStyle name="Normal 3 3 3 2 2 3 2 2 3" xfId="10424" xr:uid="{EF596456-CF03-4AD4-B232-CA72C8789AB7}"/>
    <cellStyle name="Normal 3 3 3 2 2 3 2 2 4" xfId="10425" xr:uid="{08A3A9DD-51DA-49A8-9466-84550B9AD599}"/>
    <cellStyle name="Normal 3 3 3 2 2 3 2 2 5" xfId="10426" xr:uid="{9AEDE4D4-5755-459C-A468-FAAFE4E2D427}"/>
    <cellStyle name="Normal 3 3 3 2 2 3 2 2 6" xfId="10427" xr:uid="{AC22BEFD-38D1-4CF8-8AC1-815B4D7AA475}"/>
    <cellStyle name="Normal 3 3 3 2 2 3 2 2 7" xfId="10428" xr:uid="{EE6ADDCD-E39C-4EDF-B581-7CA41AA84CED}"/>
    <cellStyle name="Normal 3 3 3 2 2 3 2 2 8" xfId="10429" xr:uid="{C6B53530-7D35-4374-ACFE-11F6BD71AD19}"/>
    <cellStyle name="Normal 3 3 3 2 2 3 2 3" xfId="10430" xr:uid="{420FD4A6-8A8D-48C2-B065-4529B2FE019C}"/>
    <cellStyle name="Normal 3 3 3 2 2 3 2 4" xfId="10431" xr:uid="{72299E0A-0726-43FC-9CD2-DB19547136F5}"/>
    <cellStyle name="Normal 3 3 3 2 2 3 2 5" xfId="10432" xr:uid="{25B8A8C5-FFBB-4615-AE57-21FCA084A7F3}"/>
    <cellStyle name="Normal 3 3 3 2 2 3 2 6" xfId="10433" xr:uid="{6D3D319B-FE31-4F71-AA89-DFEDA0FB2815}"/>
    <cellStyle name="Normal 3 3 3 2 2 3 2 7" xfId="10434" xr:uid="{F9379850-C5D1-42DB-9A24-CDCB854927DA}"/>
    <cellStyle name="Normal 3 3 3 2 2 3 2 8" xfId="10435" xr:uid="{9020027A-A96B-4EE8-9870-015760F72ACE}"/>
    <cellStyle name="Normal 3 3 3 2 2 3 2 9" xfId="10436" xr:uid="{317516FD-D137-4D02-BBE0-CDD41AB30034}"/>
    <cellStyle name="Normal 3 3 3 2 2 3 3" xfId="10437" xr:uid="{9C889C22-1B3A-4221-8D1C-C3B66CB16976}"/>
    <cellStyle name="Normal 3 3 3 2 2 3 4" xfId="10438" xr:uid="{33163128-166F-4615-B131-B9958DF77E00}"/>
    <cellStyle name="Normal 3 3 3 2 2 3 4 2" xfId="10439" xr:uid="{74745D96-9555-4095-AD8D-85EE17BD0F36}"/>
    <cellStyle name="Normal 3 3 3 2 2 3 4 3" xfId="10440" xr:uid="{FD3A349C-6517-4263-A392-647A7177437C}"/>
    <cellStyle name="Normal 3 3 3 2 2 3 4 4" xfId="10441" xr:uid="{5A682650-AEB2-451E-8B84-BE411C469DF4}"/>
    <cellStyle name="Normal 3 3 3 2 2 3 4 5" xfId="10442" xr:uid="{6BBE455A-1788-48C5-A372-E6C7031EC4F7}"/>
    <cellStyle name="Normal 3 3 3 2 2 3 4 6" xfId="10443" xr:uid="{B3180DAF-B596-48AE-9A95-194B7E0FFAAD}"/>
    <cellStyle name="Normal 3 3 3 2 2 3 4 7" xfId="10444" xr:uid="{B8BAAB29-5F86-4D54-B375-FCB978A6C39D}"/>
    <cellStyle name="Normal 3 3 3 2 2 3 4 8" xfId="10445" xr:uid="{AE529E15-706F-45E3-BCB5-84717587D088}"/>
    <cellStyle name="Normal 3 3 3 2 2 3 5" xfId="10446" xr:uid="{1EDD4094-DE4A-4EF3-A8D9-BB18D3C9DC0A}"/>
    <cellStyle name="Normal 3 3 3 2 2 3 6" xfId="10447" xr:uid="{3BE422C8-6CAF-40EE-93E6-CD52AE2F0706}"/>
    <cellStyle name="Normal 3 3 3 2 2 3 7" xfId="10448" xr:uid="{A3AA3D93-5CC3-414D-9851-67C8BAF97C3F}"/>
    <cellStyle name="Normal 3 3 3 2 2 3 8" xfId="10449" xr:uid="{B7F8E292-9819-4F3A-8C41-82722A6353D8}"/>
    <cellStyle name="Normal 3 3 3 2 2 3 9" xfId="10450" xr:uid="{499EE231-0E1D-4755-B15C-7DE60345D34B}"/>
    <cellStyle name="Normal 3 3 3 2 2 4" xfId="10451" xr:uid="{2323089E-316B-4EA6-A721-7DCE7E3ED593}"/>
    <cellStyle name="Normal 3 3 3 2 2 5" xfId="10452" xr:uid="{555B076A-A35B-4F2B-94FE-38ED47D9CC37}"/>
    <cellStyle name="Normal 3 3 3 2 2 6" xfId="10453" xr:uid="{44C36F9D-47E6-4187-8C64-722D20F8C023}"/>
    <cellStyle name="Normal 3 3 3 2 2 7" xfId="10454" xr:uid="{96FA259E-EA84-406B-AD50-B6FE796A725F}"/>
    <cellStyle name="Normal 3 3 3 2 2 8" xfId="10455" xr:uid="{C6B1A90E-798F-40D1-BEED-8EFE99BAC271}"/>
    <cellStyle name="Normal 3 3 3 2 2 9" xfId="10456" xr:uid="{AE8F2614-A7CE-4280-818D-642F86D06A7B}"/>
    <cellStyle name="Normal 3 3 3 2 20" xfId="10457" xr:uid="{67C874E1-19EF-4AE9-959B-8A02049B2956}"/>
    <cellStyle name="Normal 3 3 3 2 21" xfId="10458" xr:uid="{9790E5F3-3025-4CA7-8375-7A216AA6A910}"/>
    <cellStyle name="Normal 3 3 3 2 22" xfId="10459" xr:uid="{7DDAF019-868E-49FA-9DFE-228CC97D7715}"/>
    <cellStyle name="Normal 3 3 3 2 3" xfId="10460" xr:uid="{C268D05E-DD07-4AA3-BF7A-856BE8B4CE66}"/>
    <cellStyle name="Normal 3 3 3 2 4" xfId="10461" xr:uid="{BD7230BF-BC3C-4661-8679-6664CD3B21E5}"/>
    <cellStyle name="Normal 3 3 3 2 5" xfId="10462" xr:uid="{562AFDC9-1C71-4AED-A39F-9E56948A0A08}"/>
    <cellStyle name="Normal 3 3 3 2 6" xfId="10463" xr:uid="{8F876135-92C5-4536-B280-51B5ABA5490B}"/>
    <cellStyle name="Normal 3 3 3 2 7" xfId="10464" xr:uid="{837840DE-3182-47B3-A573-13E678ECF6C8}"/>
    <cellStyle name="Normal 3 3 3 2 7 10" xfId="10465" xr:uid="{215E05BB-8300-4228-8A9C-1BF0A61479A8}"/>
    <cellStyle name="Normal 3 3 3 2 7 2" xfId="10466" xr:uid="{ED06205A-64B9-443D-A871-85FED3357743}"/>
    <cellStyle name="Normal 3 3 3 2 7 2 2" xfId="10467" xr:uid="{FC7C6AE3-56F0-4D49-A7C0-F50B774E3491}"/>
    <cellStyle name="Normal 3 3 3 2 7 2 2 2" xfId="10468" xr:uid="{62EF8502-B7EA-4C1B-8BAB-A316E67514DA}"/>
    <cellStyle name="Normal 3 3 3 2 7 2 2 2 2" xfId="10469" xr:uid="{1BFE2560-0C64-4C83-B905-E4586022708D}"/>
    <cellStyle name="Normal 3 3 3 2 7 2 2 2 3" xfId="10470" xr:uid="{61A3F2B9-7C11-4076-98B0-089BFC2B76D1}"/>
    <cellStyle name="Normal 3 3 3 2 7 2 2 2 4" xfId="10471" xr:uid="{D0ABA69E-D1DA-4F4E-BBE3-D94327D89A7D}"/>
    <cellStyle name="Normal 3 3 3 2 7 2 2 2 5" xfId="10472" xr:uid="{A1B971B1-D498-4876-8858-A9BE7622E7DB}"/>
    <cellStyle name="Normal 3 3 3 2 7 2 2 2 6" xfId="10473" xr:uid="{3E732682-A0F9-435C-A77E-6320FB748F2A}"/>
    <cellStyle name="Normal 3 3 3 2 7 2 2 2 7" xfId="10474" xr:uid="{4FD6A027-A7FB-4EB3-A749-77131B5694E2}"/>
    <cellStyle name="Normal 3 3 3 2 7 2 2 2 8" xfId="10475" xr:uid="{5CED7258-AF85-49F7-89F1-E616E5626E9E}"/>
    <cellStyle name="Normal 3 3 3 2 7 2 2 3" xfId="10476" xr:uid="{27D0293D-01F5-422A-83FC-DC9EDD83391B}"/>
    <cellStyle name="Normal 3 3 3 2 7 2 2 4" xfId="10477" xr:uid="{0D49DDBC-8ED3-4188-BF92-7F78086250B5}"/>
    <cellStyle name="Normal 3 3 3 2 7 2 2 5" xfId="10478" xr:uid="{4CB61712-F053-486C-91ED-317F4E9051B9}"/>
    <cellStyle name="Normal 3 3 3 2 7 2 2 6" xfId="10479" xr:uid="{13ABDE25-8572-49CB-8400-D58AFC3802D7}"/>
    <cellStyle name="Normal 3 3 3 2 7 2 2 7" xfId="10480" xr:uid="{694EFC1C-E5FA-4C84-BAB3-A456A20D5B5F}"/>
    <cellStyle name="Normal 3 3 3 2 7 2 2 8" xfId="10481" xr:uid="{775BF8BC-B9FA-4733-BF3C-E2369D2328D7}"/>
    <cellStyle name="Normal 3 3 3 2 7 2 3" xfId="10482" xr:uid="{E5CAEFEE-29FE-483B-8902-3088A27CC128}"/>
    <cellStyle name="Normal 3 3 3 2 7 2 4" xfId="10483" xr:uid="{C005AFE0-D438-49A0-AB7A-5C3F21D43950}"/>
    <cellStyle name="Normal 3 3 3 2 7 2 5" xfId="10484" xr:uid="{D4273946-6A0D-47B4-AC62-498233AC9892}"/>
    <cellStyle name="Normal 3 3 3 2 7 2 6" xfId="10485" xr:uid="{02FB3A16-5C67-426B-9F68-97CA36A7162F}"/>
    <cellStyle name="Normal 3 3 3 2 7 2 7" xfId="10486" xr:uid="{D3390ACF-C00F-4D6D-BE3A-9302F81959B1}"/>
    <cellStyle name="Normal 3 3 3 2 7 2 8" xfId="10487" xr:uid="{F29A422D-FB74-4B4F-9BAF-81B5434DF8EB}"/>
    <cellStyle name="Normal 3 3 3 2 7 2 9" xfId="10488" xr:uid="{E6E114B9-DFE8-4809-9FB8-9DBB511F50C8}"/>
    <cellStyle name="Normal 3 3 3 2 7 3" xfId="10489" xr:uid="{17AA36DE-E2A1-46E4-B92F-8ED9BFB78B41}"/>
    <cellStyle name="Normal 3 3 3 2 7 4" xfId="10490" xr:uid="{EF09E74F-3A04-4358-9FBF-B98FCBF33F25}"/>
    <cellStyle name="Normal 3 3 3 2 7 4 2" xfId="10491" xr:uid="{D5206335-AFDB-4E33-AEA7-E71063A21766}"/>
    <cellStyle name="Normal 3 3 3 2 7 4 3" xfId="10492" xr:uid="{66EF5EF8-81D1-4F82-9E03-EC0204EA1BA6}"/>
    <cellStyle name="Normal 3 3 3 2 7 4 4" xfId="10493" xr:uid="{053BE401-6984-4EFB-BCE3-07954AE9177B}"/>
    <cellStyle name="Normal 3 3 3 2 7 4 5" xfId="10494" xr:uid="{707DE04C-16B7-48D6-8001-94B9B650C24D}"/>
    <cellStyle name="Normal 3 3 3 2 7 4 6" xfId="10495" xr:uid="{CAE65163-3E23-4D70-A8C3-2C47315A41F5}"/>
    <cellStyle name="Normal 3 3 3 2 7 4 7" xfId="10496" xr:uid="{69D85EFB-2CDF-4ED7-ACE7-34B5FB68F359}"/>
    <cellStyle name="Normal 3 3 3 2 7 4 8" xfId="10497" xr:uid="{A790BD69-CB08-4332-B97B-6431E7D36714}"/>
    <cellStyle name="Normal 3 3 3 2 7 5" xfId="10498" xr:uid="{90672AC1-C918-45C4-BFF6-6F4D01C41AFC}"/>
    <cellStyle name="Normal 3 3 3 2 7 6" xfId="10499" xr:uid="{2C48AB0A-1FDD-4D7F-AB27-E5DFC692F281}"/>
    <cellStyle name="Normal 3 3 3 2 7 7" xfId="10500" xr:uid="{6D132CF2-B237-4B16-9822-76D453E9C2BC}"/>
    <cellStyle name="Normal 3 3 3 2 7 8" xfId="10501" xr:uid="{55ED9AFE-F2CF-4FF4-B7F4-42C03964084A}"/>
    <cellStyle name="Normal 3 3 3 2 7 9" xfId="10502" xr:uid="{090461E8-B149-435D-83E7-930780AE8FA9}"/>
    <cellStyle name="Normal 3 3 3 2 8" xfId="10503" xr:uid="{873AAB7A-F5E5-4020-BA4D-7DCD7403EC55}"/>
    <cellStyle name="Normal 3 3 3 2 9" xfId="10504" xr:uid="{9B86F525-8E85-42F2-A6E1-80F2C7739421}"/>
    <cellStyle name="Normal 3 3 3 20" xfId="10505" xr:uid="{D608606B-02ED-4D53-8651-3A2174264A96}"/>
    <cellStyle name="Normal 3 3 3 21" xfId="10506" xr:uid="{325F1792-DE27-4F51-BB66-9A94EECCBD9D}"/>
    <cellStyle name="Normal 3 3 3 22" xfId="10507" xr:uid="{89477C02-5779-40B0-B8F6-BDBD61508BA4}"/>
    <cellStyle name="Normal 3 3 3 3" xfId="10508" xr:uid="{1B8E4FC6-6975-4B7E-A68E-CADE82659ADF}"/>
    <cellStyle name="Normal 3 3 3 3 10" xfId="10509" xr:uid="{41215751-D02F-4DB6-B36E-2F576F0AF6A8}"/>
    <cellStyle name="Normal 3 3 3 3 10 2" xfId="10510" xr:uid="{ACE68793-5AD9-4CFA-ABBD-4E9ECCE2817E}"/>
    <cellStyle name="Normal 3 3 3 3 10 2 2" xfId="10511" xr:uid="{4FAF085A-8964-429A-96E4-8A89CB57E59E}"/>
    <cellStyle name="Normal 3 3 3 3 10 2 2 2" xfId="10512" xr:uid="{6BCA09F2-E4D4-4932-B61A-3D07AF47A8FD}"/>
    <cellStyle name="Normal 3 3 3 3 10 2 2 3" xfId="10513" xr:uid="{43F0264D-A324-42D1-A22E-CCC641D6CD2B}"/>
    <cellStyle name="Normal 3 3 3 3 10 2 2 4" xfId="10514" xr:uid="{EEB4BABF-81A1-425A-911D-2267F9B2165A}"/>
    <cellStyle name="Normal 3 3 3 3 10 2 2 5" xfId="10515" xr:uid="{D2148A49-3A85-4850-8FF6-1D8075ABCEB3}"/>
    <cellStyle name="Normal 3 3 3 3 10 2 2 6" xfId="10516" xr:uid="{EC28F412-D83C-4042-B42E-34DC0B6FEB64}"/>
    <cellStyle name="Normal 3 3 3 3 10 2 2 7" xfId="10517" xr:uid="{AD5B4D72-9E17-45D7-A05E-879EFDFA3E22}"/>
    <cellStyle name="Normal 3 3 3 3 10 2 2 8" xfId="10518" xr:uid="{DF38572E-1BF0-4787-BE5D-1E2D78EC5D6E}"/>
    <cellStyle name="Normal 3 3 3 3 10 2 3" xfId="10519" xr:uid="{7DA9287B-8697-421B-95D4-20C23F25FCA9}"/>
    <cellStyle name="Normal 3 3 3 3 10 2 4" xfId="10520" xr:uid="{81B13118-3020-40EC-9D26-378E3DA9C4D3}"/>
    <cellStyle name="Normal 3 3 3 3 10 2 5" xfId="10521" xr:uid="{40A9D8DD-394F-411D-B6CF-CB796570775D}"/>
    <cellStyle name="Normal 3 3 3 3 10 2 6" xfId="10522" xr:uid="{628A90A7-67EB-43AA-8AE9-EF0BDB325F5F}"/>
    <cellStyle name="Normal 3 3 3 3 10 2 7" xfId="10523" xr:uid="{BE8A035B-24B0-4093-B405-29A5160D95D0}"/>
    <cellStyle name="Normal 3 3 3 3 10 2 8" xfId="10524" xr:uid="{96A65F0F-B17D-4041-9117-AEF03FA7C99F}"/>
    <cellStyle name="Normal 3 3 3 3 10 3" xfId="10525" xr:uid="{A8D65BB3-C8DC-4592-8EC3-968F86503259}"/>
    <cellStyle name="Normal 3 3 3 3 10 4" xfId="10526" xr:uid="{665D8C97-B455-465E-AB62-CD6859C6AB29}"/>
    <cellStyle name="Normal 3 3 3 3 10 5" xfId="10527" xr:uid="{8326B96C-0B5F-4829-B170-EA0744DB2E41}"/>
    <cellStyle name="Normal 3 3 3 3 10 6" xfId="10528" xr:uid="{4F287060-4826-4DA8-B77F-6DDA5DBD7ADA}"/>
    <cellStyle name="Normal 3 3 3 3 10 7" xfId="10529" xr:uid="{FB7B3CF1-BB56-4FDA-B0AB-3A2B1A74A87B}"/>
    <cellStyle name="Normal 3 3 3 3 10 8" xfId="10530" xr:uid="{051203AC-83ED-4EA5-91F4-5211B5373089}"/>
    <cellStyle name="Normal 3 3 3 3 10 9" xfId="10531" xr:uid="{2206ED3E-64BC-48E9-8E89-0C37F1AED304}"/>
    <cellStyle name="Normal 3 3 3 3 11" xfId="10532" xr:uid="{2B02DA71-D019-4974-9E55-BFDED6B33569}"/>
    <cellStyle name="Normal 3 3 3 3 11 2" xfId="10533" xr:uid="{EAB3C3D9-5666-47BA-A60E-545E2F353159}"/>
    <cellStyle name="Normal 3 3 3 3 11 3" xfId="10534" xr:uid="{7B1792FD-ACB3-432F-A30E-C65D37DA89FD}"/>
    <cellStyle name="Normal 3 3 3 3 11 4" xfId="10535" xr:uid="{67508740-862C-41B2-A532-186201A84C2C}"/>
    <cellStyle name="Normal 3 3 3 3 11 5" xfId="10536" xr:uid="{D9DDD8F2-A869-476B-93C2-9426369EA601}"/>
    <cellStyle name="Normal 3 3 3 3 11 6" xfId="10537" xr:uid="{94C121A2-4171-4F69-A192-83545B5AE313}"/>
    <cellStyle name="Normal 3 3 3 3 11 7" xfId="10538" xr:uid="{62014FF7-E19F-4B1D-AF6A-5A0A8C201990}"/>
    <cellStyle name="Normal 3 3 3 3 11 8" xfId="10539" xr:uid="{63F064FF-C10F-4A9D-9E21-2A0902F3C26D}"/>
    <cellStyle name="Normal 3 3 3 3 12" xfId="10540" xr:uid="{33D674D0-4591-416F-9C13-8BD7E7043DAF}"/>
    <cellStyle name="Normal 3 3 3 3 13" xfId="10541" xr:uid="{D686B426-53B8-4DCF-9350-8C329CE6FAC1}"/>
    <cellStyle name="Normal 3 3 3 3 14" xfId="10542" xr:uid="{EDB3B0FE-97BD-4120-85C4-C77628A7F660}"/>
    <cellStyle name="Normal 3 3 3 3 15" xfId="10543" xr:uid="{AAABE7E8-A5CE-45D6-9491-03E1A9761C04}"/>
    <cellStyle name="Normal 3 3 3 3 16" xfId="10544" xr:uid="{9FAC0B76-35E1-4E4E-BE41-58BD74797EF0}"/>
    <cellStyle name="Normal 3 3 3 3 17" xfId="10545" xr:uid="{3A93EFA0-983A-467E-8138-CAA5B41EDAE7}"/>
    <cellStyle name="Normal 3 3 3 3 2" xfId="10546" xr:uid="{3A166F3F-E8F9-493F-9361-4FA4FD3D4180}"/>
    <cellStyle name="Normal 3 3 3 3 2 10" xfId="10547" xr:uid="{FFDF8DB1-B101-47CA-A94A-A7CDEAD582B2}"/>
    <cellStyle name="Normal 3 3 3 3 2 10 2" xfId="10548" xr:uid="{B0142323-98A6-4779-909C-427D6F34B631}"/>
    <cellStyle name="Normal 3 3 3 3 2 10 2 2" xfId="10549" xr:uid="{898FBB2D-B36A-4BC5-9277-33A0E45BC3F1}"/>
    <cellStyle name="Normal 3 3 3 3 2 10 2 2 2" xfId="10550" xr:uid="{B37497C4-1DAA-4747-AB69-F02192B08C85}"/>
    <cellStyle name="Normal 3 3 3 3 2 10 2 2 3" xfId="10551" xr:uid="{F54EC6FB-D122-4BB6-AC36-3350676B1440}"/>
    <cellStyle name="Normal 3 3 3 3 2 10 2 2 4" xfId="10552" xr:uid="{FDC9B5C7-1DD8-43C6-B8D1-4B248800EB44}"/>
    <cellStyle name="Normal 3 3 3 3 2 10 2 2 5" xfId="10553" xr:uid="{647F4E6D-1DCB-4492-BF7B-B51A6BD1CF58}"/>
    <cellStyle name="Normal 3 3 3 3 2 10 2 2 6" xfId="10554" xr:uid="{2FF03897-FFDB-4AC6-9F33-3F04A8A7A752}"/>
    <cellStyle name="Normal 3 3 3 3 2 10 2 2 7" xfId="10555" xr:uid="{F9D580B6-819B-4E8A-A340-E688AE1731CD}"/>
    <cellStyle name="Normal 3 3 3 3 2 10 2 2 8" xfId="10556" xr:uid="{A1BE4C44-421B-446A-BFA3-E36C997DE2B5}"/>
    <cellStyle name="Normal 3 3 3 3 2 10 2 3" xfId="10557" xr:uid="{73F246CA-0606-4603-A65F-8538D77B4D5A}"/>
    <cellStyle name="Normal 3 3 3 3 2 10 2 4" xfId="10558" xr:uid="{B23D7026-DD2F-463D-83F2-EC56F45DF469}"/>
    <cellStyle name="Normal 3 3 3 3 2 10 2 5" xfId="10559" xr:uid="{B8A4C7DC-AB3D-4513-8E2D-02E8A1A17527}"/>
    <cellStyle name="Normal 3 3 3 3 2 10 2 6" xfId="10560" xr:uid="{B642197A-8730-47A6-97DC-D4FDB41189D1}"/>
    <cellStyle name="Normal 3 3 3 3 2 10 2 7" xfId="10561" xr:uid="{E1163BF6-C2C1-4B70-BD4C-B643A8328BC0}"/>
    <cellStyle name="Normal 3 3 3 3 2 10 2 8" xfId="10562" xr:uid="{1981CBE3-8A7E-42C0-B971-9A5C6B502765}"/>
    <cellStyle name="Normal 3 3 3 3 2 10 3" xfId="10563" xr:uid="{8F55D649-BB47-4C6E-B54B-59D5FC800E5A}"/>
    <cellStyle name="Normal 3 3 3 3 2 10 4" xfId="10564" xr:uid="{D043C129-4791-427E-8ECB-C3B1BDDEF0D3}"/>
    <cellStyle name="Normal 3 3 3 3 2 10 5" xfId="10565" xr:uid="{5E635D49-D1F6-455F-87D3-A21CBB78C789}"/>
    <cellStyle name="Normal 3 3 3 3 2 10 6" xfId="10566" xr:uid="{C0A07BE6-A8A0-4D4C-8353-FD806D9E5279}"/>
    <cellStyle name="Normal 3 3 3 3 2 10 7" xfId="10567" xr:uid="{9E096912-E3A4-4F04-97A8-789446FD5380}"/>
    <cellStyle name="Normal 3 3 3 3 2 10 8" xfId="10568" xr:uid="{566F61B3-AA0F-43F6-8831-0012E9A42EB0}"/>
    <cellStyle name="Normal 3 3 3 3 2 10 9" xfId="10569" xr:uid="{1C518E4D-219B-4B30-9A8F-49240D86D497}"/>
    <cellStyle name="Normal 3 3 3 3 2 11" xfId="10570" xr:uid="{BE3A60AF-E2BA-480B-A454-CCE793848FE3}"/>
    <cellStyle name="Normal 3 3 3 3 2 11 2" xfId="10571" xr:uid="{3A703508-41E7-4B49-B7DB-AEC2FD95CAE6}"/>
    <cellStyle name="Normal 3 3 3 3 2 11 3" xfId="10572" xr:uid="{3784E160-F94B-4350-9179-42A5A977963F}"/>
    <cellStyle name="Normal 3 3 3 3 2 11 4" xfId="10573" xr:uid="{6D3D26F7-4BD2-4558-8231-0CC22D6C1D2E}"/>
    <cellStyle name="Normal 3 3 3 3 2 11 5" xfId="10574" xr:uid="{3DB514DD-995E-478B-8F45-0ED9A92C4D54}"/>
    <cellStyle name="Normal 3 3 3 3 2 11 6" xfId="10575" xr:uid="{F8C90393-CF94-4035-9420-69F3D421E1FB}"/>
    <cellStyle name="Normal 3 3 3 3 2 11 7" xfId="10576" xr:uid="{BD8B0988-0C11-4A1F-82DC-31B0D8C9BD27}"/>
    <cellStyle name="Normal 3 3 3 3 2 11 8" xfId="10577" xr:uid="{773593E7-8A18-4F29-989A-3C34D270FAF8}"/>
    <cellStyle name="Normal 3 3 3 3 2 12" xfId="10578" xr:uid="{4FFAB01B-D68C-436E-ABB8-85C80089D4A0}"/>
    <cellStyle name="Normal 3 3 3 3 2 13" xfId="10579" xr:uid="{6586D81F-9C0B-4E8E-BD21-6D12CD7A840D}"/>
    <cellStyle name="Normal 3 3 3 3 2 14" xfId="10580" xr:uid="{AE16E86B-3795-41AA-9242-A807F727E685}"/>
    <cellStyle name="Normal 3 3 3 3 2 15" xfId="10581" xr:uid="{83122420-C09B-4811-8DC3-C90A1F725EA0}"/>
    <cellStyle name="Normal 3 3 3 3 2 16" xfId="10582" xr:uid="{AEBA1A60-4D62-4BF3-8182-3D8D815EB1BD}"/>
    <cellStyle name="Normal 3 3 3 3 2 17" xfId="10583" xr:uid="{4F4D6969-A165-440D-A333-971E16250439}"/>
    <cellStyle name="Normal 3 3 3 3 2 2" xfId="10584" xr:uid="{6AAADD4B-0396-4A97-A8EC-C3C0929C5CBC}"/>
    <cellStyle name="Normal 3 3 3 3 2 2 10" xfId="10585" xr:uid="{D6C30994-F1FF-4BAD-97C4-6A3DCD0BEBDC}"/>
    <cellStyle name="Normal 3 3 3 3 2 2 2" xfId="10586" xr:uid="{487DB438-706E-4422-B265-3A2B09D9419A}"/>
    <cellStyle name="Normal 3 3 3 3 2 2 2 2" xfId="10587" xr:uid="{B8274810-4DF9-4F57-9321-24A64B588420}"/>
    <cellStyle name="Normal 3 3 3 3 2 2 2 2 2" xfId="10588" xr:uid="{4D5C20B3-D699-461D-9745-800EE0BDFD2F}"/>
    <cellStyle name="Normal 3 3 3 3 2 2 2 2 2 2" xfId="10589" xr:uid="{CA526D16-0E21-4741-8613-517B13665281}"/>
    <cellStyle name="Normal 3 3 3 3 2 2 2 2 2 3" xfId="10590" xr:uid="{C52C3B88-DD50-4671-ACF3-D391241F5A49}"/>
    <cellStyle name="Normal 3 3 3 3 2 2 2 2 2 4" xfId="10591" xr:uid="{CAAA9ADC-98E3-4EB8-B629-AF0A01D9EB74}"/>
    <cellStyle name="Normal 3 3 3 3 2 2 2 2 2 5" xfId="10592" xr:uid="{0506D31C-6810-48E8-9B0E-D1E3906E92A3}"/>
    <cellStyle name="Normal 3 3 3 3 2 2 2 2 2 6" xfId="10593" xr:uid="{C8E6F88B-A838-44AF-9830-C5DEBD85FA00}"/>
    <cellStyle name="Normal 3 3 3 3 2 2 2 2 2 7" xfId="10594" xr:uid="{F972450A-E95A-4BBD-87DE-4C2AE241906B}"/>
    <cellStyle name="Normal 3 3 3 3 2 2 2 2 2 8" xfId="10595" xr:uid="{1AA35990-0E3B-4BE5-A6D4-281E3BDABD25}"/>
    <cellStyle name="Normal 3 3 3 3 2 2 2 2 3" xfId="10596" xr:uid="{05642182-04C1-46EA-860B-B6D26437AF32}"/>
    <cellStyle name="Normal 3 3 3 3 2 2 2 2 4" xfId="10597" xr:uid="{42532A43-8D04-4B4C-810A-FACC0663E271}"/>
    <cellStyle name="Normal 3 3 3 3 2 2 2 2 5" xfId="10598" xr:uid="{136387FC-FFD8-47CC-AEF8-6DB025BCC6B1}"/>
    <cellStyle name="Normal 3 3 3 3 2 2 2 2 6" xfId="10599" xr:uid="{A4842231-59BE-42B5-BAFC-1AC5FAD6F89B}"/>
    <cellStyle name="Normal 3 3 3 3 2 2 2 2 7" xfId="10600" xr:uid="{BDDCDB1B-3C6F-4860-BA54-FC0F386D4DEA}"/>
    <cellStyle name="Normal 3 3 3 3 2 2 2 2 8" xfId="10601" xr:uid="{12E278EF-B731-41E7-8BB5-A39BE66D2C3D}"/>
    <cellStyle name="Normal 3 3 3 3 2 2 2 3" xfId="10602" xr:uid="{0A983B78-F115-444C-A69B-72F7E946E0F0}"/>
    <cellStyle name="Normal 3 3 3 3 2 2 2 4" xfId="10603" xr:uid="{54D33798-6CC1-410B-87DF-D36BD3260A2B}"/>
    <cellStyle name="Normal 3 3 3 3 2 2 2 5" xfId="10604" xr:uid="{3B73BD2E-131C-4BAD-A5EE-19F94C02E96D}"/>
    <cellStyle name="Normal 3 3 3 3 2 2 2 6" xfId="10605" xr:uid="{9632D8AB-0341-41C7-B66D-5EC6E4B18730}"/>
    <cellStyle name="Normal 3 3 3 3 2 2 2 7" xfId="10606" xr:uid="{804CC49B-552B-4860-98F8-7E00D0F5172B}"/>
    <cellStyle name="Normal 3 3 3 3 2 2 2 8" xfId="10607" xr:uid="{F917C194-856C-4134-B5F0-851624FF5BB6}"/>
    <cellStyle name="Normal 3 3 3 3 2 2 2 9" xfId="10608" xr:uid="{D3916272-F12D-47D8-B871-E7C878DD876F}"/>
    <cellStyle name="Normal 3 3 3 3 2 2 3" xfId="10609" xr:uid="{0DB0136B-C84B-48D2-8D30-2DDE390F537C}"/>
    <cellStyle name="Normal 3 3 3 3 2 2 4" xfId="10610" xr:uid="{F597D39C-26E8-44B6-B68C-0EDCBD3E6C56}"/>
    <cellStyle name="Normal 3 3 3 3 2 2 4 2" xfId="10611" xr:uid="{6C21EADC-7A23-4C0C-ADB7-CDB2D226D1E0}"/>
    <cellStyle name="Normal 3 3 3 3 2 2 4 3" xfId="10612" xr:uid="{B21EA226-D314-4F77-9E75-BAA1639D3B19}"/>
    <cellStyle name="Normal 3 3 3 3 2 2 4 4" xfId="10613" xr:uid="{D71A4578-6F58-4C93-86D6-EAE466F0503A}"/>
    <cellStyle name="Normal 3 3 3 3 2 2 4 5" xfId="10614" xr:uid="{3307080B-84E2-4EF8-859D-BAA08CFDCE20}"/>
    <cellStyle name="Normal 3 3 3 3 2 2 4 6" xfId="10615" xr:uid="{143593A5-7982-434D-BDB4-46E6BAABE6CE}"/>
    <cellStyle name="Normal 3 3 3 3 2 2 4 7" xfId="10616" xr:uid="{EC68CAE7-EA5F-4CBC-9418-A6BC84EED448}"/>
    <cellStyle name="Normal 3 3 3 3 2 2 4 8" xfId="10617" xr:uid="{280CD527-4FAA-4FA4-9CB9-1C4BDEC5E5D2}"/>
    <cellStyle name="Normal 3 3 3 3 2 2 5" xfId="10618" xr:uid="{D9AD611B-8EAF-4B59-B466-FD840B6A7791}"/>
    <cellStyle name="Normal 3 3 3 3 2 2 6" xfId="10619" xr:uid="{88390A0E-1362-4294-A46B-54B8D3523914}"/>
    <cellStyle name="Normal 3 3 3 3 2 2 7" xfId="10620" xr:uid="{925BE44C-6C45-4BE2-A8E8-01C1E755AF84}"/>
    <cellStyle name="Normal 3 3 3 3 2 2 8" xfId="10621" xr:uid="{7FEFACE2-A53A-47BA-819C-24B0E64FA9A2}"/>
    <cellStyle name="Normal 3 3 3 3 2 2 9" xfId="10622" xr:uid="{3C334A63-AAEF-4195-86D7-42A1DEA01F01}"/>
    <cellStyle name="Normal 3 3 3 3 2 3" xfId="10623" xr:uid="{9CAF1D43-9F21-4966-A30D-42496BD2D080}"/>
    <cellStyle name="Normal 3 3 3 3 2 4" xfId="10624" xr:uid="{D352B1F2-7CF3-4C4B-9407-7AF5841AEED9}"/>
    <cellStyle name="Normal 3 3 3 3 2 5" xfId="10625" xr:uid="{55F45DDB-0687-446A-99C7-0979F243C046}"/>
    <cellStyle name="Normal 3 3 3 3 2 6" xfId="10626" xr:uid="{6A9EE79F-E4E7-4CB9-82C0-BA3EC45434C7}"/>
    <cellStyle name="Normal 3 3 3 3 2 7" xfId="10627" xr:uid="{143C8199-8A35-463D-A84A-9F8E94EE8549}"/>
    <cellStyle name="Normal 3 3 3 3 2 8" xfId="10628" xr:uid="{ADA0D542-92E5-42EB-B753-F5893AE6851A}"/>
    <cellStyle name="Normal 3 3 3 3 2 9" xfId="10629" xr:uid="{90679ED7-E015-4073-A573-6FB800F7CB68}"/>
    <cellStyle name="Normal 3 3 3 3 3" xfId="10630" xr:uid="{616AEE5E-66C9-4DF8-8556-216AF2874077}"/>
    <cellStyle name="Normal 3 3 3 3 3 10" xfId="10631" xr:uid="{F345B1F0-2A34-4E26-A716-5A52E8D7D3D4}"/>
    <cellStyle name="Normal 3 3 3 3 3 2" xfId="10632" xr:uid="{AF83B5A2-0F03-41C3-8CD7-0367ECC9F8E0}"/>
    <cellStyle name="Normal 3 3 3 3 3 2 2" xfId="10633" xr:uid="{3AF62EB3-002E-424E-BC3D-8399D959BD7D}"/>
    <cellStyle name="Normal 3 3 3 3 3 2 2 2" xfId="10634" xr:uid="{0CAF964B-4600-423F-A010-444961DE1BF6}"/>
    <cellStyle name="Normal 3 3 3 3 3 2 2 2 2" xfId="10635" xr:uid="{C89B6367-A820-47E3-8F8A-46977A08172C}"/>
    <cellStyle name="Normal 3 3 3 3 3 2 2 2 3" xfId="10636" xr:uid="{F2748BA9-18C7-4AF3-9E17-66F4A1AF8E44}"/>
    <cellStyle name="Normal 3 3 3 3 3 2 2 2 4" xfId="10637" xr:uid="{0903329C-285E-4C5A-B85F-2CC888A4FD61}"/>
    <cellStyle name="Normal 3 3 3 3 3 2 2 2 5" xfId="10638" xr:uid="{3136A075-BCA4-4C9D-9EE5-904180026966}"/>
    <cellStyle name="Normal 3 3 3 3 3 2 2 2 6" xfId="10639" xr:uid="{BE7356D0-F89E-49E1-A381-5EE41B92A968}"/>
    <cellStyle name="Normal 3 3 3 3 3 2 2 2 7" xfId="10640" xr:uid="{6A7143BB-31CC-42F3-AE4F-3D0E5EFFDA14}"/>
    <cellStyle name="Normal 3 3 3 3 3 2 2 2 8" xfId="10641" xr:uid="{D9F123EF-6FF7-423B-ACBF-C55E7545B382}"/>
    <cellStyle name="Normal 3 3 3 3 3 2 2 3" xfId="10642" xr:uid="{95462DCB-C313-4933-875C-3B286BD6E1CC}"/>
    <cellStyle name="Normal 3 3 3 3 3 2 2 4" xfId="10643" xr:uid="{B55B9D8B-FE79-4D34-856E-87562D377538}"/>
    <cellStyle name="Normal 3 3 3 3 3 2 2 5" xfId="10644" xr:uid="{7C048963-40D1-47BB-B166-F58133B9679F}"/>
    <cellStyle name="Normal 3 3 3 3 3 2 2 6" xfId="10645" xr:uid="{9EE6A3DA-BE51-4EFC-B39B-15C720BA3D60}"/>
    <cellStyle name="Normal 3 3 3 3 3 2 2 7" xfId="10646" xr:uid="{4E0965EB-2C24-4C44-AEBF-7A1E1E14761A}"/>
    <cellStyle name="Normal 3 3 3 3 3 2 2 8" xfId="10647" xr:uid="{44068F7F-F315-431D-890B-E5642B55E294}"/>
    <cellStyle name="Normal 3 3 3 3 3 2 3" xfId="10648" xr:uid="{48C9A092-6263-4459-996E-EA55E35B9201}"/>
    <cellStyle name="Normal 3 3 3 3 3 2 4" xfId="10649" xr:uid="{3FC2269C-D75C-457D-8DFA-35F0EBEBF13A}"/>
    <cellStyle name="Normal 3 3 3 3 3 2 5" xfId="10650" xr:uid="{111B66E5-EF60-43CD-AD91-31A04D7AEBA3}"/>
    <cellStyle name="Normal 3 3 3 3 3 2 6" xfId="10651" xr:uid="{395B5F61-0C98-4BF0-A26C-EF16D911B96B}"/>
    <cellStyle name="Normal 3 3 3 3 3 2 7" xfId="10652" xr:uid="{85001078-6B34-4FBF-9A3E-F491E8F77659}"/>
    <cellStyle name="Normal 3 3 3 3 3 2 8" xfId="10653" xr:uid="{DB655758-A16C-4C83-8D99-C65F3AA9B2F1}"/>
    <cellStyle name="Normal 3 3 3 3 3 2 9" xfId="10654" xr:uid="{DDFE956A-EAD4-4D59-8AA4-5D9ED54B0E69}"/>
    <cellStyle name="Normal 3 3 3 3 3 3" xfId="10655" xr:uid="{56D9D995-1D92-46E6-9F2C-D82053409415}"/>
    <cellStyle name="Normal 3 3 3 3 3 4" xfId="10656" xr:uid="{311C79DA-2BDF-445D-BA5A-5D2BAEE4A00F}"/>
    <cellStyle name="Normal 3 3 3 3 3 4 2" xfId="10657" xr:uid="{EF950D14-58DA-4157-A036-D59CDC4AF8F2}"/>
    <cellStyle name="Normal 3 3 3 3 3 4 3" xfId="10658" xr:uid="{4E78BDB1-E57C-4F1F-ACC2-690E586A14F3}"/>
    <cellStyle name="Normal 3 3 3 3 3 4 4" xfId="10659" xr:uid="{F15E14D3-4D9D-49DC-AE1B-547A0BB37C79}"/>
    <cellStyle name="Normal 3 3 3 3 3 4 5" xfId="10660" xr:uid="{6D516787-787B-4F30-AB6A-C9ACF3F9BBD0}"/>
    <cellStyle name="Normal 3 3 3 3 3 4 6" xfId="10661" xr:uid="{F7E14C0F-8726-4417-A640-95B65306E2F5}"/>
    <cellStyle name="Normal 3 3 3 3 3 4 7" xfId="10662" xr:uid="{BBDC0CC0-79A8-4A90-B8B0-D3CCA18C9BF4}"/>
    <cellStyle name="Normal 3 3 3 3 3 4 8" xfId="10663" xr:uid="{C712CD97-C333-4E79-907A-F7BEED5C6F9E}"/>
    <cellStyle name="Normal 3 3 3 3 3 5" xfId="10664" xr:uid="{587E65FD-5F2E-40B3-9E21-B65106EBB761}"/>
    <cellStyle name="Normal 3 3 3 3 3 6" xfId="10665" xr:uid="{85D3B786-E04F-488A-AF53-532F46CD3DEC}"/>
    <cellStyle name="Normal 3 3 3 3 3 7" xfId="10666" xr:uid="{6DE67047-90FC-4C49-BB93-6A7CF3624E60}"/>
    <cellStyle name="Normal 3 3 3 3 3 8" xfId="10667" xr:uid="{89ADDAB3-5322-4909-A4FE-2D4914ED3CB3}"/>
    <cellStyle name="Normal 3 3 3 3 3 9" xfId="10668" xr:uid="{930E0430-8515-472E-AB7D-F302D59DDE61}"/>
    <cellStyle name="Normal 3 3 3 3 4" xfId="10669" xr:uid="{0A1FB89B-59DE-472F-97E9-F00C3B46FD91}"/>
    <cellStyle name="Normal 3 3 3 3 5" xfId="10670" xr:uid="{95990E68-78A3-4C24-96A3-30AB08538D8A}"/>
    <cellStyle name="Normal 3 3 3 3 6" xfId="10671" xr:uid="{B4FD4182-BE8D-4CED-9290-64A8805623D0}"/>
    <cellStyle name="Normal 3 3 3 3 7" xfId="10672" xr:uid="{899ED24A-CD27-41C9-BE5C-9E68F416DC71}"/>
    <cellStyle name="Normal 3 3 3 3 8" xfId="10673" xr:uid="{9F74492B-5D4C-4560-88CA-3D2B3661FA11}"/>
    <cellStyle name="Normal 3 3 3 3 9" xfId="10674" xr:uid="{95CAF149-0E25-48B2-9785-A5EA92162B5B}"/>
    <cellStyle name="Normal 3 3 3 4" xfId="10675" xr:uid="{41CF03B8-D9C5-45A4-B419-5950BD70EFDB}"/>
    <cellStyle name="Normal 3 3 3 5" xfId="10676" xr:uid="{C5B748ED-1BF3-4CCD-B1AC-5FBB297194CE}"/>
    <cellStyle name="Normal 3 3 3 6" xfId="10677" xr:uid="{7C762F2B-2652-4D6E-B474-135AFF53E163}"/>
    <cellStyle name="Normal 3 3 3 7" xfId="10678" xr:uid="{9BC497E9-A380-4701-9DA7-588F89598AED}"/>
    <cellStyle name="Normal 3 3 3 7 10" xfId="10679" xr:uid="{E940F67B-454C-4BBC-B3DD-035E590FB9F5}"/>
    <cellStyle name="Normal 3 3 3 7 2" xfId="10680" xr:uid="{18B05F84-9DC5-4439-B830-07E13202BAB3}"/>
    <cellStyle name="Normal 3 3 3 7 2 2" xfId="10681" xr:uid="{055BA9F3-DEEC-4661-BB27-93E7B6A142A4}"/>
    <cellStyle name="Normal 3 3 3 7 2 2 2" xfId="10682" xr:uid="{B78DFE92-8145-42B1-AF84-48237BF36DE5}"/>
    <cellStyle name="Normal 3 3 3 7 2 2 2 2" xfId="10683" xr:uid="{A5540125-3D5C-4826-B35F-1FC5A7FC5872}"/>
    <cellStyle name="Normal 3 3 3 7 2 2 2 3" xfId="10684" xr:uid="{EA1A7E43-6652-4DAE-94AE-09A4534CB5D7}"/>
    <cellStyle name="Normal 3 3 3 7 2 2 2 4" xfId="10685" xr:uid="{82806CAB-A434-4B45-8702-9E93E94062B7}"/>
    <cellStyle name="Normal 3 3 3 7 2 2 2 5" xfId="10686" xr:uid="{FB911E73-5106-44C0-9A86-A7056BB2D025}"/>
    <cellStyle name="Normal 3 3 3 7 2 2 2 6" xfId="10687" xr:uid="{7B825716-EA9F-4311-B203-00F948A1DE91}"/>
    <cellStyle name="Normal 3 3 3 7 2 2 2 7" xfId="10688" xr:uid="{A6BDFC6E-1E19-4138-8BF3-311C31CF52CE}"/>
    <cellStyle name="Normal 3 3 3 7 2 2 2 8" xfId="10689" xr:uid="{185EB992-4331-4C2E-9B43-3E77F483B86F}"/>
    <cellStyle name="Normal 3 3 3 7 2 2 3" xfId="10690" xr:uid="{279349E4-68A8-4B93-BE20-B19BB8001A3B}"/>
    <cellStyle name="Normal 3 3 3 7 2 2 4" xfId="10691" xr:uid="{180C1E39-06DB-45EA-BA23-E663E6DB5521}"/>
    <cellStyle name="Normal 3 3 3 7 2 2 5" xfId="10692" xr:uid="{34549AA3-E3D0-4A1C-8A74-42081F938391}"/>
    <cellStyle name="Normal 3 3 3 7 2 2 6" xfId="10693" xr:uid="{7FA58E07-1253-4127-BA3B-996A90E4E101}"/>
    <cellStyle name="Normal 3 3 3 7 2 2 7" xfId="10694" xr:uid="{E5726ACB-446F-4731-9682-F6D11319CE88}"/>
    <cellStyle name="Normal 3 3 3 7 2 2 8" xfId="10695" xr:uid="{4819B280-1380-496C-A8DC-28745A5672B6}"/>
    <cellStyle name="Normal 3 3 3 7 2 3" xfId="10696" xr:uid="{79151937-7797-41A6-A3F9-E4C973E721F6}"/>
    <cellStyle name="Normal 3 3 3 7 2 4" xfId="10697" xr:uid="{F4858228-8A95-4CC5-B218-04990FD60ABC}"/>
    <cellStyle name="Normal 3 3 3 7 2 5" xfId="10698" xr:uid="{C7DFDEFC-C38F-4F68-938F-A637E744A518}"/>
    <cellStyle name="Normal 3 3 3 7 2 6" xfId="10699" xr:uid="{2C1DB1DB-B6FC-48F8-AC04-33F2F8E40028}"/>
    <cellStyle name="Normal 3 3 3 7 2 7" xfId="10700" xr:uid="{12DF4E8B-D71D-4B73-A161-A8646C49BD4D}"/>
    <cellStyle name="Normal 3 3 3 7 2 8" xfId="10701" xr:uid="{5AE1CD15-0C6A-4D9F-8794-9D23B622D5FC}"/>
    <cellStyle name="Normal 3 3 3 7 2 9" xfId="10702" xr:uid="{BAFE9CDC-8315-405D-B85C-728F81F5CF7E}"/>
    <cellStyle name="Normal 3 3 3 7 3" xfId="10703" xr:uid="{7A08D05F-7C00-4D82-B166-241644BC9C87}"/>
    <cellStyle name="Normal 3 3 3 7 4" xfId="10704" xr:uid="{30B4CD44-8BD5-457B-B527-66173DCB6D62}"/>
    <cellStyle name="Normal 3 3 3 7 4 2" xfId="10705" xr:uid="{E04CD2A1-4399-424D-89EB-3CDAF80748DB}"/>
    <cellStyle name="Normal 3 3 3 7 4 3" xfId="10706" xr:uid="{9762C0EB-3B0A-4B26-8BC9-C310748848CC}"/>
    <cellStyle name="Normal 3 3 3 7 4 4" xfId="10707" xr:uid="{41C191A4-BC0D-4659-810B-F0AB64FA5F49}"/>
    <cellStyle name="Normal 3 3 3 7 4 5" xfId="10708" xr:uid="{0B0347BD-D923-4813-B8F9-2BB21DC73CC2}"/>
    <cellStyle name="Normal 3 3 3 7 4 6" xfId="10709" xr:uid="{25DCC97D-0850-47BC-B613-482C922F4FFA}"/>
    <cellStyle name="Normal 3 3 3 7 4 7" xfId="10710" xr:uid="{0A666C33-B589-45AE-9F23-80CE535BD7CF}"/>
    <cellStyle name="Normal 3 3 3 7 4 8" xfId="10711" xr:uid="{C270A484-0455-4994-8ABC-2F54A4C09096}"/>
    <cellStyle name="Normal 3 3 3 7 5" xfId="10712" xr:uid="{BC7EA1F9-8B42-4E64-AAB8-7C31702F6074}"/>
    <cellStyle name="Normal 3 3 3 7 6" xfId="10713" xr:uid="{82CFEC5E-44E8-468D-85FE-F5CE7AF87DED}"/>
    <cellStyle name="Normal 3 3 3 7 7" xfId="10714" xr:uid="{B358B971-B60E-4C91-A3ED-709F485BF39A}"/>
    <cellStyle name="Normal 3 3 3 7 8" xfId="10715" xr:uid="{9B1DA87A-1C18-40CC-BA06-0AE11D8D39B8}"/>
    <cellStyle name="Normal 3 3 3 7 9" xfId="10716" xr:uid="{D90BAC1A-DBF4-4382-8884-C14FF89EECF0}"/>
    <cellStyle name="Normal 3 3 3 8" xfId="10717" xr:uid="{D0C5C151-B86A-4674-9F89-86DA89AF1EC5}"/>
    <cellStyle name="Normal 3 3 3 9" xfId="10718" xr:uid="{5DE6E918-2D06-4A5C-A0D6-344CD5C351FF}"/>
    <cellStyle name="Normal 3 3 30" xfId="10719" xr:uid="{2E390788-989B-4F5F-996E-5EB4046E85C4}"/>
    <cellStyle name="Normal 3 3 31" xfId="10720" xr:uid="{1A2992D3-F8AB-417C-94E9-1AD293761C57}"/>
    <cellStyle name="Normal 3 3 32" xfId="10721" xr:uid="{A0033518-4547-4EBF-8230-8760E1F58D9E}"/>
    <cellStyle name="Normal 3 3 33" xfId="10722" xr:uid="{2DD355B2-BDF8-48F1-9309-561AFCE0687B}"/>
    <cellStyle name="Normal 3 3 34" xfId="10723" xr:uid="{FB934598-A632-4CA7-AAA1-C7033734118C}"/>
    <cellStyle name="Normal 3 3 35" xfId="10724" xr:uid="{DBDB9BD9-E588-4A3F-AF27-BF032A46185F}"/>
    <cellStyle name="Normal 3 3 36" xfId="10725" xr:uid="{DED9FF72-82BC-4CCE-AE65-903F0675A7FD}"/>
    <cellStyle name="Normal 3 3 36 2" xfId="10726" xr:uid="{20160575-D7B1-4E89-8EC3-6D457DC9A4D7}"/>
    <cellStyle name="Normal 3 3 36 2 2" xfId="10727" xr:uid="{70529CAA-E462-4E65-8E73-3EAA7C7899F3}"/>
    <cellStyle name="Normal 3 3 36 2 2 2" xfId="10728" xr:uid="{9DF8D0CC-5097-4709-8CE9-2F75380C2CF0}"/>
    <cellStyle name="Normal 3 3 36 2 2 3" xfId="10729" xr:uid="{3E880698-01E4-464D-846C-40BAFC3F952D}"/>
    <cellStyle name="Normal 3 3 36 2 2 4" xfId="10730" xr:uid="{A725E40F-A64D-4251-9E2D-7FF32B3C7FC3}"/>
    <cellStyle name="Normal 3 3 36 2 2 5" xfId="10731" xr:uid="{394A7F1C-0A1F-4EFC-8CEA-7D939F30F1A7}"/>
    <cellStyle name="Normal 3 3 36 2 2 6" xfId="10732" xr:uid="{74F36047-2573-4DC1-9282-24281ED60658}"/>
    <cellStyle name="Normal 3 3 36 2 2 7" xfId="10733" xr:uid="{955DFCAF-E922-489A-A22F-E749EE13336B}"/>
    <cellStyle name="Normal 3 3 36 2 2 8" xfId="10734" xr:uid="{A76156CF-E8C8-4111-9499-9746D4298549}"/>
    <cellStyle name="Normal 3 3 36 2 3" xfId="10735" xr:uid="{BF672F27-180F-4AFA-879B-AF75DAE5C4D3}"/>
    <cellStyle name="Normal 3 3 36 2 4" xfId="10736" xr:uid="{743B039D-A0B3-42A1-9DAA-F3F4CADEDAD3}"/>
    <cellStyle name="Normal 3 3 36 2 5" xfId="10737" xr:uid="{FE97F87D-90DC-40A3-9247-7BD255608B67}"/>
    <cellStyle name="Normal 3 3 36 2 6" xfId="10738" xr:uid="{43B907D0-FD03-41EB-AF75-B90FBCF4216A}"/>
    <cellStyle name="Normal 3 3 36 2 7" xfId="10739" xr:uid="{28DA0976-6D23-44A7-95A3-427E8DA8B0EB}"/>
    <cellStyle name="Normal 3 3 36 2 8" xfId="10740" xr:uid="{FEAC6DC0-329F-4C1A-80AD-B2441CD1DB9C}"/>
    <cellStyle name="Normal 3 3 36 3" xfId="10741" xr:uid="{D5EAB0B1-EA55-48BD-A112-08124D244B64}"/>
    <cellStyle name="Normal 3 3 36 4" xfId="10742" xr:uid="{787A5911-03AA-48AC-82EA-8986B6CEF30A}"/>
    <cellStyle name="Normal 3 3 36 5" xfId="10743" xr:uid="{CB1EE839-5A6D-456C-AC55-AA9F41E45245}"/>
    <cellStyle name="Normal 3 3 36 6" xfId="10744" xr:uid="{F71FA111-850A-4A11-BA95-211653554888}"/>
    <cellStyle name="Normal 3 3 36 7" xfId="10745" xr:uid="{C27A3BE7-9583-41C1-A991-A5D9F58E4E6A}"/>
    <cellStyle name="Normal 3 3 36 8" xfId="10746" xr:uid="{F028C44C-8CC6-47D9-8881-9220409CE240}"/>
    <cellStyle name="Normal 3 3 36 9" xfId="10747" xr:uid="{439CF615-7887-4415-B916-43F796106E63}"/>
    <cellStyle name="Normal 3 3 37" xfId="10748" xr:uid="{50A67142-D2E8-4C16-A9CC-42C7861E608F}"/>
    <cellStyle name="Normal 3 3 37 2" xfId="10749" xr:uid="{75A3E88A-BDC6-4C8F-9A6E-710FD1BCD6B8}"/>
    <cellStyle name="Normal 3 3 37 3" xfId="10750" xr:uid="{2DCE487D-1FA6-439F-9C7F-9D0925703906}"/>
    <cellStyle name="Normal 3 3 37 4" xfId="10751" xr:uid="{16FD12AD-6B22-4F23-AA9A-0160AA632AE6}"/>
    <cellStyle name="Normal 3 3 37 5" xfId="10752" xr:uid="{74F32D81-8793-424A-A4E2-78062ADB6B79}"/>
    <cellStyle name="Normal 3 3 37 6" xfId="10753" xr:uid="{471A402D-454C-45A7-8619-9357212C327B}"/>
    <cellStyle name="Normal 3 3 37 7" xfId="10754" xr:uid="{4AB05980-B820-4A65-BACF-FD934511B510}"/>
    <cellStyle name="Normal 3 3 37 8" xfId="10755" xr:uid="{6DD11572-5DD5-48E1-8ED8-67147B1A5FE2}"/>
    <cellStyle name="Normal 3 3 38" xfId="10756" xr:uid="{A2AEC56E-749F-4DE1-9BDB-42BF6B7708EE}"/>
    <cellStyle name="Normal 3 3 39" xfId="10757" xr:uid="{7AE13EC5-3060-4DF8-A8AC-911BB87C60A4}"/>
    <cellStyle name="Normal 3 3 4" xfId="10758" xr:uid="{57733E94-922B-4FF5-9EDA-FF9BB4267B0B}"/>
    <cellStyle name="Normal 3 3 40" xfId="10759" xr:uid="{BEC5E4BC-AF60-4DA4-A826-AB2D29D6EF86}"/>
    <cellStyle name="Normal 3 3 41" xfId="10760" xr:uid="{0D8411F2-454E-4CC5-8CD8-315A661B11F5}"/>
    <cellStyle name="Normal 3 3 42" xfId="10761" xr:uid="{8D11D1D0-D196-46FB-8257-19A3A5268DA9}"/>
    <cellStyle name="Normal 3 3 43" xfId="10762" xr:uid="{CDA5C699-2620-4A93-9DDF-99F2FFCE155F}"/>
    <cellStyle name="Normal 3 3 5" xfId="10763" xr:uid="{B1B88015-D5D2-4710-9280-2B4D28B5019A}"/>
    <cellStyle name="Normal 3 3 6" xfId="10764" xr:uid="{CD9269A2-E787-437D-B3C3-288E72ECB84D}"/>
    <cellStyle name="Normal 3 3 7" xfId="10765" xr:uid="{E1824A59-9D3B-4CA9-8D41-F48E00EAE2E4}"/>
    <cellStyle name="Normal 3 3 8" xfId="10766" xr:uid="{93AF931D-99F1-46AE-BC2C-2BC1660ED7FE}"/>
    <cellStyle name="Normal 3 3 9" xfId="10767" xr:uid="{516FEACA-9DB8-4441-AD10-B7E5FBE318D8}"/>
    <cellStyle name="Normal 3 4" xfId="10768" xr:uid="{2E7ADB29-4C4F-43D8-8247-CEFD9043C4EA}"/>
    <cellStyle name="Normal 3 5" xfId="10769" xr:uid="{E9C41DCB-F807-4E13-BF69-7C61FEFA49FD}"/>
    <cellStyle name="Normal 3 6" xfId="10770" xr:uid="{A660B38E-BE9E-448F-835B-8A8BFB8A7EE0}"/>
    <cellStyle name="Normal 3 7" xfId="10771" xr:uid="{23DD97F7-6355-4BFE-89A5-BE5D9B0A6D7E}"/>
    <cellStyle name="Normal 3 8" xfId="10772" xr:uid="{BC3451B9-75DC-4FB7-A03A-B49655FAB23B}"/>
    <cellStyle name="Normal 3 9" xfId="10773" xr:uid="{2E768878-DBE7-47A4-8AD7-C07A78AD5C94}"/>
    <cellStyle name="Normal 30" xfId="10774" xr:uid="{B21E91B8-231F-4D93-AA51-1B65B2630B1F}"/>
    <cellStyle name="Normal 30 10" xfId="10775" xr:uid="{EC9135AB-C697-4007-823A-4692282A7C82}"/>
    <cellStyle name="Normal 30 11" xfId="10776" xr:uid="{CE0FFBAB-FD75-43EE-B716-14D8805B8F93}"/>
    <cellStyle name="Normal 30 12" xfId="10777" xr:uid="{0D444C2F-3541-4E5F-9B4D-2D04E1E9BA11}"/>
    <cellStyle name="Normal 30 13" xfId="10778" xr:uid="{DE2CB888-ABB4-4A93-B799-24389CEC5C64}"/>
    <cellStyle name="Normal 30 14" xfId="10779" xr:uid="{B5844CE0-B01C-4BA6-B0D1-568049BC6D46}"/>
    <cellStyle name="Normal 30 15" xfId="10780" xr:uid="{CE9CFCED-1321-42EB-B14A-3E92E22D1F88}"/>
    <cellStyle name="Normal 30 16" xfId="10781" xr:uid="{D6EB8028-9C6B-475C-B2DD-50B2D6896ABA}"/>
    <cellStyle name="Normal 30 17" xfId="10782" xr:uid="{F04BA1B5-925E-4E4D-8FB7-F2331CC02F66}"/>
    <cellStyle name="Normal 30 18" xfId="10783" xr:uid="{B9F98308-8DEE-4EB9-8D67-E2C0C0282B38}"/>
    <cellStyle name="Normal 30 19" xfId="10784" xr:uid="{5EEF7424-2CB6-4A0B-A3B2-C32AA5AF4C4A}"/>
    <cellStyle name="Normal 30 2" xfId="10785" xr:uid="{7C128AD3-FE00-40D2-80ED-64E738E41077}"/>
    <cellStyle name="Normal 30 20" xfId="10786" xr:uid="{514882B7-CDF8-4E42-83CC-CF801CB03BF9}"/>
    <cellStyle name="Normal 30 21" xfId="10787" xr:uid="{F8104F72-C234-4052-9EE9-409E18B522C5}"/>
    <cellStyle name="Normal 30 22" xfId="10788" xr:uid="{DF256526-BA16-4002-BDF7-FC98EA807389}"/>
    <cellStyle name="Normal 30 23" xfId="13599" xr:uid="{FD0DFF82-A1B6-4C27-BD00-66033904A378}"/>
    <cellStyle name="Normal 30 3" xfId="10789" xr:uid="{5AEE82B7-6A86-4C05-A973-B558D6A374F6}"/>
    <cellStyle name="Normal 30 4" xfId="10790" xr:uid="{B7B455E4-CD99-4A6E-9A56-120D512E9D31}"/>
    <cellStyle name="Normal 30 5" xfId="10791" xr:uid="{5E91D914-1F4C-43E2-AB88-7F60AD7BD7C4}"/>
    <cellStyle name="Normal 30 6" xfId="10792" xr:uid="{900B9A8D-5734-4577-86DA-D88B5BA274E1}"/>
    <cellStyle name="Normal 30 7" xfId="10793" xr:uid="{5422B4BC-CFDD-4E13-95B5-B6FE1122DF72}"/>
    <cellStyle name="Normal 30 8" xfId="10794" xr:uid="{2E965828-5421-4E60-A79F-A4A6014792CC}"/>
    <cellStyle name="Normal 30 9" xfId="10795" xr:uid="{CCA7EF4F-B214-4BF8-82CF-94034C0F6FE5}"/>
    <cellStyle name="Normal 31" xfId="13778" xr:uid="{7859E69E-03AD-4D4D-9AA8-CD43E95D7CD4}"/>
    <cellStyle name="Normal 31 2" xfId="10796" xr:uid="{48728E63-8C18-4671-831C-5517FDC1AEB0}"/>
    <cellStyle name="Normal 31 3" xfId="10797" xr:uid="{6650E81B-36CE-4462-8C80-B19F87F05295}"/>
    <cellStyle name="Normal 31 4" xfId="10798" xr:uid="{4F65A1C7-56FC-4DFB-864D-B652E36691C2}"/>
    <cellStyle name="Normal 31 5" xfId="10799" xr:uid="{C7DC8E6E-CBAF-4EB2-B767-81AE9E0D13CB}"/>
    <cellStyle name="Normal 31 6" xfId="10800" xr:uid="{B4D7B3C7-F931-4CB0-B522-2A4CDCCCE4F2}"/>
    <cellStyle name="Normal 32" xfId="10801" xr:uid="{B1E3B4E3-66B4-4EA9-B5AE-DC7595EA71EB}"/>
    <cellStyle name="Normal 32 10" xfId="10802" xr:uid="{D4EA2DA4-4638-4789-94CE-2D018D887427}"/>
    <cellStyle name="Normal 32 11" xfId="10803" xr:uid="{E64A11C6-A5A0-4F6A-A4C9-2BDD1DE1B2B7}"/>
    <cellStyle name="Normal 32 12" xfId="10804" xr:uid="{302FCCF1-1E11-4B36-813E-D3BB36F98DCA}"/>
    <cellStyle name="Normal 32 13" xfId="10805" xr:uid="{E2DF1E70-D280-49E2-B103-8CFA3FEA6226}"/>
    <cellStyle name="Normal 32 14" xfId="10806" xr:uid="{EDD6D7F3-601C-4C3C-97A7-ADB6EA1E2ABF}"/>
    <cellStyle name="Normal 32 15" xfId="10807" xr:uid="{44EDB6EB-C60A-4077-8649-DAD5472B712D}"/>
    <cellStyle name="Normal 32 16" xfId="10808" xr:uid="{C44BA9EC-7BF7-4276-8DFF-809D3E89D9A9}"/>
    <cellStyle name="Normal 32 17" xfId="10809" xr:uid="{6FC6899E-8646-442D-99E5-89E5DAAF913C}"/>
    <cellStyle name="Normal 32 18" xfId="10810" xr:uid="{D33A40B2-6159-410F-A918-4DED3E831D36}"/>
    <cellStyle name="Normal 32 19" xfId="10811" xr:uid="{5D2C4B5F-3A54-470F-847A-2D0717823CD0}"/>
    <cellStyle name="Normal 32 2" xfId="10812" xr:uid="{6814B335-2041-4FCC-9FA8-ADC0DCE04035}"/>
    <cellStyle name="Normal 32 20" xfId="10813" xr:uid="{97C6204E-F581-40F5-967F-40B4F3421743}"/>
    <cellStyle name="Normal 32 21" xfId="10814" xr:uid="{BEEF2292-3AD3-4435-A70E-435F1241B709}"/>
    <cellStyle name="Normal 32 22" xfId="10815" xr:uid="{A0F9355F-6FA8-40A6-8183-8E6232F7D0B2}"/>
    <cellStyle name="Normal 32 23" xfId="13591" xr:uid="{B94E923E-80DF-4EA6-80FD-DC1EC4BCC955}"/>
    <cellStyle name="Normal 32 3" xfId="10816" xr:uid="{35DC2D29-51B2-4D99-AB46-3FFA6635BE59}"/>
    <cellStyle name="Normal 32 4" xfId="10817" xr:uid="{214CA41E-8707-44F6-ADC1-8B84F116DFBE}"/>
    <cellStyle name="Normal 32 5" xfId="10818" xr:uid="{85842A91-DB30-4DF8-B967-9BDD00E89341}"/>
    <cellStyle name="Normal 32 6" xfId="10819" xr:uid="{954B2ACF-F10C-413A-820E-EA611E522AC7}"/>
    <cellStyle name="Normal 32 7" xfId="10820" xr:uid="{CF993F2C-70CF-43CD-B7E0-A9B813599DCC}"/>
    <cellStyle name="Normal 32 8" xfId="10821" xr:uid="{EF5DC3B4-58CB-47FA-BEA1-8551DF830121}"/>
    <cellStyle name="Normal 32 9" xfId="10822" xr:uid="{5F9BD373-9A6D-4BC8-A8C9-4DF234E8176A}"/>
    <cellStyle name="Normal 33" xfId="10823" xr:uid="{C44D17B8-CE7B-4D2A-9DAC-F53983D51CFE}"/>
    <cellStyle name="Normal 33 10" xfId="10824" xr:uid="{F3A93661-621E-478B-9DBB-99E0C47F669F}"/>
    <cellStyle name="Normal 33 11" xfId="10825" xr:uid="{DED532EE-EA58-4397-AF67-169CCBD607FF}"/>
    <cellStyle name="Normal 33 12" xfId="10826" xr:uid="{7390199A-5274-4C0F-8DD4-EB70D21D0859}"/>
    <cellStyle name="Normal 33 13" xfId="10827" xr:uid="{E2CE7000-444B-498B-ACCA-F46EA1A39A93}"/>
    <cellStyle name="Normal 33 14" xfId="10828" xr:uid="{FAB4F1E9-DAD5-445A-8DF0-2156A44498CE}"/>
    <cellStyle name="Normal 33 15" xfId="10829" xr:uid="{46A92093-526B-482C-873C-AD9901339D4A}"/>
    <cellStyle name="Normal 33 16" xfId="10830" xr:uid="{AB7328DE-BC32-4AD5-9C80-5FBA3BBEF082}"/>
    <cellStyle name="Normal 33 17" xfId="10831" xr:uid="{BCE0D778-9CEF-4374-9803-8F10F35B253C}"/>
    <cellStyle name="Normal 33 18" xfId="10832" xr:uid="{9C108803-BB92-4F8A-9BC2-1CA42960E3A5}"/>
    <cellStyle name="Normal 33 19" xfId="10833" xr:uid="{D1C6303D-5825-4AD0-A423-2D42EFE4B8E2}"/>
    <cellStyle name="Normal 33 2" xfId="10834" xr:uid="{0AC5CD95-C872-4150-86BA-924086C25DF1}"/>
    <cellStyle name="Normal 33 20" xfId="10835" xr:uid="{2FC77608-535F-4E9E-B6B3-DAC27D7198AE}"/>
    <cellStyle name="Normal 33 21" xfId="10836" xr:uid="{03618C99-96FF-4452-B5E4-79DFB8A91117}"/>
    <cellStyle name="Normal 33 22" xfId="10837" xr:uid="{FF18AE22-254A-4275-8915-E04A37C9774B}"/>
    <cellStyle name="Normal 33 23" xfId="13618" xr:uid="{40F341ED-F684-4000-9C4D-DC285CFC94D2}"/>
    <cellStyle name="Normal 33 3" xfId="10838" xr:uid="{67917093-DB83-4595-B06D-14E73B9774B2}"/>
    <cellStyle name="Normal 33 4" xfId="10839" xr:uid="{51072247-1150-4621-B1FC-B1058ACCED80}"/>
    <cellStyle name="Normal 33 5" xfId="10840" xr:uid="{5EF98474-5665-471F-8072-890E085E7929}"/>
    <cellStyle name="Normal 33 6" xfId="10841" xr:uid="{147ED78B-48BD-4A74-8F58-887A7D9A695A}"/>
    <cellStyle name="Normal 33 7" xfId="10842" xr:uid="{CF42700B-D152-4CEA-BA04-0657AE9A7A7F}"/>
    <cellStyle name="Normal 33 8" xfId="10843" xr:uid="{8FA9F791-8A6B-4828-9174-9C313FE953B1}"/>
    <cellStyle name="Normal 33 9" xfId="10844" xr:uid="{65EBF29C-8FBA-42C0-93A1-FFABCE2C0F6D}"/>
    <cellStyle name="Normal 34" xfId="10845" xr:uid="{6BBFE3BF-E833-405E-A852-BB56BE363B3E}"/>
    <cellStyle name="Normal 34 10" xfId="10846" xr:uid="{6201A5C9-2002-41AA-87D2-70B28F87B8DE}"/>
    <cellStyle name="Normal 34 11" xfId="10847" xr:uid="{D94CDDA4-6A02-45E8-9C81-ED8E63359AA7}"/>
    <cellStyle name="Normal 34 12" xfId="10848" xr:uid="{8C3D28E0-8D88-437B-A0FB-5BA89A1B2B84}"/>
    <cellStyle name="Normal 34 13" xfId="10849" xr:uid="{39347F86-685C-4755-9B0E-023F3C133CB9}"/>
    <cellStyle name="Normal 34 14" xfId="10850" xr:uid="{D5CD59CB-0C31-4323-A204-DB8E997F214E}"/>
    <cellStyle name="Normal 34 15" xfId="10851" xr:uid="{D152C348-49DB-4C5B-9225-7EAAFD4F81C3}"/>
    <cellStyle name="Normal 34 16" xfId="10852" xr:uid="{18CB6CFF-D63A-4F57-B4F0-4B3AF9C7BE7D}"/>
    <cellStyle name="Normal 34 17" xfId="10853" xr:uid="{004A33BF-09B3-4EC5-880F-E37C5670CDCD}"/>
    <cellStyle name="Normal 34 18" xfId="10854" xr:uid="{B2C98B9D-0649-44FE-BF5A-C090BC4BE7C6}"/>
    <cellStyle name="Normal 34 19" xfId="10855" xr:uid="{67F0BDDE-44D8-47FF-B1F6-7B9CC2F78ED3}"/>
    <cellStyle name="Normal 34 2" xfId="10856" xr:uid="{1DEC5B9C-4803-45A8-8290-359D9660DEA1}"/>
    <cellStyle name="Normal 34 20" xfId="10857" xr:uid="{804355B1-6EBC-48F1-A6A1-93ED97B8B24A}"/>
    <cellStyle name="Normal 34 21" xfId="10858" xr:uid="{2C5B2448-F316-4C5A-9284-8D306B807FA4}"/>
    <cellStyle name="Normal 34 22" xfId="10859" xr:uid="{309C4824-4BE1-48DD-9BAE-25DE102A0735}"/>
    <cellStyle name="Normal 34 23" xfId="13592" xr:uid="{EF5AC251-36E9-4D77-AA69-8CFFAF7C4C94}"/>
    <cellStyle name="Normal 34 3" xfId="10860" xr:uid="{14894873-EB60-437B-A911-0F287D9F3303}"/>
    <cellStyle name="Normal 34 4" xfId="10861" xr:uid="{9C3E04E5-F3BA-4365-ADC6-AA38954A3186}"/>
    <cellStyle name="Normal 34 5" xfId="10862" xr:uid="{CA4422B5-424A-46C1-80BE-C368F92F1622}"/>
    <cellStyle name="Normal 34 6" xfId="10863" xr:uid="{D1033ACF-B5D4-4BE8-BADE-0D1029C301D4}"/>
    <cellStyle name="Normal 34 7" xfId="10864" xr:uid="{F6BEC2C2-AC83-43B8-8DBB-4FCFA23D6382}"/>
    <cellStyle name="Normal 34 8" xfId="10865" xr:uid="{CB3167BB-5239-457E-9271-E19B98A4B0C4}"/>
    <cellStyle name="Normal 34 9" xfId="10866" xr:uid="{517D9F8E-295B-4FBE-A873-FEC3FA750223}"/>
    <cellStyle name="Normal 35" xfId="13780" xr:uid="{28DEE5C9-5C0C-4FC4-A709-E5523E89AEAE}"/>
    <cellStyle name="Normal 35 2" xfId="10867" xr:uid="{786480DD-4E9F-46D5-B157-176EBC76108B}"/>
    <cellStyle name="Normal 35 3" xfId="10868" xr:uid="{374E859A-4CE3-4726-8385-754E9F276D18}"/>
    <cellStyle name="Normal 35 4" xfId="10869" xr:uid="{33C57854-2473-4744-9E62-6A031165A2DE}"/>
    <cellStyle name="Normal 35 5" xfId="10870" xr:uid="{CCEFC60E-D853-4A63-937D-D0A19FF828B1}"/>
    <cellStyle name="Normal 36" xfId="10871" xr:uid="{8208EBA2-4AC6-4BB6-AC7C-8C67C9434B1A}"/>
    <cellStyle name="Normal 36 10" xfId="10872" xr:uid="{2BEE6FC4-0ECC-4BF5-874F-799E48A220FF}"/>
    <cellStyle name="Normal 36 11" xfId="10873" xr:uid="{D0C80063-660E-4B75-A80F-467AF0B251ED}"/>
    <cellStyle name="Normal 36 12" xfId="10874" xr:uid="{478848E0-EA73-45A3-A6B0-37F6E5F66F82}"/>
    <cellStyle name="Normal 36 13" xfId="10875" xr:uid="{8D8C3801-1CDD-41F1-94FC-EC786CD416E0}"/>
    <cellStyle name="Normal 36 14" xfId="10876" xr:uid="{0A669014-E837-4F15-88AB-F1058A717B63}"/>
    <cellStyle name="Normal 36 15" xfId="10877" xr:uid="{03B7164F-5CEA-4E3C-A802-C33BA3425622}"/>
    <cellStyle name="Normal 36 16" xfId="10878" xr:uid="{7528B6D0-3754-4937-9E4B-AA38BE548E38}"/>
    <cellStyle name="Normal 36 17" xfId="10879" xr:uid="{2CA9D5E1-37DD-4E9B-9FE9-A1650818C2D8}"/>
    <cellStyle name="Normal 36 18" xfId="13593" xr:uid="{5585F2BC-4BEF-40BF-BC7F-92E9EAF34127}"/>
    <cellStyle name="Normal 36 2" xfId="10880" xr:uid="{D9034246-751A-4D54-B0EF-311EEFEE4E45}"/>
    <cellStyle name="Normal 36 3" xfId="10881" xr:uid="{CE97395B-9887-4606-A570-5596B671B0A0}"/>
    <cellStyle name="Normal 36 4" xfId="10882" xr:uid="{97184F44-81BA-43DF-B26A-0B17C04535DF}"/>
    <cellStyle name="Normal 36 5" xfId="10883" xr:uid="{F03C7C00-00B8-40B2-8659-EC642F67978D}"/>
    <cellStyle name="Normal 36 6" xfId="10884" xr:uid="{3AC78771-3D8E-4A43-9D37-55B8865C9BFE}"/>
    <cellStyle name="Normal 36 7" xfId="10885" xr:uid="{02B89B30-3227-4111-AB27-23CF8804183C}"/>
    <cellStyle name="Normal 36 8" xfId="10886" xr:uid="{504A0583-F1EF-4222-9AC6-801A0882A199}"/>
    <cellStyle name="Normal 36 9" xfId="10887" xr:uid="{6C702C07-EEAE-40B0-A46D-88EF7448D457}"/>
    <cellStyle name="Normal 37" xfId="10888" xr:uid="{85E4ACC5-262A-4F9D-9D4F-D3F580A624EA}"/>
    <cellStyle name="Normal 37 10" xfId="10889" xr:uid="{3DFAFF92-F5FE-4A5E-BA2B-9530852205BD}"/>
    <cellStyle name="Normal 37 11" xfId="10890" xr:uid="{D886CBBB-6FB3-4DFF-96D9-8F31837A41F0}"/>
    <cellStyle name="Normal 37 12" xfId="10891" xr:uid="{94896758-2CA1-4591-845B-764F59B25805}"/>
    <cellStyle name="Normal 37 13" xfId="10892" xr:uid="{89482F7C-5C3D-41F1-AF06-F2350E205939}"/>
    <cellStyle name="Normal 37 14" xfId="10893" xr:uid="{D40780B8-91BB-412B-8C86-A8D472E4414E}"/>
    <cellStyle name="Normal 37 15" xfId="10894" xr:uid="{BD2C27DB-0B90-4258-BABB-5856DDED6066}"/>
    <cellStyle name="Normal 37 16" xfId="10895" xr:uid="{3D0C0F27-434B-4309-BA69-DC337455939C}"/>
    <cellStyle name="Normal 37 17" xfId="10896" xr:uid="{A18B2545-BC2E-4F12-9FC3-57C641D6B03D}"/>
    <cellStyle name="Normal 37 18" xfId="13594" xr:uid="{97263CAD-82DA-4334-B238-D0E594537E5E}"/>
    <cellStyle name="Normal 37 2" xfId="10897" xr:uid="{5B4509AB-C3DE-4A8F-9F7A-A6D75E7D9DBA}"/>
    <cellStyle name="Normal 37 3" xfId="10898" xr:uid="{9213A3B7-505B-4EC2-857B-2CE6587D60D1}"/>
    <cellStyle name="Normal 37 4" xfId="10899" xr:uid="{250608F0-970B-4526-8D16-912C74B935B6}"/>
    <cellStyle name="Normal 37 5" xfId="10900" xr:uid="{E6371B77-DA8D-4B6C-8C99-A71A03E2CC51}"/>
    <cellStyle name="Normal 37 6" xfId="10901" xr:uid="{4C81704F-0F6C-4581-806A-D0E6809996EF}"/>
    <cellStyle name="Normal 37 7" xfId="10902" xr:uid="{8682D6E4-E4E0-4EFF-A630-1F2A3BC92D7D}"/>
    <cellStyle name="Normal 37 8" xfId="10903" xr:uid="{CEE3DC49-5E92-4B04-B0B2-58164006C3EB}"/>
    <cellStyle name="Normal 37 9" xfId="10904" xr:uid="{D65FBD64-1404-4028-8490-AD8EE6DD06CF}"/>
    <cellStyle name="Normal 38" xfId="10905" xr:uid="{6D5A0359-265C-4C75-957A-048F03A575B2}"/>
    <cellStyle name="Normal 38 10" xfId="10906" xr:uid="{68D1A63A-1727-42FA-96F5-79F998DDA3AF}"/>
    <cellStyle name="Normal 38 11" xfId="10907" xr:uid="{EADC53DB-09D6-49BD-B0EC-B6BAAFFF1E2B}"/>
    <cellStyle name="Normal 38 12" xfId="10908" xr:uid="{F3073B1E-FBEF-4BA4-A42B-75CFF08E2A8E}"/>
    <cellStyle name="Normal 38 13" xfId="10909" xr:uid="{708E45D5-F7E1-45F8-81C9-A5565802D05C}"/>
    <cellStyle name="Normal 38 14" xfId="10910" xr:uid="{827A9F9D-908D-4070-8668-3DFF99CBE946}"/>
    <cellStyle name="Normal 38 15" xfId="10911" xr:uid="{16D84CBE-B6A5-4562-B2AC-4BA9D34DFE6D}"/>
    <cellStyle name="Normal 38 16" xfId="10912" xr:uid="{512644F0-8935-4BFE-B5DF-E75AA6373701}"/>
    <cellStyle name="Normal 38 17" xfId="10913" xr:uid="{5AD6DF7B-258B-4A7F-A11D-7952AE083E64}"/>
    <cellStyle name="Normal 38 18" xfId="13619" xr:uid="{BCEB567A-A56C-419C-B05F-F78CCD35B3E6}"/>
    <cellStyle name="Normal 38 2" xfId="10914" xr:uid="{00583CEB-E156-46B6-9DD3-C54CB1F853D3}"/>
    <cellStyle name="Normal 38 3" xfId="10915" xr:uid="{3B72411C-F2CF-40D9-956B-DA9C809A1681}"/>
    <cellStyle name="Normal 38 4" xfId="10916" xr:uid="{47A747B5-7656-48F5-BE62-2A1B50C93ACB}"/>
    <cellStyle name="Normal 38 5" xfId="10917" xr:uid="{6C3DC0D9-ECD3-40FB-B865-61B6F3A86BF7}"/>
    <cellStyle name="Normal 38 6" xfId="10918" xr:uid="{960BF94C-8A2F-4CE4-BD39-3236530606DF}"/>
    <cellStyle name="Normal 38 7" xfId="10919" xr:uid="{5217B01C-C645-4A93-9988-CA91C581CB57}"/>
    <cellStyle name="Normal 38 8" xfId="10920" xr:uid="{6F85684A-895F-4BD4-8D75-1BF011157DC4}"/>
    <cellStyle name="Normal 38 9" xfId="10921" xr:uid="{8ECB3CE0-EB01-43F3-BADD-25330ADFA745}"/>
    <cellStyle name="Normal 39" xfId="10922" xr:uid="{D1DA1F72-09FD-484F-84C1-7963B84A69CF}"/>
    <cellStyle name="Normal 39 10" xfId="10923" xr:uid="{38E35C0B-8DB5-405D-9716-5BE7C84BA49B}"/>
    <cellStyle name="Normal 39 11" xfId="10924" xr:uid="{371F0CC5-0C80-42D3-92F9-C06FE962ACF7}"/>
    <cellStyle name="Normal 39 12" xfId="10925" xr:uid="{9499A49F-D745-4904-BE54-EB177C37942D}"/>
    <cellStyle name="Normal 39 13" xfId="10926" xr:uid="{7F4C25B6-A9B9-468D-8FD9-F519E62606BB}"/>
    <cellStyle name="Normal 39 14" xfId="10927" xr:uid="{4CE4FBF0-201D-4C30-83DF-30DFDDB67739}"/>
    <cellStyle name="Normal 39 15" xfId="10928" xr:uid="{0D3789E6-DC5E-461E-98B1-FF7854DD16E8}"/>
    <cellStyle name="Normal 39 16" xfId="10929" xr:uid="{83C921B9-E527-491E-BBF4-398934B197F6}"/>
    <cellStyle name="Normal 39 17" xfId="10930" xr:uid="{0CF49C94-44E1-43E7-8167-C7F7F14D8D6C}"/>
    <cellStyle name="Normal 39 18" xfId="13595" xr:uid="{D55873D4-D004-4519-9B96-B65514914DC0}"/>
    <cellStyle name="Normal 39 2" xfId="10931" xr:uid="{D2BEBA34-5561-453A-A5EE-9B3E6AAD5370}"/>
    <cellStyle name="Normal 39 3" xfId="10932" xr:uid="{43F70145-3946-48A1-839C-5E8A7D7D1DC2}"/>
    <cellStyle name="Normal 39 4" xfId="10933" xr:uid="{7F5EBD7B-6661-4F15-9F5E-3FF6162BF425}"/>
    <cellStyle name="Normal 39 5" xfId="10934" xr:uid="{4ABF0F6B-902D-421F-B186-B5783BAC82F8}"/>
    <cellStyle name="Normal 39 6" xfId="10935" xr:uid="{4F7C8B22-5B48-4417-B037-6BABFAF8ECD8}"/>
    <cellStyle name="Normal 39 7" xfId="10936" xr:uid="{1A33498D-A9ED-4981-AC1C-552C348803A7}"/>
    <cellStyle name="Normal 39 8" xfId="10937" xr:uid="{1F7AC714-BD0F-4705-B214-D75687EA8B77}"/>
    <cellStyle name="Normal 39 9" xfId="10938" xr:uid="{C6F28613-59AA-4377-AB3B-52748BB85F46}"/>
    <cellStyle name="Normal 4" xfId="10939" xr:uid="{5107F07C-95F6-40BD-9E9C-55FBD60AB951}"/>
    <cellStyle name="Normal 4 10" xfId="10940" xr:uid="{4C709C88-6B3A-4B28-8C9F-2A026195F60D}"/>
    <cellStyle name="Normal 4 11" xfId="10941" xr:uid="{A012F01A-42CB-4B2F-9B17-993E5D1868AA}"/>
    <cellStyle name="Normal 4 12" xfId="10942" xr:uid="{B7F8E079-0D97-4580-A0F5-8605092CE0F9}"/>
    <cellStyle name="Normal 4 13" xfId="10943" xr:uid="{11FCB860-3E56-4DB4-8016-1009934EC308}"/>
    <cellStyle name="Normal 4 14" xfId="10944" xr:uid="{2F133A37-A127-4147-B1D8-D0A196162E2D}"/>
    <cellStyle name="Normal 4 15" xfId="10945" xr:uid="{8A87E4D5-CCD2-42F1-B53F-EBBD2657B8FE}"/>
    <cellStyle name="Normal 4 16" xfId="10946" xr:uid="{E27D7BEB-6BBF-4B93-9A00-971DB9E89FC3}"/>
    <cellStyle name="Normal 4 17" xfId="10947" xr:uid="{9A899DCE-240A-4946-A649-AB91BCF1DE35}"/>
    <cellStyle name="Normal 4 18" xfId="10948" xr:uid="{1C244E11-E02A-4911-917B-C70BC41A6DB9}"/>
    <cellStyle name="Normal 4 19" xfId="10949" xr:uid="{36CA5931-7F18-4509-849A-E00F1EF5F3EA}"/>
    <cellStyle name="Normal 4 2" xfId="10950" xr:uid="{68D4C51E-6DE1-4097-8830-A5B8333FF1CE}"/>
    <cellStyle name="Normal 4 2 10" xfId="10951" xr:uid="{094CA677-6D9C-497F-8626-5A19CEC8D67D}"/>
    <cellStyle name="Normal 4 2 11" xfId="10952" xr:uid="{C576C9FD-1942-40A2-B3D4-07B097F5F789}"/>
    <cellStyle name="Normal 4 2 12" xfId="10953" xr:uid="{71874EC0-D1F0-466F-9374-44C0E92F65C2}"/>
    <cellStyle name="Normal 4 2 13" xfId="10954" xr:uid="{910BE243-D941-49CB-82B8-4478FF05EF70}"/>
    <cellStyle name="Normal 4 2 14" xfId="10955" xr:uid="{CD655272-5AFF-4E3F-B47F-130B302E1977}"/>
    <cellStyle name="Normal 4 2 15" xfId="10956" xr:uid="{4D3C92CF-156A-4513-8A93-F7F76F9469BA}"/>
    <cellStyle name="Normal 4 2 16" xfId="10957" xr:uid="{465CB5C6-E8F1-4D99-B750-FC5A333036D6}"/>
    <cellStyle name="Normal 4 2 17" xfId="10958" xr:uid="{F5CB661D-E398-4429-9100-11EFF6A27782}"/>
    <cellStyle name="Normal 4 2 18" xfId="10959" xr:uid="{749E2977-46A1-4692-BE92-71E594718565}"/>
    <cellStyle name="Normal 4 2 19" xfId="10960" xr:uid="{AE48C6CF-06F3-4D40-BFED-85C2308533D6}"/>
    <cellStyle name="Normal 4 2 2" xfId="10961" xr:uid="{61C74906-265F-4266-85B0-282BB930DC89}"/>
    <cellStyle name="Normal 4 2 2 10" xfId="10962" xr:uid="{701ED678-7B0F-4D8C-AD95-98A3AA1D332F}"/>
    <cellStyle name="Normal 4 2 2 11" xfId="10963" xr:uid="{80D28E30-FDD3-4320-8A42-71A24F5C9077}"/>
    <cellStyle name="Normal 4 2 2 12" xfId="10964" xr:uid="{0F840955-79CB-4F3D-B9B8-BA76E6A67B70}"/>
    <cellStyle name="Normal 4 2 2 13" xfId="10965" xr:uid="{1ACA789D-BCB6-4201-A2AB-033272E533EE}"/>
    <cellStyle name="Normal 4 2 2 14" xfId="10966" xr:uid="{6AD53873-E6F6-4200-8C4A-0AA59C4AECEC}"/>
    <cellStyle name="Normal 4 2 2 15" xfId="10967" xr:uid="{6B17B8C2-FE8D-4175-B7D8-2952D9AE7A71}"/>
    <cellStyle name="Normal 4 2 2 16" xfId="10968" xr:uid="{F62295D2-D13D-4336-A8F1-6CE4837085DE}"/>
    <cellStyle name="Normal 4 2 2 17" xfId="10969" xr:uid="{7352C3A8-C809-40DD-903A-5BAF95607A1D}"/>
    <cellStyle name="Normal 4 2 2 18" xfId="10970" xr:uid="{CE78B1B7-521D-4BBE-9300-7E6E59BEF4EC}"/>
    <cellStyle name="Normal 4 2 2 19" xfId="10971" xr:uid="{2498164D-C65C-4F9E-9C73-62FCCAE28E9F}"/>
    <cellStyle name="Normal 4 2 2 2" xfId="10972" xr:uid="{AE883287-99DD-43B3-A80C-7AB8A9915C98}"/>
    <cellStyle name="Normal 4 2 2 2 10" xfId="10973" xr:uid="{6C7335F2-168D-4774-A01F-CF6B4E6F50F4}"/>
    <cellStyle name="Normal 4 2 2 2 11" xfId="10974" xr:uid="{11F7E4DE-A4DA-421F-A536-3F71B17338A9}"/>
    <cellStyle name="Normal 4 2 2 2 12" xfId="10975" xr:uid="{9AD1DE58-2616-499A-8B53-E26E347373C2}"/>
    <cellStyle name="Normal 4 2 2 2 13" xfId="10976" xr:uid="{2C8F184C-71DB-42C7-A853-7EE366E40A9C}"/>
    <cellStyle name="Normal 4 2 2 2 14" xfId="10977" xr:uid="{0A3CC5E2-0283-4A45-BDC7-3691DAED6303}"/>
    <cellStyle name="Normal 4 2 2 2 15" xfId="10978" xr:uid="{833852C8-B190-4999-BEC0-93D67C21CFBB}"/>
    <cellStyle name="Normal 4 2 2 2 15 2" xfId="10979" xr:uid="{D52ADBAB-7062-4F80-B887-E8F7B73E8AF7}"/>
    <cellStyle name="Normal 4 2 2 2 15 2 2" xfId="10980" xr:uid="{707AF42B-C201-4433-B1D4-8A0ECCCB4431}"/>
    <cellStyle name="Normal 4 2 2 2 15 2 2 2" xfId="10981" xr:uid="{A2470D54-4C6C-4BA4-9D9C-2BBB4DD4FD81}"/>
    <cellStyle name="Normal 4 2 2 2 15 2 2 3" xfId="10982" xr:uid="{581E5852-3786-460B-BBEA-5A4F52A7D75F}"/>
    <cellStyle name="Normal 4 2 2 2 15 2 2 4" xfId="10983" xr:uid="{B0CF8DA1-0445-4D3C-B7F4-EED6F57431BC}"/>
    <cellStyle name="Normal 4 2 2 2 15 2 2 5" xfId="10984" xr:uid="{BDF675BF-F490-44DE-8DFE-05D63584565F}"/>
    <cellStyle name="Normal 4 2 2 2 15 2 2 6" xfId="10985" xr:uid="{BA53D1BF-78B6-42B6-A2AA-C486155DF4E2}"/>
    <cellStyle name="Normal 4 2 2 2 15 2 2 7" xfId="10986" xr:uid="{41E6B08D-101F-4ADA-843E-483A5776C6F3}"/>
    <cellStyle name="Normal 4 2 2 2 15 2 2 8" xfId="10987" xr:uid="{371AF4E8-8F60-4594-92D8-06CFA46D90B2}"/>
    <cellStyle name="Normal 4 2 2 2 15 2 3" xfId="10988" xr:uid="{424E89FD-CB28-4CE9-8734-8EF334B5A9B3}"/>
    <cellStyle name="Normal 4 2 2 2 15 2 4" xfId="10989" xr:uid="{158B8D15-D9EF-4F68-9230-353E1EA35579}"/>
    <cellStyle name="Normal 4 2 2 2 15 2 5" xfId="10990" xr:uid="{584C394B-9463-48DB-AAC7-0CAC8055FC42}"/>
    <cellStyle name="Normal 4 2 2 2 15 2 6" xfId="10991" xr:uid="{618F3FF8-DC09-4741-BC36-81448BFB2B26}"/>
    <cellStyle name="Normal 4 2 2 2 15 2 7" xfId="10992" xr:uid="{B39FD85F-A9FC-4E67-BFB0-F8E8DE363A15}"/>
    <cellStyle name="Normal 4 2 2 2 15 2 8" xfId="10993" xr:uid="{70ED8B0D-5A93-435E-BE42-6E2570525105}"/>
    <cellStyle name="Normal 4 2 2 2 15 3" xfId="10994" xr:uid="{D7B54765-E389-44C2-9D41-90C322EE9DCF}"/>
    <cellStyle name="Normal 4 2 2 2 15 4" xfId="10995" xr:uid="{1D888AAD-33D0-42E8-8D90-16182A60F016}"/>
    <cellStyle name="Normal 4 2 2 2 15 5" xfId="10996" xr:uid="{217D1452-0973-4DB9-9AE4-6BD689BF60F5}"/>
    <cellStyle name="Normal 4 2 2 2 15 6" xfId="10997" xr:uid="{1262BEC8-8FB0-400B-A142-1FF640E6684F}"/>
    <cellStyle name="Normal 4 2 2 2 15 7" xfId="10998" xr:uid="{A4F57016-8155-45A7-86BB-6505A0571622}"/>
    <cellStyle name="Normal 4 2 2 2 15 8" xfId="10999" xr:uid="{DCBE5890-C6AF-417F-8040-994DC8841F0A}"/>
    <cellStyle name="Normal 4 2 2 2 15 9" xfId="11000" xr:uid="{A129A83F-5B95-4DB6-88C5-64F4ED00CC8C}"/>
    <cellStyle name="Normal 4 2 2 2 16" xfId="11001" xr:uid="{0A137DA7-F896-4A35-BB2F-8B03FAB02E79}"/>
    <cellStyle name="Normal 4 2 2 2 16 2" xfId="11002" xr:uid="{D1054868-24D4-4D4D-84A6-81B09BA523A1}"/>
    <cellStyle name="Normal 4 2 2 2 16 3" xfId="11003" xr:uid="{F17A9301-F197-4E3B-BE32-FAA3A4BE74E6}"/>
    <cellStyle name="Normal 4 2 2 2 16 4" xfId="11004" xr:uid="{2290DBC5-264A-4D17-BA51-AA3164E7AF64}"/>
    <cellStyle name="Normal 4 2 2 2 16 5" xfId="11005" xr:uid="{F02161C2-8B1F-412C-B976-7A2B03A6E512}"/>
    <cellStyle name="Normal 4 2 2 2 16 6" xfId="11006" xr:uid="{1687727C-9E77-4E43-86F0-237B2491DB03}"/>
    <cellStyle name="Normal 4 2 2 2 16 7" xfId="11007" xr:uid="{607C6AD4-936A-490F-9D97-635C674CC929}"/>
    <cellStyle name="Normal 4 2 2 2 16 8" xfId="11008" xr:uid="{EF486432-9467-4D6D-9764-33394DB4E130}"/>
    <cellStyle name="Normal 4 2 2 2 17" xfId="11009" xr:uid="{7DDB81B2-8234-42ED-8217-DFF7E8920601}"/>
    <cellStyle name="Normal 4 2 2 2 18" xfId="11010" xr:uid="{51A4147F-FB89-4E96-AB3D-9FDF067B63C4}"/>
    <cellStyle name="Normal 4 2 2 2 19" xfId="11011" xr:uid="{18CFAACB-0E44-42D5-A3CE-1704892FB4C6}"/>
    <cellStyle name="Normal 4 2 2 2 2" xfId="11012" xr:uid="{A94E1CA4-34F4-4903-9F92-D63CDC01A63E}"/>
    <cellStyle name="Normal 4 2 2 2 2 10" xfId="11013" xr:uid="{7DB17CA7-E5FC-4B99-83B4-608717792804}"/>
    <cellStyle name="Normal 4 2 2 2 2 11" xfId="11014" xr:uid="{1A0E7FDD-E0F7-421D-8CF1-0571C4388AE6}"/>
    <cellStyle name="Normal 4 2 2 2 2 12" xfId="11015" xr:uid="{F07D0974-549E-4800-9245-B3B4EC811589}"/>
    <cellStyle name="Normal 4 2 2 2 2 13" xfId="11016" xr:uid="{CDF8F7D9-A3D7-494A-BCD8-5BF0DFC451C8}"/>
    <cellStyle name="Normal 4 2 2 2 2 14" xfId="11017" xr:uid="{367B5AFE-CC3A-4485-A9F3-39BDDFED5700}"/>
    <cellStyle name="Normal 4 2 2 2 2 15" xfId="11018" xr:uid="{F536F807-D03F-44E3-9F3B-B68959EC8477}"/>
    <cellStyle name="Normal 4 2 2 2 2 15 2" xfId="11019" xr:uid="{3E2661FA-D1FD-4BC7-94CA-08538526C191}"/>
    <cellStyle name="Normal 4 2 2 2 2 15 2 2" xfId="11020" xr:uid="{BEEC0055-47EA-4C14-AC15-31A4574B4C4C}"/>
    <cellStyle name="Normal 4 2 2 2 2 15 2 2 2" xfId="11021" xr:uid="{F930E896-5ECD-485A-BBC6-07696BA0567D}"/>
    <cellStyle name="Normal 4 2 2 2 2 15 2 2 3" xfId="11022" xr:uid="{C704A733-53E5-4EEA-9D0F-0344039A0DF6}"/>
    <cellStyle name="Normal 4 2 2 2 2 15 2 2 4" xfId="11023" xr:uid="{9FF6383E-3F93-4CF2-9CB0-D061F30BA19E}"/>
    <cellStyle name="Normal 4 2 2 2 2 15 2 2 5" xfId="11024" xr:uid="{D2795EC2-E30A-4C36-89D1-D2421135D3C4}"/>
    <cellStyle name="Normal 4 2 2 2 2 15 2 2 6" xfId="11025" xr:uid="{39B8FC03-EF12-45C9-8E18-2013D2E608BF}"/>
    <cellStyle name="Normal 4 2 2 2 2 15 2 2 7" xfId="11026" xr:uid="{A9D62667-5C71-4FA6-B691-5B5C37810928}"/>
    <cellStyle name="Normal 4 2 2 2 2 15 2 2 8" xfId="11027" xr:uid="{C61B5231-1E48-437C-A027-1D95E784E10E}"/>
    <cellStyle name="Normal 4 2 2 2 2 15 2 3" xfId="11028" xr:uid="{0258A9D8-4A12-4B33-BE34-86AD7D8AABC3}"/>
    <cellStyle name="Normal 4 2 2 2 2 15 2 4" xfId="11029" xr:uid="{238BCC61-A134-4FB9-AFBB-BB77D8C332AC}"/>
    <cellStyle name="Normal 4 2 2 2 2 15 2 5" xfId="11030" xr:uid="{20E8617C-067C-475A-91DD-C0E4786E54ED}"/>
    <cellStyle name="Normal 4 2 2 2 2 15 2 6" xfId="11031" xr:uid="{284FC4A6-7162-466A-8D7D-436618418D3C}"/>
    <cellStyle name="Normal 4 2 2 2 2 15 2 7" xfId="11032" xr:uid="{CC779E44-4E50-46A5-BA7D-44547A3A1669}"/>
    <cellStyle name="Normal 4 2 2 2 2 15 2 8" xfId="11033" xr:uid="{F1170F69-0587-4ED6-978F-BF8551EB7CC5}"/>
    <cellStyle name="Normal 4 2 2 2 2 15 3" xfId="11034" xr:uid="{B9C615B9-4750-4CBD-9770-AEE3925C5A87}"/>
    <cellStyle name="Normal 4 2 2 2 2 15 4" xfId="11035" xr:uid="{8ADEC7AE-040E-46E5-B898-286300A276DC}"/>
    <cellStyle name="Normal 4 2 2 2 2 15 5" xfId="11036" xr:uid="{3030839D-6B74-44C6-B359-AC1B9DBE0152}"/>
    <cellStyle name="Normal 4 2 2 2 2 15 6" xfId="11037" xr:uid="{B8812846-19D0-4EFC-8F30-85C4A6415952}"/>
    <cellStyle name="Normal 4 2 2 2 2 15 7" xfId="11038" xr:uid="{D5482E22-6DE9-411A-9A88-663D9C91236A}"/>
    <cellStyle name="Normal 4 2 2 2 2 15 8" xfId="11039" xr:uid="{45AA5A28-6150-49E8-AD96-3F2CA00DB259}"/>
    <cellStyle name="Normal 4 2 2 2 2 15 9" xfId="11040" xr:uid="{1DC1E3E0-3724-4D3F-8B41-3672CED9319E}"/>
    <cellStyle name="Normal 4 2 2 2 2 16" xfId="11041" xr:uid="{27590541-A27A-47E0-816D-AC27D029F11D}"/>
    <cellStyle name="Normal 4 2 2 2 2 16 2" xfId="11042" xr:uid="{4C146B3B-1E59-4053-823E-3D1E0BA840C0}"/>
    <cellStyle name="Normal 4 2 2 2 2 16 3" xfId="11043" xr:uid="{006E7185-31E3-4602-928B-EC24A66958C9}"/>
    <cellStyle name="Normal 4 2 2 2 2 16 4" xfId="11044" xr:uid="{A66DB83F-4679-48BC-8AE7-9DE075C49626}"/>
    <cellStyle name="Normal 4 2 2 2 2 16 5" xfId="11045" xr:uid="{AC5A8E1F-DCFC-41D6-A45B-69EE92E313FB}"/>
    <cellStyle name="Normal 4 2 2 2 2 16 6" xfId="11046" xr:uid="{D9ECDFF0-C7D9-4DCF-B0FC-9FA2C217B567}"/>
    <cellStyle name="Normal 4 2 2 2 2 16 7" xfId="11047" xr:uid="{064A155A-BED9-460A-866B-9F04B681E40F}"/>
    <cellStyle name="Normal 4 2 2 2 2 16 8" xfId="11048" xr:uid="{2FF2CA60-7046-44AE-8861-922EEDE64131}"/>
    <cellStyle name="Normal 4 2 2 2 2 17" xfId="11049" xr:uid="{E0312B08-2625-4935-8D1C-BA3B597D87E1}"/>
    <cellStyle name="Normal 4 2 2 2 2 18" xfId="11050" xr:uid="{5CFA0C0D-F0BA-45EB-B823-6FA72C72BAD6}"/>
    <cellStyle name="Normal 4 2 2 2 2 19" xfId="11051" xr:uid="{63B99A0F-B0BA-4812-AEF7-95671C3946EC}"/>
    <cellStyle name="Normal 4 2 2 2 2 2" xfId="11052" xr:uid="{1902A85D-A569-41F3-A981-74F17761F3B7}"/>
    <cellStyle name="Normal 4 2 2 2 2 2 10" xfId="11053" xr:uid="{08F8477C-681D-4B5D-83D0-F120AEB9E23E}"/>
    <cellStyle name="Normal 4 2 2 2 2 2 10 2" xfId="11054" xr:uid="{7A727DB8-1F20-4B52-A68E-C33244BFE7A2}"/>
    <cellStyle name="Normal 4 2 2 2 2 2 10 2 2" xfId="11055" xr:uid="{23BD1044-B498-4070-A19A-0C6ED60DCE01}"/>
    <cellStyle name="Normal 4 2 2 2 2 2 10 2 2 2" xfId="11056" xr:uid="{B1AB692D-D9AB-479C-8AC8-F9625F30E3B8}"/>
    <cellStyle name="Normal 4 2 2 2 2 2 10 2 2 3" xfId="11057" xr:uid="{3F0E66A7-D48B-4D93-97FE-74C5A8974F97}"/>
    <cellStyle name="Normal 4 2 2 2 2 2 10 2 2 4" xfId="11058" xr:uid="{E8605AFF-D0D1-4DF7-8414-6BD59E9E8DD3}"/>
    <cellStyle name="Normal 4 2 2 2 2 2 10 2 2 5" xfId="11059" xr:uid="{B92C375C-946B-4690-B2D8-F85FAB581328}"/>
    <cellStyle name="Normal 4 2 2 2 2 2 10 2 2 6" xfId="11060" xr:uid="{FBDECDE1-2DD9-4B63-949B-2BABE0195D8F}"/>
    <cellStyle name="Normal 4 2 2 2 2 2 10 2 2 7" xfId="11061" xr:uid="{B20BB9C2-A609-4AF0-A25B-04D87C6CD43C}"/>
    <cellStyle name="Normal 4 2 2 2 2 2 10 2 2 8" xfId="11062" xr:uid="{49016571-D00A-49A6-9DA8-EDD31434E334}"/>
    <cellStyle name="Normal 4 2 2 2 2 2 10 2 3" xfId="11063" xr:uid="{19C64075-54E1-4E71-BD15-3109F9D526E3}"/>
    <cellStyle name="Normal 4 2 2 2 2 2 10 2 4" xfId="11064" xr:uid="{FA99FA64-8A83-4801-86F0-04A06AAC27EF}"/>
    <cellStyle name="Normal 4 2 2 2 2 2 10 2 5" xfId="11065" xr:uid="{45C50E2F-5BA2-414B-9AC3-B2792C988A74}"/>
    <cellStyle name="Normal 4 2 2 2 2 2 10 2 6" xfId="11066" xr:uid="{336925B9-24AB-4A9E-9744-408F7CA3C7ED}"/>
    <cellStyle name="Normal 4 2 2 2 2 2 10 2 7" xfId="11067" xr:uid="{3D6F9500-5AC2-45B6-A075-9803AC7893B6}"/>
    <cellStyle name="Normal 4 2 2 2 2 2 10 2 8" xfId="11068" xr:uid="{BA072573-D2A5-444E-8155-094E17BD19BD}"/>
    <cellStyle name="Normal 4 2 2 2 2 2 10 3" xfId="11069" xr:uid="{2AA877AE-B7DC-4B42-AD3E-3099BE79BFD0}"/>
    <cellStyle name="Normal 4 2 2 2 2 2 10 4" xfId="11070" xr:uid="{67627A7E-BCAB-4784-8D6F-55551C338CC7}"/>
    <cellStyle name="Normal 4 2 2 2 2 2 10 5" xfId="11071" xr:uid="{451DCF31-83ED-4E74-BFB8-390DE352FE6E}"/>
    <cellStyle name="Normal 4 2 2 2 2 2 10 6" xfId="11072" xr:uid="{B05113A9-D0AE-4657-B629-9C0D21363C59}"/>
    <cellStyle name="Normal 4 2 2 2 2 2 10 7" xfId="11073" xr:uid="{F3EB6D3B-8213-4C68-B28F-20AD946A6752}"/>
    <cellStyle name="Normal 4 2 2 2 2 2 10 8" xfId="11074" xr:uid="{E9DB2B3B-76E8-4A99-AB7C-3E8C2D8DE7BD}"/>
    <cellStyle name="Normal 4 2 2 2 2 2 10 9" xfId="11075" xr:uid="{C16CD989-3B5A-40A0-B8FA-432FD8C3D6C4}"/>
    <cellStyle name="Normal 4 2 2 2 2 2 11" xfId="11076" xr:uid="{6E6C4A85-EBA6-40C5-8024-8B53148D5A30}"/>
    <cellStyle name="Normal 4 2 2 2 2 2 11 2" xfId="11077" xr:uid="{3A96507E-5929-46E4-A202-025D65BB8512}"/>
    <cellStyle name="Normal 4 2 2 2 2 2 11 3" xfId="11078" xr:uid="{663CEA8F-F171-4E77-B228-D7FC29E5997A}"/>
    <cellStyle name="Normal 4 2 2 2 2 2 11 4" xfId="11079" xr:uid="{695D4FD2-0F08-45AD-A3A2-1634C3518036}"/>
    <cellStyle name="Normal 4 2 2 2 2 2 11 5" xfId="11080" xr:uid="{8648B5E8-C358-4200-88AF-D9741B42B6B0}"/>
    <cellStyle name="Normal 4 2 2 2 2 2 11 6" xfId="11081" xr:uid="{CA0EA0BE-86C5-4B60-9D8D-7C0AD2E95A5D}"/>
    <cellStyle name="Normal 4 2 2 2 2 2 11 7" xfId="11082" xr:uid="{CE196520-16D1-494A-85FD-446894AB424F}"/>
    <cellStyle name="Normal 4 2 2 2 2 2 11 8" xfId="11083" xr:uid="{32F7E0F0-27FF-4D5B-B872-DF44CA734584}"/>
    <cellStyle name="Normal 4 2 2 2 2 2 12" xfId="11084" xr:uid="{3A88435F-BD59-4E7C-9C54-376F87C94488}"/>
    <cellStyle name="Normal 4 2 2 2 2 2 13" xfId="11085" xr:uid="{1A36E698-0A57-4431-80E2-8AC296346164}"/>
    <cellStyle name="Normal 4 2 2 2 2 2 14" xfId="11086" xr:uid="{A69119C2-07A8-44F1-896A-BD35B7BBF276}"/>
    <cellStyle name="Normal 4 2 2 2 2 2 15" xfId="11087" xr:uid="{C0233957-0536-4FEA-955E-BAC4DD407159}"/>
    <cellStyle name="Normal 4 2 2 2 2 2 16" xfId="11088" xr:uid="{751CD6A0-BD2F-493B-9606-4734624A075A}"/>
    <cellStyle name="Normal 4 2 2 2 2 2 17" xfId="11089" xr:uid="{20E08D48-368D-4450-AC86-77DB2555B714}"/>
    <cellStyle name="Normal 4 2 2 2 2 2 2" xfId="11090" xr:uid="{CFE861E0-9373-461F-9BDF-2D17D5236410}"/>
    <cellStyle name="Normal 4 2 2 2 2 2 2 10" xfId="11091" xr:uid="{6F443547-291B-4D37-85EE-F4F35EF6799F}"/>
    <cellStyle name="Normal 4 2 2 2 2 2 2 10 2" xfId="11092" xr:uid="{D5D4AD70-B3C1-4E21-9D58-8C97E4DA7F21}"/>
    <cellStyle name="Normal 4 2 2 2 2 2 2 10 2 2" xfId="11093" xr:uid="{78A8E642-4663-4E5C-B192-E4DCEB9258DB}"/>
    <cellStyle name="Normal 4 2 2 2 2 2 2 10 2 2 2" xfId="11094" xr:uid="{2FCBF78A-B100-47A0-9DF6-537F12EE0F43}"/>
    <cellStyle name="Normal 4 2 2 2 2 2 2 10 2 2 3" xfId="11095" xr:uid="{87E53C36-1BC2-4471-8186-0C9FC6FACE70}"/>
    <cellStyle name="Normal 4 2 2 2 2 2 2 10 2 2 4" xfId="11096" xr:uid="{68B7A933-E480-4552-B03B-D567745B6460}"/>
    <cellStyle name="Normal 4 2 2 2 2 2 2 10 2 2 5" xfId="11097" xr:uid="{B66B9FAD-DB7A-474D-B84D-23D5D1E83624}"/>
    <cellStyle name="Normal 4 2 2 2 2 2 2 10 2 2 6" xfId="11098" xr:uid="{E1B02A7B-8664-4508-AB36-F757AB969343}"/>
    <cellStyle name="Normal 4 2 2 2 2 2 2 10 2 2 7" xfId="11099" xr:uid="{A603349F-3615-4779-9EFA-5E767B06BC1F}"/>
    <cellStyle name="Normal 4 2 2 2 2 2 2 10 2 2 8" xfId="11100" xr:uid="{6A476B5A-AB06-4F62-B0AE-722C4796308E}"/>
    <cellStyle name="Normal 4 2 2 2 2 2 2 10 2 3" xfId="11101" xr:uid="{F60C4F4B-150C-44DC-BFAA-5D5A80F249A9}"/>
    <cellStyle name="Normal 4 2 2 2 2 2 2 10 2 4" xfId="11102" xr:uid="{26F43B17-C932-478C-BC5C-82329569C9C3}"/>
    <cellStyle name="Normal 4 2 2 2 2 2 2 10 2 5" xfId="11103" xr:uid="{019CD19F-611A-4C90-86CE-E9DAC6BFC1EC}"/>
    <cellStyle name="Normal 4 2 2 2 2 2 2 10 2 6" xfId="11104" xr:uid="{3F5293DB-3F94-4446-AAF6-B3DFB062E096}"/>
    <cellStyle name="Normal 4 2 2 2 2 2 2 10 2 7" xfId="11105" xr:uid="{140D6BA8-FA2F-46AF-987D-FB8984C499B1}"/>
    <cellStyle name="Normal 4 2 2 2 2 2 2 10 2 8" xfId="11106" xr:uid="{F3881B97-6B9A-43B0-8C5F-D7193F8A6C90}"/>
    <cellStyle name="Normal 4 2 2 2 2 2 2 10 3" xfId="11107" xr:uid="{D4D2129D-9C9B-48BF-ADA4-781DADB19B88}"/>
    <cellStyle name="Normal 4 2 2 2 2 2 2 10 4" xfId="11108" xr:uid="{C33DC67D-D6DC-435F-A842-6CC635884ECA}"/>
    <cellStyle name="Normal 4 2 2 2 2 2 2 10 5" xfId="11109" xr:uid="{CFCAA4C3-7DC1-4EF9-A353-6DEB39ECFB59}"/>
    <cellStyle name="Normal 4 2 2 2 2 2 2 10 6" xfId="11110" xr:uid="{9CE0E2D8-E28D-49E7-85C3-8B06E03772B3}"/>
    <cellStyle name="Normal 4 2 2 2 2 2 2 10 7" xfId="11111" xr:uid="{E9715A0B-2401-4448-A34B-72A91853620D}"/>
    <cellStyle name="Normal 4 2 2 2 2 2 2 10 8" xfId="11112" xr:uid="{D86CD7DA-5F1B-4C6B-8F0A-515B3C549C47}"/>
    <cellStyle name="Normal 4 2 2 2 2 2 2 10 9" xfId="11113" xr:uid="{A4F5BFCD-0E9F-4F55-9725-D042B1903CD6}"/>
    <cellStyle name="Normal 4 2 2 2 2 2 2 11" xfId="11114" xr:uid="{F6B2710C-2EB9-4DA8-91BD-1D19E3ACD16F}"/>
    <cellStyle name="Normal 4 2 2 2 2 2 2 11 2" xfId="11115" xr:uid="{5715BF89-400A-4691-9DD1-86E0BA9D4FEA}"/>
    <cellStyle name="Normal 4 2 2 2 2 2 2 11 3" xfId="11116" xr:uid="{C204F927-C32D-468A-B4F5-69250BA05E3A}"/>
    <cellStyle name="Normal 4 2 2 2 2 2 2 11 4" xfId="11117" xr:uid="{15AE9452-1C9D-4746-8A84-5663C86C3DA3}"/>
    <cellStyle name="Normal 4 2 2 2 2 2 2 11 5" xfId="11118" xr:uid="{A500D902-704F-426C-8BEA-FC32548E40E1}"/>
    <cellStyle name="Normal 4 2 2 2 2 2 2 11 6" xfId="11119" xr:uid="{1215507E-2522-4C8A-AD81-2163CFB4A877}"/>
    <cellStyle name="Normal 4 2 2 2 2 2 2 11 7" xfId="11120" xr:uid="{8D09486C-ED37-4A63-98E8-060EE149D7E8}"/>
    <cellStyle name="Normal 4 2 2 2 2 2 2 11 8" xfId="11121" xr:uid="{1F181210-8124-4516-9807-74FD08CD0D51}"/>
    <cellStyle name="Normal 4 2 2 2 2 2 2 12" xfId="11122" xr:uid="{DA7BC793-5AAB-49BD-9B0B-0ECE26415113}"/>
    <cellStyle name="Normal 4 2 2 2 2 2 2 13" xfId="11123" xr:uid="{F8D5674F-F329-41CF-8F09-97B8187DBB6A}"/>
    <cellStyle name="Normal 4 2 2 2 2 2 2 14" xfId="11124" xr:uid="{AC0DD521-BF59-454F-8615-E356F6CD4708}"/>
    <cellStyle name="Normal 4 2 2 2 2 2 2 15" xfId="11125" xr:uid="{536A3686-49B1-4053-B2B1-799D662D82BA}"/>
    <cellStyle name="Normal 4 2 2 2 2 2 2 16" xfId="11126" xr:uid="{652BABD0-BBBB-4C20-8661-0C90C3049BAF}"/>
    <cellStyle name="Normal 4 2 2 2 2 2 2 17" xfId="11127" xr:uid="{B490E310-301D-4DF2-A617-2670FEA00DEE}"/>
    <cellStyle name="Normal 4 2 2 2 2 2 2 2" xfId="11128" xr:uid="{7B391C84-AFF3-4F34-BE20-FF7EC6E88E72}"/>
    <cellStyle name="Normal 4 2 2 2 2 2 2 2 10" xfId="11129" xr:uid="{1C19A19E-EE0A-481F-B302-19450E300B98}"/>
    <cellStyle name="Normal 4 2 2 2 2 2 2 2 2" xfId="11130" xr:uid="{66FDAD84-399E-4000-9AA1-57B5551EBE15}"/>
    <cellStyle name="Normal 4 2 2 2 2 2 2 2 2 2" xfId="11131" xr:uid="{248DD245-950A-4347-82B1-B4CFEECD271C}"/>
    <cellStyle name="Normal 4 2 2 2 2 2 2 2 2 2 2" xfId="11132" xr:uid="{9046CA5C-3251-4B2B-AA18-29AA43CCDC68}"/>
    <cellStyle name="Normal 4 2 2 2 2 2 2 2 2 2 2 2" xfId="11133" xr:uid="{80FB6C33-6F92-4415-8C31-FB7F7077861D}"/>
    <cellStyle name="Normal 4 2 2 2 2 2 2 2 2 2 2 3" xfId="11134" xr:uid="{962A1D6A-41B0-4E07-8FD3-59A3CA2CBFA1}"/>
    <cellStyle name="Normal 4 2 2 2 2 2 2 2 2 2 2 4" xfId="11135" xr:uid="{6A5523CE-EDDA-476B-8838-97267DB4CE9F}"/>
    <cellStyle name="Normal 4 2 2 2 2 2 2 2 2 2 2 5" xfId="11136" xr:uid="{C7A63D69-1A02-4250-B540-6CFA7BAF5147}"/>
    <cellStyle name="Normal 4 2 2 2 2 2 2 2 2 2 2 6" xfId="11137" xr:uid="{17551865-F39F-4F00-BB0F-726AA2EF5FB8}"/>
    <cellStyle name="Normal 4 2 2 2 2 2 2 2 2 2 2 7" xfId="11138" xr:uid="{012F1C1E-B2CD-419B-A058-ECA7E9B95737}"/>
    <cellStyle name="Normal 4 2 2 2 2 2 2 2 2 2 2 8" xfId="11139" xr:uid="{AFF2AD03-A044-4B45-A61C-1736909B08A0}"/>
    <cellStyle name="Normal 4 2 2 2 2 2 2 2 2 2 3" xfId="11140" xr:uid="{22C60398-7BBC-48D4-B3B2-3EAD79557597}"/>
    <cellStyle name="Normal 4 2 2 2 2 2 2 2 2 2 4" xfId="11141" xr:uid="{E7277104-7DFE-43DB-BC75-8B5FEC7B302C}"/>
    <cellStyle name="Normal 4 2 2 2 2 2 2 2 2 2 5" xfId="11142" xr:uid="{F80D6895-44B2-4A73-A4DB-418CD0B29C3C}"/>
    <cellStyle name="Normal 4 2 2 2 2 2 2 2 2 2 6" xfId="11143" xr:uid="{40E6BC7D-7408-4086-919D-65105A03643E}"/>
    <cellStyle name="Normal 4 2 2 2 2 2 2 2 2 2 7" xfId="11144" xr:uid="{CE3E7632-CB85-425D-92DF-579A2A4121C9}"/>
    <cellStyle name="Normal 4 2 2 2 2 2 2 2 2 2 8" xfId="11145" xr:uid="{1896E650-86DE-4210-86C2-B03BE513C452}"/>
    <cellStyle name="Normal 4 2 2 2 2 2 2 2 2 3" xfId="11146" xr:uid="{CE2BD91D-06B4-4B73-A9AC-CC72FF0E32FD}"/>
    <cellStyle name="Normal 4 2 2 2 2 2 2 2 2 4" xfId="11147" xr:uid="{15C63450-47B5-46A8-8C20-AD08472D43DD}"/>
    <cellStyle name="Normal 4 2 2 2 2 2 2 2 2 5" xfId="11148" xr:uid="{43E9415F-5BBA-4CCA-8934-88418809A42B}"/>
    <cellStyle name="Normal 4 2 2 2 2 2 2 2 2 6" xfId="11149" xr:uid="{94DAED9F-0343-474B-A951-733883C63C71}"/>
    <cellStyle name="Normal 4 2 2 2 2 2 2 2 2 7" xfId="11150" xr:uid="{7DF0B5D2-91C3-43AE-8D1F-BA1DEA2125FB}"/>
    <cellStyle name="Normal 4 2 2 2 2 2 2 2 2 8" xfId="11151" xr:uid="{DB33D603-9B0C-46E9-9407-FD3AC30C5985}"/>
    <cellStyle name="Normal 4 2 2 2 2 2 2 2 2 9" xfId="11152" xr:uid="{937DCDD2-7A55-4ED7-9AF2-1EBD9A8A3A99}"/>
    <cellStyle name="Normal 4 2 2 2 2 2 2 2 3" xfId="11153" xr:uid="{418A8A0C-48E3-4E6E-B568-CEAB6823FE0D}"/>
    <cellStyle name="Normal 4 2 2 2 2 2 2 2 4" xfId="11154" xr:uid="{74529DAC-4CF3-4CDC-BD94-D227D2488B1E}"/>
    <cellStyle name="Normal 4 2 2 2 2 2 2 2 4 2" xfId="11155" xr:uid="{A1CED60C-A313-42A8-A0B6-9F41B8E82FC9}"/>
    <cellStyle name="Normal 4 2 2 2 2 2 2 2 4 3" xfId="11156" xr:uid="{10FEC324-8B2B-4A44-9949-98D573F27AC5}"/>
    <cellStyle name="Normal 4 2 2 2 2 2 2 2 4 4" xfId="11157" xr:uid="{2EB42379-E243-4FF3-8FBC-40E463F96809}"/>
    <cellStyle name="Normal 4 2 2 2 2 2 2 2 4 5" xfId="11158" xr:uid="{9CAFDCB3-614F-4907-9EBA-471B87B25676}"/>
    <cellStyle name="Normal 4 2 2 2 2 2 2 2 4 6" xfId="11159" xr:uid="{628967A5-C619-4A81-9746-803AC3578BF9}"/>
    <cellStyle name="Normal 4 2 2 2 2 2 2 2 4 7" xfId="11160" xr:uid="{E6F28C04-8554-4E62-A17E-3CE738D9B0FC}"/>
    <cellStyle name="Normal 4 2 2 2 2 2 2 2 4 8" xfId="11161" xr:uid="{C5E935C3-38DA-4EAB-97AC-B690D377B3D2}"/>
    <cellStyle name="Normal 4 2 2 2 2 2 2 2 5" xfId="11162" xr:uid="{8098BE34-0054-479D-B0CB-54D51514126B}"/>
    <cellStyle name="Normal 4 2 2 2 2 2 2 2 6" xfId="11163" xr:uid="{8F578C21-00C1-48FE-8DC3-1E0FD69DA270}"/>
    <cellStyle name="Normal 4 2 2 2 2 2 2 2 7" xfId="11164" xr:uid="{701656E6-EDC5-4549-A672-5389094B5FB3}"/>
    <cellStyle name="Normal 4 2 2 2 2 2 2 2 8" xfId="11165" xr:uid="{20BCA36C-D42E-474E-A42D-02ED60AE4913}"/>
    <cellStyle name="Normal 4 2 2 2 2 2 2 2 9" xfId="11166" xr:uid="{7C97C4AF-740E-4128-9577-7405D96748D5}"/>
    <cellStyle name="Normal 4 2 2 2 2 2 2 3" xfId="11167" xr:uid="{88A23C99-F951-4CF6-905E-B031A015F69B}"/>
    <cellStyle name="Normal 4 2 2 2 2 2 2 4" xfId="11168" xr:uid="{EE989CD9-DA96-43B3-BE39-3FFA0BB27FE8}"/>
    <cellStyle name="Normal 4 2 2 2 2 2 2 5" xfId="11169" xr:uid="{ABC33309-17B7-416A-BEE8-D1491C40130F}"/>
    <cellStyle name="Normal 4 2 2 2 2 2 2 6" xfId="11170" xr:uid="{BD3F9ADF-1DD4-47D3-9C09-8A5278DCE465}"/>
    <cellStyle name="Normal 4 2 2 2 2 2 2 7" xfId="11171" xr:uid="{33D64E5F-6812-4629-9DFB-D5CE55B0B311}"/>
    <cellStyle name="Normal 4 2 2 2 2 2 2 8" xfId="11172" xr:uid="{6A616E3F-1C05-4AD8-89A2-CD0085F89ECC}"/>
    <cellStyle name="Normal 4 2 2 2 2 2 2 9" xfId="11173" xr:uid="{99413FED-109A-4F2F-8823-48F6114EDE6A}"/>
    <cellStyle name="Normal 4 2 2 2 2 2 3" xfId="11174" xr:uid="{A9E70A1C-074F-4B6B-A28C-09DD581B0BCC}"/>
    <cellStyle name="Normal 4 2 2 2 2 2 3 10" xfId="11175" xr:uid="{6C697A6B-E747-424E-9D20-FB0FD115FCCF}"/>
    <cellStyle name="Normal 4 2 2 2 2 2 3 2" xfId="11176" xr:uid="{71EC5D5A-872D-45B1-AE0E-19CB98C060E8}"/>
    <cellStyle name="Normal 4 2 2 2 2 2 3 2 2" xfId="11177" xr:uid="{90CE25C6-E79E-419C-A2DD-161FDBB137C0}"/>
    <cellStyle name="Normal 4 2 2 2 2 2 3 2 2 2" xfId="11178" xr:uid="{587F946E-EC82-4FF8-9B58-46BECB882C05}"/>
    <cellStyle name="Normal 4 2 2 2 2 2 3 2 2 2 2" xfId="11179" xr:uid="{76E937D2-E5D8-4E37-8E55-62C575C4CB39}"/>
    <cellStyle name="Normal 4 2 2 2 2 2 3 2 2 2 3" xfId="11180" xr:uid="{8EDD24A6-1746-41F5-858E-9974E08BC773}"/>
    <cellStyle name="Normal 4 2 2 2 2 2 3 2 2 2 4" xfId="11181" xr:uid="{CFD346EB-94B2-41D3-B888-8D40D8FFF3C2}"/>
    <cellStyle name="Normal 4 2 2 2 2 2 3 2 2 2 5" xfId="11182" xr:uid="{A1B5C270-F768-4BF7-95C3-3369A7FC1B9B}"/>
    <cellStyle name="Normal 4 2 2 2 2 2 3 2 2 2 6" xfId="11183" xr:uid="{52D601C7-DB03-482E-85ED-725C8EC10367}"/>
    <cellStyle name="Normal 4 2 2 2 2 2 3 2 2 2 7" xfId="11184" xr:uid="{62E5123A-E27A-45E0-89EE-F0971ABC7DC7}"/>
    <cellStyle name="Normal 4 2 2 2 2 2 3 2 2 2 8" xfId="11185" xr:uid="{4A42E246-5009-4C57-9B58-8A2581592B79}"/>
    <cellStyle name="Normal 4 2 2 2 2 2 3 2 2 3" xfId="11186" xr:uid="{3A519632-4438-4BE0-858F-D45AB4DA2496}"/>
    <cellStyle name="Normal 4 2 2 2 2 2 3 2 2 4" xfId="11187" xr:uid="{214DF349-767A-4583-993B-9FF206BE0607}"/>
    <cellStyle name="Normal 4 2 2 2 2 2 3 2 2 5" xfId="11188" xr:uid="{55E9B98C-B0E6-4CCC-B6AF-133F246A49E2}"/>
    <cellStyle name="Normal 4 2 2 2 2 2 3 2 2 6" xfId="11189" xr:uid="{815C1AC8-4300-4BC0-9C62-56D85A2FFF59}"/>
    <cellStyle name="Normal 4 2 2 2 2 2 3 2 2 7" xfId="11190" xr:uid="{76A4015A-304C-43CF-B731-CA542A31BB3D}"/>
    <cellStyle name="Normal 4 2 2 2 2 2 3 2 2 8" xfId="11191" xr:uid="{F07BEBD4-6C68-4C89-9C47-3F5F20F0A69C}"/>
    <cellStyle name="Normal 4 2 2 2 2 2 3 2 3" xfId="11192" xr:uid="{509F6391-590D-4519-80CF-E19FE2C18F63}"/>
    <cellStyle name="Normal 4 2 2 2 2 2 3 2 4" xfId="11193" xr:uid="{32AACC88-A582-4AD7-B0B2-5612D31A2E06}"/>
    <cellStyle name="Normal 4 2 2 2 2 2 3 2 5" xfId="11194" xr:uid="{E1FC2A5C-E1F6-42D2-868C-BEEB7C47E046}"/>
    <cellStyle name="Normal 4 2 2 2 2 2 3 2 6" xfId="11195" xr:uid="{B3B8FD51-23EE-4DE0-AE28-DE9852F00D32}"/>
    <cellStyle name="Normal 4 2 2 2 2 2 3 2 7" xfId="11196" xr:uid="{670F3E11-48CC-434E-8046-20B03C06587A}"/>
    <cellStyle name="Normal 4 2 2 2 2 2 3 2 8" xfId="11197" xr:uid="{06AB2150-72D3-44C0-97FE-BBECC452D9C6}"/>
    <cellStyle name="Normal 4 2 2 2 2 2 3 2 9" xfId="11198" xr:uid="{457599F5-CD57-41A5-89DF-EABD05A00C56}"/>
    <cellStyle name="Normal 4 2 2 2 2 2 3 3" xfId="11199" xr:uid="{C51621FE-A0B3-4D9C-A047-125124326524}"/>
    <cellStyle name="Normal 4 2 2 2 2 2 3 4" xfId="11200" xr:uid="{A4D674B9-FE54-44E4-AB98-8FA64B75748D}"/>
    <cellStyle name="Normal 4 2 2 2 2 2 3 4 2" xfId="11201" xr:uid="{8FB7DAA7-223E-4902-AB9C-E9B2D761BFED}"/>
    <cellStyle name="Normal 4 2 2 2 2 2 3 4 3" xfId="11202" xr:uid="{4520FEF0-9B94-40F9-9C0C-ADA5FA686F7C}"/>
    <cellStyle name="Normal 4 2 2 2 2 2 3 4 4" xfId="11203" xr:uid="{EA79EFE7-763E-4E22-A5B8-1C07C66009B3}"/>
    <cellStyle name="Normal 4 2 2 2 2 2 3 4 5" xfId="11204" xr:uid="{9BD58CE0-9F1C-40F1-A78F-B5D25D956973}"/>
    <cellStyle name="Normal 4 2 2 2 2 2 3 4 6" xfId="11205" xr:uid="{D2B46EFA-4ED1-49B8-B58F-C169E0BA5460}"/>
    <cellStyle name="Normal 4 2 2 2 2 2 3 4 7" xfId="11206" xr:uid="{514DA8A6-EFF3-4C5C-9DC4-426F6C91B743}"/>
    <cellStyle name="Normal 4 2 2 2 2 2 3 4 8" xfId="11207" xr:uid="{DD0B2F04-D1AC-4993-8C3D-87C9BC7B7896}"/>
    <cellStyle name="Normal 4 2 2 2 2 2 3 5" xfId="11208" xr:uid="{DBA002AF-2979-452D-B08A-CED98348C848}"/>
    <cellStyle name="Normal 4 2 2 2 2 2 3 6" xfId="11209" xr:uid="{B1359468-D733-4310-9D78-B40B0D16FE07}"/>
    <cellStyle name="Normal 4 2 2 2 2 2 3 7" xfId="11210" xr:uid="{A33A81F2-4FDC-4A27-912F-F6BD62CE9CA4}"/>
    <cellStyle name="Normal 4 2 2 2 2 2 3 8" xfId="11211" xr:uid="{1F128382-DE14-49B1-AA39-8CC7359FFBB4}"/>
    <cellStyle name="Normal 4 2 2 2 2 2 3 9" xfId="11212" xr:uid="{71242907-E9F3-494E-BDDC-ECA6BED06BBD}"/>
    <cellStyle name="Normal 4 2 2 2 2 2 4" xfId="11213" xr:uid="{B052198E-4EA7-4A74-A4B5-539421D632D6}"/>
    <cellStyle name="Normal 4 2 2 2 2 2 5" xfId="11214" xr:uid="{85A2FC75-13DA-4B6A-A5B9-40F265C04604}"/>
    <cellStyle name="Normal 4 2 2 2 2 2 6" xfId="11215" xr:uid="{F83935D6-0592-45D6-A1E3-EF0A27C324F8}"/>
    <cellStyle name="Normal 4 2 2 2 2 2 7" xfId="11216" xr:uid="{9A55D0FD-4746-4869-BB11-40C651D6A007}"/>
    <cellStyle name="Normal 4 2 2 2 2 2 8" xfId="11217" xr:uid="{6658969C-93BF-4DB3-A408-401F1B026FEE}"/>
    <cellStyle name="Normal 4 2 2 2 2 2 9" xfId="11218" xr:uid="{B7589DEB-A2A7-4D5A-B1F3-50EC8EDCD961}"/>
    <cellStyle name="Normal 4 2 2 2 2 20" xfId="11219" xr:uid="{4F62FBC4-AB65-4235-B2DB-55A6B7B9F2DA}"/>
    <cellStyle name="Normal 4 2 2 2 2 21" xfId="11220" xr:uid="{BFBAFCEA-8F06-4280-A237-584683ECCDAC}"/>
    <cellStyle name="Normal 4 2 2 2 2 22" xfId="11221" xr:uid="{6388447C-E1CF-4A04-B175-D11AB144D5D4}"/>
    <cellStyle name="Normal 4 2 2 2 2 3" xfId="11222" xr:uid="{187BAD4D-35B4-46F0-96DC-2803B3BED522}"/>
    <cellStyle name="Normal 4 2 2 2 2 4" xfId="11223" xr:uid="{BCFE98DF-05F7-4B6A-B995-39BA7B22AC53}"/>
    <cellStyle name="Normal 4 2 2 2 2 5" xfId="11224" xr:uid="{DF5C198C-7728-4519-9332-C6ED43026A1B}"/>
    <cellStyle name="Normal 4 2 2 2 2 6" xfId="11225" xr:uid="{E6342D5A-DDC4-4043-9160-9244F5A373BA}"/>
    <cellStyle name="Normal 4 2 2 2 2 7" xfId="11226" xr:uid="{92B6C371-2186-4D22-AF59-641E6A7763F9}"/>
    <cellStyle name="Normal 4 2 2 2 2 7 10" xfId="11227" xr:uid="{B097F594-3B62-4F5B-B9EB-EDB4247BB945}"/>
    <cellStyle name="Normal 4 2 2 2 2 7 2" xfId="11228" xr:uid="{E2869688-439E-45A1-B5AC-9EE776E11255}"/>
    <cellStyle name="Normal 4 2 2 2 2 7 2 2" xfId="11229" xr:uid="{FCA3A232-2541-4247-A8FB-A40D8B27A516}"/>
    <cellStyle name="Normal 4 2 2 2 2 7 2 2 2" xfId="11230" xr:uid="{861107CC-7749-461A-B72E-D792C4D8BB51}"/>
    <cellStyle name="Normal 4 2 2 2 2 7 2 2 2 2" xfId="11231" xr:uid="{FB4319F1-3208-4CE7-9312-27B148D8CB21}"/>
    <cellStyle name="Normal 4 2 2 2 2 7 2 2 2 3" xfId="11232" xr:uid="{FACD6C1C-2FD3-4670-B066-9169D85E8676}"/>
    <cellStyle name="Normal 4 2 2 2 2 7 2 2 2 4" xfId="11233" xr:uid="{4D75752E-D7D8-49F0-A5F0-D7B2425F5A33}"/>
    <cellStyle name="Normal 4 2 2 2 2 7 2 2 2 5" xfId="11234" xr:uid="{AB23E945-8DCB-4ECB-A542-9EA15FEC16C9}"/>
    <cellStyle name="Normal 4 2 2 2 2 7 2 2 2 6" xfId="11235" xr:uid="{62DF6340-E87E-45B7-944F-82E07DB38215}"/>
    <cellStyle name="Normal 4 2 2 2 2 7 2 2 2 7" xfId="11236" xr:uid="{8B17460B-F800-4869-9FCC-6428D63D3434}"/>
    <cellStyle name="Normal 4 2 2 2 2 7 2 2 2 8" xfId="11237" xr:uid="{E99CE27F-6993-4B0F-8D47-057D3705A58B}"/>
    <cellStyle name="Normal 4 2 2 2 2 7 2 2 3" xfId="11238" xr:uid="{D47E8BB1-7680-40B0-9C93-E6FF00A997B4}"/>
    <cellStyle name="Normal 4 2 2 2 2 7 2 2 4" xfId="11239" xr:uid="{74799701-23BB-451C-B784-60962F192819}"/>
    <cellStyle name="Normal 4 2 2 2 2 7 2 2 5" xfId="11240" xr:uid="{0844036E-422A-4702-B04B-210EDDE64628}"/>
    <cellStyle name="Normal 4 2 2 2 2 7 2 2 6" xfId="11241" xr:uid="{64E80B6C-8BB3-4954-ADFD-3966366CC2BF}"/>
    <cellStyle name="Normal 4 2 2 2 2 7 2 2 7" xfId="11242" xr:uid="{0610D94C-AEC0-48C9-8F39-4D0F2A413FA8}"/>
    <cellStyle name="Normal 4 2 2 2 2 7 2 2 8" xfId="11243" xr:uid="{668B7EBA-67E5-4C66-81AB-4F5D05101EAE}"/>
    <cellStyle name="Normal 4 2 2 2 2 7 2 3" xfId="11244" xr:uid="{1AB73F01-D293-4C53-AE50-2D76F3A3410C}"/>
    <cellStyle name="Normal 4 2 2 2 2 7 2 4" xfId="11245" xr:uid="{783151B0-475C-4664-9165-E7FF21BB7FAD}"/>
    <cellStyle name="Normal 4 2 2 2 2 7 2 5" xfId="11246" xr:uid="{AF15DEEE-15A1-4F46-8D0B-28F70DCCCA36}"/>
    <cellStyle name="Normal 4 2 2 2 2 7 2 6" xfId="11247" xr:uid="{7CAE7275-2F5C-4F16-A4DF-FDC83064B7A0}"/>
    <cellStyle name="Normal 4 2 2 2 2 7 2 7" xfId="11248" xr:uid="{59D5A770-134A-439A-95AF-3DCDF8EFC2E1}"/>
    <cellStyle name="Normal 4 2 2 2 2 7 2 8" xfId="11249" xr:uid="{690913D9-D4D5-43F9-9233-8026A7808207}"/>
    <cellStyle name="Normal 4 2 2 2 2 7 2 9" xfId="11250" xr:uid="{2F60F5F8-426A-413C-A893-94D46A4F16EB}"/>
    <cellStyle name="Normal 4 2 2 2 2 7 3" xfId="11251" xr:uid="{459E5BB6-DAF5-4545-91AD-92E7798DEF19}"/>
    <cellStyle name="Normal 4 2 2 2 2 7 4" xfId="11252" xr:uid="{29039D63-1083-4559-9129-69E8CF062952}"/>
    <cellStyle name="Normal 4 2 2 2 2 7 4 2" xfId="11253" xr:uid="{24EBA882-3B71-4DD2-8532-EA717CB74D9D}"/>
    <cellStyle name="Normal 4 2 2 2 2 7 4 3" xfId="11254" xr:uid="{7A6C4843-87FA-476F-8CC8-37DF82293D31}"/>
    <cellStyle name="Normal 4 2 2 2 2 7 4 4" xfId="11255" xr:uid="{D33278B0-6474-47EE-A905-ECE12DAE24A6}"/>
    <cellStyle name="Normal 4 2 2 2 2 7 4 5" xfId="11256" xr:uid="{5F46633D-8349-4749-8BBE-D142464A1F47}"/>
    <cellStyle name="Normal 4 2 2 2 2 7 4 6" xfId="11257" xr:uid="{B180586E-387A-4542-9822-71F86B811C2F}"/>
    <cellStyle name="Normal 4 2 2 2 2 7 4 7" xfId="11258" xr:uid="{B1884452-74F9-4D84-A889-85AC81A215F2}"/>
    <cellStyle name="Normal 4 2 2 2 2 7 4 8" xfId="11259" xr:uid="{7C9AA8DE-0335-48F9-9347-C6328698800A}"/>
    <cellStyle name="Normal 4 2 2 2 2 7 5" xfId="11260" xr:uid="{E91D3B91-3565-46EE-B4BA-EEB68555F40A}"/>
    <cellStyle name="Normal 4 2 2 2 2 7 6" xfId="11261" xr:uid="{E2DE75BF-CCA5-421F-8483-47056C0745F7}"/>
    <cellStyle name="Normal 4 2 2 2 2 7 7" xfId="11262" xr:uid="{A9FDC132-CF39-4D4C-B1B1-7A6B1E26AA75}"/>
    <cellStyle name="Normal 4 2 2 2 2 7 8" xfId="11263" xr:uid="{98306894-71B5-4A6F-8EF8-C75CC8F17784}"/>
    <cellStyle name="Normal 4 2 2 2 2 7 9" xfId="11264" xr:uid="{E232EDF1-E2F2-43F3-B6FC-A3ED01888062}"/>
    <cellStyle name="Normal 4 2 2 2 2 8" xfId="11265" xr:uid="{40C4A3F9-47EB-43DF-86FC-3FD3268D1EEF}"/>
    <cellStyle name="Normal 4 2 2 2 2 9" xfId="11266" xr:uid="{468CFEF0-B146-4068-BFE4-0AA503BD5C6B}"/>
    <cellStyle name="Normal 4 2 2 2 20" xfId="11267" xr:uid="{B82D52BF-9173-4E83-B504-27866C9277EF}"/>
    <cellStyle name="Normal 4 2 2 2 21" xfId="11268" xr:uid="{B5102019-1148-46DB-A0F1-CFE099124D0C}"/>
    <cellStyle name="Normal 4 2 2 2 22" xfId="11269" xr:uid="{B20397EE-F72A-4C0A-B80E-F2FDDC2C1057}"/>
    <cellStyle name="Normal 4 2 2 2 3" xfId="11270" xr:uid="{23C12D1F-D811-4A7A-B200-32430FF86C84}"/>
    <cellStyle name="Normal 4 2 2 2 3 10" xfId="11271" xr:uid="{52BCC79B-711F-4378-9763-37C26F9015B1}"/>
    <cellStyle name="Normal 4 2 2 2 3 10 2" xfId="11272" xr:uid="{49CB5B92-44FB-41F2-99FA-5932064D296C}"/>
    <cellStyle name="Normal 4 2 2 2 3 10 2 2" xfId="11273" xr:uid="{F4E99484-DBF1-4A65-BE80-1844795A37C9}"/>
    <cellStyle name="Normal 4 2 2 2 3 10 2 2 2" xfId="11274" xr:uid="{2DEDBEDD-E07C-4FD0-9B90-4159EDD32C23}"/>
    <cellStyle name="Normal 4 2 2 2 3 10 2 2 3" xfId="11275" xr:uid="{F753D9F3-6280-4469-A09C-279FBD31EDD7}"/>
    <cellStyle name="Normal 4 2 2 2 3 10 2 2 4" xfId="11276" xr:uid="{0D9C75F4-9EC4-44CB-8A6E-469555CE87FC}"/>
    <cellStyle name="Normal 4 2 2 2 3 10 2 2 5" xfId="11277" xr:uid="{C4DC0D02-2005-4DD3-8508-A494ECC2E6D3}"/>
    <cellStyle name="Normal 4 2 2 2 3 10 2 2 6" xfId="11278" xr:uid="{760C1E39-566D-4F61-BBC7-BBA0FC2F4108}"/>
    <cellStyle name="Normal 4 2 2 2 3 10 2 2 7" xfId="11279" xr:uid="{7EAF10EB-A79B-408E-9ABB-0A0D20E7ED87}"/>
    <cellStyle name="Normal 4 2 2 2 3 10 2 2 8" xfId="11280" xr:uid="{41939027-3E83-4E44-B420-A98285283E86}"/>
    <cellStyle name="Normal 4 2 2 2 3 10 2 3" xfId="11281" xr:uid="{E0E51FBB-29D7-45A1-93FD-E5C2E01C4A57}"/>
    <cellStyle name="Normal 4 2 2 2 3 10 2 4" xfId="11282" xr:uid="{F66E9654-ED95-4152-9FB2-8FDF201A2153}"/>
    <cellStyle name="Normal 4 2 2 2 3 10 2 5" xfId="11283" xr:uid="{2506B87F-E042-4C17-8ED5-B024FBEDBB06}"/>
    <cellStyle name="Normal 4 2 2 2 3 10 2 6" xfId="11284" xr:uid="{CDED646E-5C1C-44F4-BAC5-68315E8C7888}"/>
    <cellStyle name="Normal 4 2 2 2 3 10 2 7" xfId="11285" xr:uid="{6F36F239-D90C-4801-8B30-6EF6A08E5C91}"/>
    <cellStyle name="Normal 4 2 2 2 3 10 2 8" xfId="11286" xr:uid="{91D1FD0E-A762-4CF9-9348-DEC268E4632B}"/>
    <cellStyle name="Normal 4 2 2 2 3 10 3" xfId="11287" xr:uid="{DCDBC607-E5AD-4BA6-9ABD-4650EA5FE4F0}"/>
    <cellStyle name="Normal 4 2 2 2 3 10 4" xfId="11288" xr:uid="{1B86C7DE-7CEF-42CA-80BF-72BED9F1790B}"/>
    <cellStyle name="Normal 4 2 2 2 3 10 5" xfId="11289" xr:uid="{B8522A68-BF6A-4E08-BD8E-90E1EE2C8B81}"/>
    <cellStyle name="Normal 4 2 2 2 3 10 6" xfId="11290" xr:uid="{BB08F9B4-E4A1-4074-9A13-0E420AC1B0D5}"/>
    <cellStyle name="Normal 4 2 2 2 3 10 7" xfId="11291" xr:uid="{8093AE0B-DF2A-4667-A514-1498FD06920B}"/>
    <cellStyle name="Normal 4 2 2 2 3 10 8" xfId="11292" xr:uid="{18DF58CB-5D17-4A9C-8A64-A9B8B8A91BA6}"/>
    <cellStyle name="Normal 4 2 2 2 3 10 9" xfId="11293" xr:uid="{5271753A-C311-4AF1-9A0D-6ECF24D6FC33}"/>
    <cellStyle name="Normal 4 2 2 2 3 11" xfId="11294" xr:uid="{E63C9F34-9182-415E-B25A-F24DA7895B2F}"/>
    <cellStyle name="Normal 4 2 2 2 3 11 2" xfId="11295" xr:uid="{909EE8FB-2EB3-457C-A460-ABA2A669BF45}"/>
    <cellStyle name="Normal 4 2 2 2 3 11 3" xfId="11296" xr:uid="{0C546418-4815-4F41-9331-0265CCDB7F77}"/>
    <cellStyle name="Normal 4 2 2 2 3 11 4" xfId="11297" xr:uid="{BB82F7AD-456E-49B7-8760-657259FAEDEB}"/>
    <cellStyle name="Normal 4 2 2 2 3 11 5" xfId="11298" xr:uid="{CBD78874-6E9C-4F1C-9A1D-6360BEB48AED}"/>
    <cellStyle name="Normal 4 2 2 2 3 11 6" xfId="11299" xr:uid="{2BA9A5BF-8193-4727-8FB3-AA8DAC6BC0AE}"/>
    <cellStyle name="Normal 4 2 2 2 3 11 7" xfId="11300" xr:uid="{0AB9323C-A3AD-43B4-9C96-C972A98C8E38}"/>
    <cellStyle name="Normal 4 2 2 2 3 11 8" xfId="11301" xr:uid="{564C67D5-16E8-4B88-A217-12463705016B}"/>
    <cellStyle name="Normal 4 2 2 2 3 12" xfId="11302" xr:uid="{8D67AAAF-2D2B-4F9F-8291-3B5F8A2E326D}"/>
    <cellStyle name="Normal 4 2 2 2 3 13" xfId="11303" xr:uid="{7365419A-D505-4B97-81E5-1133CAC044ED}"/>
    <cellStyle name="Normal 4 2 2 2 3 14" xfId="11304" xr:uid="{38AC9B8E-3EE3-4CEB-85B6-869503D242CD}"/>
    <cellStyle name="Normal 4 2 2 2 3 15" xfId="11305" xr:uid="{46D392A4-A5A2-4369-BC9E-B73DE9E3C69B}"/>
    <cellStyle name="Normal 4 2 2 2 3 16" xfId="11306" xr:uid="{5F38F40A-5B0B-410F-995D-B84E2009BCB1}"/>
    <cellStyle name="Normal 4 2 2 2 3 17" xfId="11307" xr:uid="{967B15FF-0DE2-4BDC-9D80-EF2A1E580D4C}"/>
    <cellStyle name="Normal 4 2 2 2 3 2" xfId="11308" xr:uid="{8D41B2D4-CE41-46F6-B619-EC450699AE40}"/>
    <cellStyle name="Normal 4 2 2 2 3 2 10" xfId="11309" xr:uid="{AE72E6D8-9D80-464F-A4F3-DB47DEE8D6B5}"/>
    <cellStyle name="Normal 4 2 2 2 3 2 10 2" xfId="11310" xr:uid="{DDC6D258-47AB-4DDC-B9EB-D56FCD3A5624}"/>
    <cellStyle name="Normal 4 2 2 2 3 2 10 2 2" xfId="11311" xr:uid="{4293CE15-7755-4CAB-AC35-C6984191A6DF}"/>
    <cellStyle name="Normal 4 2 2 2 3 2 10 2 2 2" xfId="11312" xr:uid="{31BB8E72-F293-417F-BB37-B1E2370DE185}"/>
    <cellStyle name="Normal 4 2 2 2 3 2 10 2 2 3" xfId="11313" xr:uid="{AC9F4288-12F0-4D67-BECA-9C1A1C0C3917}"/>
    <cellStyle name="Normal 4 2 2 2 3 2 10 2 2 4" xfId="11314" xr:uid="{67C91ACC-13CC-4D09-A444-DB6615DF212B}"/>
    <cellStyle name="Normal 4 2 2 2 3 2 10 2 2 5" xfId="11315" xr:uid="{784485F0-7A70-4C7F-89F1-8239E8435471}"/>
    <cellStyle name="Normal 4 2 2 2 3 2 10 2 2 6" xfId="11316" xr:uid="{E55EEC19-9199-4741-A92B-9E252573EF03}"/>
    <cellStyle name="Normal 4 2 2 2 3 2 10 2 2 7" xfId="11317" xr:uid="{12C355BF-F6A6-43D2-8505-77C292662786}"/>
    <cellStyle name="Normal 4 2 2 2 3 2 10 2 2 8" xfId="11318" xr:uid="{3F2341D9-9215-4403-9094-70390FC0BFAE}"/>
    <cellStyle name="Normal 4 2 2 2 3 2 10 2 3" xfId="11319" xr:uid="{8CC7E7F3-5F14-420A-90ED-9015F480D0D2}"/>
    <cellStyle name="Normal 4 2 2 2 3 2 10 2 4" xfId="11320" xr:uid="{34D2D285-83A0-461F-ABDB-8F660FA2A6AF}"/>
    <cellStyle name="Normal 4 2 2 2 3 2 10 2 5" xfId="11321" xr:uid="{1D819428-3C2E-4816-B81A-2C979FDA4681}"/>
    <cellStyle name="Normal 4 2 2 2 3 2 10 2 6" xfId="11322" xr:uid="{86C663A0-1461-45D1-838F-ACB33963C781}"/>
    <cellStyle name="Normal 4 2 2 2 3 2 10 2 7" xfId="11323" xr:uid="{EC0B2769-6E41-4D8B-855F-ABFBBAEB8874}"/>
    <cellStyle name="Normal 4 2 2 2 3 2 10 2 8" xfId="11324" xr:uid="{497E5D38-9948-48FD-A977-22FF8A56B19F}"/>
    <cellStyle name="Normal 4 2 2 2 3 2 10 3" xfId="11325" xr:uid="{4756D780-FFF7-4150-85CD-17B0A6F0368E}"/>
    <cellStyle name="Normal 4 2 2 2 3 2 10 4" xfId="11326" xr:uid="{FBC6A9F1-914C-49A7-8EF0-84C3D923B968}"/>
    <cellStyle name="Normal 4 2 2 2 3 2 10 5" xfId="11327" xr:uid="{65D6EFF8-69FA-4703-9A15-E9AA5C668E5E}"/>
    <cellStyle name="Normal 4 2 2 2 3 2 10 6" xfId="11328" xr:uid="{CAE00B8C-4E4F-466E-B574-7FAB78BF9EB1}"/>
    <cellStyle name="Normal 4 2 2 2 3 2 10 7" xfId="11329" xr:uid="{CE23998D-E7C3-4FC2-876C-A384EB45ACCB}"/>
    <cellStyle name="Normal 4 2 2 2 3 2 10 8" xfId="11330" xr:uid="{3DB88692-0BAA-4013-86FF-D94CE8BDBB93}"/>
    <cellStyle name="Normal 4 2 2 2 3 2 10 9" xfId="11331" xr:uid="{84E86DE2-1629-4473-ADBD-5F57CF57E01E}"/>
    <cellStyle name="Normal 4 2 2 2 3 2 11" xfId="11332" xr:uid="{A4DA08F7-CD9B-47F5-8BEF-FEDC98F1C60B}"/>
    <cellStyle name="Normal 4 2 2 2 3 2 11 2" xfId="11333" xr:uid="{FB9456C7-779A-491F-ACF1-70B10F38D18D}"/>
    <cellStyle name="Normal 4 2 2 2 3 2 11 3" xfId="11334" xr:uid="{E4BA9F63-83F1-4DB0-B7BF-038A9A1DF173}"/>
    <cellStyle name="Normal 4 2 2 2 3 2 11 4" xfId="11335" xr:uid="{1A7362C5-1EEB-4FAF-82AA-B6E297EA8F6C}"/>
    <cellStyle name="Normal 4 2 2 2 3 2 11 5" xfId="11336" xr:uid="{B97327AD-39F9-4155-A983-A91A33725060}"/>
    <cellStyle name="Normal 4 2 2 2 3 2 11 6" xfId="11337" xr:uid="{888A55DE-8C48-47CE-AD5A-350E9FDAC243}"/>
    <cellStyle name="Normal 4 2 2 2 3 2 11 7" xfId="11338" xr:uid="{D61DB728-8324-4256-9DDA-B5EBB3E1D551}"/>
    <cellStyle name="Normal 4 2 2 2 3 2 11 8" xfId="11339" xr:uid="{91A23E03-AB36-46F2-9104-0154396640EB}"/>
    <cellStyle name="Normal 4 2 2 2 3 2 12" xfId="11340" xr:uid="{11C33D21-2F17-40A5-BA5C-64F629A5EECC}"/>
    <cellStyle name="Normal 4 2 2 2 3 2 13" xfId="11341" xr:uid="{D336D609-17D6-488E-B284-62C159B24CBF}"/>
    <cellStyle name="Normal 4 2 2 2 3 2 14" xfId="11342" xr:uid="{71D0EDD4-B3EC-45D7-B41B-CC6693912BA3}"/>
    <cellStyle name="Normal 4 2 2 2 3 2 15" xfId="11343" xr:uid="{E528AFDE-D3B3-4D04-AEAD-A0266AB57497}"/>
    <cellStyle name="Normal 4 2 2 2 3 2 16" xfId="11344" xr:uid="{F3CA1CF8-112E-4F07-AB21-AF903966D394}"/>
    <cellStyle name="Normal 4 2 2 2 3 2 17" xfId="11345" xr:uid="{6DB26E0F-A1CB-4FA2-B199-1EB9D727DC66}"/>
    <cellStyle name="Normal 4 2 2 2 3 2 2" xfId="11346" xr:uid="{6074E449-6BEC-4171-B5AF-63CD82825712}"/>
    <cellStyle name="Normal 4 2 2 2 3 2 2 10" xfId="11347" xr:uid="{52C473BF-EBDB-4BC5-897B-9F69D027214D}"/>
    <cellStyle name="Normal 4 2 2 2 3 2 2 2" xfId="11348" xr:uid="{5832AB37-2EC3-4918-ABBF-08BDE14F0348}"/>
    <cellStyle name="Normal 4 2 2 2 3 2 2 2 2" xfId="11349" xr:uid="{61CCDB5A-3A26-450F-8145-9DDB6CA0A6A1}"/>
    <cellStyle name="Normal 4 2 2 2 3 2 2 2 2 2" xfId="11350" xr:uid="{A1AB1664-8317-479A-A652-2572F0CE0236}"/>
    <cellStyle name="Normal 4 2 2 2 3 2 2 2 2 2 2" xfId="11351" xr:uid="{1646462F-276B-444C-811A-23E719BD027E}"/>
    <cellStyle name="Normal 4 2 2 2 3 2 2 2 2 2 3" xfId="11352" xr:uid="{3620D5D2-A2E6-44D0-AFC3-31C603ED2805}"/>
    <cellStyle name="Normal 4 2 2 2 3 2 2 2 2 2 4" xfId="11353" xr:uid="{7017F358-6259-42BA-AB24-AFB9A9929B6A}"/>
    <cellStyle name="Normal 4 2 2 2 3 2 2 2 2 2 5" xfId="11354" xr:uid="{98B4E7A9-B85D-401B-AFA1-D7D3838E17DF}"/>
    <cellStyle name="Normal 4 2 2 2 3 2 2 2 2 2 6" xfId="11355" xr:uid="{F5013529-BD4E-4A25-A112-4961A54A4227}"/>
    <cellStyle name="Normal 4 2 2 2 3 2 2 2 2 2 7" xfId="11356" xr:uid="{4CDE4E91-3808-4BF8-96A8-A01257EAC9DB}"/>
    <cellStyle name="Normal 4 2 2 2 3 2 2 2 2 2 8" xfId="11357" xr:uid="{8346AC39-FB91-4C67-9B67-8A92BE1F3B35}"/>
    <cellStyle name="Normal 4 2 2 2 3 2 2 2 2 3" xfId="11358" xr:uid="{435B1875-2E8A-42CE-81F6-88E0F5883DAF}"/>
    <cellStyle name="Normal 4 2 2 2 3 2 2 2 2 4" xfId="11359" xr:uid="{D66FC9B4-DE15-4BAA-81B1-A459DB14129E}"/>
    <cellStyle name="Normal 4 2 2 2 3 2 2 2 2 5" xfId="11360" xr:uid="{5A7212E5-291C-4CE2-B84C-372D2886DF24}"/>
    <cellStyle name="Normal 4 2 2 2 3 2 2 2 2 6" xfId="11361" xr:uid="{C5ACF23E-095D-4692-999E-688E3832ACA9}"/>
    <cellStyle name="Normal 4 2 2 2 3 2 2 2 2 7" xfId="11362" xr:uid="{B8AC0603-C97C-41EB-ADDC-C5BE0092C87C}"/>
    <cellStyle name="Normal 4 2 2 2 3 2 2 2 2 8" xfId="11363" xr:uid="{F6B212B9-79D4-4263-A28C-06B2E240EFB2}"/>
    <cellStyle name="Normal 4 2 2 2 3 2 2 2 3" xfId="11364" xr:uid="{4F4AB80D-E1A5-4DBA-A7A2-EF73A77914DD}"/>
    <cellStyle name="Normal 4 2 2 2 3 2 2 2 4" xfId="11365" xr:uid="{343B50E0-952A-4814-AE48-5CD691015C97}"/>
    <cellStyle name="Normal 4 2 2 2 3 2 2 2 5" xfId="11366" xr:uid="{F1F06F06-9A02-40EB-AD2F-09207327D720}"/>
    <cellStyle name="Normal 4 2 2 2 3 2 2 2 6" xfId="11367" xr:uid="{36112278-AD27-402E-B3D5-FCE441C5FBEE}"/>
    <cellStyle name="Normal 4 2 2 2 3 2 2 2 7" xfId="11368" xr:uid="{D53E4DFF-064B-4417-B497-9AE5AF1A1BC0}"/>
    <cellStyle name="Normal 4 2 2 2 3 2 2 2 8" xfId="11369" xr:uid="{183E7210-2D5F-4ABE-8DE6-021DAB06DAA9}"/>
    <cellStyle name="Normal 4 2 2 2 3 2 2 2 9" xfId="11370" xr:uid="{F73A2B98-A569-45E6-894D-B2F8BEE3C87E}"/>
    <cellStyle name="Normal 4 2 2 2 3 2 2 3" xfId="11371" xr:uid="{40BF556E-7AE1-424A-9723-CEAA97F0120E}"/>
    <cellStyle name="Normal 4 2 2 2 3 2 2 4" xfId="11372" xr:uid="{63EEED02-6172-498E-B996-BD95E4C5C685}"/>
    <cellStyle name="Normal 4 2 2 2 3 2 2 4 2" xfId="11373" xr:uid="{BECE6F21-B20E-49A2-8F69-386F94CAA322}"/>
    <cellStyle name="Normal 4 2 2 2 3 2 2 4 3" xfId="11374" xr:uid="{97934E2D-0EB5-467D-AF73-B8A60B8A0733}"/>
    <cellStyle name="Normal 4 2 2 2 3 2 2 4 4" xfId="11375" xr:uid="{96DD2AA0-2994-4858-8ABD-8CCA29C797E3}"/>
    <cellStyle name="Normal 4 2 2 2 3 2 2 4 5" xfId="11376" xr:uid="{4616D2FE-8741-44A6-B7AB-9FBBFA9927AA}"/>
    <cellStyle name="Normal 4 2 2 2 3 2 2 4 6" xfId="11377" xr:uid="{6D8871FD-B9CD-4C11-A6BF-10BD75E2CA3B}"/>
    <cellStyle name="Normal 4 2 2 2 3 2 2 4 7" xfId="11378" xr:uid="{24009735-7360-451F-A5CB-28598C32F6C6}"/>
    <cellStyle name="Normal 4 2 2 2 3 2 2 4 8" xfId="11379" xr:uid="{E5C351E6-1F42-448D-A431-0E63ED6A3655}"/>
    <cellStyle name="Normal 4 2 2 2 3 2 2 5" xfId="11380" xr:uid="{7524E729-C2F6-4B3D-AC53-104D2B3F862B}"/>
    <cellStyle name="Normal 4 2 2 2 3 2 2 6" xfId="11381" xr:uid="{17F96F10-1DEC-494E-A8F2-D6347D2451E1}"/>
    <cellStyle name="Normal 4 2 2 2 3 2 2 7" xfId="11382" xr:uid="{B02A342F-81A0-42A9-8E5E-7F9557052508}"/>
    <cellStyle name="Normal 4 2 2 2 3 2 2 8" xfId="11383" xr:uid="{46BDB617-6855-4237-A475-909FEDCFA755}"/>
    <cellStyle name="Normal 4 2 2 2 3 2 2 9" xfId="11384" xr:uid="{D35DC17F-281B-4ACF-8C4E-928592244CE9}"/>
    <cellStyle name="Normal 4 2 2 2 3 2 3" xfId="11385" xr:uid="{15486A28-66D5-466F-A56C-65ADF6BC3C37}"/>
    <cellStyle name="Normal 4 2 2 2 3 2 4" xfId="11386" xr:uid="{45049744-D837-4B64-83C8-BD5BA0A7E119}"/>
    <cellStyle name="Normal 4 2 2 2 3 2 5" xfId="11387" xr:uid="{791DD9B5-E552-4F82-BC75-A2E1B70E0823}"/>
    <cellStyle name="Normal 4 2 2 2 3 2 6" xfId="11388" xr:uid="{BF5E6EE8-787A-425D-97C1-1136E009280E}"/>
    <cellStyle name="Normal 4 2 2 2 3 2 7" xfId="11389" xr:uid="{68A074FA-ECD0-4F31-9571-FF62B5C98778}"/>
    <cellStyle name="Normal 4 2 2 2 3 2 8" xfId="11390" xr:uid="{4617DDBA-0CF0-4722-ACE7-9583858E7B1B}"/>
    <cellStyle name="Normal 4 2 2 2 3 2 9" xfId="11391" xr:uid="{6C98C8C5-9CF8-4AEE-8142-C37B48DB9375}"/>
    <cellStyle name="Normal 4 2 2 2 3 3" xfId="11392" xr:uid="{39F3C390-5F82-4A7C-A81C-95C0ADEDCB6E}"/>
    <cellStyle name="Normal 4 2 2 2 3 3 10" xfId="11393" xr:uid="{B9ECF8E6-24C0-447A-9C24-198169EB7049}"/>
    <cellStyle name="Normal 4 2 2 2 3 3 2" xfId="11394" xr:uid="{04C91373-1A57-4543-8993-C1F6DB5566D3}"/>
    <cellStyle name="Normal 4 2 2 2 3 3 2 2" xfId="11395" xr:uid="{A09B041C-CB0A-440B-B875-217E62ED7FA4}"/>
    <cellStyle name="Normal 4 2 2 2 3 3 2 2 2" xfId="11396" xr:uid="{278CCFBB-5FF9-42D0-A330-CFE995270DD1}"/>
    <cellStyle name="Normal 4 2 2 2 3 3 2 2 2 2" xfId="11397" xr:uid="{4D4B2CAF-2866-450F-9733-555390723496}"/>
    <cellStyle name="Normal 4 2 2 2 3 3 2 2 2 3" xfId="11398" xr:uid="{8F114173-ADFE-40E9-AAF5-88698F1C75C7}"/>
    <cellStyle name="Normal 4 2 2 2 3 3 2 2 2 4" xfId="11399" xr:uid="{3B8D2EFC-2BB7-4C2B-A0B8-41069A0EA9E3}"/>
    <cellStyle name="Normal 4 2 2 2 3 3 2 2 2 5" xfId="11400" xr:uid="{F537381C-4AFC-49B0-8656-DE15F7E303C6}"/>
    <cellStyle name="Normal 4 2 2 2 3 3 2 2 2 6" xfId="11401" xr:uid="{E489EA7E-8E3D-417B-9B41-5839FE540BCB}"/>
    <cellStyle name="Normal 4 2 2 2 3 3 2 2 2 7" xfId="11402" xr:uid="{6D062C06-F449-4D5C-B57C-31A607DE0BE4}"/>
    <cellStyle name="Normal 4 2 2 2 3 3 2 2 2 8" xfId="11403" xr:uid="{F91EE4A8-6327-46DF-8C12-13F2571A55EC}"/>
    <cellStyle name="Normal 4 2 2 2 3 3 2 2 3" xfId="11404" xr:uid="{B2AB06DA-1713-416B-8FBE-C5B8D258054A}"/>
    <cellStyle name="Normal 4 2 2 2 3 3 2 2 4" xfId="11405" xr:uid="{07A42E2E-7359-41DA-A05E-7DD078EC7243}"/>
    <cellStyle name="Normal 4 2 2 2 3 3 2 2 5" xfId="11406" xr:uid="{84D1F8CC-447C-4EA1-B3CD-03D40AF3C286}"/>
    <cellStyle name="Normal 4 2 2 2 3 3 2 2 6" xfId="11407" xr:uid="{F4F65539-652B-4EAD-A824-E74EFAF48222}"/>
    <cellStyle name="Normal 4 2 2 2 3 3 2 2 7" xfId="11408" xr:uid="{7CA4B474-E5D2-4695-9141-A25D559201A6}"/>
    <cellStyle name="Normal 4 2 2 2 3 3 2 2 8" xfId="11409" xr:uid="{AF9FEF46-D6A0-4411-B5AB-33D31B072BCC}"/>
    <cellStyle name="Normal 4 2 2 2 3 3 2 3" xfId="11410" xr:uid="{2B141DB7-851E-4C58-992A-1F897A4A2925}"/>
    <cellStyle name="Normal 4 2 2 2 3 3 2 4" xfId="11411" xr:uid="{E7CFB0D0-862B-4443-BD69-95AD66F37583}"/>
    <cellStyle name="Normal 4 2 2 2 3 3 2 5" xfId="11412" xr:uid="{AA01FA1D-40C5-41FE-81E3-A61AD90B2F09}"/>
    <cellStyle name="Normal 4 2 2 2 3 3 2 6" xfId="11413" xr:uid="{21CB9962-9ED8-4AEC-A632-823A74B92924}"/>
    <cellStyle name="Normal 4 2 2 2 3 3 2 7" xfId="11414" xr:uid="{10CBD940-FDA6-4191-B086-C4DB5237AD2B}"/>
    <cellStyle name="Normal 4 2 2 2 3 3 2 8" xfId="11415" xr:uid="{0566C9DA-54F9-4FC6-A96C-02AE1FC2163F}"/>
    <cellStyle name="Normal 4 2 2 2 3 3 2 9" xfId="11416" xr:uid="{7866EE35-CAD7-4780-AB42-7C60F797228B}"/>
    <cellStyle name="Normal 4 2 2 2 3 3 3" xfId="11417" xr:uid="{120E3F83-866D-4812-8295-5501448FB7AE}"/>
    <cellStyle name="Normal 4 2 2 2 3 3 4" xfId="11418" xr:uid="{A07569BF-A398-4E3E-BAC2-6C4292230089}"/>
    <cellStyle name="Normal 4 2 2 2 3 3 4 2" xfId="11419" xr:uid="{00672B4E-7CB5-4693-B702-EBEACE8057EC}"/>
    <cellStyle name="Normal 4 2 2 2 3 3 4 3" xfId="11420" xr:uid="{292D9397-BFCD-4894-97AB-0D225391D5C7}"/>
    <cellStyle name="Normal 4 2 2 2 3 3 4 4" xfId="11421" xr:uid="{7980FE62-55F3-4F87-AF50-874A62BCEFA3}"/>
    <cellStyle name="Normal 4 2 2 2 3 3 4 5" xfId="11422" xr:uid="{8DAB4890-6CC1-4C40-8E1D-C96951501601}"/>
    <cellStyle name="Normal 4 2 2 2 3 3 4 6" xfId="11423" xr:uid="{83FF3E34-4988-417C-A19D-46B690882530}"/>
    <cellStyle name="Normal 4 2 2 2 3 3 4 7" xfId="11424" xr:uid="{795D745F-3822-40AC-B4CC-A4EA360CAA7F}"/>
    <cellStyle name="Normal 4 2 2 2 3 3 4 8" xfId="11425" xr:uid="{82E29746-906B-4EB6-AA79-B09FC0992C61}"/>
    <cellStyle name="Normal 4 2 2 2 3 3 5" xfId="11426" xr:uid="{AC1D1F11-D2A2-4B4F-B740-90381B804230}"/>
    <cellStyle name="Normal 4 2 2 2 3 3 6" xfId="11427" xr:uid="{9B4E04FC-F3AF-4D58-B32B-8CFF7ACB0E67}"/>
    <cellStyle name="Normal 4 2 2 2 3 3 7" xfId="11428" xr:uid="{8A02F24A-7027-43E3-9BDB-34D4FEEE7E8B}"/>
    <cellStyle name="Normal 4 2 2 2 3 3 8" xfId="11429" xr:uid="{F17397B8-0FB8-4ECB-97FA-2A0DB58B98B3}"/>
    <cellStyle name="Normal 4 2 2 2 3 3 9" xfId="11430" xr:uid="{696CEC2A-FD52-44A2-B56D-8347DC976549}"/>
    <cellStyle name="Normal 4 2 2 2 3 4" xfId="11431" xr:uid="{73F7EA65-BA60-481F-96BE-67AFA7C30DE9}"/>
    <cellStyle name="Normal 4 2 2 2 3 5" xfId="11432" xr:uid="{52BD321F-4A52-4FE6-9011-7C299438157F}"/>
    <cellStyle name="Normal 4 2 2 2 3 6" xfId="11433" xr:uid="{200180C1-17ED-41ED-A18E-706BD54096FF}"/>
    <cellStyle name="Normal 4 2 2 2 3 7" xfId="11434" xr:uid="{A90603FF-01C4-4933-99E9-8B1FF1D16574}"/>
    <cellStyle name="Normal 4 2 2 2 3 8" xfId="11435" xr:uid="{7CBBE62E-C089-460C-A0A6-4985EE5C2372}"/>
    <cellStyle name="Normal 4 2 2 2 3 9" xfId="11436" xr:uid="{D365C4C3-C8D8-41D3-8AF7-D2BEB5753395}"/>
    <cellStyle name="Normal 4 2 2 2 4" xfId="11437" xr:uid="{25560E79-0410-4FAA-A5F8-632C4765C08F}"/>
    <cellStyle name="Normal 4 2 2 2 5" xfId="11438" xr:uid="{E81EC76A-F313-4903-B1F0-30FD06C44E35}"/>
    <cellStyle name="Normal 4 2 2 2 6" xfId="11439" xr:uid="{29C6B3CC-66E4-4949-B566-86EA153C405A}"/>
    <cellStyle name="Normal 4 2 2 2 7" xfId="11440" xr:uid="{6ABC60F1-69E9-4A48-AF1C-A4392A6BB3C2}"/>
    <cellStyle name="Normal 4 2 2 2 7 10" xfId="11441" xr:uid="{74C8D284-5928-499B-A598-ED055360BB52}"/>
    <cellStyle name="Normal 4 2 2 2 7 2" xfId="11442" xr:uid="{2C4D1F13-DCD2-4A7F-87C2-BE72B7AA5162}"/>
    <cellStyle name="Normal 4 2 2 2 7 2 2" xfId="11443" xr:uid="{405BDA8A-82D8-4CC3-8AC1-77A408AFC623}"/>
    <cellStyle name="Normal 4 2 2 2 7 2 2 2" xfId="11444" xr:uid="{86036BC0-4114-4BF1-AA47-C727BD6FFC72}"/>
    <cellStyle name="Normal 4 2 2 2 7 2 2 2 2" xfId="11445" xr:uid="{33FAE505-2F81-4BA5-B3D1-ABC4905E2D4D}"/>
    <cellStyle name="Normal 4 2 2 2 7 2 2 2 3" xfId="11446" xr:uid="{C06730CD-889B-42BC-B442-B27A5947ADD1}"/>
    <cellStyle name="Normal 4 2 2 2 7 2 2 2 4" xfId="11447" xr:uid="{E34E949C-5C74-4C81-B4F0-9D9EAE8095D3}"/>
    <cellStyle name="Normal 4 2 2 2 7 2 2 2 5" xfId="11448" xr:uid="{7CFCC64A-57F3-4D52-84DC-1B1F6C768EE8}"/>
    <cellStyle name="Normal 4 2 2 2 7 2 2 2 6" xfId="11449" xr:uid="{2C85B713-51CA-4E16-8CF0-CBB6FB41694D}"/>
    <cellStyle name="Normal 4 2 2 2 7 2 2 2 7" xfId="11450" xr:uid="{FA36C5E1-9317-46A6-B22E-AAE88178A23C}"/>
    <cellStyle name="Normal 4 2 2 2 7 2 2 2 8" xfId="11451" xr:uid="{142AD05E-1860-4ABC-AAF8-A6947F1CD65B}"/>
    <cellStyle name="Normal 4 2 2 2 7 2 2 3" xfId="11452" xr:uid="{BB40BBD3-A0BB-46F9-88BF-376BF6C46F8C}"/>
    <cellStyle name="Normal 4 2 2 2 7 2 2 4" xfId="11453" xr:uid="{50DDC2EF-9ED4-43F6-8EB2-4ABE96B2F0D2}"/>
    <cellStyle name="Normal 4 2 2 2 7 2 2 5" xfId="11454" xr:uid="{6D088104-BE8E-4700-87EB-FCF4D5B80063}"/>
    <cellStyle name="Normal 4 2 2 2 7 2 2 6" xfId="11455" xr:uid="{CB9448D2-7EBD-45F8-BD93-A7274059FE88}"/>
    <cellStyle name="Normal 4 2 2 2 7 2 2 7" xfId="11456" xr:uid="{487A2442-6963-45B7-8430-99DF0890AD6B}"/>
    <cellStyle name="Normal 4 2 2 2 7 2 2 8" xfId="11457" xr:uid="{BDFCFEFD-1C55-4D53-BD39-2C83E034053D}"/>
    <cellStyle name="Normal 4 2 2 2 7 2 3" xfId="11458" xr:uid="{8DCAB3B9-E686-410D-801C-24592B4C80B5}"/>
    <cellStyle name="Normal 4 2 2 2 7 2 4" xfId="11459" xr:uid="{FA44D3E2-4E48-4E69-899B-B9C3BBB77A56}"/>
    <cellStyle name="Normal 4 2 2 2 7 2 5" xfId="11460" xr:uid="{6B310CE6-9DD8-42BF-A4C6-531FE4699CCB}"/>
    <cellStyle name="Normal 4 2 2 2 7 2 6" xfId="11461" xr:uid="{8648B513-215C-4C2B-AB1E-41ED3D8F719D}"/>
    <cellStyle name="Normal 4 2 2 2 7 2 7" xfId="11462" xr:uid="{867CFF4A-11B6-4EB4-B97E-C68C409FF563}"/>
    <cellStyle name="Normal 4 2 2 2 7 2 8" xfId="11463" xr:uid="{52CEEEBE-74D2-43B8-A79A-63F750476FD2}"/>
    <cellStyle name="Normal 4 2 2 2 7 2 9" xfId="11464" xr:uid="{FD8A3E76-38A5-40A3-8625-5005FC37838F}"/>
    <cellStyle name="Normal 4 2 2 2 7 3" xfId="11465" xr:uid="{F0C338D2-D7A2-4628-9068-2A3DDF2077B1}"/>
    <cellStyle name="Normal 4 2 2 2 7 4" xfId="11466" xr:uid="{062E0CAA-8AA1-4356-ACFE-0CC454A7A79C}"/>
    <cellStyle name="Normal 4 2 2 2 7 4 2" xfId="11467" xr:uid="{3A23CE1F-CEED-49AE-9A51-24252F152B88}"/>
    <cellStyle name="Normal 4 2 2 2 7 4 3" xfId="11468" xr:uid="{F2EE6360-882B-4DDF-92AB-5AFFCC5103EF}"/>
    <cellStyle name="Normal 4 2 2 2 7 4 4" xfId="11469" xr:uid="{0337A08C-E1F0-4FD1-9D54-756A21AEBF31}"/>
    <cellStyle name="Normal 4 2 2 2 7 4 5" xfId="11470" xr:uid="{1FD4C7EC-B46B-4ECB-B5DA-180FF15D3A6B}"/>
    <cellStyle name="Normal 4 2 2 2 7 4 6" xfId="11471" xr:uid="{91B74204-7DFB-4A99-8E1B-1EE4C2F17A02}"/>
    <cellStyle name="Normal 4 2 2 2 7 4 7" xfId="11472" xr:uid="{A499970C-8050-4A23-A78D-5DEE45B9FD54}"/>
    <cellStyle name="Normal 4 2 2 2 7 4 8" xfId="11473" xr:uid="{597681E4-799B-47A2-8E8A-3E3C9F44E5CC}"/>
    <cellStyle name="Normal 4 2 2 2 7 5" xfId="11474" xr:uid="{92930B41-0E31-4783-8D09-BD151CD7F155}"/>
    <cellStyle name="Normal 4 2 2 2 7 6" xfId="11475" xr:uid="{337643E3-28CB-4534-8E15-04C7CBF19F88}"/>
    <cellStyle name="Normal 4 2 2 2 7 7" xfId="11476" xr:uid="{96E720C0-BC53-4360-B729-BA5F541CAC12}"/>
    <cellStyle name="Normal 4 2 2 2 7 8" xfId="11477" xr:uid="{F1A10050-5CFE-4382-813B-598E58A265D8}"/>
    <cellStyle name="Normal 4 2 2 2 7 9" xfId="11478" xr:uid="{8CF2A677-FA70-462E-B30E-0FB5D5E2E3D6}"/>
    <cellStyle name="Normal 4 2 2 2 8" xfId="11479" xr:uid="{12052637-F725-4BD2-97DF-8FCAD1AEA15E}"/>
    <cellStyle name="Normal 4 2 2 2 9" xfId="11480" xr:uid="{87C30104-D9B2-4E3F-B92E-C80D6765D397}"/>
    <cellStyle name="Normal 4 2 2 20" xfId="11481" xr:uid="{BFF3075B-32E0-4208-9CBE-CFE77E325B77}"/>
    <cellStyle name="Normal 4 2 2 21" xfId="11482" xr:uid="{676FC547-56C7-4DD0-8B78-8E8D50C09AE4}"/>
    <cellStyle name="Normal 4 2 2 22" xfId="11483" xr:uid="{B586D14B-A0D0-49D6-AA90-7D94A78C0F07}"/>
    <cellStyle name="Normal 4 2 2 23" xfId="11484" xr:uid="{86181B5A-5CB3-4AA4-941B-05860836A381}"/>
    <cellStyle name="Normal 4 2 2 23 10" xfId="11485" xr:uid="{01120C8C-F0CA-411A-82FC-7E81D5F0C78B}"/>
    <cellStyle name="Normal 4 2 2 23 10 2" xfId="11486" xr:uid="{61E255DC-B39E-4A6F-A9CD-29E840B86515}"/>
    <cellStyle name="Normal 4 2 2 23 10 2 2" xfId="11487" xr:uid="{D3926964-CC6E-4F46-8079-E0024DD6DA9E}"/>
    <cellStyle name="Normal 4 2 2 23 10 2 2 2" xfId="11488" xr:uid="{C469937C-8AB9-4988-871E-69E09EA3D98E}"/>
    <cellStyle name="Normal 4 2 2 23 10 2 2 3" xfId="11489" xr:uid="{4DB23AF6-2D17-4DED-B25F-A299E10815AB}"/>
    <cellStyle name="Normal 4 2 2 23 10 2 2 4" xfId="11490" xr:uid="{8A79536C-ACBC-4E1C-B44F-F6A672BCCB4F}"/>
    <cellStyle name="Normal 4 2 2 23 10 2 2 5" xfId="11491" xr:uid="{55F26665-93EC-41C1-8181-4F7E0A2A9C7C}"/>
    <cellStyle name="Normal 4 2 2 23 10 2 2 6" xfId="11492" xr:uid="{FA538179-A27E-4707-B1D1-5DF6A307CE54}"/>
    <cellStyle name="Normal 4 2 2 23 10 2 2 7" xfId="11493" xr:uid="{0AFE56D5-5A3E-4E44-9FFB-7201A80B1012}"/>
    <cellStyle name="Normal 4 2 2 23 10 2 2 8" xfId="11494" xr:uid="{02C4E9E4-971B-4B3C-8BDD-58189A6F4445}"/>
    <cellStyle name="Normal 4 2 2 23 10 2 3" xfId="11495" xr:uid="{9B571B0E-F259-48EA-B2B1-F1DC381E6919}"/>
    <cellStyle name="Normal 4 2 2 23 10 2 4" xfId="11496" xr:uid="{A33CB841-60DA-408A-B1A6-86FF281B02C5}"/>
    <cellStyle name="Normal 4 2 2 23 10 2 5" xfId="11497" xr:uid="{8C9E3D6F-87DE-4379-9921-429A8E134575}"/>
    <cellStyle name="Normal 4 2 2 23 10 2 6" xfId="11498" xr:uid="{480321BF-2354-434D-ACBF-E774D2033ADE}"/>
    <cellStyle name="Normal 4 2 2 23 10 2 7" xfId="11499" xr:uid="{21048F42-6F5D-4976-9A24-B22674C5FF71}"/>
    <cellStyle name="Normal 4 2 2 23 10 2 8" xfId="11500" xr:uid="{805DD863-04A2-48D8-876E-DE96973F85C3}"/>
    <cellStyle name="Normal 4 2 2 23 10 3" xfId="11501" xr:uid="{26104ACE-3D66-4419-BBB8-57ED61F6DB1E}"/>
    <cellStyle name="Normal 4 2 2 23 10 4" xfId="11502" xr:uid="{DE95E707-7C2F-40A4-ABF5-7494E96C8359}"/>
    <cellStyle name="Normal 4 2 2 23 10 5" xfId="11503" xr:uid="{3ED74935-FE17-44FD-838B-123B1716E92E}"/>
    <cellStyle name="Normal 4 2 2 23 10 6" xfId="11504" xr:uid="{DC3F29C8-9124-4E97-8A27-B257548BFF90}"/>
    <cellStyle name="Normal 4 2 2 23 10 7" xfId="11505" xr:uid="{71746230-DA61-49F3-A89C-C41B0578C362}"/>
    <cellStyle name="Normal 4 2 2 23 10 8" xfId="11506" xr:uid="{DF0D1ED0-50D8-4AB8-B5D8-A1071C1C79EC}"/>
    <cellStyle name="Normal 4 2 2 23 10 9" xfId="11507" xr:uid="{67C842E0-4978-4798-B64D-AC338ED433AE}"/>
    <cellStyle name="Normal 4 2 2 23 11" xfId="11508" xr:uid="{6CC13304-C930-4A3D-80A7-962A799E4F6C}"/>
    <cellStyle name="Normal 4 2 2 23 11 2" xfId="11509" xr:uid="{ED6F2446-B3C4-4B04-8EFC-A54B2B5C14AC}"/>
    <cellStyle name="Normal 4 2 2 23 11 3" xfId="11510" xr:uid="{AA4859CC-97DB-43E2-BAB7-B5750BF59432}"/>
    <cellStyle name="Normal 4 2 2 23 11 4" xfId="11511" xr:uid="{270E2481-00B2-42D4-BF0E-B4EE308AFACF}"/>
    <cellStyle name="Normal 4 2 2 23 11 5" xfId="11512" xr:uid="{0D599E2C-2BE8-4DC6-9D74-32D6B33A77B5}"/>
    <cellStyle name="Normal 4 2 2 23 11 6" xfId="11513" xr:uid="{1792E702-A3E4-4427-AD42-057EB459DE31}"/>
    <cellStyle name="Normal 4 2 2 23 11 7" xfId="11514" xr:uid="{D8E5877C-060E-47D8-86CE-7168110CD1B5}"/>
    <cellStyle name="Normal 4 2 2 23 11 8" xfId="11515" xr:uid="{FB1C1547-5498-440E-A7F3-C104C7DE1255}"/>
    <cellStyle name="Normal 4 2 2 23 12" xfId="11516" xr:uid="{63993848-05C9-4C9C-BBFF-38CAE73978DC}"/>
    <cellStyle name="Normal 4 2 2 23 13" xfId="11517" xr:uid="{36E60F7C-24BC-4B96-B415-DE34BD974BA7}"/>
    <cellStyle name="Normal 4 2 2 23 14" xfId="11518" xr:uid="{F72F37E9-56D0-40EE-85B2-005829129101}"/>
    <cellStyle name="Normal 4 2 2 23 15" xfId="11519" xr:uid="{25E82FA9-2D54-4648-84B7-55EA036DCEB8}"/>
    <cellStyle name="Normal 4 2 2 23 16" xfId="11520" xr:uid="{FE2E754C-1794-427E-95E5-53A1126D6A3E}"/>
    <cellStyle name="Normal 4 2 2 23 17" xfId="11521" xr:uid="{A55C6AD3-ACF7-42DC-999B-77ACA73D0959}"/>
    <cellStyle name="Normal 4 2 2 23 2" xfId="11522" xr:uid="{A352DD16-7474-455D-8120-F2DEB09335FD}"/>
    <cellStyle name="Normal 4 2 2 23 2 10" xfId="11523" xr:uid="{E728BD52-9125-4014-BA97-D8E56645CD2C}"/>
    <cellStyle name="Normal 4 2 2 23 2 10 2" xfId="11524" xr:uid="{35C97E1F-6FC5-493C-A1CD-A3A7F2D7A127}"/>
    <cellStyle name="Normal 4 2 2 23 2 10 2 2" xfId="11525" xr:uid="{417CC96B-8B5C-4A34-99BD-736B982B59D0}"/>
    <cellStyle name="Normal 4 2 2 23 2 10 2 2 2" xfId="11526" xr:uid="{09955976-4BB5-4BF4-8550-12AE6BF4C710}"/>
    <cellStyle name="Normal 4 2 2 23 2 10 2 2 3" xfId="11527" xr:uid="{9C9BD031-3404-4DC0-9B68-D3E00B7395E5}"/>
    <cellStyle name="Normal 4 2 2 23 2 10 2 2 4" xfId="11528" xr:uid="{3130A299-CBEE-4706-9108-A0D7A42A9A6F}"/>
    <cellStyle name="Normal 4 2 2 23 2 10 2 2 5" xfId="11529" xr:uid="{75A54D18-5694-4AF6-9B8E-201BDB478AB7}"/>
    <cellStyle name="Normal 4 2 2 23 2 10 2 2 6" xfId="11530" xr:uid="{3F464C2B-A63C-4EC7-8253-7604E0B0F014}"/>
    <cellStyle name="Normal 4 2 2 23 2 10 2 2 7" xfId="11531" xr:uid="{CFD49F00-9BD0-48DE-959A-027B44F995DE}"/>
    <cellStyle name="Normal 4 2 2 23 2 10 2 2 8" xfId="11532" xr:uid="{71FB29CF-1EB2-4D34-889C-15B0E7E8CCDF}"/>
    <cellStyle name="Normal 4 2 2 23 2 10 2 3" xfId="11533" xr:uid="{0E99EF82-E870-4D16-A098-6786C3DCC4AB}"/>
    <cellStyle name="Normal 4 2 2 23 2 10 2 4" xfId="11534" xr:uid="{A9965D4A-D57B-4B0E-A942-DE0B942655B9}"/>
    <cellStyle name="Normal 4 2 2 23 2 10 2 5" xfId="11535" xr:uid="{D42E0F18-FAAF-43E0-BD9D-F0E27DA1933D}"/>
    <cellStyle name="Normal 4 2 2 23 2 10 2 6" xfId="11536" xr:uid="{77AE7E87-093E-4E5B-AB1A-D1E834FBB119}"/>
    <cellStyle name="Normal 4 2 2 23 2 10 2 7" xfId="11537" xr:uid="{3FBEF62E-0EDD-4DDF-9D09-8D669BDA88E2}"/>
    <cellStyle name="Normal 4 2 2 23 2 10 2 8" xfId="11538" xr:uid="{6367A7C1-9DB6-4B4C-9927-EF750D7F372C}"/>
    <cellStyle name="Normal 4 2 2 23 2 10 3" xfId="11539" xr:uid="{27F0791D-658F-4487-B306-39B055EA4DD3}"/>
    <cellStyle name="Normal 4 2 2 23 2 10 4" xfId="11540" xr:uid="{8CC7FF4F-D56E-4673-9422-082F30D010FD}"/>
    <cellStyle name="Normal 4 2 2 23 2 10 5" xfId="11541" xr:uid="{9A572627-C01B-4A65-99EA-B5EE00B34635}"/>
    <cellStyle name="Normal 4 2 2 23 2 10 6" xfId="11542" xr:uid="{FD4E8E4C-AD91-4B82-8882-706EAECDEB7B}"/>
    <cellStyle name="Normal 4 2 2 23 2 10 7" xfId="11543" xr:uid="{7F90B122-B5CF-4B83-B13B-048C992AEE06}"/>
    <cellStyle name="Normal 4 2 2 23 2 10 8" xfId="11544" xr:uid="{77D6A130-85E0-4384-B5E0-55AF73A2A07B}"/>
    <cellStyle name="Normal 4 2 2 23 2 10 9" xfId="11545" xr:uid="{FD1A7905-F093-434C-AD28-5316DD461964}"/>
    <cellStyle name="Normal 4 2 2 23 2 11" xfId="11546" xr:uid="{7CFF3134-BB67-40A9-92B1-B2DB0DF66783}"/>
    <cellStyle name="Normal 4 2 2 23 2 11 2" xfId="11547" xr:uid="{EA3F0BF6-0DA2-4E12-8A00-BC93A3BF1E8D}"/>
    <cellStyle name="Normal 4 2 2 23 2 11 3" xfId="11548" xr:uid="{70385319-AF51-496E-8344-E74111EE64F8}"/>
    <cellStyle name="Normal 4 2 2 23 2 11 4" xfId="11549" xr:uid="{2042434A-1C0C-44BF-ADEF-4AEB1BF69F5F}"/>
    <cellStyle name="Normal 4 2 2 23 2 11 5" xfId="11550" xr:uid="{61E7DC13-0919-4EC2-8210-4D993ED5F4E1}"/>
    <cellStyle name="Normal 4 2 2 23 2 11 6" xfId="11551" xr:uid="{AAE5C2CF-316C-4813-9E20-2E5227361BA2}"/>
    <cellStyle name="Normal 4 2 2 23 2 11 7" xfId="11552" xr:uid="{D8EFEA3D-261A-4F11-9BB9-F32020680E1B}"/>
    <cellStyle name="Normal 4 2 2 23 2 11 8" xfId="11553" xr:uid="{3A3BBB5D-5B18-4E0E-8A42-0C5B5981E8BC}"/>
    <cellStyle name="Normal 4 2 2 23 2 12" xfId="11554" xr:uid="{343733C2-9CE6-44D3-8A9B-20EDE9ECEA42}"/>
    <cellStyle name="Normal 4 2 2 23 2 13" xfId="11555" xr:uid="{6076213A-5508-4C3E-9A41-06C8F774AD3C}"/>
    <cellStyle name="Normal 4 2 2 23 2 14" xfId="11556" xr:uid="{B0D23DA4-49D0-4135-AE2D-AAAC937BDB02}"/>
    <cellStyle name="Normal 4 2 2 23 2 15" xfId="11557" xr:uid="{A3E328CE-A25A-4DBB-906C-F09669CD2558}"/>
    <cellStyle name="Normal 4 2 2 23 2 16" xfId="11558" xr:uid="{936A5B4D-E0AD-409D-AAFB-3D926778A715}"/>
    <cellStyle name="Normal 4 2 2 23 2 17" xfId="11559" xr:uid="{3E68940C-7929-4284-B26B-33082FF4A6E6}"/>
    <cellStyle name="Normal 4 2 2 23 2 2" xfId="11560" xr:uid="{ED1A194C-F78E-4CEF-AF79-E717D20CA22C}"/>
    <cellStyle name="Normal 4 2 2 23 2 2 10" xfId="11561" xr:uid="{53DE7521-B98C-462E-B63D-995DA2FD0355}"/>
    <cellStyle name="Normal 4 2 2 23 2 2 2" xfId="11562" xr:uid="{9CB03B00-7A8C-4A44-923F-4F9ED7B77A1D}"/>
    <cellStyle name="Normal 4 2 2 23 2 2 2 2" xfId="11563" xr:uid="{40EB192B-D4AF-43E7-A79F-646F4B3CAD13}"/>
    <cellStyle name="Normal 4 2 2 23 2 2 2 2 2" xfId="11564" xr:uid="{7657157E-28B4-48F5-BE5A-718F89270AFF}"/>
    <cellStyle name="Normal 4 2 2 23 2 2 2 2 2 2" xfId="11565" xr:uid="{9C07183E-851D-420D-B055-9BBDFABDEC38}"/>
    <cellStyle name="Normal 4 2 2 23 2 2 2 2 2 3" xfId="11566" xr:uid="{3EEEF8DD-3CB3-4DC1-A827-303EA5D36820}"/>
    <cellStyle name="Normal 4 2 2 23 2 2 2 2 2 4" xfId="11567" xr:uid="{5D1B3148-BCEB-4AF2-B6F6-BB072C96736B}"/>
    <cellStyle name="Normal 4 2 2 23 2 2 2 2 2 5" xfId="11568" xr:uid="{2558E4A2-D907-4E1F-AA6A-513FCCDAE65C}"/>
    <cellStyle name="Normal 4 2 2 23 2 2 2 2 2 6" xfId="11569" xr:uid="{02C8A1CA-9968-471D-86A1-FB37640D4D01}"/>
    <cellStyle name="Normal 4 2 2 23 2 2 2 2 2 7" xfId="11570" xr:uid="{D68003ED-BC2A-4215-A3FA-0D0E0872EC62}"/>
    <cellStyle name="Normal 4 2 2 23 2 2 2 2 2 8" xfId="11571" xr:uid="{4ED8EF63-71F5-4B57-8A3E-110825C6AED2}"/>
    <cellStyle name="Normal 4 2 2 23 2 2 2 2 3" xfId="11572" xr:uid="{FF91A5B5-D60E-4787-A534-86160EC4B65A}"/>
    <cellStyle name="Normal 4 2 2 23 2 2 2 2 4" xfId="11573" xr:uid="{28A3DD06-024E-45BB-9916-63886B954F92}"/>
    <cellStyle name="Normal 4 2 2 23 2 2 2 2 5" xfId="11574" xr:uid="{5250F809-FA79-4680-A81E-0266FF83586F}"/>
    <cellStyle name="Normal 4 2 2 23 2 2 2 2 6" xfId="11575" xr:uid="{C7E63530-FEE8-468C-881A-CC1A4090D109}"/>
    <cellStyle name="Normal 4 2 2 23 2 2 2 2 7" xfId="11576" xr:uid="{B2A90BEC-C0EB-4246-979D-3FFD37C4A32C}"/>
    <cellStyle name="Normal 4 2 2 23 2 2 2 2 8" xfId="11577" xr:uid="{46C43ACD-812D-4BB3-9762-21EEC4310A50}"/>
    <cellStyle name="Normal 4 2 2 23 2 2 2 3" xfId="11578" xr:uid="{5A3436F1-8D3B-4C82-81CE-264DCAF23AB4}"/>
    <cellStyle name="Normal 4 2 2 23 2 2 2 4" xfId="11579" xr:uid="{F4D0D2DB-657F-48E8-AE9B-A65DDADB7911}"/>
    <cellStyle name="Normal 4 2 2 23 2 2 2 5" xfId="11580" xr:uid="{0D4B1CBE-F0A6-48F0-B590-CAD6F09923BD}"/>
    <cellStyle name="Normal 4 2 2 23 2 2 2 6" xfId="11581" xr:uid="{D1EDCF46-3773-40B0-B07D-62321CB5D226}"/>
    <cellStyle name="Normal 4 2 2 23 2 2 2 7" xfId="11582" xr:uid="{35676286-16B9-4458-B320-831CC45616C0}"/>
    <cellStyle name="Normal 4 2 2 23 2 2 2 8" xfId="11583" xr:uid="{82AA4354-E28B-4977-84EA-FD726A463D84}"/>
    <cellStyle name="Normal 4 2 2 23 2 2 2 9" xfId="11584" xr:uid="{3EF60902-41F3-4CC5-AAA4-1F7949A4C138}"/>
    <cellStyle name="Normal 4 2 2 23 2 2 3" xfId="11585" xr:uid="{AE12C33E-4787-4963-9E6C-C11D72FC9B1D}"/>
    <cellStyle name="Normal 4 2 2 23 2 2 4" xfId="11586" xr:uid="{539E10DC-4F75-4CED-9A65-18E5CF929737}"/>
    <cellStyle name="Normal 4 2 2 23 2 2 4 2" xfId="11587" xr:uid="{DDE3A84F-A51B-4032-8945-70ECD6458766}"/>
    <cellStyle name="Normal 4 2 2 23 2 2 4 3" xfId="11588" xr:uid="{52D85C2B-6C58-4D3B-9CC5-CD0E97CF915E}"/>
    <cellStyle name="Normal 4 2 2 23 2 2 4 4" xfId="11589" xr:uid="{BA24A298-92C1-4772-9737-DFFA8B231DCB}"/>
    <cellStyle name="Normal 4 2 2 23 2 2 4 5" xfId="11590" xr:uid="{D559DFB6-8E00-4512-87CA-A8A0BA6383A5}"/>
    <cellStyle name="Normal 4 2 2 23 2 2 4 6" xfId="11591" xr:uid="{8B86A2B0-B85D-4592-A245-F064CEFCACA7}"/>
    <cellStyle name="Normal 4 2 2 23 2 2 4 7" xfId="11592" xr:uid="{07D0F417-A894-49AA-8E0E-708E008D93BA}"/>
    <cellStyle name="Normal 4 2 2 23 2 2 4 8" xfId="11593" xr:uid="{2268A2E3-4B77-4ABB-8762-413D22DB09C5}"/>
    <cellStyle name="Normal 4 2 2 23 2 2 5" xfId="11594" xr:uid="{C2777231-5030-49CE-A926-9B4B87382952}"/>
    <cellStyle name="Normal 4 2 2 23 2 2 6" xfId="11595" xr:uid="{0F67E000-DF96-4681-9B25-08AFEE708F7A}"/>
    <cellStyle name="Normal 4 2 2 23 2 2 7" xfId="11596" xr:uid="{D2C9B1D9-24D2-4F97-B4CF-52F644C6958E}"/>
    <cellStyle name="Normal 4 2 2 23 2 2 8" xfId="11597" xr:uid="{FAE70A1A-7E59-4D48-9C41-24D6514E9330}"/>
    <cellStyle name="Normal 4 2 2 23 2 2 9" xfId="11598" xr:uid="{97C0EF57-489A-4771-9D37-F7BBC74884CC}"/>
    <cellStyle name="Normal 4 2 2 23 2 3" xfId="11599" xr:uid="{101AD189-E269-4822-9A9D-031B1FDFD877}"/>
    <cellStyle name="Normal 4 2 2 23 2 4" xfId="11600" xr:uid="{840F21D8-83E7-4AF9-A529-DCE2752AA6A2}"/>
    <cellStyle name="Normal 4 2 2 23 2 5" xfId="11601" xr:uid="{5A3C0E6E-03B9-479F-B6D5-64FB89E36A10}"/>
    <cellStyle name="Normal 4 2 2 23 2 6" xfId="11602" xr:uid="{57B822B7-A106-4C63-95E6-B3E4D90D4589}"/>
    <cellStyle name="Normal 4 2 2 23 2 7" xfId="11603" xr:uid="{5E5512DF-7AF2-4353-8DDE-D262F469995C}"/>
    <cellStyle name="Normal 4 2 2 23 2 8" xfId="11604" xr:uid="{609BCE10-D681-4C49-A2AF-7BEE82A52537}"/>
    <cellStyle name="Normal 4 2 2 23 2 9" xfId="11605" xr:uid="{6D2EF806-091B-424D-8A90-956A5DB4A83F}"/>
    <cellStyle name="Normal 4 2 2 23 3" xfId="11606" xr:uid="{3066FC0D-D406-4E15-B984-7602F94F3D70}"/>
    <cellStyle name="Normal 4 2 2 23 3 10" xfId="11607" xr:uid="{E1FD82BD-4F88-4883-8B74-5C88140E7D94}"/>
    <cellStyle name="Normal 4 2 2 23 3 2" xfId="11608" xr:uid="{D2E86996-0F8D-4977-924B-F7E898E3D396}"/>
    <cellStyle name="Normal 4 2 2 23 3 2 2" xfId="11609" xr:uid="{143807AE-8621-41FF-8162-83EFC5D5A353}"/>
    <cellStyle name="Normal 4 2 2 23 3 2 2 2" xfId="11610" xr:uid="{6E4AC410-27F5-415B-87E1-4FA483FB903E}"/>
    <cellStyle name="Normal 4 2 2 23 3 2 2 2 2" xfId="11611" xr:uid="{2A1F62C6-64A6-435F-8288-FCB8526E82DA}"/>
    <cellStyle name="Normal 4 2 2 23 3 2 2 2 3" xfId="11612" xr:uid="{6D5F45B2-63C5-4C46-84D3-14844FA866EB}"/>
    <cellStyle name="Normal 4 2 2 23 3 2 2 2 4" xfId="11613" xr:uid="{7BAFE7D4-EDCD-417D-BBB9-9F64C81A5D6D}"/>
    <cellStyle name="Normal 4 2 2 23 3 2 2 2 5" xfId="11614" xr:uid="{B5CED0A7-DCB0-48E5-B171-F4BEED837CDE}"/>
    <cellStyle name="Normal 4 2 2 23 3 2 2 2 6" xfId="11615" xr:uid="{B632ACDE-321F-4D06-9BFA-0887DD7F82C5}"/>
    <cellStyle name="Normal 4 2 2 23 3 2 2 2 7" xfId="11616" xr:uid="{7B8D69E5-6D96-40AB-843C-7B455F8D9830}"/>
    <cellStyle name="Normal 4 2 2 23 3 2 2 2 8" xfId="11617" xr:uid="{5CD09CF7-F075-4BF2-AEA0-003BD9D8AD73}"/>
    <cellStyle name="Normal 4 2 2 23 3 2 2 3" xfId="11618" xr:uid="{FDEE54C6-68D9-444D-ADD9-B0FE890AF25C}"/>
    <cellStyle name="Normal 4 2 2 23 3 2 2 4" xfId="11619" xr:uid="{733E02DA-7A87-4618-9948-5B76E2992836}"/>
    <cellStyle name="Normal 4 2 2 23 3 2 2 5" xfId="11620" xr:uid="{DB321BF6-029F-48C5-9CF3-913D5B93FEB4}"/>
    <cellStyle name="Normal 4 2 2 23 3 2 2 6" xfId="11621" xr:uid="{FB9B2FAA-EEFD-4054-9312-32715AC5A0AF}"/>
    <cellStyle name="Normal 4 2 2 23 3 2 2 7" xfId="11622" xr:uid="{1116B782-92A8-4FE8-8401-E4AE631CC141}"/>
    <cellStyle name="Normal 4 2 2 23 3 2 2 8" xfId="11623" xr:uid="{C8B9397B-4828-4945-B829-A708A8991BA9}"/>
    <cellStyle name="Normal 4 2 2 23 3 2 3" xfId="11624" xr:uid="{37CD998E-80E9-45BF-9EA5-1BDA13EE433B}"/>
    <cellStyle name="Normal 4 2 2 23 3 2 4" xfId="11625" xr:uid="{F4EC77B6-5B97-4B0D-AAC7-51F30325C90D}"/>
    <cellStyle name="Normal 4 2 2 23 3 2 5" xfId="11626" xr:uid="{52846616-29B8-413B-BC5D-8F695311FC75}"/>
    <cellStyle name="Normal 4 2 2 23 3 2 6" xfId="11627" xr:uid="{FBBCDF23-9747-4396-ACB0-01CFFA58CC6C}"/>
    <cellStyle name="Normal 4 2 2 23 3 2 7" xfId="11628" xr:uid="{2A907397-C129-4748-A5C7-F1593EFF75C8}"/>
    <cellStyle name="Normal 4 2 2 23 3 2 8" xfId="11629" xr:uid="{9717C8CC-D0F9-41F6-A8AF-46BCC1F13CA9}"/>
    <cellStyle name="Normal 4 2 2 23 3 2 9" xfId="11630" xr:uid="{B6337085-733C-483F-8B0C-8F3A8D642343}"/>
    <cellStyle name="Normal 4 2 2 23 3 3" xfId="11631" xr:uid="{328FE9BB-0492-47D0-AF35-44050E8C8692}"/>
    <cellStyle name="Normal 4 2 2 23 3 4" xfId="11632" xr:uid="{E828E2D0-9D24-487B-A53F-45176622FAC9}"/>
    <cellStyle name="Normal 4 2 2 23 3 4 2" xfId="11633" xr:uid="{5327B9A4-EFA6-41FF-B3F9-30151E8649D1}"/>
    <cellStyle name="Normal 4 2 2 23 3 4 3" xfId="11634" xr:uid="{DEDAF7A8-FE18-439F-88C0-6999BB3D5E91}"/>
    <cellStyle name="Normal 4 2 2 23 3 4 4" xfId="11635" xr:uid="{B21D0D16-AC45-4C7B-9642-601BBC5BB299}"/>
    <cellStyle name="Normal 4 2 2 23 3 4 5" xfId="11636" xr:uid="{61682F3A-3C3F-4F88-84D9-DE24FF0D7367}"/>
    <cellStyle name="Normal 4 2 2 23 3 4 6" xfId="11637" xr:uid="{B3A2FABC-5B69-4E0A-B386-9667260C211C}"/>
    <cellStyle name="Normal 4 2 2 23 3 4 7" xfId="11638" xr:uid="{CFD0509C-27C1-482A-A085-BBB5D5009AB8}"/>
    <cellStyle name="Normal 4 2 2 23 3 4 8" xfId="11639" xr:uid="{59CD71E1-35B1-4EDF-947D-111311A02B30}"/>
    <cellStyle name="Normal 4 2 2 23 3 5" xfId="11640" xr:uid="{4D99C46D-A1F1-4407-82A1-C5273AE5A56A}"/>
    <cellStyle name="Normal 4 2 2 23 3 6" xfId="11641" xr:uid="{3D2B6AEF-2BAA-43B2-900E-A0326BDD7C5D}"/>
    <cellStyle name="Normal 4 2 2 23 3 7" xfId="11642" xr:uid="{BA3AF52E-BADC-4ED0-8BD5-2664F76E618E}"/>
    <cellStyle name="Normal 4 2 2 23 3 8" xfId="11643" xr:uid="{12569259-66CB-4BD5-B76E-700B1E0A24D3}"/>
    <cellStyle name="Normal 4 2 2 23 3 9" xfId="11644" xr:uid="{08DF6682-6FC2-48D1-A492-A7C173F73062}"/>
    <cellStyle name="Normal 4 2 2 23 4" xfId="11645" xr:uid="{D015D730-BF30-4B68-AF67-8E25573355FE}"/>
    <cellStyle name="Normal 4 2 2 23 5" xfId="11646" xr:uid="{F58F49EB-E144-4917-BC0F-C3DD48411B3C}"/>
    <cellStyle name="Normal 4 2 2 23 6" xfId="11647" xr:uid="{F136CEBF-58A6-46F6-B4C0-68CC38D99DB0}"/>
    <cellStyle name="Normal 4 2 2 23 7" xfId="11648" xr:uid="{3C54B77C-9486-44E8-8612-61D2332F4D86}"/>
    <cellStyle name="Normal 4 2 2 23 8" xfId="11649" xr:uid="{DC682C54-D479-4764-954E-73FE9468E75C}"/>
    <cellStyle name="Normal 4 2 2 23 9" xfId="11650" xr:uid="{D2175714-8176-43B7-B8E1-18F4CB7C289C}"/>
    <cellStyle name="Normal 4 2 2 24" xfId="11651" xr:uid="{CB35F2C5-248D-45E7-B65F-6285D03A4EB3}"/>
    <cellStyle name="Normal 4 2 2 25" xfId="11652" xr:uid="{AE7B23E9-3103-43EE-B96D-B6B1CDABC2DB}"/>
    <cellStyle name="Normal 4 2 2 26" xfId="11653" xr:uid="{24594219-FE33-4F50-9E50-314493D499F4}"/>
    <cellStyle name="Normal 4 2 2 27" xfId="11654" xr:uid="{5AD0D9A7-E810-49A5-9DC2-17A216B6F1D6}"/>
    <cellStyle name="Normal 4 2 2 28" xfId="11655" xr:uid="{88C929AB-BB0C-47B0-8E1B-7EA085447E4C}"/>
    <cellStyle name="Normal 4 2 2 28 10" xfId="11656" xr:uid="{C5419A11-81D3-413E-B683-7F21BAA313DB}"/>
    <cellStyle name="Normal 4 2 2 28 2" xfId="11657" xr:uid="{49E56516-6F8E-4190-9E67-0F32699DA8F1}"/>
    <cellStyle name="Normal 4 2 2 28 2 2" xfId="11658" xr:uid="{E8FE38F1-18B6-4A03-B590-00F360BB3FE6}"/>
    <cellStyle name="Normal 4 2 2 28 2 2 2" xfId="11659" xr:uid="{966489C8-FF72-477C-A2E7-97454D536F71}"/>
    <cellStyle name="Normal 4 2 2 28 2 2 2 2" xfId="11660" xr:uid="{F6B1D62B-38E4-428D-8CAB-86006B1D797B}"/>
    <cellStyle name="Normal 4 2 2 28 2 2 2 3" xfId="11661" xr:uid="{1BB51494-E7BD-4A38-B6E2-D72871534DB4}"/>
    <cellStyle name="Normal 4 2 2 28 2 2 2 4" xfId="11662" xr:uid="{05A9611C-8AC7-45C3-B692-36ADB84335D0}"/>
    <cellStyle name="Normal 4 2 2 28 2 2 2 5" xfId="11663" xr:uid="{45AEB2C4-2C59-400E-923E-0009DB462E65}"/>
    <cellStyle name="Normal 4 2 2 28 2 2 2 6" xfId="11664" xr:uid="{73DF49A4-77ED-47E2-8755-50968EFC7244}"/>
    <cellStyle name="Normal 4 2 2 28 2 2 2 7" xfId="11665" xr:uid="{3F62F494-0A6A-4DE3-B41B-E0C16FACCA57}"/>
    <cellStyle name="Normal 4 2 2 28 2 2 2 8" xfId="11666" xr:uid="{161E1775-3768-44FD-BFBA-5620B82DFE2B}"/>
    <cellStyle name="Normal 4 2 2 28 2 2 3" xfId="11667" xr:uid="{C34BD172-5C52-427E-8D0F-A4B5EF3978D4}"/>
    <cellStyle name="Normal 4 2 2 28 2 2 4" xfId="11668" xr:uid="{BDD67FDB-955D-4C18-B80A-1A273E3A49B7}"/>
    <cellStyle name="Normal 4 2 2 28 2 2 5" xfId="11669" xr:uid="{1968E8DB-71AF-4D9D-86B7-E47469D35AEF}"/>
    <cellStyle name="Normal 4 2 2 28 2 2 6" xfId="11670" xr:uid="{ADD86705-33FA-4BC9-8666-D11008DDA946}"/>
    <cellStyle name="Normal 4 2 2 28 2 2 7" xfId="11671" xr:uid="{FC4B9518-285B-4DCD-BC63-D3EFCFAA9C55}"/>
    <cellStyle name="Normal 4 2 2 28 2 2 8" xfId="11672" xr:uid="{FFD13C49-A6DF-41CA-AFD3-0B58254F2DDA}"/>
    <cellStyle name="Normal 4 2 2 28 2 3" xfId="11673" xr:uid="{0834A925-E4E2-4256-BC72-52635501E8E8}"/>
    <cellStyle name="Normal 4 2 2 28 2 4" xfId="11674" xr:uid="{A10E3960-8DA2-4E90-9D0B-F344F13C48AB}"/>
    <cellStyle name="Normal 4 2 2 28 2 5" xfId="11675" xr:uid="{7CF3ECB6-EBF1-4ACB-AD87-2E3EBFCFFB9A}"/>
    <cellStyle name="Normal 4 2 2 28 2 6" xfId="11676" xr:uid="{F544BDE6-11CB-429D-9B8B-6CF350837010}"/>
    <cellStyle name="Normal 4 2 2 28 2 7" xfId="11677" xr:uid="{2807E7BC-6ADF-4485-B163-A3906B5AD5E9}"/>
    <cellStyle name="Normal 4 2 2 28 2 8" xfId="11678" xr:uid="{DF531833-0A64-44B7-BE1F-D65E796DCE7A}"/>
    <cellStyle name="Normal 4 2 2 28 2 9" xfId="11679" xr:uid="{F4487FB2-4ECF-4C59-B3F6-3B6FC6FC97C3}"/>
    <cellStyle name="Normal 4 2 2 28 3" xfId="11680" xr:uid="{0637E8C2-E303-42B9-8606-FFA7AAC09460}"/>
    <cellStyle name="Normal 4 2 2 28 4" xfId="11681" xr:uid="{0550A5C2-EEA4-4D13-AB3B-120B3674AF5F}"/>
    <cellStyle name="Normal 4 2 2 28 4 2" xfId="11682" xr:uid="{F806569A-2DE7-4C6C-AB6C-F4A07CFF6C7B}"/>
    <cellStyle name="Normal 4 2 2 28 4 3" xfId="11683" xr:uid="{F7BA3E86-02B5-4227-B57F-FDB449CF6FE5}"/>
    <cellStyle name="Normal 4 2 2 28 4 4" xfId="11684" xr:uid="{56A55C82-EF58-426D-83AE-88EC2097795E}"/>
    <cellStyle name="Normal 4 2 2 28 4 5" xfId="11685" xr:uid="{DDB664C3-4A19-45BA-B877-7B3D54C92D3C}"/>
    <cellStyle name="Normal 4 2 2 28 4 6" xfId="11686" xr:uid="{89C7BEC2-659E-4344-9436-80C401321156}"/>
    <cellStyle name="Normal 4 2 2 28 4 7" xfId="11687" xr:uid="{2F96F983-8E11-4BAC-BC98-84F6C0EE6A95}"/>
    <cellStyle name="Normal 4 2 2 28 4 8" xfId="11688" xr:uid="{A7652AF0-0D56-48AA-A36B-5663EF2BDE05}"/>
    <cellStyle name="Normal 4 2 2 28 5" xfId="11689" xr:uid="{4E35C10F-3AE5-4BF4-865E-C88014FA6618}"/>
    <cellStyle name="Normal 4 2 2 28 6" xfId="11690" xr:uid="{98B0589F-A6D1-412A-8AAB-F10538937C8D}"/>
    <cellStyle name="Normal 4 2 2 28 7" xfId="11691" xr:uid="{7FC67F71-1487-4389-A497-56C6DFE0F8DA}"/>
    <cellStyle name="Normal 4 2 2 28 8" xfId="11692" xr:uid="{014D3B28-86C5-4FC4-B446-A0E18F84CADC}"/>
    <cellStyle name="Normal 4 2 2 28 9" xfId="11693" xr:uid="{B4C8F431-E26B-4238-9B98-10487B831F1E}"/>
    <cellStyle name="Normal 4 2 2 29" xfId="11694" xr:uid="{267BE37F-6BC4-4754-A6F6-19678651CC72}"/>
    <cellStyle name="Normal 4 2 2 3" xfId="11695" xr:uid="{496B9162-5557-4819-BAFF-8C510629E770}"/>
    <cellStyle name="Normal 4 2 2 30" xfId="11696" xr:uid="{46EBABCD-45EC-4E80-AA1E-2E5C71EBF56F}"/>
    <cellStyle name="Normal 4 2 2 31" xfId="11697" xr:uid="{310499BE-0647-4930-81B0-EB84573C3D2C}"/>
    <cellStyle name="Normal 4 2 2 32" xfId="11698" xr:uid="{012FBB06-6BD2-496F-BEA3-EA986CCCA464}"/>
    <cellStyle name="Normal 4 2 2 33" xfId="11699" xr:uid="{FEBCB75A-F7E0-4315-9A53-5C9E36793C12}"/>
    <cellStyle name="Normal 4 2 2 34" xfId="11700" xr:uid="{F416AEFD-DDB0-425C-AFA7-042578F9ED2C}"/>
    <cellStyle name="Normal 4 2 2 35" xfId="11701" xr:uid="{93570447-B6B8-4EE4-8BD2-6FBFE74E89B3}"/>
    <cellStyle name="Normal 4 2 2 36" xfId="11702" xr:uid="{40ADCD30-F44A-4D58-8380-17C62E956D3E}"/>
    <cellStyle name="Normal 4 2 2 36 2" xfId="11703" xr:uid="{059B91A6-89C1-4916-AD31-AAC9D3CEDBAA}"/>
    <cellStyle name="Normal 4 2 2 36 2 2" xfId="11704" xr:uid="{CFD28790-88FF-4EF1-B203-3A19DB1B7601}"/>
    <cellStyle name="Normal 4 2 2 36 2 2 2" xfId="11705" xr:uid="{01E12158-963F-4CF9-B597-CA263B90B983}"/>
    <cellStyle name="Normal 4 2 2 36 2 2 3" xfId="11706" xr:uid="{9E564CEB-BF44-486F-93AD-C8C59AFE0787}"/>
    <cellStyle name="Normal 4 2 2 36 2 2 4" xfId="11707" xr:uid="{9EF1ADEF-4EB9-4749-B4D0-0361E011D070}"/>
    <cellStyle name="Normal 4 2 2 36 2 2 5" xfId="11708" xr:uid="{8F8B551A-B1B1-486E-B5CF-551A09EE0E1A}"/>
    <cellStyle name="Normal 4 2 2 36 2 2 6" xfId="11709" xr:uid="{D265B611-7910-4418-AE09-4BDDCB8829C8}"/>
    <cellStyle name="Normal 4 2 2 36 2 2 7" xfId="11710" xr:uid="{665EEBF9-3EF2-4CA2-AC99-F54C0DED43D6}"/>
    <cellStyle name="Normal 4 2 2 36 2 2 8" xfId="11711" xr:uid="{9EADA46C-FE4D-447D-B703-C78A8D11066E}"/>
    <cellStyle name="Normal 4 2 2 36 2 3" xfId="11712" xr:uid="{B95067F6-F5A4-452C-8869-40C8B8C140B3}"/>
    <cellStyle name="Normal 4 2 2 36 2 4" xfId="11713" xr:uid="{725360CF-239F-4D0F-A8D9-91004CE579AF}"/>
    <cellStyle name="Normal 4 2 2 36 2 5" xfId="11714" xr:uid="{7711BC67-8F4C-4121-A2DA-D3CB5ED310EA}"/>
    <cellStyle name="Normal 4 2 2 36 2 6" xfId="11715" xr:uid="{5CE57DAB-B532-46DC-9297-E7CF78CA86F3}"/>
    <cellStyle name="Normal 4 2 2 36 2 7" xfId="11716" xr:uid="{2299A9F1-CAA7-4068-BE2F-091243F8B869}"/>
    <cellStyle name="Normal 4 2 2 36 2 8" xfId="11717" xr:uid="{FE2D02DC-6AC1-4A3C-91DE-C572A977AA8F}"/>
    <cellStyle name="Normal 4 2 2 36 3" xfId="11718" xr:uid="{0D23B013-93A6-4A50-9F0E-F27C80214F92}"/>
    <cellStyle name="Normal 4 2 2 36 4" xfId="11719" xr:uid="{E13374BD-27B2-4667-9949-6CE2FB146EA8}"/>
    <cellStyle name="Normal 4 2 2 36 5" xfId="11720" xr:uid="{B0468E03-85B0-4C20-A591-E4D473D748A2}"/>
    <cellStyle name="Normal 4 2 2 36 6" xfId="11721" xr:uid="{A54E59D3-DC97-41C7-B95A-EDB5157F82D0}"/>
    <cellStyle name="Normal 4 2 2 36 7" xfId="11722" xr:uid="{946C1EB3-AE42-4116-9632-77C97B7FB77C}"/>
    <cellStyle name="Normal 4 2 2 36 8" xfId="11723" xr:uid="{69A5F6F2-359E-4E6A-A4EA-CAE788C7DBB6}"/>
    <cellStyle name="Normal 4 2 2 36 9" xfId="11724" xr:uid="{F23D01A8-4005-4FCB-887E-EB622748DF7E}"/>
    <cellStyle name="Normal 4 2 2 37" xfId="11725" xr:uid="{6810E67B-5040-464F-B33B-E343E1DB907D}"/>
    <cellStyle name="Normal 4 2 2 37 2" xfId="11726" xr:uid="{6466366F-856D-4B11-BA30-14D0E8AA5164}"/>
    <cellStyle name="Normal 4 2 2 37 3" xfId="11727" xr:uid="{0138D4BD-52DA-4FA5-BD5A-1B5D9557D4D3}"/>
    <cellStyle name="Normal 4 2 2 37 4" xfId="11728" xr:uid="{D0E54C0C-3841-4E42-B2ED-3A1090ADE024}"/>
    <cellStyle name="Normal 4 2 2 37 5" xfId="11729" xr:uid="{85F44561-4730-4E41-A546-74A8DDEECE47}"/>
    <cellStyle name="Normal 4 2 2 37 6" xfId="11730" xr:uid="{990D0AD8-F767-4E63-9711-C4DF08A641CB}"/>
    <cellStyle name="Normal 4 2 2 37 7" xfId="11731" xr:uid="{0BF6C6CA-D818-4912-9DE3-78298DE8C6F9}"/>
    <cellStyle name="Normal 4 2 2 37 8" xfId="11732" xr:uid="{67EBE77E-A0E7-4606-A0F2-164620BC220C}"/>
    <cellStyle name="Normal 4 2 2 38" xfId="11733" xr:uid="{7FB53227-5D6E-4608-8B85-BD0D8B8BD975}"/>
    <cellStyle name="Normal 4 2 2 39" xfId="11734" xr:uid="{475CC4B1-27C5-4E75-8831-88364F9513B8}"/>
    <cellStyle name="Normal 4 2 2 4" xfId="11735" xr:uid="{FC84373C-B05E-4BDF-833F-DA4345E0FF00}"/>
    <cellStyle name="Normal 4 2 2 40" xfId="11736" xr:uid="{43741293-FFDC-4D0C-B4D8-1C8F948852D3}"/>
    <cellStyle name="Normal 4 2 2 41" xfId="11737" xr:uid="{8987EB16-AFF7-4196-AD7C-9DC5E634A374}"/>
    <cellStyle name="Normal 4 2 2 42" xfId="11738" xr:uid="{AE4293FE-A958-4CAE-B275-8293FDB4D436}"/>
    <cellStyle name="Normal 4 2 2 43" xfId="11739" xr:uid="{86615866-5714-4F7F-A602-FD8E8E746541}"/>
    <cellStyle name="Normal 4 2 2 5" xfId="11740" xr:uid="{F03D7C8C-342B-4675-837A-0CCB5CF4437E}"/>
    <cellStyle name="Normal 4 2 2 6" xfId="11741" xr:uid="{96666D12-36FB-43A1-A998-7AB2B88146D8}"/>
    <cellStyle name="Normal 4 2 2 7" xfId="11742" xr:uid="{9FFEA53F-5A56-4281-89AD-C5BC67C4706E}"/>
    <cellStyle name="Normal 4 2 2 8" xfId="11743" xr:uid="{ACEC2648-2CE2-4889-92E6-D5A30665CE2B}"/>
    <cellStyle name="Normal 4 2 2 9" xfId="11744" xr:uid="{FE328FDA-05BB-4D0B-85B6-3BE0CB4474FF}"/>
    <cellStyle name="Normal 4 2 20" xfId="11745" xr:uid="{C052D9F7-4F8E-4965-8A25-63DDE1ED5AC4}"/>
    <cellStyle name="Normal 4 2 21" xfId="11746" xr:uid="{BD7DF094-ABEA-42A5-929C-F52F0E37E7E8}"/>
    <cellStyle name="Normal 4 2 22" xfId="11747" xr:uid="{60FE3D09-E65A-44F9-A63E-7D94341DEE52}"/>
    <cellStyle name="Normal 4 2 23" xfId="11748" xr:uid="{E8DC77E2-7F89-40A0-B15A-2749610F0F7F}"/>
    <cellStyle name="Normal 4 2 23 10" xfId="11749" xr:uid="{DF89EEBC-7FD8-412E-9B77-F6142DDD6905}"/>
    <cellStyle name="Normal 4 2 23 10 2" xfId="11750" xr:uid="{8916AF4A-E6DF-46E4-8F5A-76B893B6F62D}"/>
    <cellStyle name="Normal 4 2 23 10 2 2" xfId="11751" xr:uid="{3D9E3932-68DE-4A00-AD70-7F4582DBBEDC}"/>
    <cellStyle name="Normal 4 2 23 10 2 2 2" xfId="11752" xr:uid="{947B0162-38E6-4712-A1AC-4C7D273C7327}"/>
    <cellStyle name="Normal 4 2 23 10 2 2 3" xfId="11753" xr:uid="{7EDE32DF-FD03-4565-85AD-3BFD215C5B55}"/>
    <cellStyle name="Normal 4 2 23 10 2 2 4" xfId="11754" xr:uid="{0E1CB4D9-B37A-49BF-B8C9-B2625F75F1EB}"/>
    <cellStyle name="Normal 4 2 23 10 2 2 5" xfId="11755" xr:uid="{5645F579-B798-475D-9377-4A102CB9A136}"/>
    <cellStyle name="Normal 4 2 23 10 2 2 6" xfId="11756" xr:uid="{32F3B775-AD3C-4077-902F-C66E155D1D36}"/>
    <cellStyle name="Normal 4 2 23 10 2 2 7" xfId="11757" xr:uid="{F66BFBE1-47F1-4778-86D1-2D1DE00A9004}"/>
    <cellStyle name="Normal 4 2 23 10 2 2 8" xfId="11758" xr:uid="{BB53A60D-1E65-4FFF-B243-FDD2870B6CA5}"/>
    <cellStyle name="Normal 4 2 23 10 2 3" xfId="11759" xr:uid="{AB917EA5-46C0-4B96-A1E4-AA588AFD4A47}"/>
    <cellStyle name="Normal 4 2 23 10 2 4" xfId="11760" xr:uid="{6241EF19-9E0B-4769-B480-C4811E542055}"/>
    <cellStyle name="Normal 4 2 23 10 2 5" xfId="11761" xr:uid="{ED2EAA69-5AFB-4262-A6C3-A8C3D21C1788}"/>
    <cellStyle name="Normal 4 2 23 10 2 6" xfId="11762" xr:uid="{6528C7F9-30EC-4253-B86F-D08908F35B86}"/>
    <cellStyle name="Normal 4 2 23 10 2 7" xfId="11763" xr:uid="{6A9162E9-275B-4D77-9B0C-DA5C8EBFD303}"/>
    <cellStyle name="Normal 4 2 23 10 2 8" xfId="11764" xr:uid="{BEF96E71-44F6-4E5B-BA94-0B2EA3A4DE5A}"/>
    <cellStyle name="Normal 4 2 23 10 3" xfId="11765" xr:uid="{99D37E0A-77E1-4086-990D-5F65E469BFFA}"/>
    <cellStyle name="Normal 4 2 23 10 4" xfId="11766" xr:uid="{91AD56ED-D28C-40B5-8D89-9D7B82A9A3C1}"/>
    <cellStyle name="Normal 4 2 23 10 5" xfId="11767" xr:uid="{49738DD5-2B10-4D16-B77D-D51CED562B1C}"/>
    <cellStyle name="Normal 4 2 23 10 6" xfId="11768" xr:uid="{2BEE3766-971F-40A1-BF1D-3AE5C9CCB178}"/>
    <cellStyle name="Normal 4 2 23 10 7" xfId="11769" xr:uid="{5F062218-6779-4C60-A778-C6E206E2937E}"/>
    <cellStyle name="Normal 4 2 23 10 8" xfId="11770" xr:uid="{F9782C09-A398-43F8-9839-EECF72957CEB}"/>
    <cellStyle name="Normal 4 2 23 10 9" xfId="11771" xr:uid="{60561278-CF08-4F8D-9F57-1B76C3A2573A}"/>
    <cellStyle name="Normal 4 2 23 11" xfId="11772" xr:uid="{099FC994-1E62-4F5A-B0E6-DF560D17000E}"/>
    <cellStyle name="Normal 4 2 23 11 2" xfId="11773" xr:uid="{6EEF9D77-5009-4190-AF45-71347FFD6083}"/>
    <cellStyle name="Normal 4 2 23 11 3" xfId="11774" xr:uid="{740EC126-2BC0-440A-B681-5361046C1FD3}"/>
    <cellStyle name="Normal 4 2 23 11 4" xfId="11775" xr:uid="{80BD6096-F91C-4651-84F4-4721F21278E1}"/>
    <cellStyle name="Normal 4 2 23 11 5" xfId="11776" xr:uid="{DA67EB8C-BB77-4AEE-89FE-E1E68A54054C}"/>
    <cellStyle name="Normal 4 2 23 11 6" xfId="11777" xr:uid="{97FB14EB-C367-411F-80B1-4988135968C9}"/>
    <cellStyle name="Normal 4 2 23 11 7" xfId="11778" xr:uid="{20065BC4-34CC-4AAD-A106-ADEC110AE527}"/>
    <cellStyle name="Normal 4 2 23 11 8" xfId="11779" xr:uid="{D133E5DB-F015-411E-BCEA-BFDBC0795CBB}"/>
    <cellStyle name="Normal 4 2 23 12" xfId="11780" xr:uid="{0259C4F3-154B-4A78-B871-32C66401AA4E}"/>
    <cellStyle name="Normal 4 2 23 13" xfId="11781" xr:uid="{4C9A9327-8784-48FC-8418-4A0CFB8A5A99}"/>
    <cellStyle name="Normal 4 2 23 14" xfId="11782" xr:uid="{9FBB9B95-ED7A-4F37-A015-FF9E6D8567AC}"/>
    <cellStyle name="Normal 4 2 23 15" xfId="11783" xr:uid="{1FC49998-EB1A-4722-BFE7-90502F4B0135}"/>
    <cellStyle name="Normal 4 2 23 16" xfId="11784" xr:uid="{8FB41D19-EEFF-4525-B6C3-9FC1E7796025}"/>
    <cellStyle name="Normal 4 2 23 17" xfId="11785" xr:uid="{1F3CA219-F1FA-46B6-833A-A380FF1F671C}"/>
    <cellStyle name="Normal 4 2 23 2" xfId="11786" xr:uid="{239621B7-7419-41DA-B005-5625079D26B9}"/>
    <cellStyle name="Normal 4 2 23 2 10" xfId="11787" xr:uid="{09C721B2-298D-4FDE-B3AC-6B86563EA4EE}"/>
    <cellStyle name="Normal 4 2 23 2 10 2" xfId="11788" xr:uid="{3A775644-CCBB-4664-909E-5ADE525E64BE}"/>
    <cellStyle name="Normal 4 2 23 2 10 2 2" xfId="11789" xr:uid="{A84C2C6F-5B62-44C6-B2F1-4FA5AC038D6D}"/>
    <cellStyle name="Normal 4 2 23 2 10 2 2 2" xfId="11790" xr:uid="{59FAAF09-BD7E-4BCC-B034-14B537DBF47D}"/>
    <cellStyle name="Normal 4 2 23 2 10 2 2 3" xfId="11791" xr:uid="{1C669A4E-2C28-4ED0-8C4F-459BDDD05183}"/>
    <cellStyle name="Normal 4 2 23 2 10 2 2 4" xfId="11792" xr:uid="{180AB549-C668-431A-868E-664152E25B51}"/>
    <cellStyle name="Normal 4 2 23 2 10 2 2 5" xfId="11793" xr:uid="{3C1BB71A-AA2A-465C-9481-85D22130CCB2}"/>
    <cellStyle name="Normal 4 2 23 2 10 2 2 6" xfId="11794" xr:uid="{D0D7E5E0-E853-4E55-9E68-8B9DA457EBC4}"/>
    <cellStyle name="Normal 4 2 23 2 10 2 2 7" xfId="11795" xr:uid="{DB249C27-332F-4921-B9C2-4BAF6DE0DAB4}"/>
    <cellStyle name="Normal 4 2 23 2 10 2 2 8" xfId="11796" xr:uid="{D3CB2A93-C5F8-4446-8F5D-67D86CC4AE14}"/>
    <cellStyle name="Normal 4 2 23 2 10 2 3" xfId="11797" xr:uid="{7032AB42-37E2-4982-8C24-9F72FBC15B54}"/>
    <cellStyle name="Normal 4 2 23 2 10 2 4" xfId="11798" xr:uid="{AC92EE07-3E10-49FF-A34E-F5EF9E481627}"/>
    <cellStyle name="Normal 4 2 23 2 10 2 5" xfId="11799" xr:uid="{6A7FC63E-9394-4D23-A57C-097389FC999F}"/>
    <cellStyle name="Normal 4 2 23 2 10 2 6" xfId="11800" xr:uid="{21B8873E-618E-47BF-B91B-8AA41C8B081C}"/>
    <cellStyle name="Normal 4 2 23 2 10 2 7" xfId="11801" xr:uid="{4F32A20F-840B-46C3-8F72-0D4272680AA2}"/>
    <cellStyle name="Normal 4 2 23 2 10 2 8" xfId="11802" xr:uid="{B6D53A73-03C4-4080-82D8-941DD95FC7BF}"/>
    <cellStyle name="Normal 4 2 23 2 10 3" xfId="11803" xr:uid="{53A81080-E66C-4B7B-B789-4088444D13A5}"/>
    <cellStyle name="Normal 4 2 23 2 10 4" xfId="11804" xr:uid="{621A38ED-40A9-41DE-A9DD-15CC3239CC0D}"/>
    <cellStyle name="Normal 4 2 23 2 10 5" xfId="11805" xr:uid="{162DD3A2-2880-408D-A031-F169A0CD7BAD}"/>
    <cellStyle name="Normal 4 2 23 2 10 6" xfId="11806" xr:uid="{71C19136-BB68-496A-84FC-3272647C0716}"/>
    <cellStyle name="Normal 4 2 23 2 10 7" xfId="11807" xr:uid="{A13A16C8-484C-43C4-9518-0802DC404695}"/>
    <cellStyle name="Normal 4 2 23 2 10 8" xfId="11808" xr:uid="{C9410ADD-711F-4CE0-9946-626754ADA461}"/>
    <cellStyle name="Normal 4 2 23 2 10 9" xfId="11809" xr:uid="{F29A631C-E2C8-4337-80CB-96A967A88D97}"/>
    <cellStyle name="Normal 4 2 23 2 11" xfId="11810" xr:uid="{8E4CD36C-4C48-4A90-AC86-961DC93A724E}"/>
    <cellStyle name="Normal 4 2 23 2 11 2" xfId="11811" xr:uid="{E3EB79DD-132D-49EA-8101-533F8740B227}"/>
    <cellStyle name="Normal 4 2 23 2 11 3" xfId="11812" xr:uid="{B494E274-1A83-45DE-9EC3-567136688967}"/>
    <cellStyle name="Normal 4 2 23 2 11 4" xfId="11813" xr:uid="{679483BA-EFDF-499D-A755-49E04C9426C6}"/>
    <cellStyle name="Normal 4 2 23 2 11 5" xfId="11814" xr:uid="{DCEE79D5-5CC2-40CD-B6E5-A51E4757ABBE}"/>
    <cellStyle name="Normal 4 2 23 2 11 6" xfId="11815" xr:uid="{10CEF8F9-8ED9-4E14-B881-208C38009E5A}"/>
    <cellStyle name="Normal 4 2 23 2 11 7" xfId="11816" xr:uid="{39EB31C5-6341-4317-88CB-7645D8507AD1}"/>
    <cellStyle name="Normal 4 2 23 2 11 8" xfId="11817" xr:uid="{8404F64E-6B30-40F7-A804-B3E1D68A9EAA}"/>
    <cellStyle name="Normal 4 2 23 2 12" xfId="11818" xr:uid="{5DC7C1F2-C63D-48BA-AE23-A4C8CA5C45E5}"/>
    <cellStyle name="Normal 4 2 23 2 13" xfId="11819" xr:uid="{9890D4D7-D699-45E1-938C-C14E2BF128F6}"/>
    <cellStyle name="Normal 4 2 23 2 14" xfId="11820" xr:uid="{7CFA31E3-214C-40D6-8A94-1084C3A7A92C}"/>
    <cellStyle name="Normal 4 2 23 2 15" xfId="11821" xr:uid="{5C842866-16B2-416D-BBAF-4CF0679B2985}"/>
    <cellStyle name="Normal 4 2 23 2 16" xfId="11822" xr:uid="{9124C7F5-4AF0-4815-BA96-F2E07B8905B0}"/>
    <cellStyle name="Normal 4 2 23 2 17" xfId="11823" xr:uid="{A5E8894D-192E-4E05-B906-7DEE6889D3E9}"/>
    <cellStyle name="Normal 4 2 23 2 2" xfId="11824" xr:uid="{77C793B4-9083-4591-98E1-4F781B363E9B}"/>
    <cellStyle name="Normal 4 2 23 2 2 10" xfId="11825" xr:uid="{CAF2712A-6114-422F-970A-505FB56F5AED}"/>
    <cellStyle name="Normal 4 2 23 2 2 2" xfId="11826" xr:uid="{43CFAA8E-3446-433A-A039-1597261CA0D2}"/>
    <cellStyle name="Normal 4 2 23 2 2 2 2" xfId="11827" xr:uid="{4E9BFA87-307E-456A-82B0-5B05CC1E5B04}"/>
    <cellStyle name="Normal 4 2 23 2 2 2 2 2" xfId="11828" xr:uid="{2B1004EE-A972-4B28-879A-A22DAAF5F710}"/>
    <cellStyle name="Normal 4 2 23 2 2 2 2 2 2" xfId="11829" xr:uid="{F8AEE8BD-0EAD-4494-B4FB-C9BF59E0F2F5}"/>
    <cellStyle name="Normal 4 2 23 2 2 2 2 2 3" xfId="11830" xr:uid="{C3FD3DF1-49E4-4022-9E32-90B054578F65}"/>
    <cellStyle name="Normal 4 2 23 2 2 2 2 2 4" xfId="11831" xr:uid="{2CBDD7C4-49A6-47B1-B7BA-C82E7C4977CF}"/>
    <cellStyle name="Normal 4 2 23 2 2 2 2 2 5" xfId="11832" xr:uid="{646ED8D2-8357-4451-B2F2-20D8828555FC}"/>
    <cellStyle name="Normal 4 2 23 2 2 2 2 2 6" xfId="11833" xr:uid="{0F58FBB8-DFFC-4BBA-A7C5-9D73657EAFCB}"/>
    <cellStyle name="Normal 4 2 23 2 2 2 2 2 7" xfId="11834" xr:uid="{E3DDE474-6D56-40B2-85B4-3463F46C01DF}"/>
    <cellStyle name="Normal 4 2 23 2 2 2 2 2 8" xfId="11835" xr:uid="{396D4D6C-B8B3-4D69-A655-79850726E93E}"/>
    <cellStyle name="Normal 4 2 23 2 2 2 2 3" xfId="11836" xr:uid="{A1B2EB77-FE0D-4268-8969-DBEBBC1DC56A}"/>
    <cellStyle name="Normal 4 2 23 2 2 2 2 4" xfId="11837" xr:uid="{15A8575C-0C9E-4C50-8B4B-D57F6146FC21}"/>
    <cellStyle name="Normal 4 2 23 2 2 2 2 5" xfId="11838" xr:uid="{D9C7DB3A-F5F6-4C67-B0AB-87FF142540F9}"/>
    <cellStyle name="Normal 4 2 23 2 2 2 2 6" xfId="11839" xr:uid="{95EA2AE7-8441-4A89-AD51-9FDE53D1FC07}"/>
    <cellStyle name="Normal 4 2 23 2 2 2 2 7" xfId="11840" xr:uid="{B4F3F57D-76BE-4FCA-9DE4-B3199E51CCA1}"/>
    <cellStyle name="Normal 4 2 23 2 2 2 2 8" xfId="11841" xr:uid="{FFDDE233-B870-4E8C-BD5E-69B8EA89E46F}"/>
    <cellStyle name="Normal 4 2 23 2 2 2 3" xfId="11842" xr:uid="{5DC3114D-7060-44B8-B10D-003BFA5A370B}"/>
    <cellStyle name="Normal 4 2 23 2 2 2 4" xfId="11843" xr:uid="{CF064294-34A2-423D-9662-DD0A5560B8C5}"/>
    <cellStyle name="Normal 4 2 23 2 2 2 5" xfId="11844" xr:uid="{C5B27CFA-3562-4563-B656-1E1873A87E26}"/>
    <cellStyle name="Normal 4 2 23 2 2 2 6" xfId="11845" xr:uid="{EE4C2BE8-E22C-4F70-B0DE-D7A9204C541A}"/>
    <cellStyle name="Normal 4 2 23 2 2 2 7" xfId="11846" xr:uid="{98FFDC92-013A-4FD7-84C7-391EC511C48A}"/>
    <cellStyle name="Normal 4 2 23 2 2 2 8" xfId="11847" xr:uid="{171661C4-A142-430B-BDA6-4F1F1C0E4410}"/>
    <cellStyle name="Normal 4 2 23 2 2 2 9" xfId="11848" xr:uid="{D714E525-59BF-47E4-91D7-2A16789E70C9}"/>
    <cellStyle name="Normal 4 2 23 2 2 3" xfId="11849" xr:uid="{C3F7DEB4-696B-4A2D-9C65-450078725BAC}"/>
    <cellStyle name="Normal 4 2 23 2 2 4" xfId="11850" xr:uid="{47A9A7FF-D97F-40E1-B2F4-DAAF71A2DA1F}"/>
    <cellStyle name="Normal 4 2 23 2 2 4 2" xfId="11851" xr:uid="{52A2D6F5-8484-4599-A09E-42672AA2F88C}"/>
    <cellStyle name="Normal 4 2 23 2 2 4 3" xfId="11852" xr:uid="{FE641DDD-A6D5-42F9-8AE5-1EDB3A697101}"/>
    <cellStyle name="Normal 4 2 23 2 2 4 4" xfId="11853" xr:uid="{B1173A28-1A28-4D1E-B428-49CF95218D6F}"/>
    <cellStyle name="Normal 4 2 23 2 2 4 5" xfId="11854" xr:uid="{B362906F-0A5E-4943-BB93-AE878B6E11B3}"/>
    <cellStyle name="Normal 4 2 23 2 2 4 6" xfId="11855" xr:uid="{107DAB93-6CD1-4321-ADA2-EE5E7219BB18}"/>
    <cellStyle name="Normal 4 2 23 2 2 4 7" xfId="11856" xr:uid="{2F200EE3-E122-48DE-AC4D-5819FBF1E8D3}"/>
    <cellStyle name="Normal 4 2 23 2 2 4 8" xfId="11857" xr:uid="{259E10EB-2115-4781-BA98-007AA59DBD90}"/>
    <cellStyle name="Normal 4 2 23 2 2 5" xfId="11858" xr:uid="{3D8711C4-79D4-44A6-92A7-5064406D9FB1}"/>
    <cellStyle name="Normal 4 2 23 2 2 6" xfId="11859" xr:uid="{8E41D0D8-D5A2-4E79-9CC1-3F82EAC12AA5}"/>
    <cellStyle name="Normal 4 2 23 2 2 7" xfId="11860" xr:uid="{9BDC1221-5FDB-4E3D-B4DF-0E1B4FD3B57B}"/>
    <cellStyle name="Normal 4 2 23 2 2 8" xfId="11861" xr:uid="{13FDD818-7812-4565-9433-BD5C76847849}"/>
    <cellStyle name="Normal 4 2 23 2 2 9" xfId="11862" xr:uid="{7EA4D8F3-5442-44C7-BDE6-03405A1B2893}"/>
    <cellStyle name="Normal 4 2 23 2 3" xfId="11863" xr:uid="{370F5350-B49F-4375-A459-3A413FDA0C82}"/>
    <cellStyle name="Normal 4 2 23 2 4" xfId="11864" xr:uid="{46F20731-31BA-4E44-9DE7-8DA3155A605A}"/>
    <cellStyle name="Normal 4 2 23 2 5" xfId="11865" xr:uid="{A3D37BBC-2C2B-43A1-B308-F0FEC574D69B}"/>
    <cellStyle name="Normal 4 2 23 2 6" xfId="11866" xr:uid="{B4EBCB83-6751-480F-9BC2-36221D3214CD}"/>
    <cellStyle name="Normal 4 2 23 2 7" xfId="11867" xr:uid="{ABD3C336-EF9C-438A-9C32-56B1F0BC9161}"/>
    <cellStyle name="Normal 4 2 23 2 8" xfId="11868" xr:uid="{F2E993B0-A180-4ED2-A49E-5992296BFE90}"/>
    <cellStyle name="Normal 4 2 23 2 9" xfId="11869" xr:uid="{48E203EA-A592-4255-9763-441A7A98856B}"/>
    <cellStyle name="Normal 4 2 23 3" xfId="11870" xr:uid="{0F0202EF-53CB-4BA6-A543-882418F7B014}"/>
    <cellStyle name="Normal 4 2 23 3 10" xfId="11871" xr:uid="{2324AD34-4F61-4F91-8E3E-86C080D3820B}"/>
    <cellStyle name="Normal 4 2 23 3 2" xfId="11872" xr:uid="{DF65DB41-BB0C-4647-A836-F1B03F85B08A}"/>
    <cellStyle name="Normal 4 2 23 3 2 2" xfId="11873" xr:uid="{E89001BD-CB2D-43E6-AEEA-B79F1F7A0B95}"/>
    <cellStyle name="Normal 4 2 23 3 2 2 2" xfId="11874" xr:uid="{C8EA8164-2C4E-4EC4-A1FB-F0E032BF17A6}"/>
    <cellStyle name="Normal 4 2 23 3 2 2 2 2" xfId="11875" xr:uid="{BE0DEE9A-C0A5-402C-BEF9-71C2B9C7F187}"/>
    <cellStyle name="Normal 4 2 23 3 2 2 2 3" xfId="11876" xr:uid="{36137B2A-32C7-432B-ABE4-698752454BF9}"/>
    <cellStyle name="Normal 4 2 23 3 2 2 2 4" xfId="11877" xr:uid="{220844AD-AFFD-4A2C-A41F-ACD7E25907AC}"/>
    <cellStyle name="Normal 4 2 23 3 2 2 2 5" xfId="11878" xr:uid="{55764ED1-40C0-43AE-959C-E25CB7F3631E}"/>
    <cellStyle name="Normal 4 2 23 3 2 2 2 6" xfId="11879" xr:uid="{5BE903A0-A0BD-4022-B268-40336482094C}"/>
    <cellStyle name="Normal 4 2 23 3 2 2 2 7" xfId="11880" xr:uid="{C1469359-7E9A-4380-B44F-5C5446BC9BC5}"/>
    <cellStyle name="Normal 4 2 23 3 2 2 2 8" xfId="11881" xr:uid="{0D202191-270F-412E-A797-642D05EB64B0}"/>
    <cellStyle name="Normal 4 2 23 3 2 2 3" xfId="11882" xr:uid="{BFBFA05A-2D58-4156-B23E-CD6DF8878064}"/>
    <cellStyle name="Normal 4 2 23 3 2 2 4" xfId="11883" xr:uid="{50533725-40E1-4A11-83C0-46CE28CC3E95}"/>
    <cellStyle name="Normal 4 2 23 3 2 2 5" xfId="11884" xr:uid="{6EF3CF7B-93D6-47C4-AB5D-98C4A94C9FAF}"/>
    <cellStyle name="Normal 4 2 23 3 2 2 6" xfId="11885" xr:uid="{0EE1FC86-650F-4F28-88A2-199E096FB73E}"/>
    <cellStyle name="Normal 4 2 23 3 2 2 7" xfId="11886" xr:uid="{08B5C410-3D7F-4A2F-B0C2-08CF4692555B}"/>
    <cellStyle name="Normal 4 2 23 3 2 2 8" xfId="11887" xr:uid="{0190942B-7176-413A-8B6E-9C7142A40B33}"/>
    <cellStyle name="Normal 4 2 23 3 2 3" xfId="11888" xr:uid="{F09922FD-EB3F-40D8-9D0B-1CF0CC9FDBF5}"/>
    <cellStyle name="Normal 4 2 23 3 2 4" xfId="11889" xr:uid="{70760C43-1773-4390-98EE-B67D301E7338}"/>
    <cellStyle name="Normal 4 2 23 3 2 5" xfId="11890" xr:uid="{6699E418-B1F4-4B36-8435-04D7142EA404}"/>
    <cellStyle name="Normal 4 2 23 3 2 6" xfId="11891" xr:uid="{B1D8BBDF-5F61-4B03-9692-E0BC5D1BD160}"/>
    <cellStyle name="Normal 4 2 23 3 2 7" xfId="11892" xr:uid="{5096605C-B620-4447-A62B-8DBC17D8B239}"/>
    <cellStyle name="Normal 4 2 23 3 2 8" xfId="11893" xr:uid="{F3881D4B-3E54-4B7D-BBD1-253E1060A657}"/>
    <cellStyle name="Normal 4 2 23 3 2 9" xfId="11894" xr:uid="{87CDF9B3-5A76-4CAB-83C3-0782818F475C}"/>
    <cellStyle name="Normal 4 2 23 3 3" xfId="11895" xr:uid="{37DE877F-AA2C-4B9B-B0D8-DE69E37349C3}"/>
    <cellStyle name="Normal 4 2 23 3 4" xfId="11896" xr:uid="{E9D700BA-7BF2-4655-AE1E-9D41F16E2C8C}"/>
    <cellStyle name="Normal 4 2 23 3 4 2" xfId="11897" xr:uid="{0BF07AFA-684B-4C3E-924C-F837D3A865CF}"/>
    <cellStyle name="Normal 4 2 23 3 4 3" xfId="11898" xr:uid="{346750D9-3B6C-4385-90BC-F004B691F9C3}"/>
    <cellStyle name="Normal 4 2 23 3 4 4" xfId="11899" xr:uid="{5835FC11-234D-4A77-8F8F-F1FB7A09D284}"/>
    <cellStyle name="Normal 4 2 23 3 4 5" xfId="11900" xr:uid="{27C4E8BE-B2B2-4D2B-AA0B-040886460C04}"/>
    <cellStyle name="Normal 4 2 23 3 4 6" xfId="11901" xr:uid="{3161444B-A71D-490A-A445-57D5F5C31D39}"/>
    <cellStyle name="Normal 4 2 23 3 4 7" xfId="11902" xr:uid="{BB2013D7-0866-457D-9803-770371AB655E}"/>
    <cellStyle name="Normal 4 2 23 3 4 8" xfId="11903" xr:uid="{CC9383F0-811B-4271-9D30-DCDFCB170BD4}"/>
    <cellStyle name="Normal 4 2 23 3 5" xfId="11904" xr:uid="{5E564FAC-46BD-498D-972D-5D93806373B2}"/>
    <cellStyle name="Normal 4 2 23 3 6" xfId="11905" xr:uid="{6C138715-A118-4849-B909-C3BF203B3642}"/>
    <cellStyle name="Normal 4 2 23 3 7" xfId="11906" xr:uid="{63263FBB-535B-4BE6-84A8-AC20A6C31235}"/>
    <cellStyle name="Normal 4 2 23 3 8" xfId="11907" xr:uid="{13C44B6B-254A-4FB4-895A-7A8FE0EB7E02}"/>
    <cellStyle name="Normal 4 2 23 3 9" xfId="11908" xr:uid="{F983F65A-A454-4BDE-A6A6-2235A295AE76}"/>
    <cellStyle name="Normal 4 2 23 4" xfId="11909" xr:uid="{9724095C-B0DE-486B-B272-782F331D0228}"/>
    <cellStyle name="Normal 4 2 23 5" xfId="11910" xr:uid="{CFD7944B-86D6-4796-89A6-9BD4309694D0}"/>
    <cellStyle name="Normal 4 2 23 6" xfId="11911" xr:uid="{B3556837-A482-49AF-931A-B323309751EA}"/>
    <cellStyle name="Normal 4 2 23 7" xfId="11912" xr:uid="{72308EF0-0F80-4B63-ABA1-2E747E3287DD}"/>
    <cellStyle name="Normal 4 2 23 8" xfId="11913" xr:uid="{E2E958D5-ACE8-4D6A-920F-21A0C03FDDF4}"/>
    <cellStyle name="Normal 4 2 23 9" xfId="11914" xr:uid="{43EE6855-7ECE-4932-9099-079D938AE38C}"/>
    <cellStyle name="Normal 4 2 24" xfId="11915" xr:uid="{2DC994D0-FBEA-473F-8259-1BE6AF3289A8}"/>
    <cellStyle name="Normal 4 2 25" xfId="11916" xr:uid="{B6037F08-2F7A-435B-B256-74DB66162C38}"/>
    <cellStyle name="Normal 4 2 26" xfId="11917" xr:uid="{8B33CD01-FCD8-4E0A-A1A2-17A4603C02AA}"/>
    <cellStyle name="Normal 4 2 27" xfId="11918" xr:uid="{E1A9BB5B-10CA-450C-8686-B97A36534450}"/>
    <cellStyle name="Normal 4 2 28" xfId="11919" xr:uid="{69BBA6BE-23B4-42F2-8B52-56FB51403362}"/>
    <cellStyle name="Normal 4 2 28 10" xfId="11920" xr:uid="{C420D9E3-5C5F-443F-B6DE-5019969D7778}"/>
    <cellStyle name="Normal 4 2 28 2" xfId="11921" xr:uid="{A19C33C3-490D-41C6-A286-A2FCA95BAC1A}"/>
    <cellStyle name="Normal 4 2 28 2 2" xfId="11922" xr:uid="{9DA3A6A6-D3FC-41C6-BDD5-69C96AE20B36}"/>
    <cellStyle name="Normal 4 2 28 2 2 2" xfId="11923" xr:uid="{C21557F0-CC69-4CB7-B9CA-476BFC65D462}"/>
    <cellStyle name="Normal 4 2 28 2 2 2 2" xfId="11924" xr:uid="{50861EDE-147D-4381-A48D-9AC291E7C1F6}"/>
    <cellStyle name="Normal 4 2 28 2 2 2 3" xfId="11925" xr:uid="{7AF87699-6196-43A4-82E8-69F241F9EA9A}"/>
    <cellStyle name="Normal 4 2 28 2 2 2 4" xfId="11926" xr:uid="{222F976C-F2F8-40A4-96DE-9035A0A34B08}"/>
    <cellStyle name="Normal 4 2 28 2 2 2 5" xfId="11927" xr:uid="{35922D7C-7663-4E5A-A549-2737BC21FF04}"/>
    <cellStyle name="Normal 4 2 28 2 2 2 6" xfId="11928" xr:uid="{D8B89B50-0F1D-460C-9163-A611745740B6}"/>
    <cellStyle name="Normal 4 2 28 2 2 2 7" xfId="11929" xr:uid="{0F0231E7-65C3-4DC2-888C-A38FCF799D0B}"/>
    <cellStyle name="Normal 4 2 28 2 2 2 8" xfId="11930" xr:uid="{B6B05303-633C-43D3-B10C-45D4F566B5FD}"/>
    <cellStyle name="Normal 4 2 28 2 2 3" xfId="11931" xr:uid="{4AEC7354-89E1-4693-84F0-8C6CE7E0B0F8}"/>
    <cellStyle name="Normal 4 2 28 2 2 4" xfId="11932" xr:uid="{23113966-EFE7-4921-8076-3F5F2634A727}"/>
    <cellStyle name="Normal 4 2 28 2 2 5" xfId="11933" xr:uid="{AAB553CF-A2A5-48EF-812E-C83A8BCF7EF8}"/>
    <cellStyle name="Normal 4 2 28 2 2 6" xfId="11934" xr:uid="{F30DA1F6-5074-48EE-9BA8-5CBEED86DF1F}"/>
    <cellStyle name="Normal 4 2 28 2 2 7" xfId="11935" xr:uid="{FB62B844-ECDD-4FA9-8687-5C41940B2057}"/>
    <cellStyle name="Normal 4 2 28 2 2 8" xfId="11936" xr:uid="{06052F8F-1208-48D9-AE91-6217319D702E}"/>
    <cellStyle name="Normal 4 2 28 2 3" xfId="11937" xr:uid="{A5BCD3FB-8615-4823-9FFF-CF2C251C89B8}"/>
    <cellStyle name="Normal 4 2 28 2 4" xfId="11938" xr:uid="{5FA8032E-DBD7-4D79-8C6D-2E85B4476EBE}"/>
    <cellStyle name="Normal 4 2 28 2 5" xfId="11939" xr:uid="{BEEE54E6-C8F2-453B-9E90-4B04720931B4}"/>
    <cellStyle name="Normal 4 2 28 2 6" xfId="11940" xr:uid="{538CC245-E6B7-4C1B-91E2-2129EE09162E}"/>
    <cellStyle name="Normal 4 2 28 2 7" xfId="11941" xr:uid="{D1BA6BC3-6ACE-4043-B0C1-04DE01B1027F}"/>
    <cellStyle name="Normal 4 2 28 2 8" xfId="11942" xr:uid="{B08A3864-ABAD-40B8-82AA-06F4C9BA2C26}"/>
    <cellStyle name="Normal 4 2 28 2 9" xfId="11943" xr:uid="{38DD43C9-435B-422B-A694-248585392DC5}"/>
    <cellStyle name="Normal 4 2 28 3" xfId="11944" xr:uid="{D512689A-7213-441D-B8DE-65F81C1929F7}"/>
    <cellStyle name="Normal 4 2 28 4" xfId="11945" xr:uid="{ED851EBE-2EBD-4419-9F27-426733269AA6}"/>
    <cellStyle name="Normal 4 2 28 4 2" xfId="11946" xr:uid="{30BB0532-98F1-4938-8BB3-9627ACCCF169}"/>
    <cellStyle name="Normal 4 2 28 4 3" xfId="11947" xr:uid="{CA5DAF50-0424-4B65-B75A-38AAA5521578}"/>
    <cellStyle name="Normal 4 2 28 4 4" xfId="11948" xr:uid="{CF00157F-70EB-42CF-8347-2D03B290DFFB}"/>
    <cellStyle name="Normal 4 2 28 4 5" xfId="11949" xr:uid="{966EAC83-F301-47BE-8609-90F121E1E0B7}"/>
    <cellStyle name="Normal 4 2 28 4 6" xfId="11950" xr:uid="{17509446-5725-4D2E-8B7C-435A21F8A84A}"/>
    <cellStyle name="Normal 4 2 28 4 7" xfId="11951" xr:uid="{4C332315-0C26-46D1-B773-4B8C3D46C8DD}"/>
    <cellStyle name="Normal 4 2 28 4 8" xfId="11952" xr:uid="{F833BD90-2296-40C3-8CD0-BD4F9BC8CE65}"/>
    <cellStyle name="Normal 4 2 28 5" xfId="11953" xr:uid="{A6544212-7B52-4563-849F-D918B6C7ABD4}"/>
    <cellStyle name="Normal 4 2 28 6" xfId="11954" xr:uid="{31ECB546-BF61-4E5E-8828-236071AC1033}"/>
    <cellStyle name="Normal 4 2 28 7" xfId="11955" xr:uid="{7C520D51-3BC1-4F9B-B95C-02BEDB35B0D4}"/>
    <cellStyle name="Normal 4 2 28 8" xfId="11956" xr:uid="{7E937EE7-232B-4063-B357-3C5955328EF6}"/>
    <cellStyle name="Normal 4 2 28 9" xfId="11957" xr:uid="{24258DFF-605C-476D-9DE9-B4C0B063D426}"/>
    <cellStyle name="Normal 4 2 29" xfId="11958" xr:uid="{74715633-4AB7-46EA-B2C6-C0525C7DCFC9}"/>
    <cellStyle name="Normal 4 2 3" xfId="11959" xr:uid="{E322CE42-A9E9-4733-B820-BD29DECDF55F}"/>
    <cellStyle name="Normal 4 2 3 10" xfId="11960" xr:uid="{184CC8DE-DA7C-4A49-BC83-C134356125DE}"/>
    <cellStyle name="Normal 4 2 3 11" xfId="11961" xr:uid="{78172F7D-7858-40B5-B586-6720EDB26065}"/>
    <cellStyle name="Normal 4 2 3 12" xfId="11962" xr:uid="{2775E6B4-279E-436A-8BF1-777B821F7686}"/>
    <cellStyle name="Normal 4 2 3 13" xfId="11963" xr:uid="{5D393800-7D0F-46D9-BB42-C8A246769560}"/>
    <cellStyle name="Normal 4 2 3 14" xfId="11964" xr:uid="{D06D924A-DE40-4E77-B44B-E9CE540771C8}"/>
    <cellStyle name="Normal 4 2 3 15" xfId="11965" xr:uid="{A092047A-BF7A-488E-901E-0E8ED4DD2C05}"/>
    <cellStyle name="Normal 4 2 3 15 2" xfId="11966" xr:uid="{F1DC71FB-1630-4893-BE94-2D5388EB7AB4}"/>
    <cellStyle name="Normal 4 2 3 15 2 2" xfId="11967" xr:uid="{CA82A581-7ECD-4FE7-8F1E-9D07377B0993}"/>
    <cellStyle name="Normal 4 2 3 15 2 2 2" xfId="11968" xr:uid="{69A9B507-0CC1-442C-AAAB-81F0867A4684}"/>
    <cellStyle name="Normal 4 2 3 15 2 2 3" xfId="11969" xr:uid="{DEF33653-35DA-4EA5-A209-28AF8AA92E00}"/>
    <cellStyle name="Normal 4 2 3 15 2 2 4" xfId="11970" xr:uid="{C0A30F11-5538-4F06-8801-2B4587CBFAC4}"/>
    <cellStyle name="Normal 4 2 3 15 2 2 5" xfId="11971" xr:uid="{0D986925-B34D-475F-B0B0-7BA89020D1A8}"/>
    <cellStyle name="Normal 4 2 3 15 2 2 6" xfId="11972" xr:uid="{5C9BB32F-554B-4C3B-ADD5-E67830FB6480}"/>
    <cellStyle name="Normal 4 2 3 15 2 2 7" xfId="11973" xr:uid="{FD342336-5D00-490B-9F55-52038A773D35}"/>
    <cellStyle name="Normal 4 2 3 15 2 2 8" xfId="11974" xr:uid="{F29B5FCD-3446-47B1-A8F9-77E913AD74FE}"/>
    <cellStyle name="Normal 4 2 3 15 2 3" xfId="11975" xr:uid="{5AF089A5-3183-4CF1-8C85-D947E9315915}"/>
    <cellStyle name="Normal 4 2 3 15 2 4" xfId="11976" xr:uid="{46B0D055-EEA5-4E50-B187-03B9355B4070}"/>
    <cellStyle name="Normal 4 2 3 15 2 5" xfId="11977" xr:uid="{7034F37E-AE5A-4B5F-AF57-A76242C37FF5}"/>
    <cellStyle name="Normal 4 2 3 15 2 6" xfId="11978" xr:uid="{0376A837-597D-402A-9839-8937FF53D96E}"/>
    <cellStyle name="Normal 4 2 3 15 2 7" xfId="11979" xr:uid="{E376C4A0-EEB2-43CE-9ECC-78F2F35A5EDA}"/>
    <cellStyle name="Normal 4 2 3 15 2 8" xfId="11980" xr:uid="{9C414E82-1EA2-433E-ACBD-6A0211257EB1}"/>
    <cellStyle name="Normal 4 2 3 15 3" xfId="11981" xr:uid="{0A1F2F74-139F-4861-9B78-388B984DAD7C}"/>
    <cellStyle name="Normal 4 2 3 15 4" xfId="11982" xr:uid="{167FB213-702E-4F74-8755-0AC2C568A671}"/>
    <cellStyle name="Normal 4 2 3 15 5" xfId="11983" xr:uid="{EAA53E80-1B79-4A43-B1DC-332FC6A7FF98}"/>
    <cellStyle name="Normal 4 2 3 15 6" xfId="11984" xr:uid="{7E3E3EA8-21B2-4CD9-9A82-3859EB463A4F}"/>
    <cellStyle name="Normal 4 2 3 15 7" xfId="11985" xr:uid="{7BA197F3-E335-44CF-81AE-3DC3560CDE1E}"/>
    <cellStyle name="Normal 4 2 3 15 8" xfId="11986" xr:uid="{35331B4A-034A-418B-8D9B-7BEDB83E7EAD}"/>
    <cellStyle name="Normal 4 2 3 15 9" xfId="11987" xr:uid="{622FFB85-948A-4D6C-A9EC-DBD33242AF4A}"/>
    <cellStyle name="Normal 4 2 3 16" xfId="11988" xr:uid="{0CADD1A5-77B1-483E-BDAD-0D9285F8C017}"/>
    <cellStyle name="Normal 4 2 3 16 2" xfId="11989" xr:uid="{225A3ABF-6390-4E41-90EA-CE462A21266E}"/>
    <cellStyle name="Normal 4 2 3 16 3" xfId="11990" xr:uid="{EAA26925-3441-4527-ADE8-5E5531EB0C2C}"/>
    <cellStyle name="Normal 4 2 3 16 4" xfId="11991" xr:uid="{A6E8EEDF-172D-4917-9379-223255DFEF5D}"/>
    <cellStyle name="Normal 4 2 3 16 5" xfId="11992" xr:uid="{4C289823-FAB7-438A-B949-06BD53D0754B}"/>
    <cellStyle name="Normal 4 2 3 16 6" xfId="11993" xr:uid="{10BB79AD-DEC9-4004-B854-CBBA7660291B}"/>
    <cellStyle name="Normal 4 2 3 16 7" xfId="11994" xr:uid="{C23CCF5D-226F-480F-B7F2-E71D9774469B}"/>
    <cellStyle name="Normal 4 2 3 16 8" xfId="11995" xr:uid="{73D5D956-9741-4BE7-9487-F75F024F7D27}"/>
    <cellStyle name="Normal 4 2 3 17" xfId="11996" xr:uid="{39DB31D5-A266-40CB-BEFD-60D9A326418B}"/>
    <cellStyle name="Normal 4 2 3 18" xfId="11997" xr:uid="{DA3CF9F8-D83D-4523-BBFD-1FA0868069F3}"/>
    <cellStyle name="Normal 4 2 3 19" xfId="11998" xr:uid="{8DEDF682-2C26-40DC-B29F-F7329E85F14D}"/>
    <cellStyle name="Normal 4 2 3 2" xfId="11999" xr:uid="{4A59D4EC-FF1F-4488-836F-99F154F0A7B0}"/>
    <cellStyle name="Normal 4 2 3 2 10" xfId="12000" xr:uid="{0C4317FA-08E3-4C21-8F04-F12CF3A72823}"/>
    <cellStyle name="Normal 4 2 3 2 11" xfId="12001" xr:uid="{D3860023-B1A4-4AE4-91AF-450BB3BEDF3E}"/>
    <cellStyle name="Normal 4 2 3 2 12" xfId="12002" xr:uid="{CA6F5A92-D8AF-4F45-A7B7-049087B95F8A}"/>
    <cellStyle name="Normal 4 2 3 2 13" xfId="12003" xr:uid="{86C3844A-3BB2-4811-84A8-8D2275304B74}"/>
    <cellStyle name="Normal 4 2 3 2 14" xfId="12004" xr:uid="{23981E0D-9F41-4A87-9DD8-ECFCF335A8D9}"/>
    <cellStyle name="Normal 4 2 3 2 15" xfId="12005" xr:uid="{7A340684-46EF-4F77-BDA4-282D34E1D3D6}"/>
    <cellStyle name="Normal 4 2 3 2 15 2" xfId="12006" xr:uid="{6518F1BB-40DB-4D3D-99B7-4C37EC07B57F}"/>
    <cellStyle name="Normal 4 2 3 2 15 2 2" xfId="12007" xr:uid="{DB254520-C2D8-402B-9E1E-D16E91C537CE}"/>
    <cellStyle name="Normal 4 2 3 2 15 2 2 2" xfId="12008" xr:uid="{441D1CA8-AE98-4B74-9620-6621F63BED88}"/>
    <cellStyle name="Normal 4 2 3 2 15 2 2 3" xfId="12009" xr:uid="{3EAB9D78-3274-429C-8021-0F79D50B7FCB}"/>
    <cellStyle name="Normal 4 2 3 2 15 2 2 4" xfId="12010" xr:uid="{7B68ABF5-A33D-4DAA-A6E8-5AAC5687B529}"/>
    <cellStyle name="Normal 4 2 3 2 15 2 2 5" xfId="12011" xr:uid="{1FC7531E-73B1-40B5-89F3-7B2D79B6C0AC}"/>
    <cellStyle name="Normal 4 2 3 2 15 2 2 6" xfId="12012" xr:uid="{15AAE70C-B932-42A9-A7CA-14A438E77722}"/>
    <cellStyle name="Normal 4 2 3 2 15 2 2 7" xfId="12013" xr:uid="{D776800C-5EFD-461A-A0EB-A76B33438CE4}"/>
    <cellStyle name="Normal 4 2 3 2 15 2 2 8" xfId="12014" xr:uid="{FBD36E0D-E9EA-49C6-900F-D77DF1D40209}"/>
    <cellStyle name="Normal 4 2 3 2 15 2 3" xfId="12015" xr:uid="{5AC39DE3-8957-4E93-B17C-E3AC18DF31E3}"/>
    <cellStyle name="Normal 4 2 3 2 15 2 4" xfId="12016" xr:uid="{DC23C0C9-30B7-45AB-B93E-DB26BB7A3A51}"/>
    <cellStyle name="Normal 4 2 3 2 15 2 5" xfId="12017" xr:uid="{62A1468E-B6BB-4A38-BF44-32536671210A}"/>
    <cellStyle name="Normal 4 2 3 2 15 2 6" xfId="12018" xr:uid="{8FC487A0-E617-4EAA-B368-09BA5E44B7CD}"/>
    <cellStyle name="Normal 4 2 3 2 15 2 7" xfId="12019" xr:uid="{EC4D27C8-CE74-4DCA-A925-14A11B28554D}"/>
    <cellStyle name="Normal 4 2 3 2 15 2 8" xfId="12020" xr:uid="{67216FD7-A7B9-44A5-AF6C-A211ECB18970}"/>
    <cellStyle name="Normal 4 2 3 2 15 3" xfId="12021" xr:uid="{EF33255E-2120-4FE4-86A8-88F37C914D85}"/>
    <cellStyle name="Normal 4 2 3 2 15 4" xfId="12022" xr:uid="{0FA50134-82BA-468D-9B62-44246A56D440}"/>
    <cellStyle name="Normal 4 2 3 2 15 5" xfId="12023" xr:uid="{6EBE0626-2C82-46A0-BAB6-1A6C95D8B5E7}"/>
    <cellStyle name="Normal 4 2 3 2 15 6" xfId="12024" xr:uid="{57C81098-03BD-4BCD-BFA2-23681FC1EB3F}"/>
    <cellStyle name="Normal 4 2 3 2 15 7" xfId="12025" xr:uid="{5CCC664C-9AAC-4C4F-9809-1A964E0018ED}"/>
    <cellStyle name="Normal 4 2 3 2 15 8" xfId="12026" xr:uid="{421D625D-8B22-41BC-B586-11ED7F2746B7}"/>
    <cellStyle name="Normal 4 2 3 2 15 9" xfId="12027" xr:uid="{F30278A6-3B26-4112-8DBA-0A71FBDE33B9}"/>
    <cellStyle name="Normal 4 2 3 2 16" xfId="12028" xr:uid="{8ABD16AB-A71E-4401-9A5D-E26697C04B7C}"/>
    <cellStyle name="Normal 4 2 3 2 16 2" xfId="12029" xr:uid="{5E6DB7F2-D161-40FB-848B-21AD0B7A3328}"/>
    <cellStyle name="Normal 4 2 3 2 16 3" xfId="12030" xr:uid="{55758837-E88F-4AA0-94A9-F163642D0914}"/>
    <cellStyle name="Normal 4 2 3 2 16 4" xfId="12031" xr:uid="{E3F26313-4E3E-453B-9059-D881756CC23C}"/>
    <cellStyle name="Normal 4 2 3 2 16 5" xfId="12032" xr:uid="{C11C2374-DFF6-4CA7-A109-6F69F72CF3A1}"/>
    <cellStyle name="Normal 4 2 3 2 16 6" xfId="12033" xr:uid="{05381CE1-06E1-427C-8965-3CBB18546CBF}"/>
    <cellStyle name="Normal 4 2 3 2 16 7" xfId="12034" xr:uid="{DFE2ED79-8141-43F2-8DB2-A3F273E41EA9}"/>
    <cellStyle name="Normal 4 2 3 2 16 8" xfId="12035" xr:uid="{798A18EF-5D0C-45DF-9374-D9257463127C}"/>
    <cellStyle name="Normal 4 2 3 2 17" xfId="12036" xr:uid="{5D6F58AA-C213-4BDB-B363-AF0550177F15}"/>
    <cellStyle name="Normal 4 2 3 2 18" xfId="12037" xr:uid="{6BB79DF0-6434-4102-B3D3-15776FBB6935}"/>
    <cellStyle name="Normal 4 2 3 2 19" xfId="12038" xr:uid="{46F07E6E-8B37-4E86-BD9E-05EBAAA117FF}"/>
    <cellStyle name="Normal 4 2 3 2 2" xfId="12039" xr:uid="{E6F1EE53-99B5-4ED6-A966-48D44037FD99}"/>
    <cellStyle name="Normal 4 2 3 2 2 10" xfId="12040" xr:uid="{ACB8A659-87BD-4F32-99CE-7AA4C052213B}"/>
    <cellStyle name="Normal 4 2 3 2 2 10 2" xfId="12041" xr:uid="{2CC112C8-3E9E-499D-BBBE-91306E66FFD0}"/>
    <cellStyle name="Normal 4 2 3 2 2 10 2 2" xfId="12042" xr:uid="{0EB191B2-B8E2-4DBA-A0FE-5C11DBCDA56F}"/>
    <cellStyle name="Normal 4 2 3 2 2 10 2 2 2" xfId="12043" xr:uid="{D8B1A125-C706-4897-9739-A7EAB07008CD}"/>
    <cellStyle name="Normal 4 2 3 2 2 10 2 2 3" xfId="12044" xr:uid="{F4DB166B-A957-40E0-8FAD-0046E3152BDD}"/>
    <cellStyle name="Normal 4 2 3 2 2 10 2 2 4" xfId="12045" xr:uid="{978DA3D1-EDB5-4ECF-80FB-E624B332287E}"/>
    <cellStyle name="Normal 4 2 3 2 2 10 2 2 5" xfId="12046" xr:uid="{B1312F67-A535-4764-81AF-96B300DE1892}"/>
    <cellStyle name="Normal 4 2 3 2 2 10 2 2 6" xfId="12047" xr:uid="{C982BD81-3E17-4E16-9C07-BA9968C1B31B}"/>
    <cellStyle name="Normal 4 2 3 2 2 10 2 2 7" xfId="12048" xr:uid="{E499A6F5-9279-4340-A679-D7BAB62E7C73}"/>
    <cellStyle name="Normal 4 2 3 2 2 10 2 2 8" xfId="12049" xr:uid="{37618A82-6382-4059-A84D-BF1DFDFA5BC7}"/>
    <cellStyle name="Normal 4 2 3 2 2 10 2 3" xfId="12050" xr:uid="{244BA0D3-BBA7-4A3C-ABC6-8110D60C22E9}"/>
    <cellStyle name="Normal 4 2 3 2 2 10 2 4" xfId="12051" xr:uid="{B11C5CB3-3EB1-4ADE-AA14-F13B12EF630A}"/>
    <cellStyle name="Normal 4 2 3 2 2 10 2 5" xfId="12052" xr:uid="{9A209B31-ED09-4005-AC57-534CA7724E69}"/>
    <cellStyle name="Normal 4 2 3 2 2 10 2 6" xfId="12053" xr:uid="{228EAED7-D587-455C-9F24-411B36BDF153}"/>
    <cellStyle name="Normal 4 2 3 2 2 10 2 7" xfId="12054" xr:uid="{3C19FDFF-BFBC-47FF-AA6B-6FFFCB87E8BB}"/>
    <cellStyle name="Normal 4 2 3 2 2 10 2 8" xfId="12055" xr:uid="{E11342D8-08DD-4DE8-9B5C-156A9B2E8161}"/>
    <cellStyle name="Normal 4 2 3 2 2 10 3" xfId="12056" xr:uid="{C276B5B1-CF1C-4E2B-B462-822A2DBB5230}"/>
    <cellStyle name="Normal 4 2 3 2 2 10 4" xfId="12057" xr:uid="{3028D20B-B976-48AC-94B3-66B5D5019275}"/>
    <cellStyle name="Normal 4 2 3 2 2 10 5" xfId="12058" xr:uid="{B04DA52E-F6F5-4771-ABB4-4818731EC3D2}"/>
    <cellStyle name="Normal 4 2 3 2 2 10 6" xfId="12059" xr:uid="{8FEE5598-C612-4CB0-BAB9-455701D11D6E}"/>
    <cellStyle name="Normal 4 2 3 2 2 10 7" xfId="12060" xr:uid="{B8180B09-5F39-4914-94DF-2BED1C0085B5}"/>
    <cellStyle name="Normal 4 2 3 2 2 10 8" xfId="12061" xr:uid="{4C6293AC-7156-478A-93EB-4291730362C0}"/>
    <cellStyle name="Normal 4 2 3 2 2 10 9" xfId="12062" xr:uid="{C841A80A-CE0A-4054-9682-10458CB7CF8A}"/>
    <cellStyle name="Normal 4 2 3 2 2 11" xfId="12063" xr:uid="{7F6C9BF2-652F-4BF6-BB92-6A2DC2928D12}"/>
    <cellStyle name="Normal 4 2 3 2 2 11 2" xfId="12064" xr:uid="{33793F02-6369-4266-88DD-E29583D740A2}"/>
    <cellStyle name="Normal 4 2 3 2 2 11 3" xfId="12065" xr:uid="{C9121990-AD40-4121-97FC-0A675E50F10D}"/>
    <cellStyle name="Normal 4 2 3 2 2 11 4" xfId="12066" xr:uid="{C2E2D95E-5415-4F8A-B8A8-D71A294C11D1}"/>
    <cellStyle name="Normal 4 2 3 2 2 11 5" xfId="12067" xr:uid="{4EAF07C3-FC2A-4045-9BC8-56A37AB8676B}"/>
    <cellStyle name="Normal 4 2 3 2 2 11 6" xfId="12068" xr:uid="{0DFFB49B-142D-499B-8949-49B683390AAE}"/>
    <cellStyle name="Normal 4 2 3 2 2 11 7" xfId="12069" xr:uid="{AC740779-DBC7-427C-9C1E-3D8DE03AD875}"/>
    <cellStyle name="Normal 4 2 3 2 2 11 8" xfId="12070" xr:uid="{D08FE842-9500-4643-977D-F546FB41767B}"/>
    <cellStyle name="Normal 4 2 3 2 2 12" xfId="12071" xr:uid="{7071CE4F-E9C5-4E17-AE95-3424C33ECE43}"/>
    <cellStyle name="Normal 4 2 3 2 2 13" xfId="12072" xr:uid="{5502DED4-23C5-460B-9B93-2C0435BDDFA6}"/>
    <cellStyle name="Normal 4 2 3 2 2 14" xfId="12073" xr:uid="{437E7E0D-944F-415E-BC6D-CADA8370843F}"/>
    <cellStyle name="Normal 4 2 3 2 2 15" xfId="12074" xr:uid="{AB7B05B1-0A8A-433E-8D0E-8E0D7BAA53EF}"/>
    <cellStyle name="Normal 4 2 3 2 2 16" xfId="12075" xr:uid="{C25E3366-DD1B-44E0-9AB8-89A6B8DE06B5}"/>
    <cellStyle name="Normal 4 2 3 2 2 17" xfId="12076" xr:uid="{91183360-E763-4F21-AEAD-FEC38D5060DA}"/>
    <cellStyle name="Normal 4 2 3 2 2 2" xfId="12077" xr:uid="{C5AE035F-C249-427A-863D-E3DB3F0220A0}"/>
    <cellStyle name="Normal 4 2 3 2 2 2 10" xfId="12078" xr:uid="{AC5B7346-5C10-4D24-8E90-EC2051F38F0A}"/>
    <cellStyle name="Normal 4 2 3 2 2 2 10 2" xfId="12079" xr:uid="{471924DA-FBDE-4F60-953E-202E59B8A2A4}"/>
    <cellStyle name="Normal 4 2 3 2 2 2 10 2 2" xfId="12080" xr:uid="{5A753473-B1C1-4938-9172-EC247A9DBE74}"/>
    <cellStyle name="Normal 4 2 3 2 2 2 10 2 2 2" xfId="12081" xr:uid="{ACE50BB2-9664-4FF9-BA10-251C164F3699}"/>
    <cellStyle name="Normal 4 2 3 2 2 2 10 2 2 3" xfId="12082" xr:uid="{3CFC353D-7BFE-4C04-9757-838A75901FB1}"/>
    <cellStyle name="Normal 4 2 3 2 2 2 10 2 2 4" xfId="12083" xr:uid="{EA3FC8D1-FB02-47C8-AFE7-664AAC8A993C}"/>
    <cellStyle name="Normal 4 2 3 2 2 2 10 2 2 5" xfId="12084" xr:uid="{F2735162-6BFF-4008-8A2D-D48071F4A981}"/>
    <cellStyle name="Normal 4 2 3 2 2 2 10 2 2 6" xfId="12085" xr:uid="{F02FB630-BE05-45FD-A422-3832EBA5FE81}"/>
    <cellStyle name="Normal 4 2 3 2 2 2 10 2 2 7" xfId="12086" xr:uid="{DEC856E2-B327-4DD8-A6D7-80CC706C2811}"/>
    <cellStyle name="Normal 4 2 3 2 2 2 10 2 2 8" xfId="12087" xr:uid="{A038A595-F199-4FD4-9A8A-77985597810C}"/>
    <cellStyle name="Normal 4 2 3 2 2 2 10 2 3" xfId="12088" xr:uid="{B5D17DE7-7CDC-40C4-A438-044873880033}"/>
    <cellStyle name="Normal 4 2 3 2 2 2 10 2 4" xfId="12089" xr:uid="{B3B25D5E-D9D6-40EF-889B-00FE06D2A3B3}"/>
    <cellStyle name="Normal 4 2 3 2 2 2 10 2 5" xfId="12090" xr:uid="{4B891D00-18DB-4219-A9B9-DD8CD717D87D}"/>
    <cellStyle name="Normal 4 2 3 2 2 2 10 2 6" xfId="12091" xr:uid="{44C6CED2-F5FC-4F03-9DD9-B0A961DE0167}"/>
    <cellStyle name="Normal 4 2 3 2 2 2 10 2 7" xfId="12092" xr:uid="{80B7D79A-4A58-490F-ABE6-384C7D19E1F9}"/>
    <cellStyle name="Normal 4 2 3 2 2 2 10 2 8" xfId="12093" xr:uid="{185CB75F-5226-4C19-A77B-4F58310C6DDB}"/>
    <cellStyle name="Normal 4 2 3 2 2 2 10 3" xfId="12094" xr:uid="{4E530B25-E04D-466D-892C-9760586EA5DA}"/>
    <cellStyle name="Normal 4 2 3 2 2 2 10 4" xfId="12095" xr:uid="{E0AB3FE7-AE17-43FF-9EA0-ADF27B85C9B6}"/>
    <cellStyle name="Normal 4 2 3 2 2 2 10 5" xfId="12096" xr:uid="{893F1537-A440-47C5-AC67-A478C94693BF}"/>
    <cellStyle name="Normal 4 2 3 2 2 2 10 6" xfId="12097" xr:uid="{C0AFB512-087C-4CBA-8107-055D6A4A2F13}"/>
    <cellStyle name="Normal 4 2 3 2 2 2 10 7" xfId="12098" xr:uid="{2A220338-7703-4CD9-9439-4D8037BE1256}"/>
    <cellStyle name="Normal 4 2 3 2 2 2 10 8" xfId="12099" xr:uid="{D41DD8C2-AFBD-408F-ACC3-A57C28537E26}"/>
    <cellStyle name="Normal 4 2 3 2 2 2 10 9" xfId="12100" xr:uid="{4BC4D030-B3AE-4772-94B7-69D983C06705}"/>
    <cellStyle name="Normal 4 2 3 2 2 2 11" xfId="12101" xr:uid="{30BDB7C1-F6BD-4FD1-91A8-0F158E1FF1AC}"/>
    <cellStyle name="Normal 4 2 3 2 2 2 11 2" xfId="12102" xr:uid="{B2CA289D-2375-41FD-A70F-F401B91C2A51}"/>
    <cellStyle name="Normal 4 2 3 2 2 2 11 3" xfId="12103" xr:uid="{061DC1C0-59AA-454A-B94C-51C0166F5D75}"/>
    <cellStyle name="Normal 4 2 3 2 2 2 11 4" xfId="12104" xr:uid="{A0A5FB28-EBEF-45EE-9EFF-E25D739C8B05}"/>
    <cellStyle name="Normal 4 2 3 2 2 2 11 5" xfId="12105" xr:uid="{008B4A13-4C1D-49B0-94A5-850CA628283D}"/>
    <cellStyle name="Normal 4 2 3 2 2 2 11 6" xfId="12106" xr:uid="{3EC417FA-EFDE-4BCB-88A3-C05C78D69F9B}"/>
    <cellStyle name="Normal 4 2 3 2 2 2 11 7" xfId="12107" xr:uid="{F93F9C95-9003-46C9-921E-BFDC6211883A}"/>
    <cellStyle name="Normal 4 2 3 2 2 2 11 8" xfId="12108" xr:uid="{9C7B7CF7-2D28-4C1B-8456-8896C397F2A9}"/>
    <cellStyle name="Normal 4 2 3 2 2 2 12" xfId="12109" xr:uid="{55C62A5D-B72E-4A87-9F94-F85E7C0FB06E}"/>
    <cellStyle name="Normal 4 2 3 2 2 2 13" xfId="12110" xr:uid="{FB5C5029-028E-4C7E-8596-A33B2E436EED}"/>
    <cellStyle name="Normal 4 2 3 2 2 2 14" xfId="12111" xr:uid="{1A67C66F-2A92-432A-A92B-199777EA80EF}"/>
    <cellStyle name="Normal 4 2 3 2 2 2 15" xfId="12112" xr:uid="{33FA89DC-A5DF-40AA-B1EC-2727A41569C2}"/>
    <cellStyle name="Normal 4 2 3 2 2 2 16" xfId="12113" xr:uid="{A9414AC1-26DF-4027-9E47-54D9350BF972}"/>
    <cellStyle name="Normal 4 2 3 2 2 2 17" xfId="12114" xr:uid="{3CD4BB1D-8581-4314-8851-0713343D5B2B}"/>
    <cellStyle name="Normal 4 2 3 2 2 2 2" xfId="12115" xr:uid="{EFA8D765-3F85-4B12-B341-91EDE07F7742}"/>
    <cellStyle name="Normal 4 2 3 2 2 2 2 10" xfId="12116" xr:uid="{060AB0B7-C808-4F05-8782-F9E549CB2A6B}"/>
    <cellStyle name="Normal 4 2 3 2 2 2 2 2" xfId="12117" xr:uid="{E37ED694-2E15-4679-9F88-B90EBA68D048}"/>
    <cellStyle name="Normal 4 2 3 2 2 2 2 2 2" xfId="12118" xr:uid="{53C64469-999C-438C-A711-F23B70ABF050}"/>
    <cellStyle name="Normal 4 2 3 2 2 2 2 2 2 2" xfId="12119" xr:uid="{C95B8923-E757-469B-89D7-0C9D013420A6}"/>
    <cellStyle name="Normal 4 2 3 2 2 2 2 2 2 2 2" xfId="12120" xr:uid="{EC6CA998-8426-4E74-AAFC-27ABE1E536F2}"/>
    <cellStyle name="Normal 4 2 3 2 2 2 2 2 2 2 3" xfId="12121" xr:uid="{9942A4B5-F2F5-41B9-825F-B45DE3680D81}"/>
    <cellStyle name="Normal 4 2 3 2 2 2 2 2 2 2 4" xfId="12122" xr:uid="{C8EA9B64-1591-4794-9C48-CE2A3515E2B1}"/>
    <cellStyle name="Normal 4 2 3 2 2 2 2 2 2 2 5" xfId="12123" xr:uid="{86658AC0-93D1-4537-B710-D41DB8679265}"/>
    <cellStyle name="Normal 4 2 3 2 2 2 2 2 2 2 6" xfId="12124" xr:uid="{C82566D1-C45A-4502-AA81-A9B48FE02C29}"/>
    <cellStyle name="Normal 4 2 3 2 2 2 2 2 2 2 7" xfId="12125" xr:uid="{4EA01579-09B3-405B-91FD-82B829DA3BDE}"/>
    <cellStyle name="Normal 4 2 3 2 2 2 2 2 2 2 8" xfId="12126" xr:uid="{F0558D12-224F-4A5A-8D50-041C22ADF707}"/>
    <cellStyle name="Normal 4 2 3 2 2 2 2 2 2 3" xfId="12127" xr:uid="{E807289A-E99F-4FB4-8EF8-24789D753B5C}"/>
    <cellStyle name="Normal 4 2 3 2 2 2 2 2 2 4" xfId="12128" xr:uid="{2E5AB019-7B6C-4765-856E-F33FF3999481}"/>
    <cellStyle name="Normal 4 2 3 2 2 2 2 2 2 5" xfId="12129" xr:uid="{A2050219-7376-40FB-8406-E2E57E116F9F}"/>
    <cellStyle name="Normal 4 2 3 2 2 2 2 2 2 6" xfId="12130" xr:uid="{2B010535-4F44-44FC-A7ED-4D160E399D2E}"/>
    <cellStyle name="Normal 4 2 3 2 2 2 2 2 2 7" xfId="12131" xr:uid="{FB9ACF5D-9A2B-4CCD-969A-962F77488198}"/>
    <cellStyle name="Normal 4 2 3 2 2 2 2 2 2 8" xfId="12132" xr:uid="{D6FC980D-A7B3-4074-BF2D-86DF4E010A52}"/>
    <cellStyle name="Normal 4 2 3 2 2 2 2 2 3" xfId="12133" xr:uid="{FD40E685-60E6-4FD9-834D-175BCE1DD669}"/>
    <cellStyle name="Normal 4 2 3 2 2 2 2 2 4" xfId="12134" xr:uid="{D7D95F73-91D0-4987-BCE4-DDB4925C600B}"/>
    <cellStyle name="Normal 4 2 3 2 2 2 2 2 5" xfId="12135" xr:uid="{469FD6D5-A5C7-4F5A-BD22-CBF001896F5F}"/>
    <cellStyle name="Normal 4 2 3 2 2 2 2 2 6" xfId="12136" xr:uid="{24812625-477A-4776-8BC4-29C7D52AF721}"/>
    <cellStyle name="Normal 4 2 3 2 2 2 2 2 7" xfId="12137" xr:uid="{2689768E-AE38-4218-80A0-2F23433D8B8C}"/>
    <cellStyle name="Normal 4 2 3 2 2 2 2 2 8" xfId="12138" xr:uid="{C5BB42B9-2FA5-4439-A61F-00FC4A946D94}"/>
    <cellStyle name="Normal 4 2 3 2 2 2 2 2 9" xfId="12139" xr:uid="{74AD3854-2E68-4C0D-A6E3-CC6B71F868DA}"/>
    <cellStyle name="Normal 4 2 3 2 2 2 2 3" xfId="12140" xr:uid="{0DCFE3D8-5C7D-40AB-BFEB-EBFD88265E29}"/>
    <cellStyle name="Normal 4 2 3 2 2 2 2 4" xfId="12141" xr:uid="{B280E2D8-5FC7-486C-A24E-AA83FC55D6B3}"/>
    <cellStyle name="Normal 4 2 3 2 2 2 2 4 2" xfId="12142" xr:uid="{DB28A2CA-5F4B-47F5-BBCD-DA0A5030AFE6}"/>
    <cellStyle name="Normal 4 2 3 2 2 2 2 4 3" xfId="12143" xr:uid="{CA8E7111-B444-4B7E-9D86-2591F65F53BD}"/>
    <cellStyle name="Normal 4 2 3 2 2 2 2 4 4" xfId="12144" xr:uid="{50F168D7-973D-4F2B-AD5D-37D836D759E3}"/>
    <cellStyle name="Normal 4 2 3 2 2 2 2 4 5" xfId="12145" xr:uid="{A588ADA2-9118-4F7E-8E69-5FD3BBF43F57}"/>
    <cellStyle name="Normal 4 2 3 2 2 2 2 4 6" xfId="12146" xr:uid="{77BAB2A8-ABF4-46CB-8E30-023DBCE498BE}"/>
    <cellStyle name="Normal 4 2 3 2 2 2 2 4 7" xfId="12147" xr:uid="{5A2BB1B2-F24F-4C5D-8A4A-62010BA041D2}"/>
    <cellStyle name="Normal 4 2 3 2 2 2 2 4 8" xfId="12148" xr:uid="{3BC50311-BC09-49A7-9E3B-09FF254B5624}"/>
    <cellStyle name="Normal 4 2 3 2 2 2 2 5" xfId="12149" xr:uid="{6F4C8D63-147D-41FA-BEEE-C1800FA80A37}"/>
    <cellStyle name="Normal 4 2 3 2 2 2 2 6" xfId="12150" xr:uid="{3B237B68-AB29-42D3-9D1A-341E2AD91493}"/>
    <cellStyle name="Normal 4 2 3 2 2 2 2 7" xfId="12151" xr:uid="{AF32EE78-63D7-47BC-8615-B03CF06B2C7C}"/>
    <cellStyle name="Normal 4 2 3 2 2 2 2 8" xfId="12152" xr:uid="{DD1FC67C-147C-4AFD-8659-E5E339F6FCD1}"/>
    <cellStyle name="Normal 4 2 3 2 2 2 2 9" xfId="12153" xr:uid="{1DDD1870-6310-4DB3-8D27-E74223BCE4D8}"/>
    <cellStyle name="Normal 4 2 3 2 2 2 3" xfId="12154" xr:uid="{790943F7-FAAC-4670-916F-637C91E5BB6D}"/>
    <cellStyle name="Normal 4 2 3 2 2 2 4" xfId="12155" xr:uid="{26C274EB-8265-427F-BBEB-5BCBF21A4938}"/>
    <cellStyle name="Normal 4 2 3 2 2 2 5" xfId="12156" xr:uid="{2C42648F-CD52-4840-89B4-89827A6245CD}"/>
    <cellStyle name="Normal 4 2 3 2 2 2 6" xfId="12157" xr:uid="{F4B1207C-847E-487E-B054-CA14BA77A293}"/>
    <cellStyle name="Normal 4 2 3 2 2 2 7" xfId="12158" xr:uid="{29BDA961-BE2A-4BF1-87C3-A1A614BB9088}"/>
    <cellStyle name="Normal 4 2 3 2 2 2 8" xfId="12159" xr:uid="{5358CC7F-1B16-49F4-A1B1-DD63E4253D81}"/>
    <cellStyle name="Normal 4 2 3 2 2 2 9" xfId="12160" xr:uid="{96BAC5AE-B30A-46C9-9C89-3025E1B3817C}"/>
    <cellStyle name="Normal 4 2 3 2 2 3" xfId="12161" xr:uid="{9B9B9BE0-03A6-42BE-B61A-7115EFEF6B03}"/>
    <cellStyle name="Normal 4 2 3 2 2 3 10" xfId="12162" xr:uid="{FB9ECEBE-26DE-48FF-B835-9A8F4F2E108D}"/>
    <cellStyle name="Normal 4 2 3 2 2 3 2" xfId="12163" xr:uid="{32EF72E3-8EC2-402F-92B9-6CB009287A4C}"/>
    <cellStyle name="Normal 4 2 3 2 2 3 2 2" xfId="12164" xr:uid="{C5308F87-2FDC-48C4-A468-3D4C4EC01D15}"/>
    <cellStyle name="Normal 4 2 3 2 2 3 2 2 2" xfId="12165" xr:uid="{F2A5AA6C-A40D-4B57-ABF5-484049904556}"/>
    <cellStyle name="Normal 4 2 3 2 2 3 2 2 2 2" xfId="12166" xr:uid="{7F223A8D-036C-4EF5-9C83-42A9F692359C}"/>
    <cellStyle name="Normal 4 2 3 2 2 3 2 2 2 3" xfId="12167" xr:uid="{DB643F0C-CD6C-4F64-BC95-BEA6F7C007F8}"/>
    <cellStyle name="Normal 4 2 3 2 2 3 2 2 2 4" xfId="12168" xr:uid="{39A086F0-B0F9-4D32-A27B-D61B71C6DE3D}"/>
    <cellStyle name="Normal 4 2 3 2 2 3 2 2 2 5" xfId="12169" xr:uid="{9DB75ED5-A72E-4044-8C94-6DC429180310}"/>
    <cellStyle name="Normal 4 2 3 2 2 3 2 2 2 6" xfId="12170" xr:uid="{3A8D8936-6A4D-42C5-ACA0-B5A693AF394B}"/>
    <cellStyle name="Normal 4 2 3 2 2 3 2 2 2 7" xfId="12171" xr:uid="{DDD628A9-4895-49E7-8436-1686697C21BC}"/>
    <cellStyle name="Normal 4 2 3 2 2 3 2 2 2 8" xfId="12172" xr:uid="{6C9A0731-203B-4DAA-8036-45FCCD8E7517}"/>
    <cellStyle name="Normal 4 2 3 2 2 3 2 2 3" xfId="12173" xr:uid="{B2C10C56-A570-48DD-AEC2-F30C73CB065E}"/>
    <cellStyle name="Normal 4 2 3 2 2 3 2 2 4" xfId="12174" xr:uid="{4FACFDF5-0584-475B-8206-9BCD723769F9}"/>
    <cellStyle name="Normal 4 2 3 2 2 3 2 2 5" xfId="12175" xr:uid="{37FF7153-936F-48D5-86CC-88EBAF55570D}"/>
    <cellStyle name="Normal 4 2 3 2 2 3 2 2 6" xfId="12176" xr:uid="{0EA93531-751B-46A7-AC71-FA48A1E23B6C}"/>
    <cellStyle name="Normal 4 2 3 2 2 3 2 2 7" xfId="12177" xr:uid="{3831183A-F5B0-4066-943E-164D5A4DB575}"/>
    <cellStyle name="Normal 4 2 3 2 2 3 2 2 8" xfId="12178" xr:uid="{49CDCB39-7942-4873-8EC9-C8E0D4DD2FF6}"/>
    <cellStyle name="Normal 4 2 3 2 2 3 2 3" xfId="12179" xr:uid="{43BDC7FB-CBC3-4DD6-BDCA-CE314C983A75}"/>
    <cellStyle name="Normal 4 2 3 2 2 3 2 4" xfId="12180" xr:uid="{71532442-5285-4488-B52E-309DE5E18E47}"/>
    <cellStyle name="Normal 4 2 3 2 2 3 2 5" xfId="12181" xr:uid="{5E99B074-32FE-4033-873F-62BC42953F7B}"/>
    <cellStyle name="Normal 4 2 3 2 2 3 2 6" xfId="12182" xr:uid="{0CCEAF90-E198-45FB-880B-A4EE78B3A261}"/>
    <cellStyle name="Normal 4 2 3 2 2 3 2 7" xfId="12183" xr:uid="{14D291AC-4E99-400B-BFCB-59DC06557B9D}"/>
    <cellStyle name="Normal 4 2 3 2 2 3 2 8" xfId="12184" xr:uid="{516A3323-B0B8-413A-B13B-F38CAD2DCF7E}"/>
    <cellStyle name="Normal 4 2 3 2 2 3 2 9" xfId="12185" xr:uid="{C054AA9C-9D99-4C2F-902E-3C0D1FFD52B9}"/>
    <cellStyle name="Normal 4 2 3 2 2 3 3" xfId="12186" xr:uid="{10509EDC-37C2-4F07-89C4-1447846139B9}"/>
    <cellStyle name="Normal 4 2 3 2 2 3 4" xfId="12187" xr:uid="{03B9822D-6DF0-46FC-BD67-B052C15D9E63}"/>
    <cellStyle name="Normal 4 2 3 2 2 3 4 2" xfId="12188" xr:uid="{BD3AFF0A-76E9-4931-9BEB-E52A0A96FF0E}"/>
    <cellStyle name="Normal 4 2 3 2 2 3 4 3" xfId="12189" xr:uid="{AFCACF75-208C-4F1C-B9E7-F0CFC3DBBED1}"/>
    <cellStyle name="Normal 4 2 3 2 2 3 4 4" xfId="12190" xr:uid="{0F9616D6-AF17-4B73-8B7C-0A36A48D6FC2}"/>
    <cellStyle name="Normal 4 2 3 2 2 3 4 5" xfId="12191" xr:uid="{364E54AB-75ED-4C6D-9B0E-160E40897927}"/>
    <cellStyle name="Normal 4 2 3 2 2 3 4 6" xfId="12192" xr:uid="{DD352288-4BF9-4A0B-8177-DB36B7F7159B}"/>
    <cellStyle name="Normal 4 2 3 2 2 3 4 7" xfId="12193" xr:uid="{59F18F35-F9BB-46C0-A115-4969EB57C538}"/>
    <cellStyle name="Normal 4 2 3 2 2 3 4 8" xfId="12194" xr:uid="{44FF1810-4A11-44B9-A91B-49CB825DDFDE}"/>
    <cellStyle name="Normal 4 2 3 2 2 3 5" xfId="12195" xr:uid="{62E479DF-C902-4BAC-84BF-FB3D65071FCE}"/>
    <cellStyle name="Normal 4 2 3 2 2 3 6" xfId="12196" xr:uid="{CC55DAAC-D332-4468-B158-9C1C2DC2AB52}"/>
    <cellStyle name="Normal 4 2 3 2 2 3 7" xfId="12197" xr:uid="{3FA275A7-350C-43A1-8FFF-1A4A696F0B4A}"/>
    <cellStyle name="Normal 4 2 3 2 2 3 8" xfId="12198" xr:uid="{A0A0F058-DFBC-4E0F-B46F-54C7308D0E13}"/>
    <cellStyle name="Normal 4 2 3 2 2 3 9" xfId="12199" xr:uid="{2F973812-BE14-4762-8EF3-E9AC9AF8E0BB}"/>
    <cellStyle name="Normal 4 2 3 2 2 4" xfId="12200" xr:uid="{7663D07C-90A6-4426-8A91-9AFC823E9E74}"/>
    <cellStyle name="Normal 4 2 3 2 2 5" xfId="12201" xr:uid="{0A0529DA-7DD0-42D3-A893-90ED909CFF49}"/>
    <cellStyle name="Normal 4 2 3 2 2 6" xfId="12202" xr:uid="{56312E7C-06D5-4C82-AEBE-DE19B8331044}"/>
    <cellStyle name="Normal 4 2 3 2 2 7" xfId="12203" xr:uid="{60F9487E-AC89-4625-82FD-B9E8EED83844}"/>
    <cellStyle name="Normal 4 2 3 2 2 8" xfId="12204" xr:uid="{91868373-24DD-4956-91D2-9E4B10E3E272}"/>
    <cellStyle name="Normal 4 2 3 2 2 9" xfId="12205" xr:uid="{4CAA2C75-34E3-4C0B-A459-9328EBD82BF7}"/>
    <cellStyle name="Normal 4 2 3 2 20" xfId="12206" xr:uid="{494AD7CF-ACD5-4CFD-84DD-C3422FDF6B6C}"/>
    <cellStyle name="Normal 4 2 3 2 21" xfId="12207" xr:uid="{54DB5341-6868-4B9E-AB98-F3BF0525D145}"/>
    <cellStyle name="Normal 4 2 3 2 22" xfId="12208" xr:uid="{1ED00403-FC42-46C3-8012-6BBA0E7E0096}"/>
    <cellStyle name="Normal 4 2 3 2 3" xfId="12209" xr:uid="{184A1FDF-8880-4ED5-9188-4F09AD8736BD}"/>
    <cellStyle name="Normal 4 2 3 2 4" xfId="12210" xr:uid="{56D0C086-C3F2-424A-A816-F7033B135A18}"/>
    <cellStyle name="Normal 4 2 3 2 5" xfId="12211" xr:uid="{E892DCFF-5065-4705-8C4D-1F9D75AB22E0}"/>
    <cellStyle name="Normal 4 2 3 2 6" xfId="12212" xr:uid="{305B8FC2-1633-47AF-AEC7-3D0D008FD550}"/>
    <cellStyle name="Normal 4 2 3 2 7" xfId="12213" xr:uid="{E61F3D04-A662-4AA5-B37C-9996D17434A6}"/>
    <cellStyle name="Normal 4 2 3 2 7 10" xfId="12214" xr:uid="{0FBB4330-4717-4ECE-B3DB-C3F4FD39532E}"/>
    <cellStyle name="Normal 4 2 3 2 7 2" xfId="12215" xr:uid="{95C653F5-C3CF-45B9-9123-C5DAE2B41340}"/>
    <cellStyle name="Normal 4 2 3 2 7 2 2" xfId="12216" xr:uid="{A159CEDB-1882-4423-8B31-C9E51DDE987C}"/>
    <cellStyle name="Normal 4 2 3 2 7 2 2 2" xfId="12217" xr:uid="{1B625370-F286-47F0-84A4-756B9E308ABC}"/>
    <cellStyle name="Normal 4 2 3 2 7 2 2 2 2" xfId="12218" xr:uid="{20242D3F-B9CB-4D33-A2BF-817BBB614D45}"/>
    <cellStyle name="Normal 4 2 3 2 7 2 2 2 3" xfId="12219" xr:uid="{1E2B4429-D126-46F5-983F-F112968C203E}"/>
    <cellStyle name="Normal 4 2 3 2 7 2 2 2 4" xfId="12220" xr:uid="{A7FF92B3-5416-4E9B-8499-0C5D0EA9DDE3}"/>
    <cellStyle name="Normal 4 2 3 2 7 2 2 2 5" xfId="12221" xr:uid="{54630AF4-4263-4E72-B98F-ACF14683C798}"/>
    <cellStyle name="Normal 4 2 3 2 7 2 2 2 6" xfId="12222" xr:uid="{4413B954-BE56-4F6F-BD5E-9961E9652431}"/>
    <cellStyle name="Normal 4 2 3 2 7 2 2 2 7" xfId="12223" xr:uid="{CFD95448-8E42-4C40-A878-39E193B2400B}"/>
    <cellStyle name="Normal 4 2 3 2 7 2 2 2 8" xfId="12224" xr:uid="{598D6C0B-DE89-475B-B9C9-6ABF997552DA}"/>
    <cellStyle name="Normal 4 2 3 2 7 2 2 3" xfId="12225" xr:uid="{F73992E1-E36C-42BC-9FC2-2073BFF82489}"/>
    <cellStyle name="Normal 4 2 3 2 7 2 2 4" xfId="12226" xr:uid="{3481860F-710B-483F-8C16-6DF508867541}"/>
    <cellStyle name="Normal 4 2 3 2 7 2 2 5" xfId="12227" xr:uid="{10AB8F63-24A1-4D53-A380-50CC2C0E5113}"/>
    <cellStyle name="Normal 4 2 3 2 7 2 2 6" xfId="12228" xr:uid="{80B64C5A-523C-45FA-9C1F-82D213CA0042}"/>
    <cellStyle name="Normal 4 2 3 2 7 2 2 7" xfId="12229" xr:uid="{0BDA0954-0CD4-461B-B4DE-AA43203736B6}"/>
    <cellStyle name="Normal 4 2 3 2 7 2 2 8" xfId="12230" xr:uid="{17B40D13-60C9-4716-BAA5-9C6BDD4F4636}"/>
    <cellStyle name="Normal 4 2 3 2 7 2 3" xfId="12231" xr:uid="{E4160D4C-87E7-4FF2-9A00-FF144D7DD0C1}"/>
    <cellStyle name="Normal 4 2 3 2 7 2 4" xfId="12232" xr:uid="{041A468D-7FE0-4592-9146-7FFA19DE73FF}"/>
    <cellStyle name="Normal 4 2 3 2 7 2 5" xfId="12233" xr:uid="{7E1B9CA4-8FE2-48A0-A779-A17152B30E5D}"/>
    <cellStyle name="Normal 4 2 3 2 7 2 6" xfId="12234" xr:uid="{DA4ABDB3-04A9-4444-977A-EBE3AC1BF693}"/>
    <cellStyle name="Normal 4 2 3 2 7 2 7" xfId="12235" xr:uid="{91F44635-D302-43E8-8B3E-CCBD11A69E43}"/>
    <cellStyle name="Normal 4 2 3 2 7 2 8" xfId="12236" xr:uid="{F719FF87-C2F0-4E9E-99A7-B1CF372470A0}"/>
    <cellStyle name="Normal 4 2 3 2 7 2 9" xfId="12237" xr:uid="{4FC4154F-CEEA-427A-B2D8-D055FB97DC24}"/>
    <cellStyle name="Normal 4 2 3 2 7 3" xfId="12238" xr:uid="{963D59CB-948E-440F-A19E-6F099659CC5B}"/>
    <cellStyle name="Normal 4 2 3 2 7 4" xfId="12239" xr:uid="{6A4797D2-9865-4979-8C55-6B74A82427E2}"/>
    <cellStyle name="Normal 4 2 3 2 7 4 2" xfId="12240" xr:uid="{8CCE635F-A8C8-4301-A7DB-A3399A61B33D}"/>
    <cellStyle name="Normal 4 2 3 2 7 4 3" xfId="12241" xr:uid="{B61C3936-4B81-40C7-8783-FD595781C868}"/>
    <cellStyle name="Normal 4 2 3 2 7 4 4" xfId="12242" xr:uid="{CC2AE021-372F-4D6D-847A-215CE72E7C27}"/>
    <cellStyle name="Normal 4 2 3 2 7 4 5" xfId="12243" xr:uid="{778E61E2-10F3-4C0E-B96F-438F5901F791}"/>
    <cellStyle name="Normal 4 2 3 2 7 4 6" xfId="12244" xr:uid="{6BC08629-2D31-49E7-A53D-FD3429FB82F3}"/>
    <cellStyle name="Normal 4 2 3 2 7 4 7" xfId="12245" xr:uid="{75AFDB33-7F7F-4274-BCEC-B6277394D1B6}"/>
    <cellStyle name="Normal 4 2 3 2 7 4 8" xfId="12246" xr:uid="{9AF8AC4F-2919-473F-A6BF-A7D92D704ABA}"/>
    <cellStyle name="Normal 4 2 3 2 7 5" xfId="12247" xr:uid="{209E5A3D-0EE7-433F-A95D-FBEE920F12FD}"/>
    <cellStyle name="Normal 4 2 3 2 7 6" xfId="12248" xr:uid="{F1DED337-475D-4412-8FF7-89E50E79C539}"/>
    <cellStyle name="Normal 4 2 3 2 7 7" xfId="12249" xr:uid="{F0CD9FC2-6184-4959-8C2C-20A626D319C8}"/>
    <cellStyle name="Normal 4 2 3 2 7 8" xfId="12250" xr:uid="{B1E8C866-7EE7-4901-98FE-2D1B7E70F2D3}"/>
    <cellStyle name="Normal 4 2 3 2 7 9" xfId="12251" xr:uid="{0463FBB6-6760-4451-BF71-B647D2295CFC}"/>
    <cellStyle name="Normal 4 2 3 2 8" xfId="12252" xr:uid="{8BEAF422-015C-47CA-973D-87EA33492A2F}"/>
    <cellStyle name="Normal 4 2 3 2 9" xfId="12253" xr:uid="{39984084-888C-4804-9C1C-5A6647540ED9}"/>
    <cellStyle name="Normal 4 2 3 20" xfId="12254" xr:uid="{3BCC42D4-0390-4023-B143-49555DD7C348}"/>
    <cellStyle name="Normal 4 2 3 21" xfId="12255" xr:uid="{6D17E1A9-8E9F-4EBB-A891-186B1C01B198}"/>
    <cellStyle name="Normal 4 2 3 22" xfId="12256" xr:uid="{279D7702-D00E-4110-86C7-0A18ED582028}"/>
    <cellStyle name="Normal 4 2 3 3" xfId="12257" xr:uid="{6B1542E6-F801-411E-BE18-14EEA6502613}"/>
    <cellStyle name="Normal 4 2 3 3 10" xfId="12258" xr:uid="{F356832C-0BAA-49A5-A496-C764D3FC3C43}"/>
    <cellStyle name="Normal 4 2 3 3 10 2" xfId="12259" xr:uid="{34376415-E932-4CE9-9037-A88C0AA227CB}"/>
    <cellStyle name="Normal 4 2 3 3 10 2 2" xfId="12260" xr:uid="{C1A61D1D-BA49-4BC8-BCF0-0ACF429621B3}"/>
    <cellStyle name="Normal 4 2 3 3 10 2 2 2" xfId="12261" xr:uid="{3688B6B6-CF0B-47CB-A2BF-58599AE35FDD}"/>
    <cellStyle name="Normal 4 2 3 3 10 2 2 3" xfId="12262" xr:uid="{57FE7F98-4879-4DC3-AB93-81CC036DA520}"/>
    <cellStyle name="Normal 4 2 3 3 10 2 2 4" xfId="12263" xr:uid="{8D26C094-09B3-41CB-B466-DE8EA281DEDD}"/>
    <cellStyle name="Normal 4 2 3 3 10 2 2 5" xfId="12264" xr:uid="{317BBD07-7750-488B-B62E-7E1F9B6524D9}"/>
    <cellStyle name="Normal 4 2 3 3 10 2 2 6" xfId="12265" xr:uid="{ACDE937E-216E-4587-8BBB-25D03D716F75}"/>
    <cellStyle name="Normal 4 2 3 3 10 2 2 7" xfId="12266" xr:uid="{68E9257C-19AE-4FDF-8E26-B281F77B3034}"/>
    <cellStyle name="Normal 4 2 3 3 10 2 2 8" xfId="12267" xr:uid="{8D4B7CD8-C223-4604-BB45-74586F4AE0D3}"/>
    <cellStyle name="Normal 4 2 3 3 10 2 3" xfId="12268" xr:uid="{55EECBEF-BA69-4B6B-BB61-5700D37C0281}"/>
    <cellStyle name="Normal 4 2 3 3 10 2 4" xfId="12269" xr:uid="{5C6F4154-A3DB-403E-85D1-18719FBF3313}"/>
    <cellStyle name="Normal 4 2 3 3 10 2 5" xfId="12270" xr:uid="{6A5FE527-0F20-4855-8B46-C0C5857BD640}"/>
    <cellStyle name="Normal 4 2 3 3 10 2 6" xfId="12271" xr:uid="{D875B2B1-DFE7-49D8-A96B-BE1D6F75172C}"/>
    <cellStyle name="Normal 4 2 3 3 10 2 7" xfId="12272" xr:uid="{A06E4B0C-B0B4-424E-85A7-26EF4A7FBCA1}"/>
    <cellStyle name="Normal 4 2 3 3 10 2 8" xfId="12273" xr:uid="{7236495F-48EF-4724-A207-C382A1315363}"/>
    <cellStyle name="Normal 4 2 3 3 10 3" xfId="12274" xr:uid="{9DBD15A1-7652-4AA5-831A-B904D0C43E09}"/>
    <cellStyle name="Normal 4 2 3 3 10 4" xfId="12275" xr:uid="{2362D862-80EA-42BD-97A8-1710BA7AB375}"/>
    <cellStyle name="Normal 4 2 3 3 10 5" xfId="12276" xr:uid="{ECDB546D-3FFE-4934-8237-B74853DAB492}"/>
    <cellStyle name="Normal 4 2 3 3 10 6" xfId="12277" xr:uid="{72AB5A5B-E5D5-43DA-B928-FE4668626748}"/>
    <cellStyle name="Normal 4 2 3 3 10 7" xfId="12278" xr:uid="{C69D4F7C-176A-4F21-AF4B-7205AA45EB94}"/>
    <cellStyle name="Normal 4 2 3 3 10 8" xfId="12279" xr:uid="{E7B8B4ED-A011-4665-800A-30498A0496B3}"/>
    <cellStyle name="Normal 4 2 3 3 10 9" xfId="12280" xr:uid="{290F63A5-8D4A-4717-BE53-A4D5309AE433}"/>
    <cellStyle name="Normal 4 2 3 3 11" xfId="12281" xr:uid="{9E63A1BF-F506-49D0-9FB0-7FC88D8901B5}"/>
    <cellStyle name="Normal 4 2 3 3 11 2" xfId="12282" xr:uid="{43E0297A-309F-4EBB-BB40-8DD5A9B99113}"/>
    <cellStyle name="Normal 4 2 3 3 11 3" xfId="12283" xr:uid="{359CEC1B-3A51-4410-BFBF-447659793682}"/>
    <cellStyle name="Normal 4 2 3 3 11 4" xfId="12284" xr:uid="{8310FC10-F489-4042-AF88-6FA00C08AE71}"/>
    <cellStyle name="Normal 4 2 3 3 11 5" xfId="12285" xr:uid="{ACBC64C3-671F-40BC-99D0-207877E1B736}"/>
    <cellStyle name="Normal 4 2 3 3 11 6" xfId="12286" xr:uid="{B30041B2-E126-494B-BE6F-68FDBAAD3951}"/>
    <cellStyle name="Normal 4 2 3 3 11 7" xfId="12287" xr:uid="{0F57FAA0-76D3-4E44-A79E-D9F8B7E1F0D8}"/>
    <cellStyle name="Normal 4 2 3 3 11 8" xfId="12288" xr:uid="{F55781B5-5742-4D9F-8B99-A45B54837891}"/>
    <cellStyle name="Normal 4 2 3 3 12" xfId="12289" xr:uid="{CD4104C6-1CBA-4CBF-B790-CAF87EFBA727}"/>
    <cellStyle name="Normal 4 2 3 3 13" xfId="12290" xr:uid="{115B1EE6-7948-41E3-BE63-20539491BD0E}"/>
    <cellStyle name="Normal 4 2 3 3 14" xfId="12291" xr:uid="{57A6496C-5579-4784-9166-DDC73B71B2B4}"/>
    <cellStyle name="Normal 4 2 3 3 15" xfId="12292" xr:uid="{FA1B2557-57A8-4EF8-A6D0-E3F47BBC1650}"/>
    <cellStyle name="Normal 4 2 3 3 16" xfId="12293" xr:uid="{67B15018-86F8-4E34-BFA5-8C469E8E8AFC}"/>
    <cellStyle name="Normal 4 2 3 3 17" xfId="12294" xr:uid="{3640518B-29E7-4BB5-8E0B-7B3CDDF14981}"/>
    <cellStyle name="Normal 4 2 3 3 2" xfId="12295" xr:uid="{9B6DB860-79F4-4521-A2F5-EA8D61A1D919}"/>
    <cellStyle name="Normal 4 2 3 3 2 10" xfId="12296" xr:uid="{11341F18-50A2-4F7B-BEF7-02ED43458AF0}"/>
    <cellStyle name="Normal 4 2 3 3 2 10 2" xfId="12297" xr:uid="{57F798FC-C86B-48B6-84D9-7AC081771D48}"/>
    <cellStyle name="Normal 4 2 3 3 2 10 2 2" xfId="12298" xr:uid="{AD3C5E8B-DB74-4FE0-88B7-51C988180F33}"/>
    <cellStyle name="Normal 4 2 3 3 2 10 2 2 2" xfId="12299" xr:uid="{F2E4F729-6381-4B8C-A0D4-183313FEDA29}"/>
    <cellStyle name="Normal 4 2 3 3 2 10 2 2 3" xfId="12300" xr:uid="{DDF92873-E48E-41CD-9C15-14BC48B854DD}"/>
    <cellStyle name="Normal 4 2 3 3 2 10 2 2 4" xfId="12301" xr:uid="{7DA5C1B1-6C92-4E3F-AD5A-C5C6EED6E55B}"/>
    <cellStyle name="Normal 4 2 3 3 2 10 2 2 5" xfId="12302" xr:uid="{F5D089F3-A1DD-4A55-9170-68281FD3C3CE}"/>
    <cellStyle name="Normal 4 2 3 3 2 10 2 2 6" xfId="12303" xr:uid="{4857909A-6E4C-4E22-BA75-79446899A699}"/>
    <cellStyle name="Normal 4 2 3 3 2 10 2 2 7" xfId="12304" xr:uid="{BD089E88-DE84-470E-A01F-F8BC45CEDF77}"/>
    <cellStyle name="Normal 4 2 3 3 2 10 2 2 8" xfId="12305" xr:uid="{FE58AC92-1B6B-4BBB-8FBD-2A5D66A117E5}"/>
    <cellStyle name="Normal 4 2 3 3 2 10 2 3" xfId="12306" xr:uid="{1902D3DE-AA96-41A7-8FFC-68D74F7A83A4}"/>
    <cellStyle name="Normal 4 2 3 3 2 10 2 4" xfId="12307" xr:uid="{BF02BFF5-546E-46FF-8C9C-F671ACB4969D}"/>
    <cellStyle name="Normal 4 2 3 3 2 10 2 5" xfId="12308" xr:uid="{74BDE571-9407-4E78-BF41-79277498FC52}"/>
    <cellStyle name="Normal 4 2 3 3 2 10 2 6" xfId="12309" xr:uid="{A5287C34-5639-410D-BDB4-2A7B8895F099}"/>
    <cellStyle name="Normal 4 2 3 3 2 10 2 7" xfId="12310" xr:uid="{19648AF7-38FC-497E-9EB0-E694D6F38DB2}"/>
    <cellStyle name="Normal 4 2 3 3 2 10 2 8" xfId="12311" xr:uid="{C37CA0B4-2535-47A8-B163-FEE835DAA981}"/>
    <cellStyle name="Normal 4 2 3 3 2 10 3" xfId="12312" xr:uid="{E7D0D0EC-FC86-4DF0-BDF5-C4468B30C2E7}"/>
    <cellStyle name="Normal 4 2 3 3 2 10 4" xfId="12313" xr:uid="{39170704-8473-463D-950A-7285E7E8598B}"/>
    <cellStyle name="Normal 4 2 3 3 2 10 5" xfId="12314" xr:uid="{2A3A6C51-24DD-417C-A77F-5B153C3C3236}"/>
    <cellStyle name="Normal 4 2 3 3 2 10 6" xfId="12315" xr:uid="{F2D5191F-7063-454F-A8C2-774AF979B858}"/>
    <cellStyle name="Normal 4 2 3 3 2 10 7" xfId="12316" xr:uid="{642B2B58-9635-4544-AD21-E9EAAE41DDC4}"/>
    <cellStyle name="Normal 4 2 3 3 2 10 8" xfId="12317" xr:uid="{FC4D694D-0417-4F1D-BC22-33AC87326617}"/>
    <cellStyle name="Normal 4 2 3 3 2 10 9" xfId="12318" xr:uid="{BB78F02A-5EFB-4EE0-A85A-D30FDC9CB886}"/>
    <cellStyle name="Normal 4 2 3 3 2 11" xfId="12319" xr:uid="{692EA3F2-59B7-40B9-9729-45A47D2D7EF8}"/>
    <cellStyle name="Normal 4 2 3 3 2 11 2" xfId="12320" xr:uid="{A9BE0A91-FD8C-42E3-A462-57E185AC6766}"/>
    <cellStyle name="Normal 4 2 3 3 2 11 3" xfId="12321" xr:uid="{BC5AB300-6B96-44B0-80EC-772023736A98}"/>
    <cellStyle name="Normal 4 2 3 3 2 11 4" xfId="12322" xr:uid="{8DDD9546-6C81-4AB0-BA05-3E0BBED7A135}"/>
    <cellStyle name="Normal 4 2 3 3 2 11 5" xfId="12323" xr:uid="{15FBBA77-6369-4D98-9292-5EA4F76A61EC}"/>
    <cellStyle name="Normal 4 2 3 3 2 11 6" xfId="12324" xr:uid="{3749BD64-1926-41B2-B57B-AF4A3F25422B}"/>
    <cellStyle name="Normal 4 2 3 3 2 11 7" xfId="12325" xr:uid="{93B096B6-37C7-42E6-A645-A2340D7DA24E}"/>
    <cellStyle name="Normal 4 2 3 3 2 11 8" xfId="12326" xr:uid="{62402AE1-89E2-40EE-AC92-BB0ADFB8243A}"/>
    <cellStyle name="Normal 4 2 3 3 2 12" xfId="12327" xr:uid="{491530C6-C5B2-4F9C-94DF-F0C9DAE9B7EF}"/>
    <cellStyle name="Normal 4 2 3 3 2 13" xfId="12328" xr:uid="{B8D9CEEF-FABE-4045-8ABC-4A9FA71BEA37}"/>
    <cellStyle name="Normal 4 2 3 3 2 14" xfId="12329" xr:uid="{11206E6A-DD77-411C-A71C-72B812AE2940}"/>
    <cellStyle name="Normal 4 2 3 3 2 15" xfId="12330" xr:uid="{E0CE1E49-B077-4D04-AF21-754CA0320260}"/>
    <cellStyle name="Normal 4 2 3 3 2 16" xfId="12331" xr:uid="{B4AB9B89-FDD0-4A18-B9B1-30793BE8D9B7}"/>
    <cellStyle name="Normal 4 2 3 3 2 17" xfId="12332" xr:uid="{84D269D2-8610-4529-BA03-D31AB3EE0626}"/>
    <cellStyle name="Normal 4 2 3 3 2 2" xfId="12333" xr:uid="{AC3E2383-0627-458E-B653-AE391EC7D91D}"/>
    <cellStyle name="Normal 4 2 3 3 2 2 10" xfId="12334" xr:uid="{A6D1CAFF-E984-48AE-88AB-D4274C97B7C5}"/>
    <cellStyle name="Normal 4 2 3 3 2 2 2" xfId="12335" xr:uid="{F0A88E4E-A16F-4BFE-9BEB-74DA5AFDFE13}"/>
    <cellStyle name="Normal 4 2 3 3 2 2 2 2" xfId="12336" xr:uid="{525AB270-9DBA-4413-9907-6987BE2A70AB}"/>
    <cellStyle name="Normal 4 2 3 3 2 2 2 2 2" xfId="12337" xr:uid="{C74B6732-F02E-4D04-AAA2-3AAE1C315083}"/>
    <cellStyle name="Normal 4 2 3 3 2 2 2 2 2 2" xfId="12338" xr:uid="{7EC042C7-4610-4DAB-B8BE-D10CE909EF51}"/>
    <cellStyle name="Normal 4 2 3 3 2 2 2 2 2 3" xfId="12339" xr:uid="{3DB2C02F-A061-4E2F-A9B3-38B3199CA54A}"/>
    <cellStyle name="Normal 4 2 3 3 2 2 2 2 2 4" xfId="12340" xr:uid="{EA21FCDA-6C74-401B-9471-25435E6D5A67}"/>
    <cellStyle name="Normal 4 2 3 3 2 2 2 2 2 5" xfId="12341" xr:uid="{C3F4B0D7-B521-4543-9C42-88498E7317A6}"/>
    <cellStyle name="Normal 4 2 3 3 2 2 2 2 2 6" xfId="12342" xr:uid="{64F84AC0-92D7-4C0D-BD1A-890FF25BB1A9}"/>
    <cellStyle name="Normal 4 2 3 3 2 2 2 2 2 7" xfId="12343" xr:uid="{D10B2EAE-4E51-4564-B89E-D9B805EFDCC9}"/>
    <cellStyle name="Normal 4 2 3 3 2 2 2 2 2 8" xfId="12344" xr:uid="{6C639B98-D55C-4806-AE5A-A9A2810482A5}"/>
    <cellStyle name="Normal 4 2 3 3 2 2 2 2 3" xfId="12345" xr:uid="{E8657528-6371-4CAA-ADAC-2876822679EF}"/>
    <cellStyle name="Normal 4 2 3 3 2 2 2 2 4" xfId="12346" xr:uid="{467C0599-300D-4FCA-A110-48FC180EFA92}"/>
    <cellStyle name="Normal 4 2 3 3 2 2 2 2 5" xfId="12347" xr:uid="{EF8C94A9-6DC0-4F4E-961B-D3AB9D25AB32}"/>
    <cellStyle name="Normal 4 2 3 3 2 2 2 2 6" xfId="12348" xr:uid="{2F97639E-CB79-4960-94E1-B62B9599A522}"/>
    <cellStyle name="Normal 4 2 3 3 2 2 2 2 7" xfId="12349" xr:uid="{859B16B3-B594-4CE6-A822-E732E6DE64D9}"/>
    <cellStyle name="Normal 4 2 3 3 2 2 2 2 8" xfId="12350" xr:uid="{88A72355-B58A-4678-BC44-0B0C8795FBBF}"/>
    <cellStyle name="Normal 4 2 3 3 2 2 2 3" xfId="12351" xr:uid="{9DDA8851-BF5D-46D4-B859-CC09C56B8BA2}"/>
    <cellStyle name="Normal 4 2 3 3 2 2 2 4" xfId="12352" xr:uid="{A960B5D9-741C-4601-8851-86B7FD5C59BC}"/>
    <cellStyle name="Normal 4 2 3 3 2 2 2 5" xfId="12353" xr:uid="{748CD531-4C2E-4519-A34C-821CBEF498ED}"/>
    <cellStyle name="Normal 4 2 3 3 2 2 2 6" xfId="12354" xr:uid="{94EE4C57-CD4E-45C2-8C09-35C98D0C3757}"/>
    <cellStyle name="Normal 4 2 3 3 2 2 2 7" xfId="12355" xr:uid="{71B57772-0B61-4DEA-8948-B276D1D99D2E}"/>
    <cellStyle name="Normal 4 2 3 3 2 2 2 8" xfId="12356" xr:uid="{EA281F1E-D62E-4FCD-A5CF-055437C4F958}"/>
    <cellStyle name="Normal 4 2 3 3 2 2 2 9" xfId="12357" xr:uid="{6FA5AF40-A712-4D0B-9EE9-A58C76FD3B7E}"/>
    <cellStyle name="Normal 4 2 3 3 2 2 3" xfId="12358" xr:uid="{EF7A70A0-C84A-40A4-8A4B-87ED6BEEF4CB}"/>
    <cellStyle name="Normal 4 2 3 3 2 2 4" xfId="12359" xr:uid="{BB8EE8C5-B081-4D5B-84AF-BCB80646A349}"/>
    <cellStyle name="Normal 4 2 3 3 2 2 4 2" xfId="12360" xr:uid="{FF67D29A-FA50-4ECB-A095-ADA692520FC3}"/>
    <cellStyle name="Normal 4 2 3 3 2 2 4 3" xfId="12361" xr:uid="{B5C197A4-827A-484A-B750-7A730689B726}"/>
    <cellStyle name="Normal 4 2 3 3 2 2 4 4" xfId="12362" xr:uid="{0C9638E1-555A-4B81-B6B3-E5F97293CA9E}"/>
    <cellStyle name="Normal 4 2 3 3 2 2 4 5" xfId="12363" xr:uid="{6F75A60A-E325-4809-847C-51751CFC9757}"/>
    <cellStyle name="Normal 4 2 3 3 2 2 4 6" xfId="12364" xr:uid="{36A4C14D-6E9C-4243-8231-C44A6D9C86BC}"/>
    <cellStyle name="Normal 4 2 3 3 2 2 4 7" xfId="12365" xr:uid="{CE17C4D0-2D47-4B39-A8CB-91BEAEFBD6C4}"/>
    <cellStyle name="Normal 4 2 3 3 2 2 4 8" xfId="12366" xr:uid="{2C3C1B52-3BC9-4CFB-926B-FCB6107CFEB3}"/>
    <cellStyle name="Normal 4 2 3 3 2 2 5" xfId="12367" xr:uid="{6E10F418-4433-4070-950B-9602DBA1065F}"/>
    <cellStyle name="Normal 4 2 3 3 2 2 6" xfId="12368" xr:uid="{DE71C321-87B1-409F-BAD7-50C2D8C8A89A}"/>
    <cellStyle name="Normal 4 2 3 3 2 2 7" xfId="12369" xr:uid="{AEFDAE88-B478-448A-983B-A6247CB95BB8}"/>
    <cellStyle name="Normal 4 2 3 3 2 2 8" xfId="12370" xr:uid="{15BD6B85-18A5-495A-86BD-10EDD1F420BC}"/>
    <cellStyle name="Normal 4 2 3 3 2 2 9" xfId="12371" xr:uid="{7C579D46-752C-41CD-9996-80A52DD8F58C}"/>
    <cellStyle name="Normal 4 2 3 3 2 3" xfId="12372" xr:uid="{C2D251B8-AB2B-49F0-8F55-578508015FE6}"/>
    <cellStyle name="Normal 4 2 3 3 2 4" xfId="12373" xr:uid="{4F8B0F1D-B2C7-4955-8D4C-88A155ADFFD9}"/>
    <cellStyle name="Normal 4 2 3 3 2 5" xfId="12374" xr:uid="{DD011C45-B81D-4688-8EDB-BBF6277B210F}"/>
    <cellStyle name="Normal 4 2 3 3 2 6" xfId="12375" xr:uid="{13B10F92-FDE4-4B6F-BA65-612556F919CB}"/>
    <cellStyle name="Normal 4 2 3 3 2 7" xfId="12376" xr:uid="{B2DC675D-4CA1-409A-AC02-F79DA06B1E8B}"/>
    <cellStyle name="Normal 4 2 3 3 2 8" xfId="12377" xr:uid="{50D1F1A5-62AB-4259-8B1C-A7227DE67376}"/>
    <cellStyle name="Normal 4 2 3 3 2 9" xfId="12378" xr:uid="{5242569B-7C65-49E7-89A0-AD44BB09F8AA}"/>
    <cellStyle name="Normal 4 2 3 3 3" xfId="12379" xr:uid="{946EFF0D-D947-443D-8D8B-6F056DC08B33}"/>
    <cellStyle name="Normal 4 2 3 3 3 10" xfId="12380" xr:uid="{BE1146EA-88D6-4032-9F42-72184124E271}"/>
    <cellStyle name="Normal 4 2 3 3 3 2" xfId="12381" xr:uid="{CBF7511F-A6AC-4E2A-814A-90F98A06FA10}"/>
    <cellStyle name="Normal 4 2 3 3 3 2 2" xfId="12382" xr:uid="{227E437F-609C-40BD-B9A8-00F057BEB5FB}"/>
    <cellStyle name="Normal 4 2 3 3 3 2 2 2" xfId="12383" xr:uid="{232E8BD2-2B6A-4DEA-B95F-83FB23486AD4}"/>
    <cellStyle name="Normal 4 2 3 3 3 2 2 2 2" xfId="12384" xr:uid="{0D1C028A-1D9C-432B-A8DD-1F39B01492CF}"/>
    <cellStyle name="Normal 4 2 3 3 3 2 2 2 3" xfId="12385" xr:uid="{DAF194FA-6D9C-4028-A295-559664E8A62F}"/>
    <cellStyle name="Normal 4 2 3 3 3 2 2 2 4" xfId="12386" xr:uid="{5088CF83-0059-4741-86F0-96B905268432}"/>
    <cellStyle name="Normal 4 2 3 3 3 2 2 2 5" xfId="12387" xr:uid="{78AEF58B-5F05-4630-9DEE-6AF44FA87DDE}"/>
    <cellStyle name="Normal 4 2 3 3 3 2 2 2 6" xfId="12388" xr:uid="{5668E5B7-AA9E-4CB3-97AB-8AEA315CF70F}"/>
    <cellStyle name="Normal 4 2 3 3 3 2 2 2 7" xfId="12389" xr:uid="{1FB2F652-6CEA-4515-8287-8329D4FF6991}"/>
    <cellStyle name="Normal 4 2 3 3 3 2 2 2 8" xfId="12390" xr:uid="{DA1C7752-23B0-4246-A010-2F59EA1814EC}"/>
    <cellStyle name="Normal 4 2 3 3 3 2 2 3" xfId="12391" xr:uid="{E3F7853F-ED3C-46FF-9AF5-A8654CAB4655}"/>
    <cellStyle name="Normal 4 2 3 3 3 2 2 4" xfId="12392" xr:uid="{3E8BBB79-A1CE-4475-8338-5952AD060DC4}"/>
    <cellStyle name="Normal 4 2 3 3 3 2 2 5" xfId="12393" xr:uid="{2E1D732A-7F2E-47CA-BE20-065FF3A80C64}"/>
    <cellStyle name="Normal 4 2 3 3 3 2 2 6" xfId="12394" xr:uid="{8EBD36F6-8856-4488-BF10-CCE9A23EDFAF}"/>
    <cellStyle name="Normal 4 2 3 3 3 2 2 7" xfId="12395" xr:uid="{A450526E-FC28-4DAD-AB97-A86FDBC4155E}"/>
    <cellStyle name="Normal 4 2 3 3 3 2 2 8" xfId="12396" xr:uid="{2F1C47F0-61FE-4996-9475-327865FCA6D6}"/>
    <cellStyle name="Normal 4 2 3 3 3 2 3" xfId="12397" xr:uid="{32FA13B9-874D-4AF8-B629-AF3C6BC98E64}"/>
    <cellStyle name="Normal 4 2 3 3 3 2 4" xfId="12398" xr:uid="{07078D63-823A-4C1A-970D-BD95A03F4AEE}"/>
    <cellStyle name="Normal 4 2 3 3 3 2 5" xfId="12399" xr:uid="{C8EE53C6-3B60-4B9D-AE4B-F9EE6B29EB63}"/>
    <cellStyle name="Normal 4 2 3 3 3 2 6" xfId="12400" xr:uid="{4381A1B2-936A-45EF-B48E-FBAA02FBAE7A}"/>
    <cellStyle name="Normal 4 2 3 3 3 2 7" xfId="12401" xr:uid="{450EA23A-44D8-4031-8FC5-EBB350E08086}"/>
    <cellStyle name="Normal 4 2 3 3 3 2 8" xfId="12402" xr:uid="{37FD4D14-1388-4A13-9DBF-A0B1E06A2BE8}"/>
    <cellStyle name="Normal 4 2 3 3 3 2 9" xfId="12403" xr:uid="{1F067588-B3BB-4032-8171-C135F8055FEC}"/>
    <cellStyle name="Normal 4 2 3 3 3 3" xfId="12404" xr:uid="{2E8EE039-910D-438C-9EE1-1B20B3E8B37D}"/>
    <cellStyle name="Normal 4 2 3 3 3 4" xfId="12405" xr:uid="{258FD5EF-33F7-40FB-AC67-558159662AC7}"/>
    <cellStyle name="Normal 4 2 3 3 3 4 2" xfId="12406" xr:uid="{9A0BEF5D-3499-4F18-8253-8817432C2D1C}"/>
    <cellStyle name="Normal 4 2 3 3 3 4 3" xfId="12407" xr:uid="{B1599712-6003-413E-AC37-C86D5C0CA9D6}"/>
    <cellStyle name="Normal 4 2 3 3 3 4 4" xfId="12408" xr:uid="{6FC6CE6E-9426-428B-BE2D-140D9F024E7F}"/>
    <cellStyle name="Normal 4 2 3 3 3 4 5" xfId="12409" xr:uid="{99994697-7A8A-4984-9F84-83E406DCE041}"/>
    <cellStyle name="Normal 4 2 3 3 3 4 6" xfId="12410" xr:uid="{C2C730E1-08A5-44ED-919C-1F5354827268}"/>
    <cellStyle name="Normal 4 2 3 3 3 4 7" xfId="12411" xr:uid="{4232B352-0868-4D03-9777-24382EE1A9AD}"/>
    <cellStyle name="Normal 4 2 3 3 3 4 8" xfId="12412" xr:uid="{651886D3-3B27-4013-9F21-B25521C57CA1}"/>
    <cellStyle name="Normal 4 2 3 3 3 5" xfId="12413" xr:uid="{38E0AA59-CE8C-4DFC-8A3E-A76E1E1504B3}"/>
    <cellStyle name="Normal 4 2 3 3 3 6" xfId="12414" xr:uid="{2BF60B52-D8F7-4C77-BD3A-5A3574C49B8B}"/>
    <cellStyle name="Normal 4 2 3 3 3 7" xfId="12415" xr:uid="{4626A0F5-2887-4A79-98D0-880553C2347D}"/>
    <cellStyle name="Normal 4 2 3 3 3 8" xfId="12416" xr:uid="{AEEF83FC-D1D8-4A9D-887D-0B7D94054AD2}"/>
    <cellStyle name="Normal 4 2 3 3 3 9" xfId="12417" xr:uid="{BF23BBC6-6132-46DA-B3EC-2D6D87667802}"/>
    <cellStyle name="Normal 4 2 3 3 4" xfId="12418" xr:uid="{00D0EE42-8028-4095-89EF-0F007EE380FB}"/>
    <cellStyle name="Normal 4 2 3 3 5" xfId="12419" xr:uid="{05BDA38C-B446-420D-BA8F-D6C92BBA2FEA}"/>
    <cellStyle name="Normal 4 2 3 3 6" xfId="12420" xr:uid="{5405C0A7-8F55-4EA7-BCAC-0BBC4CBAB61C}"/>
    <cellStyle name="Normal 4 2 3 3 7" xfId="12421" xr:uid="{7DE93011-C714-4105-B097-C1FBB401FA99}"/>
    <cellStyle name="Normal 4 2 3 3 8" xfId="12422" xr:uid="{4B7C510F-A480-4AF1-AF1A-EE9A6A42BA44}"/>
    <cellStyle name="Normal 4 2 3 3 9" xfId="12423" xr:uid="{D2867819-6653-4D89-BF7A-913CE4A07B14}"/>
    <cellStyle name="Normal 4 2 3 4" xfId="12424" xr:uid="{4CA2CE9D-7AC6-4EFA-9F40-131A2F83D497}"/>
    <cellStyle name="Normal 4 2 3 5" xfId="12425" xr:uid="{5B91E315-0573-478C-8592-638C7B399FA3}"/>
    <cellStyle name="Normal 4 2 3 6" xfId="12426" xr:uid="{9ED12987-9553-4F20-AA86-2D80AC3F9E67}"/>
    <cellStyle name="Normal 4 2 3 7" xfId="12427" xr:uid="{F42B4013-8624-4D2B-AF51-5311E6C25F06}"/>
    <cellStyle name="Normal 4 2 3 7 10" xfId="12428" xr:uid="{9782C25B-8831-4B83-99E0-CEDD640AD9AA}"/>
    <cellStyle name="Normal 4 2 3 7 2" xfId="12429" xr:uid="{36F95281-9352-463B-852B-3285A673DF7D}"/>
    <cellStyle name="Normal 4 2 3 7 2 2" xfId="12430" xr:uid="{83B21F0F-8EF8-4767-952D-FB3B628B8B86}"/>
    <cellStyle name="Normal 4 2 3 7 2 2 2" xfId="12431" xr:uid="{37D93704-EBBA-4356-AD87-EB9290B68805}"/>
    <cellStyle name="Normal 4 2 3 7 2 2 2 2" xfId="12432" xr:uid="{F615D571-2195-4A78-AC96-0F5BD7E4BF31}"/>
    <cellStyle name="Normal 4 2 3 7 2 2 2 3" xfId="12433" xr:uid="{EEC3E151-BCC1-4EA4-9D75-889C8B0F010E}"/>
    <cellStyle name="Normal 4 2 3 7 2 2 2 4" xfId="12434" xr:uid="{A5BAD51C-715A-4DAD-8A24-FD0D9C012DB2}"/>
    <cellStyle name="Normal 4 2 3 7 2 2 2 5" xfId="12435" xr:uid="{132685FA-5EAE-4A6F-BF79-C306C543A0FD}"/>
    <cellStyle name="Normal 4 2 3 7 2 2 2 6" xfId="12436" xr:uid="{CD9C7CA5-6E9D-4E6D-8EFB-FBD34EF93457}"/>
    <cellStyle name="Normal 4 2 3 7 2 2 2 7" xfId="12437" xr:uid="{30B0CAE3-BE32-4612-82DA-51F3F59CEF90}"/>
    <cellStyle name="Normal 4 2 3 7 2 2 2 8" xfId="12438" xr:uid="{57CDED9C-165B-4751-8063-4EDC75D793EC}"/>
    <cellStyle name="Normal 4 2 3 7 2 2 3" xfId="12439" xr:uid="{A2FF779B-0472-4179-B1B7-04A510BA0D3F}"/>
    <cellStyle name="Normal 4 2 3 7 2 2 4" xfId="12440" xr:uid="{C7826F83-B1C9-463B-AFDF-67E4DD6D9950}"/>
    <cellStyle name="Normal 4 2 3 7 2 2 5" xfId="12441" xr:uid="{A5CE4D27-62E6-4AC8-BED2-ECE17E818D40}"/>
    <cellStyle name="Normal 4 2 3 7 2 2 6" xfId="12442" xr:uid="{739E7EFD-376B-4867-8C75-18AD71BAEA6A}"/>
    <cellStyle name="Normal 4 2 3 7 2 2 7" xfId="12443" xr:uid="{2977418C-F275-488B-9A31-48B031F6A11B}"/>
    <cellStyle name="Normal 4 2 3 7 2 2 8" xfId="12444" xr:uid="{B86F5DF9-9565-41C5-A47E-03F617433290}"/>
    <cellStyle name="Normal 4 2 3 7 2 3" xfId="12445" xr:uid="{24C6DD92-9A9A-41A8-A1AC-71C1A8C3BA5A}"/>
    <cellStyle name="Normal 4 2 3 7 2 4" xfId="12446" xr:uid="{EC4CCF2B-6083-4CB1-8A0A-D7DE1D14A029}"/>
    <cellStyle name="Normal 4 2 3 7 2 5" xfId="12447" xr:uid="{19FE8E7D-9F59-4EA0-BEF7-2EB6DB8A37AB}"/>
    <cellStyle name="Normal 4 2 3 7 2 6" xfId="12448" xr:uid="{AD294DFE-0614-44B6-92BE-334E91A3DCA8}"/>
    <cellStyle name="Normal 4 2 3 7 2 7" xfId="12449" xr:uid="{B1582065-F105-4B5B-B49E-3534CF3F2B02}"/>
    <cellStyle name="Normal 4 2 3 7 2 8" xfId="12450" xr:uid="{9250BCBA-6CD4-4E3A-ADE3-1A3444BF8ED9}"/>
    <cellStyle name="Normal 4 2 3 7 2 9" xfId="12451" xr:uid="{B37F3FE9-7799-427B-A09E-1D7D68458F2F}"/>
    <cellStyle name="Normal 4 2 3 7 3" xfId="12452" xr:uid="{D52EBBED-24AC-4602-83A3-A4A51F304D55}"/>
    <cellStyle name="Normal 4 2 3 7 4" xfId="12453" xr:uid="{ADDB6838-F5FE-4CA9-BED2-F87332399304}"/>
    <cellStyle name="Normal 4 2 3 7 4 2" xfId="12454" xr:uid="{A128A7EE-7AEE-459D-BA86-78623F4D4CF3}"/>
    <cellStyle name="Normal 4 2 3 7 4 3" xfId="12455" xr:uid="{5BACD0B5-E3AD-4B11-8F49-E25103E81563}"/>
    <cellStyle name="Normal 4 2 3 7 4 4" xfId="12456" xr:uid="{C97BC14A-B3E1-4D94-8467-BA3DF9B39BB8}"/>
    <cellStyle name="Normal 4 2 3 7 4 5" xfId="12457" xr:uid="{E3C31330-13F0-4789-82ED-65778A417030}"/>
    <cellStyle name="Normal 4 2 3 7 4 6" xfId="12458" xr:uid="{F644EB7C-AA1A-4F07-B446-9094C3C223D5}"/>
    <cellStyle name="Normal 4 2 3 7 4 7" xfId="12459" xr:uid="{8F1BE942-CED2-484E-BFC1-F6DC142F8EB6}"/>
    <cellStyle name="Normal 4 2 3 7 4 8" xfId="12460" xr:uid="{E7C7CBCF-7967-4DF4-9BA1-3A3EFCA45A66}"/>
    <cellStyle name="Normal 4 2 3 7 5" xfId="12461" xr:uid="{37A1C240-E196-49A9-9999-F75BD875DF6E}"/>
    <cellStyle name="Normal 4 2 3 7 6" xfId="12462" xr:uid="{C597BDA7-D1B1-4649-8ECA-BD3A39084FF8}"/>
    <cellStyle name="Normal 4 2 3 7 7" xfId="12463" xr:uid="{24355E97-3254-4C16-B9AF-D0FC13C81B75}"/>
    <cellStyle name="Normal 4 2 3 7 8" xfId="12464" xr:uid="{1574FF0B-23E2-4C8E-A34C-BA472ADBA30E}"/>
    <cellStyle name="Normal 4 2 3 7 9" xfId="12465" xr:uid="{30C32BBB-6546-487A-A6D1-4BA1E39CE657}"/>
    <cellStyle name="Normal 4 2 3 8" xfId="12466" xr:uid="{FC41BAF1-E1EA-4365-A44E-F10ECC605FEE}"/>
    <cellStyle name="Normal 4 2 3 9" xfId="12467" xr:uid="{3B8FA903-7E5C-406B-91BA-C41CED0239D4}"/>
    <cellStyle name="Normal 4 2 30" xfId="12468" xr:uid="{A462028B-D234-4F46-B093-CC360B03C2B4}"/>
    <cellStyle name="Normal 4 2 31" xfId="12469" xr:uid="{3E5A7EA6-064C-4386-B50E-553A8AAA28CD}"/>
    <cellStyle name="Normal 4 2 32" xfId="12470" xr:uid="{74058B83-8706-4B31-9DF8-3203471FF7B9}"/>
    <cellStyle name="Normal 4 2 33" xfId="12471" xr:uid="{483528EF-61DD-452A-8BDF-5E1D5C852470}"/>
    <cellStyle name="Normal 4 2 34" xfId="12472" xr:uid="{D0E3E5F3-0B15-43E4-9082-7594E330454A}"/>
    <cellStyle name="Normal 4 2 35" xfId="12473" xr:uid="{D230C728-99FE-4CE5-A0FE-783338196D05}"/>
    <cellStyle name="Normal 4 2 36" xfId="12474" xr:uid="{E478E785-55A6-4C83-8FF1-7077E1361253}"/>
    <cellStyle name="Normal 4 2 36 2" xfId="12475" xr:uid="{36A8C55C-B67C-4F04-BB91-539F923CB4F1}"/>
    <cellStyle name="Normal 4 2 36 2 2" xfId="12476" xr:uid="{DB094B88-9DB3-446C-975A-97580C0949F6}"/>
    <cellStyle name="Normal 4 2 36 2 2 2" xfId="12477" xr:uid="{5A7CEA77-9544-450B-904D-D215583E1398}"/>
    <cellStyle name="Normal 4 2 36 2 2 3" xfId="12478" xr:uid="{C454FF13-712F-4D93-BB1D-7ED2A48DF80F}"/>
    <cellStyle name="Normal 4 2 36 2 2 4" xfId="12479" xr:uid="{E649B71E-BBEE-4BF7-8E89-48B84F67332C}"/>
    <cellStyle name="Normal 4 2 36 2 2 5" xfId="12480" xr:uid="{D6B89D92-DB71-4D85-AC31-CA19C0ED4649}"/>
    <cellStyle name="Normal 4 2 36 2 2 6" xfId="12481" xr:uid="{54B5095B-2414-42BA-937D-231254A527E0}"/>
    <cellStyle name="Normal 4 2 36 2 2 7" xfId="12482" xr:uid="{DA1AF73B-3294-4BC1-95AC-41D6C9421F1B}"/>
    <cellStyle name="Normal 4 2 36 2 2 8" xfId="12483" xr:uid="{C4FA992A-F070-4751-A5B4-0BAF83FA3618}"/>
    <cellStyle name="Normal 4 2 36 2 3" xfId="12484" xr:uid="{3B5547E4-1FBC-41B4-B14D-AC44A320B81B}"/>
    <cellStyle name="Normal 4 2 36 2 4" xfId="12485" xr:uid="{A9369333-380F-4959-8DF7-E832C2A908C3}"/>
    <cellStyle name="Normal 4 2 36 2 5" xfId="12486" xr:uid="{80FAC011-9A14-4D99-AC60-C400C4975271}"/>
    <cellStyle name="Normal 4 2 36 2 6" xfId="12487" xr:uid="{B906B221-6036-42A7-8B29-23A4D1A37BA7}"/>
    <cellStyle name="Normal 4 2 36 2 7" xfId="12488" xr:uid="{CA841DEE-BDC8-4611-BEF0-7FFD47BB4D34}"/>
    <cellStyle name="Normal 4 2 36 2 8" xfId="12489" xr:uid="{3B1DB4AB-7959-469B-BFD3-A48D0CBDCA6A}"/>
    <cellStyle name="Normal 4 2 36 3" xfId="12490" xr:uid="{58475296-81CC-4A43-BA2D-1F0FF17F015F}"/>
    <cellStyle name="Normal 4 2 36 4" xfId="12491" xr:uid="{51654EBF-E926-49B7-A4A6-A46FFC19450F}"/>
    <cellStyle name="Normal 4 2 36 5" xfId="12492" xr:uid="{EFDF0CB0-4E8D-4697-A2B8-DF4DB1F11403}"/>
    <cellStyle name="Normal 4 2 36 6" xfId="12493" xr:uid="{3191A020-2D68-45B6-ABA7-7828F6660D54}"/>
    <cellStyle name="Normal 4 2 36 7" xfId="12494" xr:uid="{86A548CC-134C-47F8-BCE2-CC4F84F20CB1}"/>
    <cellStyle name="Normal 4 2 36 8" xfId="12495" xr:uid="{0400F62F-065F-4026-8276-CFF82991FEC0}"/>
    <cellStyle name="Normal 4 2 36 9" xfId="12496" xr:uid="{268AC7CB-ADAA-4809-A353-6AF49A4582C9}"/>
    <cellStyle name="Normal 4 2 37" xfId="12497" xr:uid="{E2B979A6-E84E-412A-BDD3-69330E4BC086}"/>
    <cellStyle name="Normal 4 2 37 2" xfId="12498" xr:uid="{1DFB2B24-B5CA-4B92-87E5-2A8D30C729F4}"/>
    <cellStyle name="Normal 4 2 37 3" xfId="12499" xr:uid="{BF73E152-C318-4CF2-9125-B81CADADDE78}"/>
    <cellStyle name="Normal 4 2 37 4" xfId="12500" xr:uid="{756F4C5B-7A4C-4FC2-AF0D-408B1AFE13F0}"/>
    <cellStyle name="Normal 4 2 37 5" xfId="12501" xr:uid="{28AC7E18-723F-448B-9FFB-FC95C31253AC}"/>
    <cellStyle name="Normal 4 2 37 6" xfId="12502" xr:uid="{9E49FE6B-CDB0-4598-91EC-1194B71213B4}"/>
    <cellStyle name="Normal 4 2 37 7" xfId="12503" xr:uid="{BA417F43-9E08-46B1-A94A-F8C4BA963BF1}"/>
    <cellStyle name="Normal 4 2 37 8" xfId="12504" xr:uid="{23B956AA-32A7-432F-8696-686901795441}"/>
    <cellStyle name="Normal 4 2 38" xfId="12505" xr:uid="{37961E68-FA8B-4CE6-A55D-B03274127AB2}"/>
    <cellStyle name="Normal 4 2 39" xfId="12506" xr:uid="{BED3DEBF-EFCF-46D2-B37D-45734DA53C9F}"/>
    <cellStyle name="Normal 4 2 4" xfId="12507" xr:uid="{FFB52334-EDC5-4D99-8B3B-AD718C44199B}"/>
    <cellStyle name="Normal 4 2 40" xfId="12508" xr:uid="{A616823C-4197-4CD3-898A-6785831C78BA}"/>
    <cellStyle name="Normal 4 2 41" xfId="12509" xr:uid="{F9EF3F86-54DA-4E36-B32F-8F430A467B14}"/>
    <cellStyle name="Normal 4 2 42" xfId="12510" xr:uid="{897D0F2A-165A-44D9-9F00-C889534AF452}"/>
    <cellStyle name="Normal 4 2 43" xfId="12511" xr:uid="{9565E131-5C23-46CE-99CE-53EF7311E656}"/>
    <cellStyle name="Normal 4 2 5" xfId="12512" xr:uid="{FC7DC77A-85A2-4152-A6B0-F6415BC6D272}"/>
    <cellStyle name="Normal 4 2 6" xfId="12513" xr:uid="{265B5E2A-1298-432F-B978-AC3403FBCBCB}"/>
    <cellStyle name="Normal 4 2 7" xfId="12514" xr:uid="{10BC1107-D34A-4D5D-B432-EC46C33357AD}"/>
    <cellStyle name="Normal 4 2 8" xfId="12515" xr:uid="{EA911C82-1892-47BB-BD7E-CB7E20FFC92F}"/>
    <cellStyle name="Normal 4 2 9" xfId="12516" xr:uid="{4D82DD2A-E383-4A21-A907-4587918AE77F}"/>
    <cellStyle name="Normal 4 20" xfId="12517" xr:uid="{D04824BF-137B-49EB-918F-F92C1A370EF6}"/>
    <cellStyle name="Normal 4 21" xfId="12518" xr:uid="{39F87B4F-76AF-4661-A87B-4BAB5749E558}"/>
    <cellStyle name="Normal 4 22" xfId="12519" xr:uid="{F72C8D45-75E2-4B9F-B2F9-0F9BD8B077AA}"/>
    <cellStyle name="Normal 4 23" xfId="12520" xr:uid="{478E4831-DDFA-44ED-B6FA-FB8A8F72CC0D}"/>
    <cellStyle name="Normal 4 24" xfId="12521" xr:uid="{7858987F-39B8-4399-8A36-47FE1E4195FF}"/>
    <cellStyle name="Normal 4 25" xfId="12522" xr:uid="{43473B7F-02C9-431F-ACBB-C12068A391AD}"/>
    <cellStyle name="Normal 4 26" xfId="12523" xr:uid="{0E73C14A-F909-404F-8A31-F0276A5E0FD4}"/>
    <cellStyle name="Normal 4 27" xfId="12524" xr:uid="{0282CE0D-9806-44BB-A47A-15F88063AC20}"/>
    <cellStyle name="Normal 4 28" xfId="12525" xr:uid="{A3A82A36-4825-4669-A1FD-D6E863C02C34}"/>
    <cellStyle name="Normal 4 29" xfId="12526" xr:uid="{F4C3306A-94A5-48B9-A768-A9E6F1D25FE1}"/>
    <cellStyle name="Normal 4 3" xfId="12527" xr:uid="{A4D98187-7727-4B34-9B22-FBF666769973}"/>
    <cellStyle name="Normal 4 30" xfId="12528" xr:uid="{2E090221-E79D-49FE-A3D1-01948BF8CC84}"/>
    <cellStyle name="Normal 4 30 10" xfId="12529" xr:uid="{23CAC9BA-101C-4916-BE31-9E823487FFEE}"/>
    <cellStyle name="Normal 4 30 10 2" xfId="12530" xr:uid="{45B172D3-48ED-442F-92E7-93B9401D4330}"/>
    <cellStyle name="Normal 4 30 10 2 2" xfId="12531" xr:uid="{07C750B6-AB6D-495D-A0BE-643CF332EF22}"/>
    <cellStyle name="Normal 4 30 10 2 2 2" xfId="12532" xr:uid="{1139860B-155D-4449-BB09-7CDAA0413CBA}"/>
    <cellStyle name="Normal 4 30 10 2 2 3" xfId="12533" xr:uid="{F088951F-9BCC-445B-B2D9-8F404EAA5B63}"/>
    <cellStyle name="Normal 4 30 10 2 2 4" xfId="12534" xr:uid="{C197D04C-08F4-464E-94C4-5D5202C0252A}"/>
    <cellStyle name="Normal 4 30 10 2 2 5" xfId="12535" xr:uid="{0A4BF5A1-A9EC-4CDD-BEAC-B6C45F13B7F6}"/>
    <cellStyle name="Normal 4 30 10 2 2 6" xfId="12536" xr:uid="{EFA10BE8-A7D8-4369-B4D1-E0B2EBECFFA6}"/>
    <cellStyle name="Normal 4 30 10 2 2 7" xfId="12537" xr:uid="{18F3AB0C-CEAD-4ACC-8C62-0E7DC07F5D80}"/>
    <cellStyle name="Normal 4 30 10 2 2 8" xfId="12538" xr:uid="{A09C4C8C-4999-47F5-BC9E-E27597E458B9}"/>
    <cellStyle name="Normal 4 30 10 2 3" xfId="12539" xr:uid="{8D3B0C07-A50A-42FF-A4EA-1A84B2EAB999}"/>
    <cellStyle name="Normal 4 30 10 2 4" xfId="12540" xr:uid="{16F6BD72-CF7B-43FC-82CE-7A639167294E}"/>
    <cellStyle name="Normal 4 30 10 2 5" xfId="12541" xr:uid="{3D8FBB1D-261E-4261-BC37-A51FB0AFC46D}"/>
    <cellStyle name="Normal 4 30 10 2 6" xfId="12542" xr:uid="{761154D3-4596-428C-B11C-959B90720F91}"/>
    <cellStyle name="Normal 4 30 10 2 7" xfId="12543" xr:uid="{32DE689E-8D6B-44FD-A821-A844C29FAA83}"/>
    <cellStyle name="Normal 4 30 10 2 8" xfId="12544" xr:uid="{7DC36F3B-EE6F-4A5F-914A-9BE9363C5DF0}"/>
    <cellStyle name="Normal 4 30 10 3" xfId="12545" xr:uid="{3B252852-6A71-4886-BC61-50D4381D1287}"/>
    <cellStyle name="Normal 4 30 10 4" xfId="12546" xr:uid="{E2C60D5B-87F3-40C3-B5AC-13CE620A0BCC}"/>
    <cellStyle name="Normal 4 30 10 5" xfId="12547" xr:uid="{55B33A2B-3BBD-4CBA-B2BC-8F12CD56D815}"/>
    <cellStyle name="Normal 4 30 10 6" xfId="12548" xr:uid="{ED10B450-BCA3-4FDF-B0B2-BAA0080D5EFB}"/>
    <cellStyle name="Normal 4 30 10 7" xfId="12549" xr:uid="{8CB697D0-457F-4492-BE55-BB190CC31211}"/>
    <cellStyle name="Normal 4 30 10 8" xfId="12550" xr:uid="{9D05E118-47A3-47DD-83C9-9BB66F7F064E}"/>
    <cellStyle name="Normal 4 30 10 9" xfId="12551" xr:uid="{35AAD3DE-4B8F-4A37-B269-2B072508F7A8}"/>
    <cellStyle name="Normal 4 30 11" xfId="12552" xr:uid="{E91F8771-2BF9-43B9-880F-D217AE59BAE5}"/>
    <cellStyle name="Normal 4 30 11 2" xfId="12553" xr:uid="{58FD2C0B-F8D9-4BBB-8466-2E1B92347CF1}"/>
    <cellStyle name="Normal 4 30 11 3" xfId="12554" xr:uid="{3BB90A8B-39E8-431B-888B-B9992FC186BF}"/>
    <cellStyle name="Normal 4 30 11 4" xfId="12555" xr:uid="{67D8621B-1517-455C-A92D-54D8489C63E2}"/>
    <cellStyle name="Normal 4 30 11 5" xfId="12556" xr:uid="{64D08438-3B21-4FAC-B5F0-BCEC0ED4DDB3}"/>
    <cellStyle name="Normal 4 30 11 6" xfId="12557" xr:uid="{CBD1A550-6A94-4A90-9087-EB6C85973517}"/>
    <cellStyle name="Normal 4 30 11 7" xfId="12558" xr:uid="{7E1D7424-BDEE-4A52-BE0A-D2945426391E}"/>
    <cellStyle name="Normal 4 30 11 8" xfId="12559" xr:uid="{6525A10F-32DC-477A-92D7-6526405FE99C}"/>
    <cellStyle name="Normal 4 30 12" xfId="12560" xr:uid="{2AE6D963-CA2B-40E1-ADF7-A278C753D57C}"/>
    <cellStyle name="Normal 4 30 13" xfId="12561" xr:uid="{CBA51766-AFC2-42DF-A83A-871C708EC7BA}"/>
    <cellStyle name="Normal 4 30 14" xfId="12562" xr:uid="{FD8B6E93-2E76-4C9A-92E2-A53B0F72400B}"/>
    <cellStyle name="Normal 4 30 15" xfId="12563" xr:uid="{C066E4FD-0E9E-442C-A447-69B57253C894}"/>
    <cellStyle name="Normal 4 30 16" xfId="12564" xr:uid="{0C036C46-0ECE-4292-9CBA-392110DFE84B}"/>
    <cellStyle name="Normal 4 30 17" xfId="12565" xr:uid="{DF17ED15-B70A-4D22-9123-D5EF6C7BC223}"/>
    <cellStyle name="Normal 4 30 2" xfId="12566" xr:uid="{94C48C7E-93DE-4DC7-A238-4A7B56CB6FE4}"/>
    <cellStyle name="Normal 4 30 2 10" xfId="12567" xr:uid="{972E9FA2-64F7-4A09-B13E-813A3C9CB08C}"/>
    <cellStyle name="Normal 4 30 2 10 2" xfId="12568" xr:uid="{BFD82A9B-8A40-4DF4-8CF0-04564834A816}"/>
    <cellStyle name="Normal 4 30 2 10 2 2" xfId="12569" xr:uid="{1ED34026-1128-4013-977C-32A037E6C985}"/>
    <cellStyle name="Normal 4 30 2 10 2 2 2" xfId="12570" xr:uid="{213A624B-521E-4C19-924D-5DD39BF906A5}"/>
    <cellStyle name="Normal 4 30 2 10 2 2 3" xfId="12571" xr:uid="{AE20A881-EA0E-400E-944E-7AB1565A6C8C}"/>
    <cellStyle name="Normal 4 30 2 10 2 2 4" xfId="12572" xr:uid="{D34A7FFC-4ABE-418D-B607-42401E9AEC26}"/>
    <cellStyle name="Normal 4 30 2 10 2 2 5" xfId="12573" xr:uid="{ABFC0EB0-644E-46EE-9EDC-A430BF2ED712}"/>
    <cellStyle name="Normal 4 30 2 10 2 2 6" xfId="12574" xr:uid="{2E2ABB86-1916-4522-B696-696131F99D39}"/>
    <cellStyle name="Normal 4 30 2 10 2 2 7" xfId="12575" xr:uid="{CA1F2E61-61E0-4954-B148-BCE66FC49232}"/>
    <cellStyle name="Normal 4 30 2 10 2 2 8" xfId="12576" xr:uid="{BFAE0D8A-84A7-4A9C-9D4F-596D019082A2}"/>
    <cellStyle name="Normal 4 30 2 10 2 3" xfId="12577" xr:uid="{AD7A6457-AEE8-47FD-8ECE-A228E5F01CF6}"/>
    <cellStyle name="Normal 4 30 2 10 2 4" xfId="12578" xr:uid="{F5491735-814C-4379-96F4-0C908F1CF51E}"/>
    <cellStyle name="Normal 4 30 2 10 2 5" xfId="12579" xr:uid="{4E859B75-1901-4912-8AF0-CAA5EEF9FBF8}"/>
    <cellStyle name="Normal 4 30 2 10 2 6" xfId="12580" xr:uid="{968ABE99-372B-436B-BE6B-627A9807994C}"/>
    <cellStyle name="Normal 4 30 2 10 2 7" xfId="12581" xr:uid="{B495D8DB-A616-4B1C-B5DA-64626F39A218}"/>
    <cellStyle name="Normal 4 30 2 10 2 8" xfId="12582" xr:uid="{CE59CD3A-C616-4049-A560-CEBE6CB2A068}"/>
    <cellStyle name="Normal 4 30 2 10 3" xfId="12583" xr:uid="{62FAD2BB-48C4-410F-9B57-2243B14E4CBE}"/>
    <cellStyle name="Normal 4 30 2 10 4" xfId="12584" xr:uid="{3DF1E43D-BF75-4874-AE01-104EBA608976}"/>
    <cellStyle name="Normal 4 30 2 10 5" xfId="12585" xr:uid="{2A479156-5042-4F5B-A769-164CE1013552}"/>
    <cellStyle name="Normal 4 30 2 10 6" xfId="12586" xr:uid="{E775A7E1-9036-41CF-8F49-D70457A02FFA}"/>
    <cellStyle name="Normal 4 30 2 10 7" xfId="12587" xr:uid="{23FE0D39-E884-4166-B36D-E6C6A157F455}"/>
    <cellStyle name="Normal 4 30 2 10 8" xfId="12588" xr:uid="{4FE678A6-9639-4AF0-AE75-0BA80C58FBB9}"/>
    <cellStyle name="Normal 4 30 2 10 9" xfId="12589" xr:uid="{7FF361D5-5EA0-43EA-AE39-30DE75F876D2}"/>
    <cellStyle name="Normal 4 30 2 11" xfId="12590" xr:uid="{FC73C2A8-F92C-4859-A8F1-8EFCA46597EE}"/>
    <cellStyle name="Normal 4 30 2 11 2" xfId="12591" xr:uid="{3C036C95-5DA0-4266-8DC5-CDCB44FAF0B0}"/>
    <cellStyle name="Normal 4 30 2 11 3" xfId="12592" xr:uid="{8B9377EF-8A70-4563-877B-36C1BD0A4D33}"/>
    <cellStyle name="Normal 4 30 2 11 4" xfId="12593" xr:uid="{E1819FAB-E53B-475F-8F82-AF477B160316}"/>
    <cellStyle name="Normal 4 30 2 11 5" xfId="12594" xr:uid="{620146C4-50D1-4947-9F9C-7E622F217368}"/>
    <cellStyle name="Normal 4 30 2 11 6" xfId="12595" xr:uid="{DC061B39-17C4-4D12-A450-7C161532C473}"/>
    <cellStyle name="Normal 4 30 2 11 7" xfId="12596" xr:uid="{2AB34721-7C91-4A1E-B6D8-5F66F48EF945}"/>
    <cellStyle name="Normal 4 30 2 11 8" xfId="12597" xr:uid="{41D9A727-8583-42BA-8622-96938E6FEBA4}"/>
    <cellStyle name="Normal 4 30 2 12" xfId="12598" xr:uid="{8B13649B-5812-4A0F-9FFD-D7EA9EAAD0CF}"/>
    <cellStyle name="Normal 4 30 2 13" xfId="12599" xr:uid="{DFC22167-5C76-40C8-8A5E-C27CECC72BE0}"/>
    <cellStyle name="Normal 4 30 2 14" xfId="12600" xr:uid="{85657D9C-7745-496D-BE63-560B5A68680C}"/>
    <cellStyle name="Normal 4 30 2 15" xfId="12601" xr:uid="{D3D687F8-D3A0-43C4-8FAF-58E9D2192E35}"/>
    <cellStyle name="Normal 4 30 2 16" xfId="12602" xr:uid="{2D3B8E81-F804-42A4-BEE2-20463B33E4F3}"/>
    <cellStyle name="Normal 4 30 2 17" xfId="12603" xr:uid="{A88D29A9-D9A5-4FEF-8C28-6A181A40D1EE}"/>
    <cellStyle name="Normal 4 30 2 2" xfId="12604" xr:uid="{68AF6B49-CD95-4C92-AECB-BF3F3636A4F9}"/>
    <cellStyle name="Normal 4 30 2 2 10" xfId="12605" xr:uid="{0861075D-E5DF-409B-91C2-0256480F642E}"/>
    <cellStyle name="Normal 4 30 2 2 2" xfId="12606" xr:uid="{609D974A-AA5B-4BC4-A53D-76D61B9B7920}"/>
    <cellStyle name="Normal 4 30 2 2 2 2" xfId="12607" xr:uid="{F545EAC9-6AE6-49A5-A296-795E1C4A01F9}"/>
    <cellStyle name="Normal 4 30 2 2 2 2 2" xfId="12608" xr:uid="{F5024671-4B54-415A-9BE9-BC1B83433718}"/>
    <cellStyle name="Normal 4 30 2 2 2 2 2 2" xfId="12609" xr:uid="{21215B32-BD51-4E65-866B-F69BEB9C9131}"/>
    <cellStyle name="Normal 4 30 2 2 2 2 2 3" xfId="12610" xr:uid="{9409B6D6-3A80-4EF5-86BE-E4B73020828A}"/>
    <cellStyle name="Normal 4 30 2 2 2 2 2 4" xfId="12611" xr:uid="{0C95DCAE-8069-43F1-9BD2-5F8A95712BE1}"/>
    <cellStyle name="Normal 4 30 2 2 2 2 2 5" xfId="12612" xr:uid="{C60705E4-AED1-479C-B03B-301193C9DEEA}"/>
    <cellStyle name="Normal 4 30 2 2 2 2 2 6" xfId="12613" xr:uid="{EE9DE513-37B6-466C-90E5-1E41A4EE1D44}"/>
    <cellStyle name="Normal 4 30 2 2 2 2 2 7" xfId="12614" xr:uid="{25708880-A63A-4995-8838-0F316B441F92}"/>
    <cellStyle name="Normal 4 30 2 2 2 2 2 8" xfId="12615" xr:uid="{6FABB549-F887-47BB-B742-6FDBE84DA82B}"/>
    <cellStyle name="Normal 4 30 2 2 2 2 3" xfId="12616" xr:uid="{802D7E49-7B64-4316-8044-4B7EC937139C}"/>
    <cellStyle name="Normal 4 30 2 2 2 2 4" xfId="12617" xr:uid="{A7511B1D-59F9-4A35-AF5E-CC6F7F8AE206}"/>
    <cellStyle name="Normal 4 30 2 2 2 2 5" xfId="12618" xr:uid="{4D07E672-6136-415A-817C-3C37A43F740C}"/>
    <cellStyle name="Normal 4 30 2 2 2 2 6" xfId="12619" xr:uid="{AAC43498-4B28-404B-BB5D-A4E26F4414DA}"/>
    <cellStyle name="Normal 4 30 2 2 2 2 7" xfId="12620" xr:uid="{5DDE69B8-BF19-48CA-B670-67399EAFD935}"/>
    <cellStyle name="Normal 4 30 2 2 2 2 8" xfId="12621" xr:uid="{892EB0A5-B091-4A7A-B28E-0E3F65E83C73}"/>
    <cellStyle name="Normal 4 30 2 2 2 3" xfId="12622" xr:uid="{0D4A1244-9496-4677-92BB-B908D2431580}"/>
    <cellStyle name="Normal 4 30 2 2 2 4" xfId="12623" xr:uid="{4F2B0123-BD27-4595-81F4-91851AB0F4E1}"/>
    <cellStyle name="Normal 4 30 2 2 2 5" xfId="12624" xr:uid="{F7D7B5EA-D51A-4070-A31E-E7453EEED79C}"/>
    <cellStyle name="Normal 4 30 2 2 2 6" xfId="12625" xr:uid="{FE516A72-E028-4DAD-B6D2-5D5F551B0DA3}"/>
    <cellStyle name="Normal 4 30 2 2 2 7" xfId="12626" xr:uid="{5AAEB491-0666-49CC-8A07-2F165015CAEE}"/>
    <cellStyle name="Normal 4 30 2 2 2 8" xfId="12627" xr:uid="{2E44CD4D-3E53-40BC-9C19-0882A84A7BE8}"/>
    <cellStyle name="Normal 4 30 2 2 2 9" xfId="12628" xr:uid="{3DAB8135-0D09-497F-A438-4CFFE77E8788}"/>
    <cellStyle name="Normal 4 30 2 2 3" xfId="12629" xr:uid="{B08943C7-38B2-4A28-96F2-5948B0E7163B}"/>
    <cellStyle name="Normal 4 30 2 2 4" xfId="12630" xr:uid="{1D4E4D7A-FC91-44B7-A62D-C83B6B265CD2}"/>
    <cellStyle name="Normal 4 30 2 2 4 2" xfId="12631" xr:uid="{FA4F9A7C-5592-4289-8D01-F5081C98BEA1}"/>
    <cellStyle name="Normal 4 30 2 2 4 3" xfId="12632" xr:uid="{7D47238B-0D72-476E-B141-C8231A0CE3D8}"/>
    <cellStyle name="Normal 4 30 2 2 4 4" xfId="12633" xr:uid="{6D63687E-5682-46A5-BDD0-EBFA7503A2FA}"/>
    <cellStyle name="Normal 4 30 2 2 4 5" xfId="12634" xr:uid="{A6E78476-690F-4910-9931-A3B9DC1E2178}"/>
    <cellStyle name="Normal 4 30 2 2 4 6" xfId="12635" xr:uid="{E193A3D4-548E-426C-9E4B-2DC4A33F6399}"/>
    <cellStyle name="Normal 4 30 2 2 4 7" xfId="12636" xr:uid="{39B383D0-504C-408D-A411-7AE8DBCDF262}"/>
    <cellStyle name="Normal 4 30 2 2 4 8" xfId="12637" xr:uid="{ABE719A1-D5F9-4C4A-896B-1C829B64D48C}"/>
    <cellStyle name="Normal 4 30 2 2 5" xfId="12638" xr:uid="{3B717F82-3A84-4680-B07E-CFDBEF265D7A}"/>
    <cellStyle name="Normal 4 30 2 2 6" xfId="12639" xr:uid="{074E0E37-6C88-4989-B133-42574E2CBEBF}"/>
    <cellStyle name="Normal 4 30 2 2 7" xfId="12640" xr:uid="{061C3049-F632-4984-B1DD-42E6228D6D4A}"/>
    <cellStyle name="Normal 4 30 2 2 8" xfId="12641" xr:uid="{4C70ACA6-88C4-4E5B-949A-6B1E2814A451}"/>
    <cellStyle name="Normal 4 30 2 2 9" xfId="12642" xr:uid="{17B8D3AA-202F-405E-A415-B987729AF97B}"/>
    <cellStyle name="Normal 4 30 2 3" xfId="12643" xr:uid="{4A01EF8A-3523-426E-BA68-A0CBF9607003}"/>
    <cellStyle name="Normal 4 30 2 4" xfId="12644" xr:uid="{3FC140D7-77EE-4080-9C83-65BB81B03BF4}"/>
    <cellStyle name="Normal 4 30 2 5" xfId="12645" xr:uid="{DCA0CF00-CA3D-42C7-ACF5-4F0C37BAACAB}"/>
    <cellStyle name="Normal 4 30 2 6" xfId="12646" xr:uid="{0907A0BA-023D-4174-82BE-8B48E4D2E8DD}"/>
    <cellStyle name="Normal 4 30 2 7" xfId="12647" xr:uid="{6062826B-DADD-4011-943D-5ABBBB60E9EF}"/>
    <cellStyle name="Normal 4 30 2 8" xfId="12648" xr:uid="{53279610-0173-4341-837A-B856AE314BAF}"/>
    <cellStyle name="Normal 4 30 2 9" xfId="12649" xr:uid="{9B53ABB6-FF2A-4DC4-B8C8-715910759589}"/>
    <cellStyle name="Normal 4 30 3" xfId="12650" xr:uid="{80797A2D-F9D7-486A-927E-BB4BDE5D073B}"/>
    <cellStyle name="Normal 4 30 3 10" xfId="12651" xr:uid="{B2F69690-66C1-4CA3-9918-094808234B44}"/>
    <cellStyle name="Normal 4 30 3 2" xfId="12652" xr:uid="{87075901-44C8-44A2-AFD4-B0A70C620FDB}"/>
    <cellStyle name="Normal 4 30 3 2 2" xfId="12653" xr:uid="{14DF2DC3-AB3B-44DF-8CCA-A6F80BE0CEAC}"/>
    <cellStyle name="Normal 4 30 3 2 2 2" xfId="12654" xr:uid="{BC567BAE-564F-4C0C-B9E5-AB6E42823C1A}"/>
    <cellStyle name="Normal 4 30 3 2 2 2 2" xfId="12655" xr:uid="{08EB1BF9-7542-421D-A146-70BAA84DCFF1}"/>
    <cellStyle name="Normal 4 30 3 2 2 2 3" xfId="12656" xr:uid="{9F9BA266-0ACB-483A-A36A-B546DA37975C}"/>
    <cellStyle name="Normal 4 30 3 2 2 2 4" xfId="12657" xr:uid="{EA235756-4ADA-47E4-9C7E-BB14A9795754}"/>
    <cellStyle name="Normal 4 30 3 2 2 2 5" xfId="12658" xr:uid="{0E04FB64-4569-4B5E-98FB-CAD091931BE7}"/>
    <cellStyle name="Normal 4 30 3 2 2 2 6" xfId="12659" xr:uid="{E3D1ACDF-0AB2-4C22-AEAA-A4BC14A163A4}"/>
    <cellStyle name="Normal 4 30 3 2 2 2 7" xfId="12660" xr:uid="{9FAADF2D-CF97-4690-9B4C-02CA170F385F}"/>
    <cellStyle name="Normal 4 30 3 2 2 2 8" xfId="12661" xr:uid="{0F5C1B1F-CBB8-4231-98A9-0CB3FBFB2FD9}"/>
    <cellStyle name="Normal 4 30 3 2 2 3" xfId="12662" xr:uid="{AACD1C7A-CA40-413F-97A5-6AA73F10D068}"/>
    <cellStyle name="Normal 4 30 3 2 2 4" xfId="12663" xr:uid="{653BF6DE-78C6-49F8-A63C-A83404E0F368}"/>
    <cellStyle name="Normal 4 30 3 2 2 5" xfId="12664" xr:uid="{44B43F82-419C-4B5F-BFA7-63C6CC3DBB41}"/>
    <cellStyle name="Normal 4 30 3 2 2 6" xfId="12665" xr:uid="{74B68EB5-3A95-4C60-B163-8E31A2007752}"/>
    <cellStyle name="Normal 4 30 3 2 2 7" xfId="12666" xr:uid="{2DCDB90C-BF1E-47D5-83A1-B86C7024434F}"/>
    <cellStyle name="Normal 4 30 3 2 2 8" xfId="12667" xr:uid="{74F98B47-4DBF-44CE-88B5-EF21C7714BA6}"/>
    <cellStyle name="Normal 4 30 3 2 3" xfId="12668" xr:uid="{5DEBFB90-B180-458D-AE1E-CD244A13F4ED}"/>
    <cellStyle name="Normal 4 30 3 2 4" xfId="12669" xr:uid="{5F65F914-29B5-434D-BBE2-F8154D5156F8}"/>
    <cellStyle name="Normal 4 30 3 2 5" xfId="12670" xr:uid="{9731B0CB-0603-4447-93AD-8903C4E24787}"/>
    <cellStyle name="Normal 4 30 3 2 6" xfId="12671" xr:uid="{C14148C1-B170-408E-8970-2C02AA74B436}"/>
    <cellStyle name="Normal 4 30 3 2 7" xfId="12672" xr:uid="{CFD4E019-1D06-4D99-BF21-CB662E29648B}"/>
    <cellStyle name="Normal 4 30 3 2 8" xfId="12673" xr:uid="{62E5F574-C322-4C6A-90F6-0191C87BA65C}"/>
    <cellStyle name="Normal 4 30 3 2 9" xfId="12674" xr:uid="{160AF661-E154-47FD-AC0B-E4A348906CD4}"/>
    <cellStyle name="Normal 4 30 3 3" xfId="12675" xr:uid="{46406112-910C-4FF8-A5A1-F776960CF0F0}"/>
    <cellStyle name="Normal 4 30 3 4" xfId="12676" xr:uid="{C8E91F35-8216-4A4A-889C-2B8A4D573387}"/>
    <cellStyle name="Normal 4 30 3 4 2" xfId="12677" xr:uid="{6CBC2A7D-8111-46C0-A61A-54319B50C22D}"/>
    <cellStyle name="Normal 4 30 3 4 3" xfId="12678" xr:uid="{144E24FA-6189-4F80-91BD-93AE457BE093}"/>
    <cellStyle name="Normal 4 30 3 4 4" xfId="12679" xr:uid="{D521CFCA-47F0-47A1-B8D8-16C9B522426F}"/>
    <cellStyle name="Normal 4 30 3 4 5" xfId="12680" xr:uid="{4FE14A0B-53FF-4B5F-8A32-773C919E4A1A}"/>
    <cellStyle name="Normal 4 30 3 4 6" xfId="12681" xr:uid="{43CC47D3-DD6B-401B-BBC6-74CDCBB39561}"/>
    <cellStyle name="Normal 4 30 3 4 7" xfId="12682" xr:uid="{DDAEA952-3C44-4F7A-8599-07F3E05AABD5}"/>
    <cellStyle name="Normal 4 30 3 4 8" xfId="12683" xr:uid="{1E174150-3520-480A-AAB6-D67FFEF31829}"/>
    <cellStyle name="Normal 4 30 3 5" xfId="12684" xr:uid="{6C78D74F-DA11-4224-9DC7-F3EC0439FCD1}"/>
    <cellStyle name="Normal 4 30 3 6" xfId="12685" xr:uid="{791F93D1-DEBE-4264-9C05-76604473BBD9}"/>
    <cellStyle name="Normal 4 30 3 7" xfId="12686" xr:uid="{7D9A83FF-DFFC-4E8B-A284-9EC3861B6FFD}"/>
    <cellStyle name="Normal 4 30 3 8" xfId="12687" xr:uid="{BAFAFC45-879B-494E-B2C2-130CF0EBE789}"/>
    <cellStyle name="Normal 4 30 3 9" xfId="12688" xr:uid="{25D1CA06-F67D-4DB5-805B-F04EF402D8BF}"/>
    <cellStyle name="Normal 4 30 4" xfId="12689" xr:uid="{F8C7A22D-1383-475D-A5FE-8C17FB1F700C}"/>
    <cellStyle name="Normal 4 30 5" xfId="12690" xr:uid="{36EBBDEC-6F6B-4808-9055-98F519536ADF}"/>
    <cellStyle name="Normal 4 30 6" xfId="12691" xr:uid="{03F75271-B84D-4CA5-B7C0-C5830A8EC590}"/>
    <cellStyle name="Normal 4 30 7" xfId="12692" xr:uid="{7AD7A850-08D7-46C3-8972-B80A47582515}"/>
    <cellStyle name="Normal 4 30 8" xfId="12693" xr:uid="{27D1E26C-3D94-45D5-8A59-A5E18E884BCB}"/>
    <cellStyle name="Normal 4 30 9" xfId="12694" xr:uid="{893B9A78-1395-422D-ACD1-7462263B12B9}"/>
    <cellStyle name="Normal 4 31" xfId="12695" xr:uid="{E8495BCE-F86B-47A3-A467-C9430949E6E4}"/>
    <cellStyle name="Normal 4 32" xfId="12696" xr:uid="{A1B23AAC-1689-4DDC-AC30-83A9E28609A7}"/>
    <cellStyle name="Normal 4 33" xfId="12697" xr:uid="{8E10F7F2-9C9E-448B-9FCB-AB20EC8C78E7}"/>
    <cellStyle name="Normal 4 34" xfId="12698" xr:uid="{12FBF3F6-5333-4886-80A4-DD974029F54A}"/>
    <cellStyle name="Normal 4 35" xfId="12699" xr:uid="{868CF6FA-9687-4968-8A07-7400C79E8C4D}"/>
    <cellStyle name="Normal 4 35 10" xfId="12700" xr:uid="{7D72388B-0BC7-46AC-BE5B-E00A59E573EA}"/>
    <cellStyle name="Normal 4 35 2" xfId="12701" xr:uid="{62F99E29-6DE7-4A37-8E57-68EE4F45D3B3}"/>
    <cellStyle name="Normal 4 35 2 2" xfId="12702" xr:uid="{BE7523FA-B0B8-4F50-A8B7-92E62A894707}"/>
    <cellStyle name="Normal 4 35 2 2 2" xfId="12703" xr:uid="{C639D93D-BD4D-4538-B28D-873A96E971FB}"/>
    <cellStyle name="Normal 4 35 2 2 2 2" xfId="12704" xr:uid="{E5CDF8DA-7A9C-4A0C-A214-5EF5F1914698}"/>
    <cellStyle name="Normal 4 35 2 2 2 3" xfId="12705" xr:uid="{7316F4B8-B767-4975-B563-72661D09BD65}"/>
    <cellStyle name="Normal 4 35 2 2 2 4" xfId="12706" xr:uid="{DF4DA4D4-22AF-499F-B9DD-0C36584E441F}"/>
    <cellStyle name="Normal 4 35 2 2 2 5" xfId="12707" xr:uid="{B93B8ECA-34DF-45C2-9994-0D4963B45A50}"/>
    <cellStyle name="Normal 4 35 2 2 2 6" xfId="12708" xr:uid="{7B523E4C-F7A8-4ED9-86FA-2640AC5753B8}"/>
    <cellStyle name="Normal 4 35 2 2 2 7" xfId="12709" xr:uid="{2C05DDEE-0B72-41B5-BAAC-80343DDDA838}"/>
    <cellStyle name="Normal 4 35 2 2 2 8" xfId="12710" xr:uid="{D491DC26-38F1-4F20-9436-449C8AF7D23E}"/>
    <cellStyle name="Normal 4 35 2 2 3" xfId="12711" xr:uid="{D4A5E9E5-5E72-4E39-B5E0-390358FA624E}"/>
    <cellStyle name="Normal 4 35 2 2 4" xfId="12712" xr:uid="{A87EC89F-5436-40AA-A4AA-2D594DCDE54C}"/>
    <cellStyle name="Normal 4 35 2 2 5" xfId="12713" xr:uid="{2B799FC8-F800-49BB-945B-AB3E1E1EF8E0}"/>
    <cellStyle name="Normal 4 35 2 2 6" xfId="12714" xr:uid="{09E50019-7921-44B0-8759-2B82012B104B}"/>
    <cellStyle name="Normal 4 35 2 2 7" xfId="12715" xr:uid="{4F0B0255-5D02-45CB-9383-94F7B6883126}"/>
    <cellStyle name="Normal 4 35 2 2 8" xfId="12716" xr:uid="{FBEED60B-2B2B-41DB-8627-AB7DB3DFCFD0}"/>
    <cellStyle name="Normal 4 35 2 3" xfId="12717" xr:uid="{B1427C40-9B1B-45F1-ACB8-EE50EB297D48}"/>
    <cellStyle name="Normal 4 35 2 4" xfId="12718" xr:uid="{DE068E29-6F23-4237-8C14-06058843E635}"/>
    <cellStyle name="Normal 4 35 2 5" xfId="12719" xr:uid="{7CD2A32C-EB70-4186-BFFA-D839C3AD5308}"/>
    <cellStyle name="Normal 4 35 2 6" xfId="12720" xr:uid="{E04C2EB2-65B1-43FE-99DC-9DA253B802EA}"/>
    <cellStyle name="Normal 4 35 2 7" xfId="12721" xr:uid="{636CE9EA-30A5-4AF5-AA90-75B016C81A1C}"/>
    <cellStyle name="Normal 4 35 2 8" xfId="12722" xr:uid="{0BCF8566-E05C-4B57-BB63-938CB948B752}"/>
    <cellStyle name="Normal 4 35 2 9" xfId="12723" xr:uid="{0518C311-2A7A-4685-9204-FA39B068D69B}"/>
    <cellStyle name="Normal 4 35 3" xfId="12724" xr:uid="{E9EB4E2C-1AD1-40EA-8CC1-BAF54F8B0B20}"/>
    <cellStyle name="Normal 4 35 4" xfId="12725" xr:uid="{C8895A82-A8FB-4DF5-BFC2-EAE50B288044}"/>
    <cellStyle name="Normal 4 35 4 2" xfId="12726" xr:uid="{B869F19C-9446-4248-86C5-17371C8972C0}"/>
    <cellStyle name="Normal 4 35 4 3" xfId="12727" xr:uid="{9F043C20-8AB5-4FEF-9BAB-916324A7F198}"/>
    <cellStyle name="Normal 4 35 4 4" xfId="12728" xr:uid="{E0DD8154-945D-4AAF-AFE4-5D5CF6C2B3FE}"/>
    <cellStyle name="Normal 4 35 4 5" xfId="12729" xr:uid="{D4DC9592-A0C5-4054-82C5-197DA68EAF90}"/>
    <cellStyle name="Normal 4 35 4 6" xfId="12730" xr:uid="{E0F21F7C-443D-475C-B5B9-EBEAE21F65E3}"/>
    <cellStyle name="Normal 4 35 4 7" xfId="12731" xr:uid="{AE9234D1-147B-4A11-B3C3-9C8463B656C3}"/>
    <cellStyle name="Normal 4 35 4 8" xfId="12732" xr:uid="{878F12CE-9925-47BB-B305-5176D5DCFB56}"/>
    <cellStyle name="Normal 4 35 5" xfId="12733" xr:uid="{165F7555-62B9-40EA-AF21-9105244A5E27}"/>
    <cellStyle name="Normal 4 35 6" xfId="12734" xr:uid="{307C8574-76E5-4B0F-825D-87B17A69AAB4}"/>
    <cellStyle name="Normal 4 35 7" xfId="12735" xr:uid="{21934495-2038-493D-844F-52EFD05634F1}"/>
    <cellStyle name="Normal 4 35 8" xfId="12736" xr:uid="{863F2012-6328-47C1-A25A-A6DC0CFC8F02}"/>
    <cellStyle name="Normal 4 35 9" xfId="12737" xr:uid="{5F93DD9C-A21B-43D5-88FB-5B3C7FDBF1FD}"/>
    <cellStyle name="Normal 4 36" xfId="12738" xr:uid="{E5D75B65-87CD-41EA-8C66-A58AB76B35B5}"/>
    <cellStyle name="Normal 4 37" xfId="12739" xr:uid="{8B2BC573-9A56-42AB-94E5-9481793B5537}"/>
    <cellStyle name="Normal 4 38" xfId="12740" xr:uid="{2D8EA236-2464-4290-8622-2B658A5BBCC4}"/>
    <cellStyle name="Normal 4 39" xfId="12741" xr:uid="{DCD69F38-4BD3-463E-A1B8-D725DFC637BF}"/>
    <cellStyle name="Normal 4 4" xfId="12742" xr:uid="{27051793-A1DD-42F1-A9C0-A42D79E63C3A}"/>
    <cellStyle name="Normal 4 40" xfId="12743" xr:uid="{309F341F-9949-43A8-B4B0-6C034D38A3C7}"/>
    <cellStyle name="Normal 4 41" xfId="12744" xr:uid="{34965283-D492-45EF-92A0-5CDC564F0199}"/>
    <cellStyle name="Normal 4 42" xfId="12745" xr:uid="{3DED03C1-3464-4A7D-B597-36D7D2650EA1}"/>
    <cellStyle name="Normal 4 43" xfId="12746" xr:uid="{36FD603E-0AF5-4ADF-9E46-83C365C64133}"/>
    <cellStyle name="Normal 4 43 2" xfId="12747" xr:uid="{80F8F7D8-78DA-4C7C-8D3D-5BEF265281C2}"/>
    <cellStyle name="Normal 4 43 2 2" xfId="12748" xr:uid="{7A43C877-4EF0-4314-AD57-2F2C85570534}"/>
    <cellStyle name="Normal 4 43 2 2 2" xfId="12749" xr:uid="{56AFAB18-AD21-4EC8-8AE5-640BA971E88D}"/>
    <cellStyle name="Normal 4 43 2 2 3" xfId="12750" xr:uid="{1A944824-0A33-43D0-819B-01BD41798505}"/>
    <cellStyle name="Normal 4 43 2 2 4" xfId="12751" xr:uid="{524529EE-4C0B-42D6-B2AD-7E22F93F2FD1}"/>
    <cellStyle name="Normal 4 43 2 2 5" xfId="12752" xr:uid="{07A82C26-AF61-480C-B540-65FB20E246C6}"/>
    <cellStyle name="Normal 4 43 2 2 6" xfId="12753" xr:uid="{5104B854-7742-41CD-8725-313F3A5E9BEE}"/>
    <cellStyle name="Normal 4 43 2 2 7" xfId="12754" xr:uid="{0D8AE832-B546-4A76-B425-539757420AFD}"/>
    <cellStyle name="Normal 4 43 2 2 8" xfId="12755" xr:uid="{8FA5EB83-6CE6-4B79-B039-702F7C36B2ED}"/>
    <cellStyle name="Normal 4 43 2 3" xfId="12756" xr:uid="{D39C62AA-EFC9-4722-9976-95F372E23496}"/>
    <cellStyle name="Normal 4 43 2 4" xfId="12757" xr:uid="{C829BC40-9D8F-4151-BBC0-55C447EF32C9}"/>
    <cellStyle name="Normal 4 43 2 5" xfId="12758" xr:uid="{EDC7C107-B00F-46AC-A989-3169EC8C9A49}"/>
    <cellStyle name="Normal 4 43 2 6" xfId="12759" xr:uid="{7F35C2F3-2378-433C-A137-6824AB05FDE4}"/>
    <cellStyle name="Normal 4 43 2 7" xfId="12760" xr:uid="{ADC14BE2-38E5-464D-BA77-AC5ADBFDF244}"/>
    <cellStyle name="Normal 4 43 2 8" xfId="12761" xr:uid="{63348332-9844-425F-AAA7-20A6866471CD}"/>
    <cellStyle name="Normal 4 43 3" xfId="12762" xr:uid="{E06B4B00-5DEF-4D36-BBBA-6F9C43D898DC}"/>
    <cellStyle name="Normal 4 43 4" xfId="12763" xr:uid="{3054AF90-86FF-4B44-96A7-403754275814}"/>
    <cellStyle name="Normal 4 43 5" xfId="12764" xr:uid="{84681061-0FA6-4B45-82B1-B93D9FFDCA54}"/>
    <cellStyle name="Normal 4 43 6" xfId="12765" xr:uid="{2130199F-EB91-406D-9121-ACAF26D30B16}"/>
    <cellStyle name="Normal 4 43 7" xfId="12766" xr:uid="{96507507-6C03-4372-ABEA-77CC0F21FEA4}"/>
    <cellStyle name="Normal 4 43 8" xfId="12767" xr:uid="{EB5EBFBD-B70D-47B2-9455-2212A1099C77}"/>
    <cellStyle name="Normal 4 43 9" xfId="12768" xr:uid="{C6FA2669-1D72-4541-871E-819737D2ED09}"/>
    <cellStyle name="Normal 4 44" xfId="12769" xr:uid="{E9EC9283-4C32-49E6-94C7-CFBC3BBD5814}"/>
    <cellStyle name="Normal 4 44 2" xfId="12770" xr:uid="{B90A019E-0049-4204-AA37-222383C25B10}"/>
    <cellStyle name="Normal 4 44 3" xfId="12771" xr:uid="{691684CD-4083-4E0F-BEDA-66A0AAE433E1}"/>
    <cellStyle name="Normal 4 44 4" xfId="12772" xr:uid="{8A2E1179-5DF9-4B2B-9EAC-00D7A3C65C94}"/>
    <cellStyle name="Normal 4 44 5" xfId="12773" xr:uid="{265C9C95-CDA1-420B-8C2F-FE7748A106F9}"/>
    <cellStyle name="Normal 4 44 6" xfId="12774" xr:uid="{9772AD09-DDB7-4F51-83E0-980E0E69737F}"/>
    <cellStyle name="Normal 4 44 7" xfId="12775" xr:uid="{55F32DB4-C5CF-4C31-A3B7-FA2587787397}"/>
    <cellStyle name="Normal 4 44 8" xfId="12776" xr:uid="{6A3FC211-77D8-40E8-A90C-0B4DD3A0E8E3}"/>
    <cellStyle name="Normal 4 45" xfId="12777" xr:uid="{81967A21-DE61-4A2F-808E-540275D1866D}"/>
    <cellStyle name="Normal 4 46" xfId="12778" xr:uid="{8C73E237-A1CF-45D1-98F6-B1893428BBB5}"/>
    <cellStyle name="Normal 4 47" xfId="12779" xr:uid="{176A7ED1-58F5-439E-BB96-20CCD4E52DCD}"/>
    <cellStyle name="Normal 4 48" xfId="12780" xr:uid="{3EFF8B4B-8946-4292-BF26-BC5D9CD64A1D}"/>
    <cellStyle name="Normal 4 49" xfId="12781" xr:uid="{BE97F120-C57D-4554-B08B-203C12B05151}"/>
    <cellStyle name="Normal 4 5" xfId="12782" xr:uid="{6EAD8015-8050-4DD5-9B2A-DA58AE5A64D0}"/>
    <cellStyle name="Normal 4 50" xfId="12783" xr:uid="{3A7718D9-EA7C-41B5-83A3-7A8806FD4A58}"/>
    <cellStyle name="Normal 4 51" xfId="13586" xr:uid="{24FEF58F-9C31-4196-A154-7DCB8B245786}"/>
    <cellStyle name="Normal 4 52" xfId="13634" xr:uid="{9CF0C21F-9213-4EA7-8ADC-02AC519AF6FA}"/>
    <cellStyle name="Normal 4 53" xfId="13814" xr:uid="{4A417659-AE6F-429F-AE54-D8F957B7B348}"/>
    <cellStyle name="Normal 4 6" xfId="12784" xr:uid="{06879659-8BEF-4600-9176-6EBF514A3141}"/>
    <cellStyle name="Normal 4 7" xfId="12785" xr:uid="{703D2127-7BC5-4AE9-8A20-D7ADDAECB28A}"/>
    <cellStyle name="Normal 4 8" xfId="12786" xr:uid="{80DFABC8-9C4B-4436-99EA-C94E86DA37B4}"/>
    <cellStyle name="Normal 4 9" xfId="12787" xr:uid="{13B94786-556F-4086-9D79-9A060E42442C}"/>
    <cellStyle name="Normal 4 9 10" xfId="12788" xr:uid="{06D8C9E2-EE25-4C37-A86E-19CDFAF751DF}"/>
    <cellStyle name="Normal 4 9 11" xfId="12789" xr:uid="{1E40DE6D-D9F1-4383-BFBF-090B1A6320DD}"/>
    <cellStyle name="Normal 4 9 12" xfId="12790" xr:uid="{9DD2A3A4-203B-4AD0-8F62-A9B11FA6DAB5}"/>
    <cellStyle name="Normal 4 9 13" xfId="12791" xr:uid="{F245F38E-A82C-47CA-992D-CFD089AF3FD9}"/>
    <cellStyle name="Normal 4 9 14" xfId="12792" xr:uid="{FE221BD1-345F-42A7-9B79-242301975620}"/>
    <cellStyle name="Normal 4 9 15" xfId="12793" xr:uid="{6E3D4729-D2D7-48C5-9FB5-17CB6DDAC1B8}"/>
    <cellStyle name="Normal 4 9 15 2" xfId="12794" xr:uid="{80103E30-656D-4ECC-8776-8E64FBE2F4BC}"/>
    <cellStyle name="Normal 4 9 15 2 2" xfId="12795" xr:uid="{AC3C40D6-73FA-4086-ACA1-6F08DE7D6418}"/>
    <cellStyle name="Normal 4 9 15 2 2 2" xfId="12796" xr:uid="{0E73B23E-3401-4808-B147-B11F0FF29645}"/>
    <cellStyle name="Normal 4 9 15 2 2 3" xfId="12797" xr:uid="{3DC04F4D-0C1E-43C4-A826-4DC58BA6AA64}"/>
    <cellStyle name="Normal 4 9 15 2 2 4" xfId="12798" xr:uid="{74082213-350C-40AD-9F5B-5DCAA98642EF}"/>
    <cellStyle name="Normal 4 9 15 2 2 5" xfId="12799" xr:uid="{18B8BA64-A866-4F3D-993E-EDC19FDB380D}"/>
    <cellStyle name="Normal 4 9 15 2 2 6" xfId="12800" xr:uid="{462A0758-E07F-48E2-A932-036009279764}"/>
    <cellStyle name="Normal 4 9 15 2 2 7" xfId="12801" xr:uid="{049092EF-71B4-4E3F-BE0E-43BDCEDA9BC5}"/>
    <cellStyle name="Normal 4 9 15 2 2 8" xfId="12802" xr:uid="{EAF78509-020E-42AA-B110-3B07F2DECCEA}"/>
    <cellStyle name="Normal 4 9 15 2 3" xfId="12803" xr:uid="{47845F69-C587-4708-81BC-4C8027C0E75D}"/>
    <cellStyle name="Normal 4 9 15 2 4" xfId="12804" xr:uid="{FC88FF98-C68B-46F1-9D27-86822C42E145}"/>
    <cellStyle name="Normal 4 9 15 2 5" xfId="12805" xr:uid="{50458A6D-61F2-487D-BC1F-169C8AF7BCDB}"/>
    <cellStyle name="Normal 4 9 15 2 6" xfId="12806" xr:uid="{FBEF303F-402C-4DCF-B6E7-37238A239A09}"/>
    <cellStyle name="Normal 4 9 15 2 7" xfId="12807" xr:uid="{A9E563CB-366A-423D-99B4-22F32931FD3A}"/>
    <cellStyle name="Normal 4 9 15 2 8" xfId="12808" xr:uid="{547B81B6-BEFC-4116-A1F6-A98937DD982B}"/>
    <cellStyle name="Normal 4 9 15 3" xfId="12809" xr:uid="{2A0857AB-DE49-429F-97E5-2D1AE4B8B13C}"/>
    <cellStyle name="Normal 4 9 15 4" xfId="12810" xr:uid="{F4AEB3BC-DBA0-4530-9728-527A65E771BA}"/>
    <cellStyle name="Normal 4 9 15 5" xfId="12811" xr:uid="{DB9EDF16-D9E2-4F08-AA03-40C41512BD80}"/>
    <cellStyle name="Normal 4 9 15 6" xfId="12812" xr:uid="{F1ACCB30-A679-4B72-AD1D-C2716DC2DE48}"/>
    <cellStyle name="Normal 4 9 15 7" xfId="12813" xr:uid="{9F40CF0E-F266-47BC-9AF1-B21D9D537135}"/>
    <cellStyle name="Normal 4 9 15 8" xfId="12814" xr:uid="{32FB6917-4D48-47AB-9BB7-AD2D5C97002F}"/>
    <cellStyle name="Normal 4 9 15 9" xfId="12815" xr:uid="{ECDC1641-6CE5-4999-949D-18DBDBB7374C}"/>
    <cellStyle name="Normal 4 9 16" xfId="12816" xr:uid="{A73C0EC7-6D2C-42AC-8F58-51E04369BCE8}"/>
    <cellStyle name="Normal 4 9 16 2" xfId="12817" xr:uid="{30ECE7E2-3E9D-479B-AC18-DFCDD79E8BA9}"/>
    <cellStyle name="Normal 4 9 16 3" xfId="12818" xr:uid="{2A43AD53-F5EE-4597-9D62-A05DFA2DF208}"/>
    <cellStyle name="Normal 4 9 16 4" xfId="12819" xr:uid="{AFF09564-B05A-4C43-BD29-3337A831C0C6}"/>
    <cellStyle name="Normal 4 9 16 5" xfId="12820" xr:uid="{A28E2F02-48D7-4B31-B777-9B77A3B5CB38}"/>
    <cellStyle name="Normal 4 9 16 6" xfId="12821" xr:uid="{13041616-CF99-425B-A1A2-425006359174}"/>
    <cellStyle name="Normal 4 9 16 7" xfId="12822" xr:uid="{D8FB0CC4-E7DB-4793-9409-7FDF458714AD}"/>
    <cellStyle name="Normal 4 9 16 8" xfId="12823" xr:uid="{6565B8E1-569F-46B2-9A6B-032492A63A39}"/>
    <cellStyle name="Normal 4 9 17" xfId="12824" xr:uid="{BE18CBD8-DA45-4386-921A-496152C902C6}"/>
    <cellStyle name="Normal 4 9 18" xfId="12825" xr:uid="{C0824C19-D8C8-4E64-AD0B-C4F46A0EF116}"/>
    <cellStyle name="Normal 4 9 19" xfId="12826" xr:uid="{19F016DE-A94D-4AA8-AAF1-FF779B04C289}"/>
    <cellStyle name="Normal 4 9 2" xfId="12827" xr:uid="{5D86BB8F-21CD-478E-8269-C4017CB2CB31}"/>
    <cellStyle name="Normal 4 9 2 10" xfId="12828" xr:uid="{06B0C200-D52F-4545-AD1B-5BCBE154E7F2}"/>
    <cellStyle name="Normal 4 9 2 11" xfId="12829" xr:uid="{576B7AA2-9BF9-4893-92FC-761A6B44E317}"/>
    <cellStyle name="Normal 4 9 2 12" xfId="12830" xr:uid="{2D725DB9-C4EF-410B-9F74-9A9058C14D3E}"/>
    <cellStyle name="Normal 4 9 2 13" xfId="12831" xr:uid="{9905715F-0548-4926-91CC-DE001C08FF43}"/>
    <cellStyle name="Normal 4 9 2 14" xfId="12832" xr:uid="{F06BC5EA-4672-4B67-946E-6D1AEC491DB3}"/>
    <cellStyle name="Normal 4 9 2 15" xfId="12833" xr:uid="{1F8BB0B6-B34E-48A2-BAA4-6CCB5C94DC89}"/>
    <cellStyle name="Normal 4 9 2 15 2" xfId="12834" xr:uid="{F6455FE1-CC25-408D-BAED-7047A68FA209}"/>
    <cellStyle name="Normal 4 9 2 15 2 2" xfId="12835" xr:uid="{45B37EDD-DDF2-4B64-9AFF-E2AFD1D7ED60}"/>
    <cellStyle name="Normal 4 9 2 15 2 2 2" xfId="12836" xr:uid="{88735524-7BA0-4B74-9672-892D6CD144C9}"/>
    <cellStyle name="Normal 4 9 2 15 2 2 3" xfId="12837" xr:uid="{A8B9F0A3-FA3A-4217-8811-5C8FBEC43525}"/>
    <cellStyle name="Normal 4 9 2 15 2 2 4" xfId="12838" xr:uid="{274B3142-89D9-4B0E-BAE4-65F40A275250}"/>
    <cellStyle name="Normal 4 9 2 15 2 2 5" xfId="12839" xr:uid="{FBD4016C-EFBC-415E-B473-F420BF1D55AC}"/>
    <cellStyle name="Normal 4 9 2 15 2 2 6" xfId="12840" xr:uid="{F5DA76DF-A900-4947-B53B-BA51AA6D2B32}"/>
    <cellStyle name="Normal 4 9 2 15 2 2 7" xfId="12841" xr:uid="{D2B9E93B-0DF1-4F5C-9457-B0F6F5C5DE6E}"/>
    <cellStyle name="Normal 4 9 2 15 2 2 8" xfId="12842" xr:uid="{1C6D9968-5854-4002-B436-EA7501FD9BBA}"/>
    <cellStyle name="Normal 4 9 2 15 2 3" xfId="12843" xr:uid="{55D95F8C-0787-4799-82CD-C7405163BCFA}"/>
    <cellStyle name="Normal 4 9 2 15 2 4" xfId="12844" xr:uid="{6C1EBE4A-D7E0-4A10-AA8C-09AE5C8F035A}"/>
    <cellStyle name="Normal 4 9 2 15 2 5" xfId="12845" xr:uid="{187481ED-D729-44EF-804C-A2257F0F99A7}"/>
    <cellStyle name="Normal 4 9 2 15 2 6" xfId="12846" xr:uid="{8A2FBFAE-A426-44FE-991F-3534A12B4C84}"/>
    <cellStyle name="Normal 4 9 2 15 2 7" xfId="12847" xr:uid="{F6B46461-473D-439F-B475-3554514C691B}"/>
    <cellStyle name="Normal 4 9 2 15 2 8" xfId="12848" xr:uid="{9B30E5CB-1D79-466E-AF23-133CC8E69EFF}"/>
    <cellStyle name="Normal 4 9 2 15 3" xfId="12849" xr:uid="{CA10A1C5-022B-434C-A9B8-2F4DD9987100}"/>
    <cellStyle name="Normal 4 9 2 15 4" xfId="12850" xr:uid="{9FB122BA-76AF-4807-B641-857390CB8EF4}"/>
    <cellStyle name="Normal 4 9 2 15 5" xfId="12851" xr:uid="{DAD98599-67F4-400D-9FF8-1512C2C04DA3}"/>
    <cellStyle name="Normal 4 9 2 15 6" xfId="12852" xr:uid="{CF7A7AEC-A3B7-494A-B442-A6FC77499795}"/>
    <cellStyle name="Normal 4 9 2 15 7" xfId="12853" xr:uid="{680707B7-A1F6-4E9A-BEC1-24C879774835}"/>
    <cellStyle name="Normal 4 9 2 15 8" xfId="12854" xr:uid="{772E78D6-9614-4BA6-B8F5-7BA7E7D7610D}"/>
    <cellStyle name="Normal 4 9 2 15 9" xfId="12855" xr:uid="{EBB2D377-E677-4668-90EA-21DD5A087EE5}"/>
    <cellStyle name="Normal 4 9 2 16" xfId="12856" xr:uid="{813C43F4-4D49-4DA2-B0C2-6DDC56C2A033}"/>
    <cellStyle name="Normal 4 9 2 16 2" xfId="12857" xr:uid="{24AD1382-C972-4881-AA7E-EAEB297B24EF}"/>
    <cellStyle name="Normal 4 9 2 16 3" xfId="12858" xr:uid="{0127B4C8-F89D-4968-9F35-AFB642B4CFA7}"/>
    <cellStyle name="Normal 4 9 2 16 4" xfId="12859" xr:uid="{7FA49C29-6B40-43A1-B2F1-03109CD76019}"/>
    <cellStyle name="Normal 4 9 2 16 5" xfId="12860" xr:uid="{B62B9417-E4CF-4EE4-9586-4665564D569B}"/>
    <cellStyle name="Normal 4 9 2 16 6" xfId="12861" xr:uid="{37A0A1E8-E91F-451D-ADD1-331F7F278E0C}"/>
    <cellStyle name="Normal 4 9 2 16 7" xfId="12862" xr:uid="{0BE03319-78B8-4AE9-AFE3-0A2D7EA1DE50}"/>
    <cellStyle name="Normal 4 9 2 16 8" xfId="12863" xr:uid="{09A506A0-AA83-4714-9BA2-E73833B82CBA}"/>
    <cellStyle name="Normal 4 9 2 17" xfId="12864" xr:uid="{FFE690D5-91EB-43AF-8EE1-02AE827D1F92}"/>
    <cellStyle name="Normal 4 9 2 18" xfId="12865" xr:uid="{A17D3A58-3FBB-41BB-B56A-FA48A7A80EFB}"/>
    <cellStyle name="Normal 4 9 2 19" xfId="12866" xr:uid="{5EDE4E19-BF79-479C-A805-3D2EA1BD89E8}"/>
    <cellStyle name="Normal 4 9 2 2" xfId="12867" xr:uid="{790FB6FE-3030-4B33-A2A9-839ADB21D33C}"/>
    <cellStyle name="Normal 4 9 2 2 10" xfId="12868" xr:uid="{D3B41585-89B8-4DDF-88BD-E1CA4515DF31}"/>
    <cellStyle name="Normal 4 9 2 2 10 2" xfId="12869" xr:uid="{6FA93D3E-810D-4884-A67C-B1765CD15F01}"/>
    <cellStyle name="Normal 4 9 2 2 10 2 2" xfId="12870" xr:uid="{2945DE4F-FA3B-4164-8739-D464E392755F}"/>
    <cellStyle name="Normal 4 9 2 2 10 2 2 2" xfId="12871" xr:uid="{D68B3DBC-58BF-432E-91D3-B020D148B890}"/>
    <cellStyle name="Normal 4 9 2 2 10 2 2 3" xfId="12872" xr:uid="{ECFE35E8-45DA-47A9-B30D-F8301193857A}"/>
    <cellStyle name="Normal 4 9 2 2 10 2 2 4" xfId="12873" xr:uid="{B64D5337-2D59-4A20-A1E3-ACABD7E3CA6A}"/>
    <cellStyle name="Normal 4 9 2 2 10 2 2 5" xfId="12874" xr:uid="{271DF178-09F8-4EE3-B6FD-8FA26640BE3D}"/>
    <cellStyle name="Normal 4 9 2 2 10 2 2 6" xfId="12875" xr:uid="{9AB94B8C-7F10-42F1-BE7E-73ABFAB168B0}"/>
    <cellStyle name="Normal 4 9 2 2 10 2 2 7" xfId="12876" xr:uid="{D1D6D1C5-9AF8-4795-B5FD-ACEBDA525ABB}"/>
    <cellStyle name="Normal 4 9 2 2 10 2 2 8" xfId="12877" xr:uid="{37B0E2DC-4BFD-4B45-9E2B-35C349FDDF3F}"/>
    <cellStyle name="Normal 4 9 2 2 10 2 3" xfId="12878" xr:uid="{3FADD553-E64F-4DBF-9B34-6C074BFD8D72}"/>
    <cellStyle name="Normal 4 9 2 2 10 2 4" xfId="12879" xr:uid="{EC9D6B44-4BBF-4259-BA29-AE914B56AA5C}"/>
    <cellStyle name="Normal 4 9 2 2 10 2 5" xfId="12880" xr:uid="{2A630899-C28A-4839-9E77-B18CD60E77EB}"/>
    <cellStyle name="Normal 4 9 2 2 10 2 6" xfId="12881" xr:uid="{C17839B5-C35A-475C-B151-585FB3883152}"/>
    <cellStyle name="Normal 4 9 2 2 10 2 7" xfId="12882" xr:uid="{557765E7-DC0D-4711-A5A6-95E579202525}"/>
    <cellStyle name="Normal 4 9 2 2 10 2 8" xfId="12883" xr:uid="{5C92067B-4CD4-4482-AC56-150E959F11FA}"/>
    <cellStyle name="Normal 4 9 2 2 10 3" xfId="12884" xr:uid="{692BD72A-F810-4865-AB2B-1953697B9831}"/>
    <cellStyle name="Normal 4 9 2 2 10 4" xfId="12885" xr:uid="{B7243FE5-3A5D-4C13-87BD-71F1799D3857}"/>
    <cellStyle name="Normal 4 9 2 2 10 5" xfId="12886" xr:uid="{22BFA84F-86C8-465D-BE4C-F583A1B8D572}"/>
    <cellStyle name="Normal 4 9 2 2 10 6" xfId="12887" xr:uid="{A066C9D3-5B5B-49D1-9FCE-F44EBA3C6E4D}"/>
    <cellStyle name="Normal 4 9 2 2 10 7" xfId="12888" xr:uid="{39A210B5-A4C5-41AC-BBF9-7946D7BFC9CC}"/>
    <cellStyle name="Normal 4 9 2 2 10 8" xfId="12889" xr:uid="{80CE2F9F-08EC-4EF5-BBBA-ADCA3074B6C4}"/>
    <cellStyle name="Normal 4 9 2 2 10 9" xfId="12890" xr:uid="{6319E7C3-7EE2-4060-B492-E9B3AF473659}"/>
    <cellStyle name="Normal 4 9 2 2 11" xfId="12891" xr:uid="{AF19010D-093C-4F98-96BC-6E4FFFE8A3AA}"/>
    <cellStyle name="Normal 4 9 2 2 11 2" xfId="12892" xr:uid="{378A3305-980A-4AF0-804B-1261FFBA7199}"/>
    <cellStyle name="Normal 4 9 2 2 11 3" xfId="12893" xr:uid="{D7DDFDCD-E9FE-40BF-97E2-5415E31845CF}"/>
    <cellStyle name="Normal 4 9 2 2 11 4" xfId="12894" xr:uid="{301A3AFD-CF44-4157-BD32-D70E39DCA093}"/>
    <cellStyle name="Normal 4 9 2 2 11 5" xfId="12895" xr:uid="{A64E34C9-2F6F-40DF-B751-78C9A8172E75}"/>
    <cellStyle name="Normal 4 9 2 2 11 6" xfId="12896" xr:uid="{17275A38-3EBE-4101-BA3F-78917F28C0FC}"/>
    <cellStyle name="Normal 4 9 2 2 11 7" xfId="12897" xr:uid="{1DF233D3-DFC9-4480-B0B5-EB25D1C108D3}"/>
    <cellStyle name="Normal 4 9 2 2 11 8" xfId="12898" xr:uid="{6033DE0F-F826-4598-B0FA-697CCFC944E8}"/>
    <cellStyle name="Normal 4 9 2 2 12" xfId="12899" xr:uid="{903E3783-F0A1-4249-9B29-46440EEBE6AC}"/>
    <cellStyle name="Normal 4 9 2 2 13" xfId="12900" xr:uid="{04613A45-2DEF-410E-AF36-306A45E75593}"/>
    <cellStyle name="Normal 4 9 2 2 14" xfId="12901" xr:uid="{434241D2-4267-4782-AEB5-4B3B4FD34100}"/>
    <cellStyle name="Normal 4 9 2 2 15" xfId="12902" xr:uid="{2234D043-E51F-4854-ABA2-087852640731}"/>
    <cellStyle name="Normal 4 9 2 2 16" xfId="12903" xr:uid="{5D200CCC-4146-4E6C-8798-435935EA43ED}"/>
    <cellStyle name="Normal 4 9 2 2 17" xfId="12904" xr:uid="{FB9FFD9F-CBA7-48C4-ABF4-61175A556E08}"/>
    <cellStyle name="Normal 4 9 2 2 2" xfId="12905" xr:uid="{922141E2-D41F-4B5B-8098-D67B7E672CA4}"/>
    <cellStyle name="Normal 4 9 2 2 2 10" xfId="12906" xr:uid="{82A2BB7A-09D3-4858-971E-D711102951E9}"/>
    <cellStyle name="Normal 4 9 2 2 2 10 2" xfId="12907" xr:uid="{5BD0A294-EEC1-491C-A3A3-047DD7859738}"/>
    <cellStyle name="Normal 4 9 2 2 2 10 2 2" xfId="12908" xr:uid="{0BFFF098-5BF4-40F5-A8CE-B4105B7DE0F6}"/>
    <cellStyle name="Normal 4 9 2 2 2 10 2 2 2" xfId="12909" xr:uid="{9AEA1BC0-0760-41F0-8C01-F40647049415}"/>
    <cellStyle name="Normal 4 9 2 2 2 10 2 2 3" xfId="12910" xr:uid="{8ACA304B-2323-47A6-9530-6B05C18FE031}"/>
    <cellStyle name="Normal 4 9 2 2 2 10 2 2 4" xfId="12911" xr:uid="{C38DF904-F974-4E54-A6B6-6B2DAE7F043E}"/>
    <cellStyle name="Normal 4 9 2 2 2 10 2 2 5" xfId="12912" xr:uid="{8EB3E992-8E53-41FB-8D5B-20450E7BC5D9}"/>
    <cellStyle name="Normal 4 9 2 2 2 10 2 2 6" xfId="12913" xr:uid="{D323A220-06CB-4C75-B555-2ADAE98D3E88}"/>
    <cellStyle name="Normal 4 9 2 2 2 10 2 2 7" xfId="12914" xr:uid="{CDD8B657-D1CF-4D8F-ACFF-4BD62382F2C6}"/>
    <cellStyle name="Normal 4 9 2 2 2 10 2 2 8" xfId="12915" xr:uid="{DB8B7EF4-0A65-40FF-8EE8-8FDA2877B5F6}"/>
    <cellStyle name="Normal 4 9 2 2 2 10 2 3" xfId="12916" xr:uid="{4782CBBE-E9C7-4C4C-A184-D28BACEF664C}"/>
    <cellStyle name="Normal 4 9 2 2 2 10 2 4" xfId="12917" xr:uid="{424D0367-5C87-4AEE-A736-A619A573F592}"/>
    <cellStyle name="Normal 4 9 2 2 2 10 2 5" xfId="12918" xr:uid="{9C26F807-9F73-4436-A65B-21BB613BF0F2}"/>
    <cellStyle name="Normal 4 9 2 2 2 10 2 6" xfId="12919" xr:uid="{415EDF65-9881-49D3-84C2-719549462448}"/>
    <cellStyle name="Normal 4 9 2 2 2 10 2 7" xfId="12920" xr:uid="{09EBD00E-D956-42CC-B352-F7AC0F6A577F}"/>
    <cellStyle name="Normal 4 9 2 2 2 10 2 8" xfId="12921" xr:uid="{CAD59C7A-7D39-4767-9C6E-9D29AB2D62D3}"/>
    <cellStyle name="Normal 4 9 2 2 2 10 3" xfId="12922" xr:uid="{EDC557EB-52AC-470E-8BBE-2C76E04096BE}"/>
    <cellStyle name="Normal 4 9 2 2 2 10 4" xfId="12923" xr:uid="{21B49B9A-7AA6-44AC-B196-E362C97BED1E}"/>
    <cellStyle name="Normal 4 9 2 2 2 10 5" xfId="12924" xr:uid="{9EAA51B3-A0BA-4249-93ED-F6A28F81CD0C}"/>
    <cellStyle name="Normal 4 9 2 2 2 10 6" xfId="12925" xr:uid="{AA69F2F3-F233-4130-A850-3E64722F09C4}"/>
    <cellStyle name="Normal 4 9 2 2 2 10 7" xfId="12926" xr:uid="{1DE7CB71-F7DB-4446-85B6-402D04F8B7A1}"/>
    <cellStyle name="Normal 4 9 2 2 2 10 8" xfId="12927" xr:uid="{B74ABAAA-06BE-43CF-BDE4-6CDE90170E6B}"/>
    <cellStyle name="Normal 4 9 2 2 2 10 9" xfId="12928" xr:uid="{3E539578-EDB9-40ED-B050-8EAD0DE3FE9F}"/>
    <cellStyle name="Normal 4 9 2 2 2 11" xfId="12929" xr:uid="{33C321A7-D981-4F40-80F7-5F0C5611C5AC}"/>
    <cellStyle name="Normal 4 9 2 2 2 11 2" xfId="12930" xr:uid="{32A02F67-AE2E-46F0-9C82-75C58CA8B2C2}"/>
    <cellStyle name="Normal 4 9 2 2 2 11 3" xfId="12931" xr:uid="{6A59CA66-C8B7-43C7-8D5F-34FB5CE95ABE}"/>
    <cellStyle name="Normal 4 9 2 2 2 11 4" xfId="12932" xr:uid="{936775FB-47DE-4AE1-A0E1-1FDD56CC8EA6}"/>
    <cellStyle name="Normal 4 9 2 2 2 11 5" xfId="12933" xr:uid="{32FBFE4E-35B4-4654-9598-E3ABEF7D4FEF}"/>
    <cellStyle name="Normal 4 9 2 2 2 11 6" xfId="12934" xr:uid="{E6B2C9F8-D169-44A8-9B3E-865F408C819C}"/>
    <cellStyle name="Normal 4 9 2 2 2 11 7" xfId="12935" xr:uid="{95736F85-D6E8-463A-ADF5-9F946093C9BA}"/>
    <cellStyle name="Normal 4 9 2 2 2 11 8" xfId="12936" xr:uid="{9B835DA5-FD0B-4647-8C83-3CB283DA5C56}"/>
    <cellStyle name="Normal 4 9 2 2 2 12" xfId="12937" xr:uid="{E3A65C44-E5A5-497C-A0D0-806B2E8DAEF5}"/>
    <cellStyle name="Normal 4 9 2 2 2 13" xfId="12938" xr:uid="{74CE0D9C-A06D-482D-B0AE-796D9D00F21A}"/>
    <cellStyle name="Normal 4 9 2 2 2 14" xfId="12939" xr:uid="{3FD2460E-404F-4CC3-8D8B-945B65DFB2C0}"/>
    <cellStyle name="Normal 4 9 2 2 2 15" xfId="12940" xr:uid="{8C1920E8-46E6-49F8-A866-9623E33E16F4}"/>
    <cellStyle name="Normal 4 9 2 2 2 16" xfId="12941" xr:uid="{4BD641A6-2E99-4B2E-9263-0F283C0CEE37}"/>
    <cellStyle name="Normal 4 9 2 2 2 17" xfId="12942" xr:uid="{7197D122-DBE6-4749-9AED-A9E372A2C353}"/>
    <cellStyle name="Normal 4 9 2 2 2 2" xfId="12943" xr:uid="{7087D566-5619-4278-BA20-3886C38DC956}"/>
    <cellStyle name="Normal 4 9 2 2 2 2 10" xfId="12944" xr:uid="{495AC069-2D73-4F16-8676-1650737A7988}"/>
    <cellStyle name="Normal 4 9 2 2 2 2 2" xfId="12945" xr:uid="{810AAC5C-5D61-4EF7-9F73-717F8E68FF66}"/>
    <cellStyle name="Normal 4 9 2 2 2 2 2 2" xfId="12946" xr:uid="{0A175AE9-7917-40C0-97D9-09A36C230DF3}"/>
    <cellStyle name="Normal 4 9 2 2 2 2 2 2 2" xfId="12947" xr:uid="{902F53BA-427D-447F-9B97-DC2A805FDCD9}"/>
    <cellStyle name="Normal 4 9 2 2 2 2 2 2 2 2" xfId="12948" xr:uid="{F8DB4C79-5DAC-4005-98A0-128CC9EBAF93}"/>
    <cellStyle name="Normal 4 9 2 2 2 2 2 2 2 3" xfId="12949" xr:uid="{7E316327-1146-4205-A146-3E8686AB57DA}"/>
    <cellStyle name="Normal 4 9 2 2 2 2 2 2 2 4" xfId="12950" xr:uid="{27751B3C-4FC7-4BBB-9F65-CA1076BD2106}"/>
    <cellStyle name="Normal 4 9 2 2 2 2 2 2 2 5" xfId="12951" xr:uid="{98A898F6-4F53-4FE9-9423-72C453612FB9}"/>
    <cellStyle name="Normal 4 9 2 2 2 2 2 2 2 6" xfId="12952" xr:uid="{091998ED-6353-4211-9E61-B77F7B8C67D3}"/>
    <cellStyle name="Normal 4 9 2 2 2 2 2 2 2 7" xfId="12953" xr:uid="{CAF318C4-CD82-4F0A-A222-E5184FF10F60}"/>
    <cellStyle name="Normal 4 9 2 2 2 2 2 2 2 8" xfId="12954" xr:uid="{ED783C3E-8B2C-430F-AEA2-8C7602C87AAB}"/>
    <cellStyle name="Normal 4 9 2 2 2 2 2 2 3" xfId="12955" xr:uid="{BCE54DAA-87F0-4F00-B12F-E5E82128886A}"/>
    <cellStyle name="Normal 4 9 2 2 2 2 2 2 4" xfId="12956" xr:uid="{11F8B92B-3513-4E68-97CB-5635F1C112E3}"/>
    <cellStyle name="Normal 4 9 2 2 2 2 2 2 5" xfId="12957" xr:uid="{69D3407B-08F0-4C09-875B-31E01E3E0FE5}"/>
    <cellStyle name="Normal 4 9 2 2 2 2 2 2 6" xfId="12958" xr:uid="{D34BAAAA-B9C9-410C-8AD2-6859DDE7A0AF}"/>
    <cellStyle name="Normal 4 9 2 2 2 2 2 2 7" xfId="12959" xr:uid="{BFDCAF65-6492-4BB2-B44A-722C39B377F7}"/>
    <cellStyle name="Normal 4 9 2 2 2 2 2 2 8" xfId="12960" xr:uid="{98C223F9-2769-43F9-8701-CD6E0CFBE0B3}"/>
    <cellStyle name="Normal 4 9 2 2 2 2 2 3" xfId="12961" xr:uid="{CB8C7594-8BAD-4600-8C5D-C8BE26A36BB9}"/>
    <cellStyle name="Normal 4 9 2 2 2 2 2 4" xfId="12962" xr:uid="{261ACD94-324A-4BFF-BCF7-DEFCEAD93A33}"/>
    <cellStyle name="Normal 4 9 2 2 2 2 2 5" xfId="12963" xr:uid="{25E28ECF-345A-4E22-9E27-71F469C13090}"/>
    <cellStyle name="Normal 4 9 2 2 2 2 2 6" xfId="12964" xr:uid="{4C9DD545-254B-4606-B96A-CB3BE515E36E}"/>
    <cellStyle name="Normal 4 9 2 2 2 2 2 7" xfId="12965" xr:uid="{A22C5AC6-A06C-45D8-BD38-0255A9BCF825}"/>
    <cellStyle name="Normal 4 9 2 2 2 2 2 8" xfId="12966" xr:uid="{537584C6-96E0-46DE-AE9E-C9F35E53CD8E}"/>
    <cellStyle name="Normal 4 9 2 2 2 2 2 9" xfId="12967" xr:uid="{D9EAFBAD-AF36-4BB0-9384-0DE736FE3337}"/>
    <cellStyle name="Normal 4 9 2 2 2 2 3" xfId="12968" xr:uid="{7F7F25D1-E03E-4721-A7CD-B2DF437D1E34}"/>
    <cellStyle name="Normal 4 9 2 2 2 2 4" xfId="12969" xr:uid="{D9480BEB-BD15-4CE0-947C-F1C20069AA06}"/>
    <cellStyle name="Normal 4 9 2 2 2 2 4 2" xfId="12970" xr:uid="{12802E4E-3955-4066-8F66-F06DDB9D394E}"/>
    <cellStyle name="Normal 4 9 2 2 2 2 4 3" xfId="12971" xr:uid="{5378DAC6-7AA3-4FBF-9FD7-15580C1B9239}"/>
    <cellStyle name="Normal 4 9 2 2 2 2 4 4" xfId="12972" xr:uid="{D01BB30F-1668-4B94-B501-4331670E52C0}"/>
    <cellStyle name="Normal 4 9 2 2 2 2 4 5" xfId="12973" xr:uid="{3F3C5B5B-C765-42B6-9AD6-077CBB9E1EF8}"/>
    <cellStyle name="Normal 4 9 2 2 2 2 4 6" xfId="12974" xr:uid="{B38FA2FF-BD44-4ED4-81E6-0C91327C6CC7}"/>
    <cellStyle name="Normal 4 9 2 2 2 2 4 7" xfId="12975" xr:uid="{45448881-5651-4057-B0AF-2F0F942076CF}"/>
    <cellStyle name="Normal 4 9 2 2 2 2 4 8" xfId="12976" xr:uid="{7B54D35C-3049-4A6E-B560-DD1A38EF0861}"/>
    <cellStyle name="Normal 4 9 2 2 2 2 5" xfId="12977" xr:uid="{6782C879-7D1B-4E60-9250-174EEB804DF5}"/>
    <cellStyle name="Normal 4 9 2 2 2 2 6" xfId="12978" xr:uid="{B3BA60BB-B95C-4FB7-BE90-33AA39B80B5E}"/>
    <cellStyle name="Normal 4 9 2 2 2 2 7" xfId="12979" xr:uid="{8655449A-A456-43D0-9337-16D43C891CF8}"/>
    <cellStyle name="Normal 4 9 2 2 2 2 8" xfId="12980" xr:uid="{39A7B121-DE03-4EB9-B3AD-58B818BF37AE}"/>
    <cellStyle name="Normal 4 9 2 2 2 2 9" xfId="12981" xr:uid="{19BEB2EE-95AD-4557-8D84-24BB7BAD6A65}"/>
    <cellStyle name="Normal 4 9 2 2 2 3" xfId="12982" xr:uid="{BAC6FAF9-DF66-4191-B11E-EA0F734332DC}"/>
    <cellStyle name="Normal 4 9 2 2 2 4" xfId="12983" xr:uid="{3A5AFB5D-1879-403A-ABF4-1FE83D045A00}"/>
    <cellStyle name="Normal 4 9 2 2 2 5" xfId="12984" xr:uid="{46B67FA1-D9F5-4F7F-A992-C83D00B2FDC5}"/>
    <cellStyle name="Normal 4 9 2 2 2 6" xfId="12985" xr:uid="{13F3D3F9-BBB1-496D-9CED-5A5D0B889C94}"/>
    <cellStyle name="Normal 4 9 2 2 2 7" xfId="12986" xr:uid="{4DD4FC1F-0760-4D07-AC0C-C717AF74281A}"/>
    <cellStyle name="Normal 4 9 2 2 2 8" xfId="12987" xr:uid="{8E0D592A-A37E-47AD-9699-6E3F3F15FD54}"/>
    <cellStyle name="Normal 4 9 2 2 2 9" xfId="12988" xr:uid="{EE95BF78-5461-458B-8BD2-E910CAD2AE2F}"/>
    <cellStyle name="Normal 4 9 2 2 3" xfId="12989" xr:uid="{31C8D660-B08E-4557-BFA2-42E751961B43}"/>
    <cellStyle name="Normal 4 9 2 2 3 10" xfId="12990" xr:uid="{F27E3E53-8624-4344-9CFE-1200ECEE2524}"/>
    <cellStyle name="Normal 4 9 2 2 3 2" xfId="12991" xr:uid="{B2B73CC1-FCC4-4EE2-879F-1173FA12B113}"/>
    <cellStyle name="Normal 4 9 2 2 3 2 2" xfId="12992" xr:uid="{E02F6A70-6840-4E43-B34E-5E40318546A1}"/>
    <cellStyle name="Normal 4 9 2 2 3 2 2 2" xfId="12993" xr:uid="{3D316092-C7C1-467E-93AF-1C1070729DEE}"/>
    <cellStyle name="Normal 4 9 2 2 3 2 2 2 2" xfId="12994" xr:uid="{FC21E251-9CA6-4AD9-BB62-23061E922444}"/>
    <cellStyle name="Normal 4 9 2 2 3 2 2 2 3" xfId="12995" xr:uid="{50A1376F-61A8-4B62-BFEF-E458BE8D62FD}"/>
    <cellStyle name="Normal 4 9 2 2 3 2 2 2 4" xfId="12996" xr:uid="{E6B00518-F7A4-41A8-B9DF-8A4AB2AD8586}"/>
    <cellStyle name="Normal 4 9 2 2 3 2 2 2 5" xfId="12997" xr:uid="{F27CA215-013E-4C5F-B206-A32CA004248B}"/>
    <cellStyle name="Normal 4 9 2 2 3 2 2 2 6" xfId="12998" xr:uid="{D96E54F8-E7AD-4FD2-B739-FF4F68DEA96A}"/>
    <cellStyle name="Normal 4 9 2 2 3 2 2 2 7" xfId="12999" xr:uid="{AF7028A0-EC19-4B34-AA61-E6D3E2EB466F}"/>
    <cellStyle name="Normal 4 9 2 2 3 2 2 2 8" xfId="13000" xr:uid="{BBE59DFE-D4E4-48E7-A031-498DBECDA0ED}"/>
    <cellStyle name="Normal 4 9 2 2 3 2 2 3" xfId="13001" xr:uid="{9345A877-8D58-43A9-8C96-FE8010CB7832}"/>
    <cellStyle name="Normal 4 9 2 2 3 2 2 4" xfId="13002" xr:uid="{6C494AAD-2CDE-4F37-AE81-62CE838881D7}"/>
    <cellStyle name="Normal 4 9 2 2 3 2 2 5" xfId="13003" xr:uid="{23332B65-EC4F-4497-8F42-4C36CE3A6DFF}"/>
    <cellStyle name="Normal 4 9 2 2 3 2 2 6" xfId="13004" xr:uid="{5A6A79AE-E3F7-46C1-B8D9-B8BAE58E5E83}"/>
    <cellStyle name="Normal 4 9 2 2 3 2 2 7" xfId="13005" xr:uid="{3841E9C1-7100-42FE-AF65-8D1C926FEEDD}"/>
    <cellStyle name="Normal 4 9 2 2 3 2 2 8" xfId="13006" xr:uid="{10CF0B41-CCF4-43CF-BB51-4B9A83D5BEA5}"/>
    <cellStyle name="Normal 4 9 2 2 3 2 3" xfId="13007" xr:uid="{E34C67A7-0028-4469-B308-9EBFC435EE65}"/>
    <cellStyle name="Normal 4 9 2 2 3 2 4" xfId="13008" xr:uid="{95DDEA9A-3226-4C42-AEF2-B1E3EB1DA2B4}"/>
    <cellStyle name="Normal 4 9 2 2 3 2 5" xfId="13009" xr:uid="{1B0440EF-5618-4C1B-840E-3EA611C53DD9}"/>
    <cellStyle name="Normal 4 9 2 2 3 2 6" xfId="13010" xr:uid="{9CD9F20B-99F4-410E-BAE8-551C862B5B53}"/>
    <cellStyle name="Normal 4 9 2 2 3 2 7" xfId="13011" xr:uid="{BA165EDA-3EF3-4EA6-83BD-CAA29A147E06}"/>
    <cellStyle name="Normal 4 9 2 2 3 2 8" xfId="13012" xr:uid="{D2D6004C-9A40-4E7E-8416-4AB77392A753}"/>
    <cellStyle name="Normal 4 9 2 2 3 2 9" xfId="13013" xr:uid="{8A8E03F4-60AB-404C-8622-A8C034F6FFC5}"/>
    <cellStyle name="Normal 4 9 2 2 3 3" xfId="13014" xr:uid="{FD7E0B83-029E-4CFD-AB24-2F044828890B}"/>
    <cellStyle name="Normal 4 9 2 2 3 4" xfId="13015" xr:uid="{D0999DBC-B0F3-4E8F-A48B-ED4951AA9116}"/>
    <cellStyle name="Normal 4 9 2 2 3 4 2" xfId="13016" xr:uid="{A2A5C75C-8E64-4345-A23E-8B840B4747D7}"/>
    <cellStyle name="Normal 4 9 2 2 3 4 3" xfId="13017" xr:uid="{C96623E6-682E-4098-9968-D2B138F51501}"/>
    <cellStyle name="Normal 4 9 2 2 3 4 4" xfId="13018" xr:uid="{C5B2D2C8-41DE-4CE9-A15A-83C5CEA7C97E}"/>
    <cellStyle name="Normal 4 9 2 2 3 4 5" xfId="13019" xr:uid="{C97A65E2-B37F-4A7E-8F26-E9076C2D2C9D}"/>
    <cellStyle name="Normal 4 9 2 2 3 4 6" xfId="13020" xr:uid="{DEE59613-4BE7-4CD6-986B-E0CA5371DDC0}"/>
    <cellStyle name="Normal 4 9 2 2 3 4 7" xfId="13021" xr:uid="{89A3E886-F65C-44F3-AB6C-F50B897CC7BD}"/>
    <cellStyle name="Normal 4 9 2 2 3 4 8" xfId="13022" xr:uid="{48AFCE90-73A1-4323-B1A3-3206499982EE}"/>
    <cellStyle name="Normal 4 9 2 2 3 5" xfId="13023" xr:uid="{4BA33AB5-C138-4A07-B177-5B6364F8863F}"/>
    <cellStyle name="Normal 4 9 2 2 3 6" xfId="13024" xr:uid="{A20A71EE-83B4-40E0-9242-DCDF36CE17A3}"/>
    <cellStyle name="Normal 4 9 2 2 3 7" xfId="13025" xr:uid="{6DA7DF43-7A9F-4827-8CA4-534BA0D12844}"/>
    <cellStyle name="Normal 4 9 2 2 3 8" xfId="13026" xr:uid="{B8E34CAB-5E41-4DD5-97FB-AD08AEE5CA61}"/>
    <cellStyle name="Normal 4 9 2 2 3 9" xfId="13027" xr:uid="{A38EFF7E-23E4-4FD0-8909-280FF062411C}"/>
    <cellStyle name="Normal 4 9 2 2 4" xfId="13028" xr:uid="{930CF417-5DF0-48F7-9EBF-5533201CE67A}"/>
    <cellStyle name="Normal 4 9 2 2 5" xfId="13029" xr:uid="{BA978ADE-B4CF-4BC6-ABD5-D26E54877ACE}"/>
    <cellStyle name="Normal 4 9 2 2 6" xfId="13030" xr:uid="{2AE92192-A26B-42E7-B536-3CA155262E47}"/>
    <cellStyle name="Normal 4 9 2 2 7" xfId="13031" xr:uid="{9B76BEE9-ED3F-4BED-AA7C-7307099A2A4D}"/>
    <cellStyle name="Normal 4 9 2 2 8" xfId="13032" xr:uid="{1308CCCF-FE12-4D30-A0DC-E757D38BEB35}"/>
    <cellStyle name="Normal 4 9 2 2 9" xfId="13033" xr:uid="{7CEC1154-0423-475C-9D52-1C0A66078144}"/>
    <cellStyle name="Normal 4 9 2 20" xfId="13034" xr:uid="{D153BB90-6B02-435B-9531-44238B8A31AE}"/>
    <cellStyle name="Normal 4 9 2 21" xfId="13035" xr:uid="{7887C7E7-9826-4D5E-8C47-3CDEA2E0D171}"/>
    <cellStyle name="Normal 4 9 2 22" xfId="13036" xr:uid="{87917774-0C96-4F40-861A-167D80B64C1E}"/>
    <cellStyle name="Normal 4 9 2 3" xfId="13037" xr:uid="{49CF23C2-B4F2-4042-A37A-5CCE2C359AA1}"/>
    <cellStyle name="Normal 4 9 2 4" xfId="13038" xr:uid="{B3AC006C-8DBC-4776-BDA3-60CFDD48DE19}"/>
    <cellStyle name="Normal 4 9 2 5" xfId="13039" xr:uid="{C3D71D35-B11C-4530-8048-33503F01CD4E}"/>
    <cellStyle name="Normal 4 9 2 6" xfId="13040" xr:uid="{78DCE99E-BC0E-4F21-B646-E56094F0B4A6}"/>
    <cellStyle name="Normal 4 9 2 7" xfId="13041" xr:uid="{466162C0-4B3D-4FDA-A8A1-871328FA8885}"/>
    <cellStyle name="Normal 4 9 2 7 10" xfId="13042" xr:uid="{05E975AD-4117-44F1-A6D1-ACC6034DD7EC}"/>
    <cellStyle name="Normal 4 9 2 7 2" xfId="13043" xr:uid="{109F1012-AC1D-495F-A097-0F6D8722B883}"/>
    <cellStyle name="Normal 4 9 2 7 2 2" xfId="13044" xr:uid="{6BB1BE5E-5250-4D19-A445-9B9478B0FA54}"/>
    <cellStyle name="Normal 4 9 2 7 2 2 2" xfId="13045" xr:uid="{0AF4BAC0-96F6-4332-AEFA-0133FB06D831}"/>
    <cellStyle name="Normal 4 9 2 7 2 2 2 2" xfId="13046" xr:uid="{A01053F8-B837-4319-99DF-B4C35B5CED5C}"/>
    <cellStyle name="Normal 4 9 2 7 2 2 2 3" xfId="13047" xr:uid="{2D2FC2E6-A5BE-4178-A33B-861471F7AF91}"/>
    <cellStyle name="Normal 4 9 2 7 2 2 2 4" xfId="13048" xr:uid="{87547CC3-C049-4095-9A00-879681526DA2}"/>
    <cellStyle name="Normal 4 9 2 7 2 2 2 5" xfId="13049" xr:uid="{553D292A-2FA0-478B-AB6B-B44A5D43D167}"/>
    <cellStyle name="Normal 4 9 2 7 2 2 2 6" xfId="13050" xr:uid="{9FCE152A-13F3-4E79-82DC-E215092B5760}"/>
    <cellStyle name="Normal 4 9 2 7 2 2 2 7" xfId="13051" xr:uid="{C0C86723-53AA-4AFA-8320-BE78F8D5B6E4}"/>
    <cellStyle name="Normal 4 9 2 7 2 2 2 8" xfId="13052" xr:uid="{4F940DA7-F9AC-4A10-ABFE-98EA80ED042B}"/>
    <cellStyle name="Normal 4 9 2 7 2 2 3" xfId="13053" xr:uid="{D1F28B41-BE23-49AE-ABEE-BEC9ADCFDC39}"/>
    <cellStyle name="Normal 4 9 2 7 2 2 4" xfId="13054" xr:uid="{19198778-E744-4364-8FC8-EEB596F22F94}"/>
    <cellStyle name="Normal 4 9 2 7 2 2 5" xfId="13055" xr:uid="{20671154-0F79-4649-8C08-3E575405155C}"/>
    <cellStyle name="Normal 4 9 2 7 2 2 6" xfId="13056" xr:uid="{E5848B70-1215-41F1-B088-0A57006E7312}"/>
    <cellStyle name="Normal 4 9 2 7 2 2 7" xfId="13057" xr:uid="{ABD8195A-3FA0-44C0-8943-D59B1BCA7E94}"/>
    <cellStyle name="Normal 4 9 2 7 2 2 8" xfId="13058" xr:uid="{9C5EBFC0-A541-4026-A438-ED8DAE94854E}"/>
    <cellStyle name="Normal 4 9 2 7 2 3" xfId="13059" xr:uid="{20371E15-B71A-4265-865A-9DE692E3F2B3}"/>
    <cellStyle name="Normal 4 9 2 7 2 4" xfId="13060" xr:uid="{F2FC3A1C-AB17-4845-A917-41C3CA47F1AC}"/>
    <cellStyle name="Normal 4 9 2 7 2 5" xfId="13061" xr:uid="{578AC7A4-6405-4EB6-9F35-4D6EB40E0EB8}"/>
    <cellStyle name="Normal 4 9 2 7 2 6" xfId="13062" xr:uid="{536A7ADD-3490-4A15-9A79-3EDA3002B83E}"/>
    <cellStyle name="Normal 4 9 2 7 2 7" xfId="13063" xr:uid="{DBC42844-FD88-4335-9F42-D4FFC03DD866}"/>
    <cellStyle name="Normal 4 9 2 7 2 8" xfId="13064" xr:uid="{341CBF84-D2CB-40EA-AF54-596B7A428A21}"/>
    <cellStyle name="Normal 4 9 2 7 2 9" xfId="13065" xr:uid="{5B72689D-68A0-4B78-93C9-8170F7CFA278}"/>
    <cellStyle name="Normal 4 9 2 7 3" xfId="13066" xr:uid="{15C95B04-0098-4739-8C36-C951D42A68FC}"/>
    <cellStyle name="Normal 4 9 2 7 4" xfId="13067" xr:uid="{0EDEBCB2-A5F4-48D4-8452-9909AE3408F4}"/>
    <cellStyle name="Normal 4 9 2 7 4 2" xfId="13068" xr:uid="{D4FC827F-8A40-4E95-AADA-AF943BD0F650}"/>
    <cellStyle name="Normal 4 9 2 7 4 3" xfId="13069" xr:uid="{A908B0BB-354F-44D8-B5CC-5371433D2B9C}"/>
    <cellStyle name="Normal 4 9 2 7 4 4" xfId="13070" xr:uid="{D670D8AF-C7D5-4674-A89A-16E31D726799}"/>
    <cellStyle name="Normal 4 9 2 7 4 5" xfId="13071" xr:uid="{C76259DA-3F83-4BC0-A82F-B3C3CDDCCC88}"/>
    <cellStyle name="Normal 4 9 2 7 4 6" xfId="13072" xr:uid="{AAF92F16-EEBD-4E11-9FFF-068CB9649C6E}"/>
    <cellStyle name="Normal 4 9 2 7 4 7" xfId="13073" xr:uid="{EFCBBD27-C1AC-41E1-AFC3-A959494AD41D}"/>
    <cellStyle name="Normal 4 9 2 7 4 8" xfId="13074" xr:uid="{A46F54FC-93BE-4773-B335-76A0DAD75060}"/>
    <cellStyle name="Normal 4 9 2 7 5" xfId="13075" xr:uid="{436C104A-A6BB-47BB-ABC9-36B7F2C8A6D6}"/>
    <cellStyle name="Normal 4 9 2 7 6" xfId="13076" xr:uid="{7CAB49E1-AD11-4047-9A06-695F018CF90D}"/>
    <cellStyle name="Normal 4 9 2 7 7" xfId="13077" xr:uid="{37575118-B913-407B-A63B-59DA0D8FDEA8}"/>
    <cellStyle name="Normal 4 9 2 7 8" xfId="13078" xr:uid="{9F355321-CB14-4FC8-811C-044CC168BB4C}"/>
    <cellStyle name="Normal 4 9 2 7 9" xfId="13079" xr:uid="{E118AFAF-675C-495B-95BC-D86C2EFBB0E6}"/>
    <cellStyle name="Normal 4 9 2 8" xfId="13080" xr:uid="{8305CFA1-E2CE-4BEC-A11B-A47E76650AE9}"/>
    <cellStyle name="Normal 4 9 2 9" xfId="13081" xr:uid="{39F196A9-0AA3-46B2-9FBC-BD1AD0C0492E}"/>
    <cellStyle name="Normal 4 9 20" xfId="13082" xr:uid="{18D8B330-5EEB-437F-B654-945A53C86989}"/>
    <cellStyle name="Normal 4 9 21" xfId="13083" xr:uid="{F2832CC3-D2F8-4FC2-A8B6-B12B14A9BC1B}"/>
    <cellStyle name="Normal 4 9 22" xfId="13084" xr:uid="{F54BDD59-EB5D-4290-A25B-D240A2D3D9E1}"/>
    <cellStyle name="Normal 4 9 3" xfId="13085" xr:uid="{A171F87B-0B23-43D5-97B4-1926F4C44652}"/>
    <cellStyle name="Normal 4 9 3 10" xfId="13086" xr:uid="{8CB4A4CA-8359-4A90-A379-43E3F75126C3}"/>
    <cellStyle name="Normal 4 9 3 10 2" xfId="13087" xr:uid="{E6E47F22-9A6A-4488-BBF7-299A31E70C4D}"/>
    <cellStyle name="Normal 4 9 3 10 2 2" xfId="13088" xr:uid="{1CCBFF15-8BD4-4117-82A1-88542B53830C}"/>
    <cellStyle name="Normal 4 9 3 10 2 2 2" xfId="13089" xr:uid="{D52352E5-8D1E-4126-B34C-5F0A3B242360}"/>
    <cellStyle name="Normal 4 9 3 10 2 2 3" xfId="13090" xr:uid="{67714B6C-396A-49FE-AB89-94CCE89FC771}"/>
    <cellStyle name="Normal 4 9 3 10 2 2 4" xfId="13091" xr:uid="{E4644581-A68F-4511-98C3-87EA2DA2495B}"/>
    <cellStyle name="Normal 4 9 3 10 2 2 5" xfId="13092" xr:uid="{925C6C00-34D3-4B0B-AB4C-D8C3A125EB94}"/>
    <cellStyle name="Normal 4 9 3 10 2 2 6" xfId="13093" xr:uid="{38382828-3F07-4F75-A42C-C04E643A779B}"/>
    <cellStyle name="Normal 4 9 3 10 2 2 7" xfId="13094" xr:uid="{92BE93C4-92E9-432A-8C04-E4E69F6637E6}"/>
    <cellStyle name="Normal 4 9 3 10 2 2 8" xfId="13095" xr:uid="{FA654558-DEB5-4D95-AA24-7EA870181899}"/>
    <cellStyle name="Normal 4 9 3 10 2 3" xfId="13096" xr:uid="{E35D29E1-368D-4B7B-B759-B85334CBB6D1}"/>
    <cellStyle name="Normal 4 9 3 10 2 4" xfId="13097" xr:uid="{01EDC650-2832-4163-A686-01E8D1968BD5}"/>
    <cellStyle name="Normal 4 9 3 10 2 5" xfId="13098" xr:uid="{DAA79222-8588-42C9-BA18-AFA739368536}"/>
    <cellStyle name="Normal 4 9 3 10 2 6" xfId="13099" xr:uid="{F578505D-3163-452C-A8F6-0C9A2C756D0E}"/>
    <cellStyle name="Normal 4 9 3 10 2 7" xfId="13100" xr:uid="{6071D499-E0D6-4F71-9C6F-3149A6757877}"/>
    <cellStyle name="Normal 4 9 3 10 2 8" xfId="13101" xr:uid="{1F95FEE9-F666-4C51-BCD1-021B51F3A5D1}"/>
    <cellStyle name="Normal 4 9 3 10 3" xfId="13102" xr:uid="{3CE0C783-0D72-4C78-8385-D09612D43E49}"/>
    <cellStyle name="Normal 4 9 3 10 4" xfId="13103" xr:uid="{7B29A34D-1BA7-4305-99F9-CC87E6B907B7}"/>
    <cellStyle name="Normal 4 9 3 10 5" xfId="13104" xr:uid="{D42C7A02-F63C-4FF9-9B20-9194A31DA2A2}"/>
    <cellStyle name="Normal 4 9 3 10 6" xfId="13105" xr:uid="{45EE4B84-9552-4308-ACFC-C3758695A573}"/>
    <cellStyle name="Normal 4 9 3 10 7" xfId="13106" xr:uid="{03AB47DF-CCF2-4880-98E6-FD4D79AB8753}"/>
    <cellStyle name="Normal 4 9 3 10 8" xfId="13107" xr:uid="{F3B8CBC3-42AC-4DE7-8103-3AAA83C356BE}"/>
    <cellStyle name="Normal 4 9 3 10 9" xfId="13108" xr:uid="{A20726B5-6BC4-46CB-B4CD-D14DF59D95FE}"/>
    <cellStyle name="Normal 4 9 3 11" xfId="13109" xr:uid="{0D4DAA14-F0B5-4F97-B277-A414C5091959}"/>
    <cellStyle name="Normal 4 9 3 11 2" xfId="13110" xr:uid="{26B7F42F-D8A8-45C1-A675-2A01C942C828}"/>
    <cellStyle name="Normal 4 9 3 11 3" xfId="13111" xr:uid="{FAB4FBB5-72D9-434D-8A79-3CC3D04236E8}"/>
    <cellStyle name="Normal 4 9 3 11 4" xfId="13112" xr:uid="{AFD85DEA-D5EF-4436-8316-C80CA3FD2391}"/>
    <cellStyle name="Normal 4 9 3 11 5" xfId="13113" xr:uid="{68EED673-1877-4459-BB28-D57DA6A383FF}"/>
    <cellStyle name="Normal 4 9 3 11 6" xfId="13114" xr:uid="{6287E21D-28EC-4FF9-9510-E4E124176215}"/>
    <cellStyle name="Normal 4 9 3 11 7" xfId="13115" xr:uid="{6D0B7518-01A9-4312-A248-22A3C62969BE}"/>
    <cellStyle name="Normal 4 9 3 11 8" xfId="13116" xr:uid="{3D4BF637-F35A-4805-A456-D857A55C5FC7}"/>
    <cellStyle name="Normal 4 9 3 12" xfId="13117" xr:uid="{4A105C85-9988-4403-BE2F-EEED7095A9EE}"/>
    <cellStyle name="Normal 4 9 3 13" xfId="13118" xr:uid="{905E4B99-6EAD-44F0-8E83-83F23A3DC0B6}"/>
    <cellStyle name="Normal 4 9 3 14" xfId="13119" xr:uid="{753CA251-7D96-4244-A034-A0A20FE3FEE6}"/>
    <cellStyle name="Normal 4 9 3 15" xfId="13120" xr:uid="{49438B35-1053-4024-9A45-89303975C020}"/>
    <cellStyle name="Normal 4 9 3 16" xfId="13121" xr:uid="{AC3FA133-628E-4D31-9885-A7F432F0F882}"/>
    <cellStyle name="Normal 4 9 3 17" xfId="13122" xr:uid="{616B5FDB-43D5-4E47-B21A-39B5BC91175E}"/>
    <cellStyle name="Normal 4 9 3 2" xfId="13123" xr:uid="{33AE9E5C-7E09-4409-A52C-83D160047428}"/>
    <cellStyle name="Normal 4 9 3 2 10" xfId="13124" xr:uid="{344BA4FB-CFD4-4D83-B293-D50BE9B84BFB}"/>
    <cellStyle name="Normal 4 9 3 2 10 2" xfId="13125" xr:uid="{39EC3982-C0E4-4BD8-8703-954BC282C934}"/>
    <cellStyle name="Normal 4 9 3 2 10 2 2" xfId="13126" xr:uid="{7C669649-9DF1-4E5E-A3AD-DE5BF285A363}"/>
    <cellStyle name="Normal 4 9 3 2 10 2 2 2" xfId="13127" xr:uid="{05B9392C-89D3-4633-85D3-CB1BCF49060F}"/>
    <cellStyle name="Normal 4 9 3 2 10 2 2 3" xfId="13128" xr:uid="{2A17396C-43B0-41F0-8D2E-187206FB9473}"/>
    <cellStyle name="Normal 4 9 3 2 10 2 2 4" xfId="13129" xr:uid="{F98C6EC0-F468-4AA9-B2DF-0A4503D246AB}"/>
    <cellStyle name="Normal 4 9 3 2 10 2 2 5" xfId="13130" xr:uid="{00BC134A-2D85-4D35-A959-94C08E36DD05}"/>
    <cellStyle name="Normal 4 9 3 2 10 2 2 6" xfId="13131" xr:uid="{B0656E6A-1546-4202-8D36-4C88342FF555}"/>
    <cellStyle name="Normal 4 9 3 2 10 2 2 7" xfId="13132" xr:uid="{341C365E-6093-4414-8EF5-AF6BB8EF52F3}"/>
    <cellStyle name="Normal 4 9 3 2 10 2 2 8" xfId="13133" xr:uid="{C60E2EC8-DC31-4A67-9DDB-39CFFB5B7909}"/>
    <cellStyle name="Normal 4 9 3 2 10 2 3" xfId="13134" xr:uid="{796FA5F9-74B9-4734-92A5-FD17658FF44A}"/>
    <cellStyle name="Normal 4 9 3 2 10 2 4" xfId="13135" xr:uid="{151786C6-621C-4EBE-B4D2-8C7C0A1984D0}"/>
    <cellStyle name="Normal 4 9 3 2 10 2 5" xfId="13136" xr:uid="{29CEECB1-4E0F-4E63-BAC6-349E56C9207F}"/>
    <cellStyle name="Normal 4 9 3 2 10 2 6" xfId="13137" xr:uid="{BBBABD22-21F5-4C77-AEDD-49E77B2DC413}"/>
    <cellStyle name="Normal 4 9 3 2 10 2 7" xfId="13138" xr:uid="{2255ED0C-1134-4E25-A7FE-36E84997428F}"/>
    <cellStyle name="Normal 4 9 3 2 10 2 8" xfId="13139" xr:uid="{6725E583-29FA-4393-9A69-BD75694BEAB3}"/>
    <cellStyle name="Normal 4 9 3 2 10 3" xfId="13140" xr:uid="{6DB4BD0A-8C1F-4D46-902B-AD9CC0FB3150}"/>
    <cellStyle name="Normal 4 9 3 2 10 4" xfId="13141" xr:uid="{39EEEC86-DBA3-4259-B1FA-9BAE7399F638}"/>
    <cellStyle name="Normal 4 9 3 2 10 5" xfId="13142" xr:uid="{4362B5D1-A4F5-48B7-A94B-433FDA6C09DC}"/>
    <cellStyle name="Normal 4 9 3 2 10 6" xfId="13143" xr:uid="{826DFE59-ED48-4BDE-8254-301230BB1F44}"/>
    <cellStyle name="Normal 4 9 3 2 10 7" xfId="13144" xr:uid="{218F7C3A-3C35-47FE-9644-7972FE74C662}"/>
    <cellStyle name="Normal 4 9 3 2 10 8" xfId="13145" xr:uid="{8CB7B42E-BFF4-45EB-81F4-FC354AC001AB}"/>
    <cellStyle name="Normal 4 9 3 2 10 9" xfId="13146" xr:uid="{727C5F32-D827-420E-836D-D690C1A717A2}"/>
    <cellStyle name="Normal 4 9 3 2 11" xfId="13147" xr:uid="{0FEF7B36-588B-43AD-8BA5-612F67BE7A56}"/>
    <cellStyle name="Normal 4 9 3 2 11 2" xfId="13148" xr:uid="{59A27E4B-2B8D-4D48-9D6B-55970FD45F4E}"/>
    <cellStyle name="Normal 4 9 3 2 11 3" xfId="13149" xr:uid="{3908F9C0-A7EA-43D9-B157-2A49FDACE6C8}"/>
    <cellStyle name="Normal 4 9 3 2 11 4" xfId="13150" xr:uid="{A2A204EB-EEBF-4CE3-A851-CCC2F912D6A8}"/>
    <cellStyle name="Normal 4 9 3 2 11 5" xfId="13151" xr:uid="{7D4C09B4-726A-4582-A710-FF6BCCE25A92}"/>
    <cellStyle name="Normal 4 9 3 2 11 6" xfId="13152" xr:uid="{B0F56E62-EE47-4DE2-A8D1-15179350F883}"/>
    <cellStyle name="Normal 4 9 3 2 11 7" xfId="13153" xr:uid="{B59FD1A0-FB17-4701-AB77-62393E00DA18}"/>
    <cellStyle name="Normal 4 9 3 2 11 8" xfId="13154" xr:uid="{8DDD22C4-CE78-4C7B-A806-0C7D6F85F7A8}"/>
    <cellStyle name="Normal 4 9 3 2 12" xfId="13155" xr:uid="{7879291B-4F8E-4513-9851-16533976EFD0}"/>
    <cellStyle name="Normal 4 9 3 2 13" xfId="13156" xr:uid="{2B286A35-6D25-4162-ACE7-B7DBF5F287E6}"/>
    <cellStyle name="Normal 4 9 3 2 14" xfId="13157" xr:uid="{03B84CF1-B3EE-42F2-9B49-97B27DC7A3FE}"/>
    <cellStyle name="Normal 4 9 3 2 15" xfId="13158" xr:uid="{CB91D04F-3CFE-4431-8C81-E44F1B5336DF}"/>
    <cellStyle name="Normal 4 9 3 2 16" xfId="13159" xr:uid="{442BC9DB-848B-46C4-A77F-131E287DF7B8}"/>
    <cellStyle name="Normal 4 9 3 2 17" xfId="13160" xr:uid="{A992A0FE-0A12-4282-9D3C-AD15310587BE}"/>
    <cellStyle name="Normal 4 9 3 2 2" xfId="13161" xr:uid="{BB8562AD-D391-4F62-BBE7-B37D4FBAF06D}"/>
    <cellStyle name="Normal 4 9 3 2 2 10" xfId="13162" xr:uid="{F0F9F997-01DE-44CA-B80A-0C51024D801B}"/>
    <cellStyle name="Normal 4 9 3 2 2 2" xfId="13163" xr:uid="{6D421580-D2AC-4500-A20B-61EEAD3BBF05}"/>
    <cellStyle name="Normal 4 9 3 2 2 2 2" xfId="13164" xr:uid="{4BF36C55-CF0D-4FC7-B94A-392FAC199B43}"/>
    <cellStyle name="Normal 4 9 3 2 2 2 2 2" xfId="13165" xr:uid="{2D3C3AFE-1799-4123-B543-2DC350804B58}"/>
    <cellStyle name="Normal 4 9 3 2 2 2 2 2 2" xfId="13166" xr:uid="{09EB6EBB-FE1A-425D-9B23-632193FA6A77}"/>
    <cellStyle name="Normal 4 9 3 2 2 2 2 2 3" xfId="13167" xr:uid="{BABE7D8B-5B86-4022-9193-1784EC4144DE}"/>
    <cellStyle name="Normal 4 9 3 2 2 2 2 2 4" xfId="13168" xr:uid="{AA079FCC-DEE9-4C8A-9246-9A0EA7574A1D}"/>
    <cellStyle name="Normal 4 9 3 2 2 2 2 2 5" xfId="13169" xr:uid="{9B56AEC4-A42A-49E3-9522-113B82ECFAEE}"/>
    <cellStyle name="Normal 4 9 3 2 2 2 2 2 6" xfId="13170" xr:uid="{49E5C4CC-18A6-4C2F-B176-80C0DB4239DB}"/>
    <cellStyle name="Normal 4 9 3 2 2 2 2 2 7" xfId="13171" xr:uid="{F82E26D3-1748-475E-8D0E-E18739083E8E}"/>
    <cellStyle name="Normal 4 9 3 2 2 2 2 2 8" xfId="13172" xr:uid="{AD8E439F-9D33-497A-9051-A6A4715B7614}"/>
    <cellStyle name="Normal 4 9 3 2 2 2 2 3" xfId="13173" xr:uid="{293C624C-EC35-4636-B855-CEF34FE05E53}"/>
    <cellStyle name="Normal 4 9 3 2 2 2 2 4" xfId="13174" xr:uid="{42BE3383-85E3-43D9-B13A-2C8840B7A976}"/>
    <cellStyle name="Normal 4 9 3 2 2 2 2 5" xfId="13175" xr:uid="{69EB5DD9-1199-4B16-AEC8-C3B7CC95C1CF}"/>
    <cellStyle name="Normal 4 9 3 2 2 2 2 6" xfId="13176" xr:uid="{16970458-53A7-435F-8685-2F91C39E4C19}"/>
    <cellStyle name="Normal 4 9 3 2 2 2 2 7" xfId="13177" xr:uid="{00CF6B2E-FCD5-4026-BE94-97B044329F70}"/>
    <cellStyle name="Normal 4 9 3 2 2 2 2 8" xfId="13178" xr:uid="{6E3734D9-B889-483D-B981-2C1CA961CEF3}"/>
    <cellStyle name="Normal 4 9 3 2 2 2 3" xfId="13179" xr:uid="{3576ABB0-C4E3-4545-B669-747996D6DF24}"/>
    <cellStyle name="Normal 4 9 3 2 2 2 4" xfId="13180" xr:uid="{2B8CCF87-3B96-41F9-BB13-1FCF21B1ABF1}"/>
    <cellStyle name="Normal 4 9 3 2 2 2 5" xfId="13181" xr:uid="{EE539443-1A3D-4B78-B8E4-D2DCC948834B}"/>
    <cellStyle name="Normal 4 9 3 2 2 2 6" xfId="13182" xr:uid="{2A8BF1EE-D478-475D-B415-4193005605F3}"/>
    <cellStyle name="Normal 4 9 3 2 2 2 7" xfId="13183" xr:uid="{42ED53F8-707E-467C-9A7F-6AD2A2F776F7}"/>
    <cellStyle name="Normal 4 9 3 2 2 2 8" xfId="13184" xr:uid="{C8DA05FE-6B1D-4EB8-BB1C-8901E0C0690D}"/>
    <cellStyle name="Normal 4 9 3 2 2 2 9" xfId="13185" xr:uid="{79876379-0FC3-4BDB-BF10-E8B86ED7C9C5}"/>
    <cellStyle name="Normal 4 9 3 2 2 3" xfId="13186" xr:uid="{5B393B5E-3A79-467C-9C70-23BD64378FFA}"/>
    <cellStyle name="Normal 4 9 3 2 2 4" xfId="13187" xr:uid="{5E085EC3-B3B4-428B-8AA5-F8FCDD6EA88E}"/>
    <cellStyle name="Normal 4 9 3 2 2 4 2" xfId="13188" xr:uid="{82FB38D1-434D-4CF3-9D0A-F50F784BB884}"/>
    <cellStyle name="Normal 4 9 3 2 2 4 3" xfId="13189" xr:uid="{ACAA3E67-E90A-435A-AD96-B15F4041838E}"/>
    <cellStyle name="Normal 4 9 3 2 2 4 4" xfId="13190" xr:uid="{368CB208-190F-4A50-B815-E7F0877AD46C}"/>
    <cellStyle name="Normal 4 9 3 2 2 4 5" xfId="13191" xr:uid="{6EBC4E03-F420-4293-A4FA-8DD9F7DC6F6B}"/>
    <cellStyle name="Normal 4 9 3 2 2 4 6" xfId="13192" xr:uid="{63C9655C-A0DE-45B2-B340-32609EF2C7C4}"/>
    <cellStyle name="Normal 4 9 3 2 2 4 7" xfId="13193" xr:uid="{36D370EA-988C-489D-81B0-3DF0C6461307}"/>
    <cellStyle name="Normal 4 9 3 2 2 4 8" xfId="13194" xr:uid="{FCC0BBD1-2069-4720-B5C2-1F117F50BBF0}"/>
    <cellStyle name="Normal 4 9 3 2 2 5" xfId="13195" xr:uid="{857CB9A6-3FA3-494E-919F-684948CAD819}"/>
    <cellStyle name="Normal 4 9 3 2 2 6" xfId="13196" xr:uid="{C6712285-82C2-45E7-ACD8-DD365B53ECBF}"/>
    <cellStyle name="Normal 4 9 3 2 2 7" xfId="13197" xr:uid="{8273BCB0-C086-4E7D-B4DD-DF0D131118D7}"/>
    <cellStyle name="Normal 4 9 3 2 2 8" xfId="13198" xr:uid="{49B35BD3-8C85-4A94-95B9-1B80FB0B2238}"/>
    <cellStyle name="Normal 4 9 3 2 2 9" xfId="13199" xr:uid="{B860F7C9-9143-4F3E-A5E4-572F8239F1EC}"/>
    <cellStyle name="Normal 4 9 3 2 3" xfId="13200" xr:uid="{E7C1ABE4-6680-4700-91B2-D5C85090C1BC}"/>
    <cellStyle name="Normal 4 9 3 2 4" xfId="13201" xr:uid="{3485DE5E-491A-4CB1-A0CA-6D0D5E09F011}"/>
    <cellStyle name="Normal 4 9 3 2 5" xfId="13202" xr:uid="{8DE39D30-5A62-4DE3-A627-B15BC3AD5DE0}"/>
    <cellStyle name="Normal 4 9 3 2 6" xfId="13203" xr:uid="{152C10CA-A8BF-43EB-A729-A2592DACF160}"/>
    <cellStyle name="Normal 4 9 3 2 7" xfId="13204" xr:uid="{9EBB985B-E7F4-4369-B48B-D77D255ECD39}"/>
    <cellStyle name="Normal 4 9 3 2 8" xfId="13205" xr:uid="{FC5BF0F5-BFA1-4A7B-8003-808BFC7F0BE5}"/>
    <cellStyle name="Normal 4 9 3 2 9" xfId="13206" xr:uid="{019BE746-0E3A-4369-9A7A-8E1B32BF7CB5}"/>
    <cellStyle name="Normal 4 9 3 3" xfId="13207" xr:uid="{0B66F7D2-681A-444A-B93F-060DCCD18551}"/>
    <cellStyle name="Normal 4 9 3 3 10" xfId="13208" xr:uid="{33BE2BCE-D1E2-4E27-8F4D-C909902C0187}"/>
    <cellStyle name="Normal 4 9 3 3 2" xfId="13209" xr:uid="{467203AD-8405-4C83-A8F3-592AFB40A997}"/>
    <cellStyle name="Normal 4 9 3 3 2 2" xfId="13210" xr:uid="{A992AA5E-323C-4087-B2E9-ABD01B288EDF}"/>
    <cellStyle name="Normal 4 9 3 3 2 2 2" xfId="13211" xr:uid="{63473F8E-AE1E-4639-95A1-A0F2A08684F8}"/>
    <cellStyle name="Normal 4 9 3 3 2 2 2 2" xfId="13212" xr:uid="{83E2D784-3C3E-466B-8887-902A11181375}"/>
    <cellStyle name="Normal 4 9 3 3 2 2 2 3" xfId="13213" xr:uid="{7BD52FF4-E5D4-462D-B238-C3B361574CEB}"/>
    <cellStyle name="Normal 4 9 3 3 2 2 2 4" xfId="13214" xr:uid="{BDE5FCB1-58C9-44B6-960F-5111E8A3C08A}"/>
    <cellStyle name="Normal 4 9 3 3 2 2 2 5" xfId="13215" xr:uid="{2E41627C-AE13-468C-BBCE-D23CE477C5F6}"/>
    <cellStyle name="Normal 4 9 3 3 2 2 2 6" xfId="13216" xr:uid="{39B15706-2844-437D-AA8C-EF3B6421D754}"/>
    <cellStyle name="Normal 4 9 3 3 2 2 2 7" xfId="13217" xr:uid="{D5FFB23A-A7FD-4630-8A14-D143D880BC75}"/>
    <cellStyle name="Normal 4 9 3 3 2 2 2 8" xfId="13218" xr:uid="{EAE25373-5E86-422F-AF4B-54FC183B0D7C}"/>
    <cellStyle name="Normal 4 9 3 3 2 2 3" xfId="13219" xr:uid="{184330C5-426A-4241-8AE4-AE805E6C46C3}"/>
    <cellStyle name="Normal 4 9 3 3 2 2 4" xfId="13220" xr:uid="{E30F3BAD-FC78-4CAF-86EE-02DD9403335E}"/>
    <cellStyle name="Normal 4 9 3 3 2 2 5" xfId="13221" xr:uid="{18EC1594-EEDF-41DC-96A5-98F1A54E08AF}"/>
    <cellStyle name="Normal 4 9 3 3 2 2 6" xfId="13222" xr:uid="{7B5A7DA3-D4AB-495F-8752-61F716D83BF3}"/>
    <cellStyle name="Normal 4 9 3 3 2 2 7" xfId="13223" xr:uid="{80859A70-A2F3-450F-95B9-1A2355810934}"/>
    <cellStyle name="Normal 4 9 3 3 2 2 8" xfId="13224" xr:uid="{B0908B92-8A7F-40BC-9ED9-2FFA53E29D91}"/>
    <cellStyle name="Normal 4 9 3 3 2 3" xfId="13225" xr:uid="{0545B952-D2CD-4EA9-AE2A-849EB750F62A}"/>
    <cellStyle name="Normal 4 9 3 3 2 4" xfId="13226" xr:uid="{5C9AF9C8-C025-4C42-A634-687FA4638B2B}"/>
    <cellStyle name="Normal 4 9 3 3 2 5" xfId="13227" xr:uid="{E853EA27-8C7B-42C6-A82A-E7E07186BE6D}"/>
    <cellStyle name="Normal 4 9 3 3 2 6" xfId="13228" xr:uid="{84CF3FE5-0FD5-45EC-9726-550BF7927BD1}"/>
    <cellStyle name="Normal 4 9 3 3 2 7" xfId="13229" xr:uid="{D458ECA6-866B-4D3F-8F40-A492CACFB6BE}"/>
    <cellStyle name="Normal 4 9 3 3 2 8" xfId="13230" xr:uid="{BFB034EE-605F-473F-A5F0-53B9A64E0C94}"/>
    <cellStyle name="Normal 4 9 3 3 2 9" xfId="13231" xr:uid="{98485422-DB9C-44B3-AF81-E682656D2279}"/>
    <cellStyle name="Normal 4 9 3 3 3" xfId="13232" xr:uid="{F51383DC-BA33-430A-81DB-373EFB84C120}"/>
    <cellStyle name="Normal 4 9 3 3 4" xfId="13233" xr:uid="{A3F7B219-02EB-4FF4-B9B6-CEC44C205E4C}"/>
    <cellStyle name="Normal 4 9 3 3 4 2" xfId="13234" xr:uid="{4CC9206B-CFBA-47D7-B7D6-9046636CA683}"/>
    <cellStyle name="Normal 4 9 3 3 4 3" xfId="13235" xr:uid="{CA6A8B58-946A-4CAF-838E-7562F43036FA}"/>
    <cellStyle name="Normal 4 9 3 3 4 4" xfId="13236" xr:uid="{7BFDB5E0-9935-4CCE-B9F8-E4EF944767A4}"/>
    <cellStyle name="Normal 4 9 3 3 4 5" xfId="13237" xr:uid="{1F1A6EC6-35BE-4DDC-B55E-B1D0485CFA8C}"/>
    <cellStyle name="Normal 4 9 3 3 4 6" xfId="13238" xr:uid="{301B8B47-A46A-473D-9577-2DCE0BBE1F46}"/>
    <cellStyle name="Normal 4 9 3 3 4 7" xfId="13239" xr:uid="{4C5A75B5-A54A-467B-AD9B-82F9ABE71BC4}"/>
    <cellStyle name="Normal 4 9 3 3 4 8" xfId="13240" xr:uid="{C5688412-A442-4058-A96B-72FC08F30050}"/>
    <cellStyle name="Normal 4 9 3 3 5" xfId="13241" xr:uid="{B714FB42-63A0-4C5A-8063-58610408CA90}"/>
    <cellStyle name="Normal 4 9 3 3 6" xfId="13242" xr:uid="{AF233FEF-3D17-4BF5-A38D-5C059C74259B}"/>
    <cellStyle name="Normal 4 9 3 3 7" xfId="13243" xr:uid="{AA299A65-358A-4E59-AD0E-D5DC6DA9AF38}"/>
    <cellStyle name="Normal 4 9 3 3 8" xfId="13244" xr:uid="{FBF51A99-254F-47AA-BCA7-262A492F42FD}"/>
    <cellStyle name="Normal 4 9 3 3 9" xfId="13245" xr:uid="{B6347140-9469-483B-862C-86BF391F4E26}"/>
    <cellStyle name="Normal 4 9 3 4" xfId="13246" xr:uid="{C96FE465-4B23-46DB-B8A1-6C0BA67EAFB6}"/>
    <cellStyle name="Normal 4 9 3 5" xfId="13247" xr:uid="{2EF6307D-5C19-4D21-BE62-B49C293FBB0F}"/>
    <cellStyle name="Normal 4 9 3 6" xfId="13248" xr:uid="{6E11C86E-E1F1-41A1-9781-298560C5CF2E}"/>
    <cellStyle name="Normal 4 9 3 7" xfId="13249" xr:uid="{E358AD18-1C8F-411F-8950-91A7AF808423}"/>
    <cellStyle name="Normal 4 9 3 8" xfId="13250" xr:uid="{EFD680F1-5162-4A1D-9FAD-A80AC249C947}"/>
    <cellStyle name="Normal 4 9 3 9" xfId="13251" xr:uid="{5A06A656-B519-4EA5-A8E5-BFDB57AD4B37}"/>
    <cellStyle name="Normal 4 9 4" xfId="13252" xr:uid="{B7B84A4B-14B5-4E0A-B9AE-6EDAB4731B96}"/>
    <cellStyle name="Normal 4 9 5" xfId="13253" xr:uid="{647CEE2F-151D-4E7A-B7AC-88E11C85ABA0}"/>
    <cellStyle name="Normal 4 9 6" xfId="13254" xr:uid="{58655215-0706-4F11-BAB3-B3F8541F1BF0}"/>
    <cellStyle name="Normal 4 9 7" xfId="13255" xr:uid="{62A133F3-D5AB-4824-8A5D-AFE8863FA09C}"/>
    <cellStyle name="Normal 4 9 7 10" xfId="13256" xr:uid="{5800F5AE-2D1C-4541-BF2E-F07ED9A1BAD3}"/>
    <cellStyle name="Normal 4 9 7 2" xfId="13257" xr:uid="{0491E4B9-78D2-431F-8692-8289CDF332D7}"/>
    <cellStyle name="Normal 4 9 7 2 2" xfId="13258" xr:uid="{2A5259D0-4548-4995-B9C1-AE81CAAF14DB}"/>
    <cellStyle name="Normal 4 9 7 2 2 2" xfId="13259" xr:uid="{BA47C7C7-0019-442F-A60C-9362495B3F5D}"/>
    <cellStyle name="Normal 4 9 7 2 2 2 2" xfId="13260" xr:uid="{F6BE97C9-C926-4DE9-86C8-501B99409D00}"/>
    <cellStyle name="Normal 4 9 7 2 2 2 3" xfId="13261" xr:uid="{D863394E-CE06-401A-B23B-715026A82013}"/>
    <cellStyle name="Normal 4 9 7 2 2 2 4" xfId="13262" xr:uid="{E5302A3F-B187-4B40-845B-9BC4B255FBA4}"/>
    <cellStyle name="Normal 4 9 7 2 2 2 5" xfId="13263" xr:uid="{BEC9AC1A-9B9F-4765-903D-483763F12071}"/>
    <cellStyle name="Normal 4 9 7 2 2 2 6" xfId="13264" xr:uid="{EB94A139-C940-4680-AB0E-A5E6CAEF28A8}"/>
    <cellStyle name="Normal 4 9 7 2 2 2 7" xfId="13265" xr:uid="{4734017E-59B9-4C65-B2B8-6B443180F0A6}"/>
    <cellStyle name="Normal 4 9 7 2 2 2 8" xfId="13266" xr:uid="{ED29FFC8-ACA5-4C4B-A842-67176C1EE011}"/>
    <cellStyle name="Normal 4 9 7 2 2 3" xfId="13267" xr:uid="{25789ADC-D963-4B9F-B505-ED9834ECBA16}"/>
    <cellStyle name="Normal 4 9 7 2 2 4" xfId="13268" xr:uid="{3D2299FD-EFC9-4D0A-A68C-03CF6022088D}"/>
    <cellStyle name="Normal 4 9 7 2 2 5" xfId="13269" xr:uid="{99D5CA1B-F275-4964-AD45-23844DE7E8C3}"/>
    <cellStyle name="Normal 4 9 7 2 2 6" xfId="13270" xr:uid="{8099BC56-9B84-43D9-B8F2-CC66148CCA78}"/>
    <cellStyle name="Normal 4 9 7 2 2 7" xfId="13271" xr:uid="{83C7ABF8-6F00-424C-88D6-A6F56940CB0B}"/>
    <cellStyle name="Normal 4 9 7 2 2 8" xfId="13272" xr:uid="{60B69E4A-6BE8-4F99-87C8-AEF5A7FB8E57}"/>
    <cellStyle name="Normal 4 9 7 2 3" xfId="13273" xr:uid="{ECBE4AAE-A0D9-4DA4-9F8A-0769C080367D}"/>
    <cellStyle name="Normal 4 9 7 2 4" xfId="13274" xr:uid="{7BB12A9E-B422-4458-8E6F-952BD261AB10}"/>
    <cellStyle name="Normal 4 9 7 2 5" xfId="13275" xr:uid="{740341A9-B05B-4866-9D25-D2DF1C8571AB}"/>
    <cellStyle name="Normal 4 9 7 2 6" xfId="13276" xr:uid="{CAAD7B80-6F9E-4433-80AF-C3EEAC91A89E}"/>
    <cellStyle name="Normal 4 9 7 2 7" xfId="13277" xr:uid="{8FFD4C7D-124B-48C2-B742-FBF78702D36E}"/>
    <cellStyle name="Normal 4 9 7 2 8" xfId="13278" xr:uid="{EE7C3431-19A3-4400-9218-FBD5EF0AE89C}"/>
    <cellStyle name="Normal 4 9 7 2 9" xfId="13279" xr:uid="{2FF931BF-F83E-41AA-99D6-12BE19231F91}"/>
    <cellStyle name="Normal 4 9 7 3" xfId="13280" xr:uid="{988955F0-D22C-4489-B724-63EBCB0BA6E4}"/>
    <cellStyle name="Normal 4 9 7 4" xfId="13281" xr:uid="{5DF87B2C-9D6D-4A27-B377-9F36FE55E0CC}"/>
    <cellStyle name="Normal 4 9 7 4 2" xfId="13282" xr:uid="{1B78FCBF-6255-4962-AFCE-1BFF3B059C3B}"/>
    <cellStyle name="Normal 4 9 7 4 3" xfId="13283" xr:uid="{2D7F4A74-D48D-4C0C-B28E-FA0101DF2459}"/>
    <cellStyle name="Normal 4 9 7 4 4" xfId="13284" xr:uid="{233A06D7-65A3-4BC4-8963-FC7A048CE47C}"/>
    <cellStyle name="Normal 4 9 7 4 5" xfId="13285" xr:uid="{3B9AD4AF-FE33-47DD-A9A9-3AAA013CEB39}"/>
    <cellStyle name="Normal 4 9 7 4 6" xfId="13286" xr:uid="{927CD6FF-2B57-4B59-BFC9-A0734A1117F7}"/>
    <cellStyle name="Normal 4 9 7 4 7" xfId="13287" xr:uid="{DC915C5B-0F86-4772-B7B7-DC1F5EDC198B}"/>
    <cellStyle name="Normal 4 9 7 4 8" xfId="13288" xr:uid="{AC47C26F-110D-499C-A008-17A317DA7C9D}"/>
    <cellStyle name="Normal 4 9 7 5" xfId="13289" xr:uid="{F68AA0AD-AB75-4115-BECE-E8EA02CCC34F}"/>
    <cellStyle name="Normal 4 9 7 6" xfId="13290" xr:uid="{86A99A3B-4C64-492D-80ED-986EC100E293}"/>
    <cellStyle name="Normal 4 9 7 7" xfId="13291" xr:uid="{E21F27CF-E861-4F38-BB13-824831F59BE6}"/>
    <cellStyle name="Normal 4 9 7 8" xfId="13292" xr:uid="{3BE1C88D-1B97-4758-918C-E9320579C9C8}"/>
    <cellStyle name="Normal 4 9 7 9" xfId="13293" xr:uid="{9A6E2E58-76A3-4524-B00E-27BD16403E5D}"/>
    <cellStyle name="Normal 4 9 8" xfId="13294" xr:uid="{CE109862-66F1-4ECA-B964-F6D5D06A1C62}"/>
    <cellStyle name="Normal 4 9 9" xfId="13295" xr:uid="{0F247826-7337-45CE-A1D7-0FFB64A2B9A0}"/>
    <cellStyle name="Normal 40" xfId="13296" xr:uid="{55F1C1BF-3D46-4756-B666-5F2C840B8ABC}"/>
    <cellStyle name="Normal 40 10" xfId="13596" xr:uid="{705BE7B8-0816-468A-8517-EB22FDAD19E5}"/>
    <cellStyle name="Normal 40 2" xfId="13297" xr:uid="{5804FAAA-79EC-4AE0-A3B9-B194E33385AF}"/>
    <cellStyle name="Normal 40 3" xfId="13298" xr:uid="{4E6826BE-A721-4EE8-8F32-9007BCB6E1DC}"/>
    <cellStyle name="Normal 40 4" xfId="13299" xr:uid="{F806403D-1681-4F74-8D83-9B9E142FEB31}"/>
    <cellStyle name="Normal 40 5" xfId="13300" xr:uid="{978637FD-5F1C-4858-B94A-0491E2EBB1FF}"/>
    <cellStyle name="Normal 40 6" xfId="13301" xr:uid="{F44EF291-6277-4820-9951-255D99D69BCD}"/>
    <cellStyle name="Normal 40 7" xfId="13302" xr:uid="{1F84DA65-AB77-458F-9897-15029D883F1D}"/>
    <cellStyle name="Normal 40 8" xfId="13303" xr:uid="{92D8D3E2-F8D4-4FEE-BBB8-B852290CEBB0}"/>
    <cellStyle name="Normal 40 9" xfId="13304" xr:uid="{F92246B2-77CE-45A6-AABE-463D9672C4C4}"/>
    <cellStyle name="Normal 41" xfId="13305" xr:uid="{C8D6E85E-05D0-4B04-86EA-1419F72C84E5}"/>
    <cellStyle name="Normal 41 10" xfId="13597" xr:uid="{F3D809DA-01DC-4004-89B7-8F712A3604E7}"/>
    <cellStyle name="Normal 41 2" xfId="13306" xr:uid="{80F381FB-E13F-45C2-ADC0-C0775D6F75DF}"/>
    <cellStyle name="Normal 41 3" xfId="13307" xr:uid="{1248962D-6309-48F6-83AB-D6939FE92D39}"/>
    <cellStyle name="Normal 41 4" xfId="13308" xr:uid="{0A21608E-76F1-4CBE-8D5E-6513C2672FF2}"/>
    <cellStyle name="Normal 41 5" xfId="13309" xr:uid="{EB59164A-74FA-4CEF-B9F3-B446DFC950EC}"/>
    <cellStyle name="Normal 41 6" xfId="13310" xr:uid="{386F3755-8B93-42EE-B2E7-52610A478221}"/>
    <cellStyle name="Normal 41 7" xfId="13311" xr:uid="{98ED9D98-A0DC-4EBF-9A29-632BA40A33CF}"/>
    <cellStyle name="Normal 41 8" xfId="13312" xr:uid="{2B9590E2-2BF3-460C-B312-CDF3EB240AA2}"/>
    <cellStyle name="Normal 41 9" xfId="13313" xr:uid="{2F132880-7D4F-47D2-82C7-008015815C59}"/>
    <cellStyle name="Normal 42" xfId="13314" xr:uid="{160300B3-6B12-409F-A66F-5FB73BAA934E}"/>
    <cellStyle name="Normal 42 10" xfId="13598" xr:uid="{21A822E0-271F-4BD6-A2DB-C4C5D0FD5033}"/>
    <cellStyle name="Normal 42 2" xfId="13315" xr:uid="{70DD0EFB-08B0-4BA2-A6C9-E6CDA8EB5F86}"/>
    <cellStyle name="Normal 42 3" xfId="13316" xr:uid="{8384B6DE-7CE2-4D90-9CC0-55D6FCFB3917}"/>
    <cellStyle name="Normal 42 4" xfId="13317" xr:uid="{4D8F1D15-CC9F-4ABE-B63D-ED27D013C83B}"/>
    <cellStyle name="Normal 42 5" xfId="13318" xr:uid="{F8FD0892-1195-41FA-92A0-89A52761F227}"/>
    <cellStyle name="Normal 42 6" xfId="13319" xr:uid="{E3DDD3AB-D589-424C-B02E-0E7254BD44F3}"/>
    <cellStyle name="Normal 42 7" xfId="13320" xr:uid="{1AFB3246-CA8C-4C17-88BF-0A9719175A42}"/>
    <cellStyle name="Normal 42 8" xfId="13321" xr:uid="{31A2243F-6ACA-4115-A13A-8ABEC14223D9}"/>
    <cellStyle name="Normal 42 9" xfId="13322" xr:uid="{71C55ACE-984B-41E5-A4B6-1CCD6C60744C}"/>
    <cellStyle name="Normal 43" xfId="13323" xr:uid="{BD3F9344-4DCD-439F-9FA3-AD6264B20F0D}"/>
    <cellStyle name="Normal 43 10" xfId="13620" xr:uid="{0FA7C9A7-AFBE-429A-B750-63B8BBF7E875}"/>
    <cellStyle name="Normal 43 2" xfId="13324" xr:uid="{AD7831C4-5286-4905-96E1-82721376DD67}"/>
    <cellStyle name="Normal 43 3" xfId="13325" xr:uid="{8477FC22-EE67-49D4-AFE8-FA35151D3C1D}"/>
    <cellStyle name="Normal 43 4" xfId="13326" xr:uid="{3AA997E3-068E-4414-B9D7-7882523D2790}"/>
    <cellStyle name="Normal 43 5" xfId="13327" xr:uid="{9E8F5EDD-1816-48B1-92B6-4C65A9081765}"/>
    <cellStyle name="Normal 43 6" xfId="13328" xr:uid="{7831CC9F-C379-488A-872F-9193923BD65F}"/>
    <cellStyle name="Normal 43 7" xfId="13329" xr:uid="{36511958-4FF7-4D9F-BEEF-7C9E0D42357C}"/>
    <cellStyle name="Normal 43 8" xfId="13330" xr:uid="{DB168AD5-0F74-4F44-99B7-9820C7CC47A0}"/>
    <cellStyle name="Normal 43 9" xfId="13331" xr:uid="{9B91BEC5-76F9-4EAE-8C00-021184BEC6B5}"/>
    <cellStyle name="Normal 44" xfId="13332" xr:uid="{88DD0291-5C4D-4001-BEB5-CC13DF37F6EB}"/>
    <cellStyle name="Normal 44 10" xfId="13579" xr:uid="{09336F50-091F-4EE6-AA9C-C969B26BB0A5}"/>
    <cellStyle name="Normal 44 2" xfId="13333" xr:uid="{BDBC4D71-CB52-4FB1-80A4-07AB08DA0024}"/>
    <cellStyle name="Normal 44 3" xfId="13334" xr:uid="{F54924CB-0C43-40B1-9F3A-2D789266CBA3}"/>
    <cellStyle name="Normal 44 4" xfId="13335" xr:uid="{F3A56A89-4A11-48AB-B508-C2204C58215A}"/>
    <cellStyle name="Normal 44 5" xfId="13336" xr:uid="{E24D07CE-EDD2-4F25-BA29-BBB07B7C9045}"/>
    <cellStyle name="Normal 44 6" xfId="13337" xr:uid="{842E62F7-29AE-44CB-AC42-DA1B885D1E6E}"/>
    <cellStyle name="Normal 44 7" xfId="13338" xr:uid="{9373E7ED-40E2-493E-A323-5D41AB593511}"/>
    <cellStyle name="Normal 44 8" xfId="13339" xr:uid="{1E9069F8-7F6F-401B-85F0-C7D523ADDA31}"/>
    <cellStyle name="Normal 44 9" xfId="13340" xr:uid="{0C48125E-0518-4394-B272-EE72B9BE7C1C}"/>
    <cellStyle name="Normal 45" xfId="13341" xr:uid="{D268313D-F6BD-4E3D-8582-3D64EB97325F}"/>
    <cellStyle name="Normal 45 10" xfId="13580" xr:uid="{2FAD91BB-A337-42C9-9A4E-5E53AFD65D04}"/>
    <cellStyle name="Normal 45 2" xfId="13342" xr:uid="{231E7F5B-62C7-4C7C-BC48-90FA61B67E82}"/>
    <cellStyle name="Normal 45 3" xfId="13343" xr:uid="{79170FE4-51D7-4B4B-B436-72DBEFFF1411}"/>
    <cellStyle name="Normal 45 4" xfId="13344" xr:uid="{D9237D89-08F8-4D6C-82BD-E10CE3B106C0}"/>
    <cellStyle name="Normal 45 5" xfId="13345" xr:uid="{2D60AE58-BD6E-435F-9449-455F34DA3508}"/>
    <cellStyle name="Normal 45 6" xfId="13346" xr:uid="{5BF79A15-67D9-4F4D-96F8-90DB4373FAED}"/>
    <cellStyle name="Normal 45 7" xfId="13347" xr:uid="{23D93E72-DD53-47C6-AF7D-805584632E5A}"/>
    <cellStyle name="Normal 45 8" xfId="13348" xr:uid="{92D5E890-E816-436E-95E8-18DFDA030A09}"/>
    <cellStyle name="Normal 45 9" xfId="13349" xr:uid="{BD521C9C-1A5C-43AB-9E61-394D1D9EFB4F}"/>
    <cellStyle name="Normal 46" xfId="13350" xr:uid="{D2599E8A-F92A-4852-B17D-2E04653DEF4A}"/>
    <cellStyle name="Normal 46 10" xfId="13600" xr:uid="{B9CE0C78-B49E-4643-9553-D793AD93CB43}"/>
    <cellStyle name="Normal 46 2" xfId="13351" xr:uid="{00A9B910-FE5C-45A7-AB5F-48ECF8DA659A}"/>
    <cellStyle name="Normal 46 3" xfId="13352" xr:uid="{F0BBEEB3-2EF7-44D0-A096-9029DE588ADB}"/>
    <cellStyle name="Normal 46 4" xfId="13353" xr:uid="{DEC5BE3C-5E8B-4C65-B892-134119B34718}"/>
    <cellStyle name="Normal 46 5" xfId="13354" xr:uid="{2A7BA84E-4B8B-4CCF-BC00-46915B8E33EE}"/>
    <cellStyle name="Normal 46 6" xfId="13355" xr:uid="{3A8AC610-A1D3-4A42-AAB4-5F82856170F2}"/>
    <cellStyle name="Normal 46 7" xfId="13356" xr:uid="{4F231FA6-8961-4E74-BD71-9529059637D2}"/>
    <cellStyle name="Normal 46 8" xfId="13357" xr:uid="{A05A7E93-8737-4483-98FA-119E3A2CDA73}"/>
    <cellStyle name="Normal 46 9" xfId="13358" xr:uid="{E675C702-9C7E-453B-B7E9-2DD356D524DA}"/>
    <cellStyle name="Normal 47" xfId="13359" xr:uid="{72C9D82E-A25B-4FB2-A305-6A2239749430}"/>
    <cellStyle name="Normal 47 10" xfId="13581" xr:uid="{5AB88A30-AAD8-4DCE-A7DC-34FD51D7AB04}"/>
    <cellStyle name="Normal 47 2" xfId="13360" xr:uid="{1C36E301-DD7D-429B-8380-CDF5033C0AA6}"/>
    <cellStyle name="Normal 47 3" xfId="13361" xr:uid="{BF5D0F42-3BA2-4241-A109-0F177D95CBAF}"/>
    <cellStyle name="Normal 47 4" xfId="13362" xr:uid="{52FD9F87-279D-496E-B0D3-DC2C2C0D4424}"/>
    <cellStyle name="Normal 47 5" xfId="13363" xr:uid="{781DE404-44D3-47B3-A269-D83629EA6756}"/>
    <cellStyle name="Normal 47 6" xfId="13364" xr:uid="{6B0D2D3B-6815-4994-B910-F064830DCBB7}"/>
    <cellStyle name="Normal 47 7" xfId="13365" xr:uid="{EABE4E8E-DBB4-4464-903D-AEEBF59DC9DC}"/>
    <cellStyle name="Normal 47 8" xfId="13366" xr:uid="{68DC3048-38DA-41FA-BAC2-70380D93BB66}"/>
    <cellStyle name="Normal 47 9" xfId="13367" xr:uid="{0C179D4E-0254-4EEB-8F2D-812F1B7C93E5}"/>
    <cellStyle name="Normal 48" xfId="13368" xr:uid="{A480629E-7C27-4D88-BD89-D35E2BD59F56}"/>
    <cellStyle name="Normal 48 2" xfId="13369" xr:uid="{35BA6960-0CE3-48EE-AC87-49494ACEC63F}"/>
    <cellStyle name="Normal 48 2 2" xfId="13370" xr:uid="{556A7180-262C-4D72-8AA0-919B56ED4F64}"/>
    <cellStyle name="Normal 48 2 2 2" xfId="13371" xr:uid="{884B8040-CD67-4A65-8C9E-E5D21B972C69}"/>
    <cellStyle name="Normal 48 2 2 3" xfId="13372" xr:uid="{05C26464-C278-4B59-83DC-808AA5CAF502}"/>
    <cellStyle name="Normal 48 2 2 4" xfId="13373" xr:uid="{7F9F8A1F-A4B2-4A17-9856-F1B6204525BB}"/>
    <cellStyle name="Normal 48 2 2 5" xfId="13374" xr:uid="{F6E556D4-2C58-48DF-A421-EA8F46D9B112}"/>
    <cellStyle name="Normal 48 2 2 6" xfId="13375" xr:uid="{E37905BD-8237-4CDE-9209-887DEF72E7CC}"/>
    <cellStyle name="Normal 48 2 2 7" xfId="13376" xr:uid="{CCDDEC50-BEFC-49A8-A3C7-8FF3492DAD24}"/>
    <cellStyle name="Normal 48 2 2 8" xfId="13377" xr:uid="{99EB65CE-A5AD-49AE-B153-947F3D9CF117}"/>
    <cellStyle name="Normal 48 2 3" xfId="13378" xr:uid="{CCEA0589-C727-401D-ABFF-0D8424F092F9}"/>
    <cellStyle name="Normal 48 2 4" xfId="13379" xr:uid="{CCCDC172-7CCE-418F-9AC3-D7E3CE7A4AA7}"/>
    <cellStyle name="Normal 48 2 5" xfId="13380" xr:uid="{8F4C8170-5A5E-45BB-88F8-18ED173EC29C}"/>
    <cellStyle name="Normal 48 2 6" xfId="13381" xr:uid="{F6269171-3AC6-449C-BE99-7260F4EE0194}"/>
    <cellStyle name="Normal 48 2 7" xfId="13382" xr:uid="{9DA119EC-0D99-4FDA-BBE7-4C4D1F187D55}"/>
    <cellStyle name="Normal 48 2 8" xfId="13383" xr:uid="{48D811A0-9CA7-49A3-AD4F-3263F59E4EB1}"/>
    <cellStyle name="Normal 48 3" xfId="13384" xr:uid="{AAC9CEBA-44FA-4AC3-9833-C547C83A8FD5}"/>
    <cellStyle name="Normal 48 4" xfId="13385" xr:uid="{5496C1D1-B1F1-485A-A593-09043DDB92C2}"/>
    <cellStyle name="Normal 48 5" xfId="13386" xr:uid="{E6A86D09-A4EC-411A-9368-99723FD15B3C}"/>
    <cellStyle name="Normal 48 6" xfId="13601" xr:uid="{7737E24D-005C-4D87-BDD7-E645062F9671}"/>
    <cellStyle name="Normal 49" xfId="13387" xr:uid="{4C25D13C-5835-4568-9460-064C9288C1F2}"/>
    <cellStyle name="Normal 49 2" xfId="13388" xr:uid="{3A6F09E8-0289-4674-98AA-452E5A635104}"/>
    <cellStyle name="Normal 49 3" xfId="13389" xr:uid="{79C238EC-2342-44BD-B28C-52CF040872C9}"/>
    <cellStyle name="Normal 49 4" xfId="13390" xr:uid="{41A3D9F8-FB11-4021-927D-7C1B063600CF}"/>
    <cellStyle name="Normal 49 5" xfId="13391" xr:uid="{FF5AF9DD-BCAD-45B3-B1A2-6B4C6762472C}"/>
    <cellStyle name="Normal 49 6" xfId="13392" xr:uid="{E4913E91-309C-4AF6-9CE5-97C45CC27C4B}"/>
    <cellStyle name="Normal 49 7" xfId="13393" xr:uid="{74C6BA1A-5F34-4B3A-A025-D998EC51708B}"/>
    <cellStyle name="Normal 49 8" xfId="13394" xr:uid="{CD51B031-660D-434B-B350-64A95A26C0FB}"/>
    <cellStyle name="Normal 49 9" xfId="13582" xr:uid="{BA0CD88E-972F-470D-8D48-59CAFB031C92}"/>
    <cellStyle name="Normal 5" xfId="13693" xr:uid="{437B947A-D1BB-4573-8765-F4BBBD6AFD10}"/>
    <cellStyle name="Normal 5 2" xfId="13395" xr:uid="{8C751245-619F-45E5-832B-DF6C1875F4C1}"/>
    <cellStyle name="Normal 5 3" xfId="13396" xr:uid="{96394E3E-1B79-4096-8931-7812ADAC9B43}"/>
    <cellStyle name="Normal 5 4" xfId="13397" xr:uid="{2EB562AE-0AD0-4C9C-BB6F-EBB4458A447D}"/>
    <cellStyle name="Normal 5 5" xfId="13398" xr:uid="{D33F7F1E-D4F5-45DA-AC94-3E752DFF4F79}"/>
    <cellStyle name="Normal 50" xfId="13399" xr:uid="{0005EA16-0703-4663-9D66-3B2F52898F75}"/>
    <cellStyle name="Normal 50 2" xfId="13583" xr:uid="{51610A4B-8B99-4E6B-BF71-CE89A11908B9}"/>
    <cellStyle name="Normal 51" xfId="13400" xr:uid="{828CA7F2-6A46-49BC-A05F-1677CF67904C}"/>
    <cellStyle name="Normal 51 2" xfId="13602" xr:uid="{2B6A48B9-0239-46BD-B558-7936EE7823BC}"/>
    <cellStyle name="Normal 52" xfId="13401" xr:uid="{1F1B3BE3-1A54-451B-AEFC-91A9CFAC67A3}"/>
    <cellStyle name="Normal 52 2" xfId="13584" xr:uid="{7F1E300C-4571-4163-8153-D09E10F27FDC}"/>
    <cellStyle name="Normal 53" xfId="13402" xr:uid="{97100534-A937-4E34-8133-87C000C01B4E}"/>
    <cellStyle name="Normal 53 2" xfId="13585" xr:uid="{234E3272-11BA-4C20-B630-8AACFF9358A8}"/>
    <cellStyle name="Normal 54" xfId="13782" xr:uid="{C2752E0D-BB91-472F-A0F9-CBD1A9EA18F3}"/>
    <cellStyle name="Normal 55" xfId="13403" xr:uid="{A5B2BDC1-BEA6-4222-87A4-75EA28BB7C8D}"/>
    <cellStyle name="Normal 55 2" xfId="13603" xr:uid="{CE2B35D6-63A6-496F-9F9A-59A4D6E1737D}"/>
    <cellStyle name="Normal 56" xfId="13786" xr:uid="{5F81B30C-57EB-446F-B00F-BA597309C85F}"/>
    <cellStyle name="Normal 57" xfId="13788" xr:uid="{6C6C3AA1-30CC-4D86-B8AB-A09881869704}"/>
    <cellStyle name="Normal 58" xfId="13791" xr:uid="{BC33B9B9-EB91-48AF-BEB3-7DA3BCFDCBD1}"/>
    <cellStyle name="Normal 59" xfId="13793" xr:uid="{E22FCA8C-1F5A-4113-A7EF-AA68E6458F2A}"/>
    <cellStyle name="Normal 6" xfId="13404" xr:uid="{8008E389-D3E3-4869-9110-1CE6489B7B70}"/>
    <cellStyle name="Normal 6 10" xfId="13405" xr:uid="{30263BDE-15A2-4D5F-8D83-B8FA69B2CE0C}"/>
    <cellStyle name="Normal 6 11" xfId="13406" xr:uid="{A31C7A6F-2188-4216-8C1F-491E9DDC73B1}"/>
    <cellStyle name="Normal 6 12" xfId="13407" xr:uid="{0E81017A-1824-4397-B998-AA383DCEF853}"/>
    <cellStyle name="Normal 6 13" xfId="13408" xr:uid="{147EE264-A49D-4430-A01C-1D211661DF4A}"/>
    <cellStyle name="Normal 6 14" xfId="13409" xr:uid="{8A8186F5-DC3A-4544-BD14-7E593AFC8C82}"/>
    <cellStyle name="Normal 6 15" xfId="13410" xr:uid="{33238694-F4C4-4390-8BF0-49B952CD492D}"/>
    <cellStyle name="Normal 6 16" xfId="13411" xr:uid="{459230C8-E9C3-4336-9D8C-DB453E57DD2D}"/>
    <cellStyle name="Normal 6 17" xfId="13412" xr:uid="{C6558FA5-C6FB-4B22-910B-E1EC649666B1}"/>
    <cellStyle name="Normal 6 18" xfId="13413" xr:uid="{1BA2597B-B9D4-48BF-8715-A8BE18BC5AD1}"/>
    <cellStyle name="Normal 6 19" xfId="13414" xr:uid="{7A61ECA6-F4F1-423D-BECB-B7D1F0E4F2A4}"/>
    <cellStyle name="Normal 6 2" xfId="13415" xr:uid="{3DA3233C-0488-492A-8D07-94BBD28EBD51}"/>
    <cellStyle name="Normal 6 20" xfId="13416" xr:uid="{7AC2DBFF-86F1-4FD0-AE68-EC8C3F876747}"/>
    <cellStyle name="Normal 6 21" xfId="13417" xr:uid="{7B857B63-0C79-4C84-BBB7-CF1E8EC4ADFF}"/>
    <cellStyle name="Normal 6 22" xfId="13418" xr:uid="{4CB9D99E-5928-4AE3-BA3D-914AFF498505}"/>
    <cellStyle name="Normal 6 23" xfId="13419" xr:uid="{D03393FB-C2FC-4247-87AD-F38341EDD23C}"/>
    <cellStyle name="Normal 6 24" xfId="13420" xr:uid="{E3E297CA-1A6B-4B4F-A289-165DDFE0785E}"/>
    <cellStyle name="Normal 6 25" xfId="13421" xr:uid="{7656A68E-FBD8-4B55-947A-23A02A63098B}"/>
    <cellStyle name="Normal 6 26" xfId="13422" xr:uid="{794A6D57-0C9C-4556-99A3-4C4F21A1250B}"/>
    <cellStyle name="Normal 6 27" xfId="13423" xr:uid="{30984D7B-AF1A-42EF-91A0-8A53DD4B6344}"/>
    <cellStyle name="Normal 6 28" xfId="13424" xr:uid="{F3638F05-597B-46D7-BE07-68A03BF99266}"/>
    <cellStyle name="Normal 6 29" xfId="13425" xr:uid="{48C1776D-C146-4776-820E-97FECD39FBC3}"/>
    <cellStyle name="Normal 6 3" xfId="13426" xr:uid="{84E88481-361A-4E0B-A1F1-F3EDE575C684}"/>
    <cellStyle name="Normal 6 30" xfId="13427" xr:uid="{F4A0BC9A-DA91-4243-88C8-D4AC97E01308}"/>
    <cellStyle name="Normal 6 31" xfId="13428" xr:uid="{8F8AE863-421F-4470-AC01-C2BF6BF26383}"/>
    <cellStyle name="Normal 6 32" xfId="13429" xr:uid="{AB5B74EE-9D32-489E-B049-5BCE448B57F8}"/>
    <cellStyle name="Normal 6 33" xfId="13430" xr:uid="{D5745A66-E0F9-45E3-9C25-64CFD85C85AC}"/>
    <cellStyle name="Normal 6 34" xfId="13431" xr:uid="{35DA4571-434A-477C-9F20-51A02808369E}"/>
    <cellStyle name="Normal 6 35" xfId="13432" xr:uid="{408C10AE-89B3-43A8-8399-A6D80D30FA73}"/>
    <cellStyle name="Normal 6 36" xfId="13433" xr:uid="{3667536D-E8A2-4569-86ED-BEA2576494B0}"/>
    <cellStyle name="Normal 6 37" xfId="13434" xr:uid="{C09031C6-4B0F-4991-B3B5-984887076A2A}"/>
    <cellStyle name="Normal 6 38" xfId="13435" xr:uid="{6EA56623-A509-49EC-899A-D6E2C098560E}"/>
    <cellStyle name="Normal 6 39" xfId="13436" xr:uid="{FAF8AE1D-2B1D-45AA-BEE5-615A186146F3}"/>
    <cellStyle name="Normal 6 4" xfId="13437" xr:uid="{CB411E63-4DF4-4F07-91DD-E196E92D27AE}"/>
    <cellStyle name="Normal 6 40" xfId="13438" xr:uid="{D2B923D1-0F6A-4CB1-AB1E-6800A6FACF24}"/>
    <cellStyle name="Normal 6 41" xfId="13439" xr:uid="{AF0A1351-D5DD-4ECA-8E7F-CBBA7D5319B4}"/>
    <cellStyle name="Normal 6 42" xfId="13440" xr:uid="{23C0E2C5-5F3F-4CD8-913F-73B27BF407D4}"/>
    <cellStyle name="Normal 6 43" xfId="13441" xr:uid="{839D7BA1-5EA8-4A09-93CA-9651445CF923}"/>
    <cellStyle name="Normal 6 44" xfId="13604" xr:uid="{6CCF650B-CA7B-45F9-9C9D-5808ED4C0C78}"/>
    <cellStyle name="Normal 6 5" xfId="13442" xr:uid="{03A8A5FF-F065-4C38-B36C-1DA9ECC30367}"/>
    <cellStyle name="Normal 6 6" xfId="13443" xr:uid="{820AC364-6A66-4830-93CE-93FF803356E2}"/>
    <cellStyle name="Normal 6 7" xfId="13444" xr:uid="{BD293094-1C89-467E-A078-C36AC2F65409}"/>
    <cellStyle name="Normal 6 8" xfId="13445" xr:uid="{39998DC4-6B57-402B-8E75-20AE2D004D7C}"/>
    <cellStyle name="Normal 6 9" xfId="13446" xr:uid="{3AC2C667-0C57-4440-91D5-CB312AAFEF72}"/>
    <cellStyle name="Normal 60" xfId="13795" xr:uid="{341EFB38-193B-4CA7-8319-87507AD1287B}"/>
    <cellStyle name="Normal 61" xfId="45" xr:uid="{A8601464-7AD2-4E0E-83C7-7933CF0C4470}"/>
    <cellStyle name="Normal 62" xfId="13816" xr:uid="{F00CEFF7-5488-4ED4-BFEB-A161F5A46D59}"/>
    <cellStyle name="Normal 7" xfId="13447" xr:uid="{95896F99-75A5-40E2-9881-1C0180A7E7EB}"/>
    <cellStyle name="Normal 7 10" xfId="13448" xr:uid="{688C4382-129D-4B6D-A431-A90BE91AE125}"/>
    <cellStyle name="Normal 7 11" xfId="13449" xr:uid="{58E64179-8826-4127-87C4-DD54309D398D}"/>
    <cellStyle name="Normal 7 12" xfId="13450" xr:uid="{BE16EA09-7FEF-42E7-B4F3-68D3375E4CC1}"/>
    <cellStyle name="Normal 7 13" xfId="13451" xr:uid="{EBEE47BC-F2AC-4A76-A27A-E9521BE6E7CB}"/>
    <cellStyle name="Normal 7 14" xfId="13452" xr:uid="{0B9FEBF4-E44E-4FAA-99DA-F58F4DF2A535}"/>
    <cellStyle name="Normal 7 15" xfId="13453" xr:uid="{0A710FD5-0112-49E3-9E42-2259DF4E1361}"/>
    <cellStyle name="Normal 7 16" xfId="13454" xr:uid="{64A9760F-D56A-4659-BE90-4B5A9996DDF8}"/>
    <cellStyle name="Normal 7 17" xfId="13455" xr:uid="{90C943C5-35DF-47ED-BA49-DB2C93742541}"/>
    <cellStyle name="Normal 7 18" xfId="13456" xr:uid="{DD958F0E-444D-4E91-8F54-45CFEB589601}"/>
    <cellStyle name="Normal 7 19" xfId="13457" xr:uid="{FCC3B87B-AF63-4C8F-B135-75533D38480D}"/>
    <cellStyle name="Normal 7 2" xfId="13458" xr:uid="{6A93DC7B-0663-4B38-B9CD-29BE2CCB931D}"/>
    <cellStyle name="Normal 7 20" xfId="13459" xr:uid="{0A586175-89E1-4785-99B0-FFCB1A0CA71B}"/>
    <cellStyle name="Normal 7 21" xfId="13460" xr:uid="{56158EE4-4CA4-45D8-9373-7900194AFA6D}"/>
    <cellStyle name="Normal 7 22" xfId="13461" xr:uid="{2E479847-B085-4519-A237-4752AD4FF4D2}"/>
    <cellStyle name="Normal 7 23" xfId="13462" xr:uid="{8A85E28E-8166-4C04-A6D6-C3D787153287}"/>
    <cellStyle name="Normal 7 24" xfId="13463" xr:uid="{87836E8E-406C-4B8C-80B8-D21FAEA2F426}"/>
    <cellStyle name="Normal 7 25" xfId="13464" xr:uid="{598BDA5A-19BF-4295-97BB-F363DEBE9593}"/>
    <cellStyle name="Normal 7 26" xfId="13465" xr:uid="{3483C75E-F7F1-40BB-A348-850F97E7919E}"/>
    <cellStyle name="Normal 7 27" xfId="13466" xr:uid="{41FE974F-31BF-48BE-BFCB-07D177C06EBE}"/>
    <cellStyle name="Normal 7 28" xfId="13467" xr:uid="{164E4E12-17FB-4AE0-92E4-6DA7F5275A97}"/>
    <cellStyle name="Normal 7 29" xfId="13468" xr:uid="{18A8B6EC-B7A4-4437-8403-CC9DA7C7A3E4}"/>
    <cellStyle name="Normal 7 3" xfId="13469" xr:uid="{1C40AB2A-B15A-4241-8A57-F74D4EBE3D87}"/>
    <cellStyle name="Normal 7 3 2" xfId="13784" xr:uid="{C391BF2F-7DBA-4ED8-8622-D9CC725E6500}"/>
    <cellStyle name="Normal 7 30" xfId="13470" xr:uid="{5D297E57-F742-4ECB-8577-CC492B3D5BD6}"/>
    <cellStyle name="Normal 7 31" xfId="13471" xr:uid="{9538C6C4-D1AB-4D67-89C1-FF12B0F4FE48}"/>
    <cellStyle name="Normal 7 32" xfId="13472" xr:uid="{300FFB84-746C-46D1-B6E4-609C7D8C53F9}"/>
    <cellStyle name="Normal 7 33" xfId="13473" xr:uid="{7E752D5A-31DF-409F-93E8-C910EFC6908F}"/>
    <cellStyle name="Normal 7 34" xfId="13474" xr:uid="{6B9555B1-1388-4308-ADFA-B981DB88ED83}"/>
    <cellStyle name="Normal 7 35" xfId="13475" xr:uid="{EE51925C-8AD4-4F66-A491-2A1EFC2DCC60}"/>
    <cellStyle name="Normal 7 36" xfId="13476" xr:uid="{65FA1E2E-424B-4FE2-992B-B9ED1158F4F6}"/>
    <cellStyle name="Normal 7 37" xfId="13477" xr:uid="{9351A29D-EE37-4052-A584-4F1A5CBF3F3E}"/>
    <cellStyle name="Normal 7 38" xfId="13478" xr:uid="{27F08BE6-43B9-4C5D-BD6A-FE4D1DA98A4C}"/>
    <cellStyle name="Normal 7 39" xfId="13479" xr:uid="{43EF2A26-3EFD-4531-BE38-5726D3DCF870}"/>
    <cellStyle name="Normal 7 4" xfId="13480" xr:uid="{17D9CD91-AF34-4991-8609-869BD9932C3D}"/>
    <cellStyle name="Normal 7 40" xfId="13481" xr:uid="{F535C375-E898-454A-86FB-42AA4A00009C}"/>
    <cellStyle name="Normal 7 41" xfId="13482" xr:uid="{EE850CF4-9BC5-47B1-8305-A41B3DE47601}"/>
    <cellStyle name="Normal 7 42" xfId="13483" xr:uid="{43834560-5FD8-449E-88C5-A72DB8F45118}"/>
    <cellStyle name="Normal 7 43" xfId="13484" xr:uid="{2663B243-2A4E-465B-9780-D218FE320785}"/>
    <cellStyle name="Normal 7 44" xfId="13605" xr:uid="{3BB7D17C-1718-4FD0-A3E8-ED60394AAF3A}"/>
    <cellStyle name="Normal 7 5" xfId="13485" xr:uid="{1EF659BF-C37E-43EB-9F1E-38901410882D}"/>
    <cellStyle name="Normal 7 6" xfId="13486" xr:uid="{485A2DF6-03D7-45C7-8545-32F9CABA536E}"/>
    <cellStyle name="Normal 7 7" xfId="13487" xr:uid="{9F57D3AC-40C7-4187-85C7-2897FC99725E}"/>
    <cellStyle name="Normal 7 8" xfId="13488" xr:uid="{258C27C8-856C-4DFC-87B4-D10B487EFA4A}"/>
    <cellStyle name="Normal 7 9" xfId="13489" xr:uid="{98035D28-9C60-49DF-8796-24672D811AF6}"/>
    <cellStyle name="Normal 8" xfId="13490" xr:uid="{4A126615-DB60-4F6C-98BD-F1F2E192B7BB}"/>
    <cellStyle name="Normal 8 10" xfId="13491" xr:uid="{4C394946-77E3-4F17-BFAA-FA2D93C0CA89}"/>
    <cellStyle name="Normal 8 11" xfId="13492" xr:uid="{2CA047DB-14A6-42D6-8866-FC1D9224E490}"/>
    <cellStyle name="Normal 8 12" xfId="13493" xr:uid="{DF9A9D29-5192-4583-9541-6A65A7A9BF26}"/>
    <cellStyle name="Normal 8 13" xfId="13494" xr:uid="{A397F860-E5B0-401D-A8CD-61A6A4FD9C6C}"/>
    <cellStyle name="Normal 8 14" xfId="13495" xr:uid="{0973C537-74F0-4890-86CA-5FC21A89A665}"/>
    <cellStyle name="Normal 8 15" xfId="13496" xr:uid="{F2885966-1BDE-4D63-B568-A9015E9A122F}"/>
    <cellStyle name="Normal 8 16" xfId="13497" xr:uid="{042691CC-B1C5-4BB6-8AEF-30AA1085D06A}"/>
    <cellStyle name="Normal 8 17" xfId="13498" xr:uid="{CF46B4C8-3FC7-4C26-8F5F-B1F201AB8D98}"/>
    <cellStyle name="Normal 8 18" xfId="13499" xr:uid="{DBADCACB-E4EF-44F2-B1DA-A3087FA65FE2}"/>
    <cellStyle name="Normal 8 19" xfId="13500" xr:uid="{DC21FAF9-0386-432F-BB72-7FFE7CC77C86}"/>
    <cellStyle name="Normal 8 2" xfId="13501" xr:uid="{DB7443DE-ED13-4123-AAC7-103635C9B512}"/>
    <cellStyle name="Normal 8 20" xfId="13502" xr:uid="{CC11F0FB-34E7-411E-8741-48932D0FF9F0}"/>
    <cellStyle name="Normal 8 21" xfId="13503" xr:uid="{81941E6F-75FE-4CCC-8A43-4DA2782111DC}"/>
    <cellStyle name="Normal 8 22" xfId="13504" xr:uid="{33A861F6-F201-4AD4-8707-FAE56B064FC3}"/>
    <cellStyle name="Normal 8 23" xfId="13505" xr:uid="{291AC3D7-08D2-407D-8644-E1ED1656BA4C}"/>
    <cellStyle name="Normal 8 24" xfId="13506" xr:uid="{A5CAD12E-8FFD-4514-9432-F04789CEC3BB}"/>
    <cellStyle name="Normal 8 25" xfId="13507" xr:uid="{40AD3174-662C-4AC6-BC6E-CFF91339C1B8}"/>
    <cellStyle name="Normal 8 26" xfId="13508" xr:uid="{B6E418C8-290D-4C82-9B2D-151F16A67C5B}"/>
    <cellStyle name="Normal 8 27" xfId="13509" xr:uid="{C4BA7C90-589E-497D-A0B4-19FA4CAF40F3}"/>
    <cellStyle name="Normal 8 28" xfId="13510" xr:uid="{E9599BA4-7161-4475-B7FD-B788AC5C330A}"/>
    <cellStyle name="Normal 8 29" xfId="13511" xr:uid="{BE93FC63-70D0-4FD9-AD77-434018B2D8EB}"/>
    <cellStyle name="Normal 8 3" xfId="13512" xr:uid="{95F415EA-55C0-435E-9166-96998995FDD0}"/>
    <cellStyle name="Normal 8 30" xfId="13513" xr:uid="{E8E91100-EE64-4256-88F5-923DD61E018E}"/>
    <cellStyle name="Normal 8 31" xfId="13514" xr:uid="{EFBA14F6-10BA-44C0-8AEB-465DBFF1604E}"/>
    <cellStyle name="Normal 8 32" xfId="13515" xr:uid="{01F7ABB0-8A87-4BD2-ACB3-9B0EEEC37F77}"/>
    <cellStyle name="Normal 8 33" xfId="13516" xr:uid="{E1D87004-CB3E-4224-8D6D-80195CFECD70}"/>
    <cellStyle name="Normal 8 34" xfId="13517" xr:uid="{CC0EE8DC-1C39-41D9-9A1C-F5C10FCA90DD}"/>
    <cellStyle name="Normal 8 35" xfId="13518" xr:uid="{36D8A592-7063-46E8-8DC5-C716FFF8D002}"/>
    <cellStyle name="Normal 8 36" xfId="13519" xr:uid="{7AFF7D4F-2294-478C-AA8E-B5E39B4907D6}"/>
    <cellStyle name="Normal 8 37" xfId="13520" xr:uid="{6303003D-1A4D-4A6E-B0A8-9173189BA317}"/>
    <cellStyle name="Normal 8 38" xfId="13521" xr:uid="{81C66B56-C8D7-4B49-B361-53C730DF22BE}"/>
    <cellStyle name="Normal 8 39" xfId="13522" xr:uid="{36179009-4744-458C-8AB0-0113D5686754}"/>
    <cellStyle name="Normal 8 4" xfId="13523" xr:uid="{25995F22-0301-41C1-BB01-E559B66EE419}"/>
    <cellStyle name="Normal 8 40" xfId="13524" xr:uid="{EAA9F548-6062-4984-87AB-B3D8C4013188}"/>
    <cellStyle name="Normal 8 41" xfId="13525" xr:uid="{FDCF1B1A-7320-4E1B-81F8-F6EAB5702D3A}"/>
    <cellStyle name="Normal 8 42" xfId="13526" xr:uid="{38688C1E-E25F-46A6-A769-8AC2E66CCE88}"/>
    <cellStyle name="Normal 8 43" xfId="13527" xr:uid="{1027C626-059E-47F9-9F50-DACDA6EBBDB4}"/>
    <cellStyle name="Normal 8 44" xfId="13606" xr:uid="{108A679B-B357-48C9-BD0A-45F4A9C6D13B}"/>
    <cellStyle name="Normal 8 5" xfId="13528" xr:uid="{4CD06E8C-8AD4-48EC-8242-9CB07B9542E4}"/>
    <cellStyle name="Normal 8 6" xfId="13529" xr:uid="{626439A1-C672-469D-BFEA-E2904B3C6411}"/>
    <cellStyle name="Normal 8 7" xfId="13530" xr:uid="{48AD439D-5C9E-45B8-A4F4-BC71DB65DB7A}"/>
    <cellStyle name="Normal 8 8" xfId="13531" xr:uid="{90FFBC47-E570-4267-8600-91E136277522}"/>
    <cellStyle name="Normal 8 9" xfId="13532" xr:uid="{C5A79FE6-68CC-4117-8022-08CCB195DDE0}"/>
    <cellStyle name="Normal 9" xfId="13533" xr:uid="{2C0C1999-6A8C-447E-9B14-518B3DD456AB}"/>
    <cellStyle name="Normal 9 10" xfId="13534" xr:uid="{AB305AAA-BC8C-48DB-AAE4-040314CE2C9E}"/>
    <cellStyle name="Normal 9 11" xfId="13535" xr:uid="{F617AF31-3259-4725-96AD-562F642008D5}"/>
    <cellStyle name="Normal 9 12" xfId="13536" xr:uid="{8506739C-82F2-4966-B616-997346CFBEEA}"/>
    <cellStyle name="Normal 9 13" xfId="13537" xr:uid="{4A09B6BA-37A7-4CC7-A2CD-7F35C064A2E1}"/>
    <cellStyle name="Normal 9 14" xfId="13538" xr:uid="{8F8A83EC-FCEB-46AD-AD65-4781C6AF054E}"/>
    <cellStyle name="Normal 9 15" xfId="13539" xr:uid="{84FEC6C8-1371-4C9A-98DF-23AB4054E845}"/>
    <cellStyle name="Normal 9 16" xfId="13540" xr:uid="{CC26A0D8-16B7-4180-8582-D26159FA3332}"/>
    <cellStyle name="Normal 9 17" xfId="13541" xr:uid="{7BED82C8-29F8-46D7-A1EB-4AE51C57EB72}"/>
    <cellStyle name="Normal 9 18" xfId="13542" xr:uid="{874C437F-76A4-44B6-981B-61D7AA858D50}"/>
    <cellStyle name="Normal 9 19" xfId="13543" xr:uid="{FC489865-0DDD-4AF9-BCE0-BA6158EDC47D}"/>
    <cellStyle name="Normal 9 2" xfId="13544" xr:uid="{A0CCF7FF-85C0-4C30-A9D0-4B2A110665BF}"/>
    <cellStyle name="Normal 9 20" xfId="13545" xr:uid="{942F907C-ED72-43A3-B758-86237C7B85C1}"/>
    <cellStyle name="Normal 9 21" xfId="13546" xr:uid="{6E4DB5F4-3812-4744-9E00-654DB4D40E2C}"/>
    <cellStyle name="Normal 9 22" xfId="13547" xr:uid="{04761C8B-B50B-472E-9C79-C4B7F2CA4EAD}"/>
    <cellStyle name="Normal 9 23" xfId="13548" xr:uid="{7C4FBDA9-6FE1-49EB-87D9-FCE051A763A6}"/>
    <cellStyle name="Normal 9 24" xfId="13549" xr:uid="{EC7A5192-52E9-414E-AC87-A67691B6C058}"/>
    <cellStyle name="Normal 9 25" xfId="13550" xr:uid="{D6AF2B0A-176B-498D-B880-92BDB8342FF9}"/>
    <cellStyle name="Normal 9 26" xfId="13551" xr:uid="{FF7E0AE8-1D2E-4BAF-AD59-E65AB73CB52D}"/>
    <cellStyle name="Normal 9 27" xfId="13552" xr:uid="{64AA06A2-8BC7-4A0B-843E-C2ED4B4F8AEC}"/>
    <cellStyle name="Normal 9 28" xfId="13553" xr:uid="{6CA48933-2F11-42C6-B641-CFE5516CFA90}"/>
    <cellStyle name="Normal 9 29" xfId="13554" xr:uid="{D73ABB6F-3B92-489F-9062-9AEE57F59403}"/>
    <cellStyle name="Normal 9 3" xfId="13555" xr:uid="{9C8245DD-3B65-4398-86ED-3F12300C2A49}"/>
    <cellStyle name="Normal 9 30" xfId="13556" xr:uid="{76DC99CD-13F1-44B4-BC7D-0ADFCB08ACFA}"/>
    <cellStyle name="Normal 9 31" xfId="13557" xr:uid="{6DD61476-DB48-4772-B7E8-BA5A51B56B63}"/>
    <cellStyle name="Normal 9 32" xfId="13558" xr:uid="{56B8EA59-C5A4-4A31-9C4E-0058A530B7AC}"/>
    <cellStyle name="Normal 9 33" xfId="13559" xr:uid="{E577F208-78CE-450E-802D-5F92B19A2AF8}"/>
    <cellStyle name="Normal 9 34" xfId="13560" xr:uid="{E74467C0-F77F-416C-B62B-76A268B6C914}"/>
    <cellStyle name="Normal 9 35" xfId="13561" xr:uid="{6550F3B1-325A-4714-8E4C-6D07D320BE7F}"/>
    <cellStyle name="Normal 9 36" xfId="13562" xr:uid="{A9AFFBA2-661E-48F3-8167-5C48E006356F}"/>
    <cellStyle name="Normal 9 37" xfId="13563" xr:uid="{FEE627CE-D368-4201-AABA-79D9673ECD2A}"/>
    <cellStyle name="Normal 9 38" xfId="13564" xr:uid="{B3665DCE-F0FA-45C2-A602-C5A7EDAC59D5}"/>
    <cellStyle name="Normal 9 39" xfId="13565" xr:uid="{D75A5246-B9C0-4DA4-BFD5-05D20EDD94E2}"/>
    <cellStyle name="Normal 9 4" xfId="13566" xr:uid="{9044DAA4-1415-4EF4-AE17-5E51AAA46A67}"/>
    <cellStyle name="Normal 9 40" xfId="13567" xr:uid="{D355E9D4-7573-4788-8E7B-7A130C088982}"/>
    <cellStyle name="Normal 9 41" xfId="13568" xr:uid="{C761D545-3CA4-4FB9-A51E-7A3AF3F024DF}"/>
    <cellStyle name="Normal 9 42" xfId="13569" xr:uid="{2BD9EA87-031F-4300-BD1B-657701C6E0A1}"/>
    <cellStyle name="Normal 9 43" xfId="13570" xr:uid="{59CB3646-D728-4083-BFE5-8A94A9B0295D}"/>
    <cellStyle name="Normal 9 44" xfId="13607" xr:uid="{0CA26011-444A-4410-9A40-819F033EA081}"/>
    <cellStyle name="Normal 9 5" xfId="13571" xr:uid="{6B3A157D-7B1B-4983-873C-DDD182EB0E5B}"/>
    <cellStyle name="Normal 9 6" xfId="13572" xr:uid="{E4ADB9EF-4B18-4DB1-915B-0A062118B404}"/>
    <cellStyle name="Normal 9 7" xfId="13573" xr:uid="{C4B2FFEF-DE5F-45FE-805E-E6A4992F585F}"/>
    <cellStyle name="Normal 9 8" xfId="13574" xr:uid="{B27A4FCE-9F1D-4A31-BCD3-3452FBA0088A}"/>
    <cellStyle name="Normal 9 9" xfId="13575" xr:uid="{A863CB1B-3B14-4A81-A04A-20860FD8F427}"/>
    <cellStyle name="Normal GHG whole table" xfId="13694" xr:uid="{BE795F31-970D-443B-8B88-157E3DBABD8B}"/>
    <cellStyle name="Normál_erdekeltseg" xfId="13739" xr:uid="{457DD30C-128E-4EFA-B49A-532B78686A5F}"/>
    <cellStyle name="Normal-blank" xfId="13695" xr:uid="{498D417C-5C81-4E1F-A180-9072AB51FAA7}"/>
    <cellStyle name="Normal-bottom" xfId="13696" xr:uid="{9CB63036-EEAA-47E5-AEA8-450E732743ED}"/>
    <cellStyle name="Normal-center" xfId="13697" xr:uid="{AC5D7514-7EF6-4EFA-A806-034D6279A82B}"/>
    <cellStyle name="Normal-droit" xfId="13698" xr:uid="{76395B84-271E-40DA-8CD6-8D7DB0F7BFCB}"/>
    <cellStyle name="normální_Nove vystupy_DOPOCTENE" xfId="13699" xr:uid="{4F39EC51-47B2-43F6-A0C3-93C58169FB63}"/>
    <cellStyle name="Normalny_BOPIIP4_1999" xfId="13740" xr:uid="{C85C0B24-AB03-4BC1-9C7D-86A4ED68F75A}"/>
    <cellStyle name="Normal-top" xfId="13700" xr:uid="{04C774E2-98D6-4253-9565-F3B4FEAD5C4F}"/>
    <cellStyle name="Note" xfId="16" builtinId="10" customBuiltin="1"/>
    <cellStyle name="Note 2" xfId="13635" xr:uid="{E4719D0B-A496-4CB3-A207-05228264FDED}"/>
    <cellStyle name="Note 3" xfId="13701" xr:uid="{797DDBD8-7F88-4615-876E-813AE698E45D}"/>
    <cellStyle name="Obično 2" xfId="13741" xr:uid="{1DA4D599-5814-4A8A-B00E-2B33377AB420}"/>
    <cellStyle name="Output" xfId="11" builtinId="21" customBuiltin="1"/>
    <cellStyle name="Output 2" xfId="13636" xr:uid="{1E9D427F-2198-4EA4-A16C-BB4E7A739D59}"/>
    <cellStyle name="Output 3" xfId="13702" xr:uid="{04CB1053-5BD8-4C63-BF0A-7C0CB3E0741D}"/>
    <cellStyle name="Per cent" xfId="1" builtinId="5"/>
    <cellStyle name="Per cent 2" xfId="47" xr:uid="{CD0E33A6-D739-440D-96C1-22CBCF936391}"/>
    <cellStyle name="Per cent 3" xfId="13811" xr:uid="{86C4498A-8B4C-4BFF-ADFA-6EFFF2BBF59E}"/>
    <cellStyle name="Per cent 4" xfId="13818" xr:uid="{A42713AA-7909-4880-8091-8B71ECB28BB3}"/>
    <cellStyle name="Percent 10" xfId="13762" xr:uid="{C7440198-B675-4ABF-826F-873E8EB69A43}"/>
    <cellStyle name="Percent 10 2" xfId="13783" xr:uid="{E9EB19F1-504B-45D9-9819-BF7D44FA4FCE}"/>
    <cellStyle name="Percent 11" xfId="13781" xr:uid="{A06A3D47-7259-4A6E-B221-C9A533A67492}"/>
    <cellStyle name="Percent 12" xfId="13789" xr:uid="{D4589821-86A4-48F4-BB33-8F59A3166849}"/>
    <cellStyle name="Percent 13" xfId="13792" xr:uid="{6AB957A8-94C9-40B9-94CA-F2431DB8577A}"/>
    <cellStyle name="Percent 14" xfId="13794" xr:uid="{0A7A8FFB-1CEB-4D00-8C95-0A79AAF5A411}"/>
    <cellStyle name="Percent 2" xfId="13703" xr:uid="{DED9BD5F-46AC-423F-A28D-B657B1B48359}"/>
    <cellStyle name="Percent 2 2" xfId="13704" xr:uid="{FB37BB28-1838-4994-B23B-E213EF3EB770}"/>
    <cellStyle name="Percent 3" xfId="13705" xr:uid="{D22B42A7-9D47-473A-9A19-651D658C1A8F}"/>
    <cellStyle name="Percent 4" xfId="13729" xr:uid="{C9AEB81D-C901-4277-AC35-F78208EE3710}"/>
    <cellStyle name="Percent 4 2" xfId="13742" xr:uid="{9B3464AC-C725-439E-9ADD-24A4904960FA}"/>
    <cellStyle name="Percent 5" xfId="13743" xr:uid="{2B958836-C835-40F5-B94E-EA702AEED8DF}"/>
    <cellStyle name="Percent 6" xfId="13744" xr:uid="{51BA2A22-B773-449C-A1C6-2E8484D487F4}"/>
    <cellStyle name="Percent 6 2" xfId="13745" xr:uid="{918165F7-299C-4109-9960-32D6521CEB29}"/>
    <cellStyle name="Percent 6 2 2" xfId="13785" xr:uid="{ED743C52-26BE-4887-8227-243C52FAD1E1}"/>
    <cellStyle name="Percent 7" xfId="13746" xr:uid="{02541913-1410-4499-AF0A-66FD61AB789A}"/>
    <cellStyle name="Percent 8" xfId="13763" xr:uid="{F7E30111-4D9E-4E50-8C4D-54C5F81C11B6}"/>
    <cellStyle name="Percent 9" xfId="13764" xr:uid="{1E7FE3F0-97CF-4877-B008-16545B4EF710}"/>
    <cellStyle name="Pilkku_Esimerkkejä kaavioista.xls Kaavio 1" xfId="13706" xr:uid="{9DAD23E7-D4BA-49DC-9287-A8A96008168A}"/>
    <cellStyle name="Postotak 2" xfId="13747" xr:uid="{17674507-A0DD-425F-95C0-E0571CB78968}"/>
    <cellStyle name="Pourcentage 10" xfId="13707" xr:uid="{1C2663D9-6139-490D-B86E-D7B61EE194CE}"/>
    <cellStyle name="Pourcentage 10 2" xfId="13807" xr:uid="{59ED7F1B-91E6-43E9-A698-252E0A7C1AA9}"/>
    <cellStyle name="Pourcentage 2" xfId="13576" xr:uid="{28C7F732-B2FE-4BE7-8C7E-4D33F104F232}"/>
    <cellStyle name="Pourcentage 2 2" xfId="13637" xr:uid="{0ED62699-E344-43BE-A758-AA952E0AEBDA}"/>
    <cellStyle name="Pourcentage 2 3" xfId="13802" xr:uid="{8AB546E8-D52D-4E8D-BF31-E1F34EFF9B3A}"/>
    <cellStyle name="Pourcentage 3" xfId="13638" xr:uid="{5EC6642B-EC60-4450-9232-5EF7C57782DF}"/>
    <cellStyle name="Pourcentage 3 2" xfId="13708" xr:uid="{4DAD0574-939A-4698-B937-7485B5D63FAA}"/>
    <cellStyle name="Pourcentage 4" xfId="13639" xr:uid="{5950A651-9409-4623-94F3-711A4D7B45A8}"/>
    <cellStyle name="Pourcentage 5" xfId="13709" xr:uid="{5E6327C7-4823-41C4-B6E0-AD07239B014D}"/>
    <cellStyle name="Pourcentage 5 2" xfId="13710" xr:uid="{80837F20-E9BF-4A0F-BB06-B6E4E4EFD5AD}"/>
    <cellStyle name="Pourcentage 6" xfId="13711" xr:uid="{C9C94E2B-A1B5-4F97-976D-295469DAC9C5}"/>
    <cellStyle name="Pourcentage 6 2" xfId="13712" xr:uid="{FC206B68-7CB8-4464-B8D3-A0D8DF69DBC8}"/>
    <cellStyle name="Pourcentage 7" xfId="13713" xr:uid="{68CBB86B-59EF-4FCA-B246-9DA0894D9472}"/>
    <cellStyle name="Pourcentage 8" xfId="13714" xr:uid="{1436C2A9-C249-4C4E-93B4-C9779ABB97DE}"/>
    <cellStyle name="Pourcentage 9" xfId="13715" xr:uid="{D991AF11-2578-4ACB-A493-F17C7E345388}"/>
    <cellStyle name="Rubrik 1" xfId="13748" xr:uid="{07FE556D-E128-4232-8BAB-5865944150FD}"/>
    <cellStyle name="Rubrik2" xfId="13749" xr:uid="{C1D0A976-8EF8-476A-BA5B-1C4EC74463EC}"/>
    <cellStyle name="Rubrik3" xfId="13750" xr:uid="{BEEB8474-DD6E-4836-989D-BE83E5ADB33B}"/>
    <cellStyle name="Standard 11" xfId="13716" xr:uid="{C4B9BF96-E7CC-40D0-A198-EEC237E9AF07}"/>
    <cellStyle name="Standard_2 + 3" xfId="13640" xr:uid="{7FA00A23-46A8-4053-BAA3-E3F50356F516}"/>
    <cellStyle name="Style 24" xfId="13717" xr:uid="{445D9961-2E1A-43D5-8D80-C93BE8455E45}"/>
    <cellStyle name="Style 25" xfId="13718" xr:uid="{58B175C1-6D06-4C3E-91C2-F690617DC7A3}"/>
    <cellStyle name="style_col_headings" xfId="13641" xr:uid="{E916EBCC-41B9-4DB9-80EF-F81F65BCE106}"/>
    <cellStyle name="Tabellrubrik" xfId="13751" xr:uid="{03C7EEFC-A59E-4090-AD0A-624D80A41BAB}"/>
    <cellStyle name="TableStyleLight1" xfId="13577" xr:uid="{92909791-3C90-4105-BFE1-7F08A5C562C8}"/>
    <cellStyle name="Tal1" xfId="13752" xr:uid="{F6591DF9-9FE4-4A27-990E-B52F7A35773C}"/>
    <cellStyle name="Tal2" xfId="13753" xr:uid="{04E53735-D9A3-4343-B907-1748F96F3750}"/>
    <cellStyle name="Tal3" xfId="13754" xr:uid="{D9D168CC-2B80-474E-9B16-5A8D90954186}"/>
    <cellStyle name="TEXT" xfId="13719" xr:uid="{F381E81A-767A-4AFC-BCE9-141EE7720382}"/>
    <cellStyle name="Title" xfId="2" builtinId="15" customBuiltin="1"/>
    <cellStyle name="Title 2" xfId="13642" xr:uid="{D7503DAC-39DA-404B-BE02-22FC433E6AB4}"/>
    <cellStyle name="Title 3" xfId="13720" xr:uid="{3E524BC6-AA3B-4C6F-8189-A84861C9356A}"/>
    <cellStyle name="Titre 1" xfId="13721" xr:uid="{EE7D0BD3-4B99-408A-BEB9-54671FBC1778}"/>
    <cellStyle name="Titre 2" xfId="13722" xr:uid="{F00B9E24-87AC-4793-9862-3E729C77B1BB}"/>
    <cellStyle name="Titre 3" xfId="13723" xr:uid="{ED97372E-F3B4-4C32-9C7E-83C0BC6A5EE7}"/>
    <cellStyle name="Titre 4" xfId="13724" xr:uid="{B2167F15-F45B-4499-9063-449B1F3085B8}"/>
    <cellStyle name="Total" xfId="18" builtinId="25" customBuiltin="1"/>
    <cellStyle name="Tusental (0)_Blad1" xfId="13755" xr:uid="{A18B1ACD-F359-4967-805F-0E3AAA8012C6}"/>
    <cellStyle name="Valuta (0)_Blad1" xfId="13756" xr:uid="{CEAB9926-E70E-46D2-B0B4-3732451EF9DC}"/>
    <cellStyle name="Virgule fixe" xfId="13643" xr:uid="{4D2C6080-D2DC-4599-8A5A-FA12F246A127}"/>
    <cellStyle name="Warning Text" xfId="15" builtinId="11" customBuiltin="1"/>
    <cellStyle name="Warning Text 2" xfId="13725" xr:uid="{7169A3E2-540A-402A-B6A4-5E17297BD374}"/>
    <cellStyle name="Wrapped" xfId="13726" xr:uid="{AEC14AAF-D7D0-4B2F-B314-A6FA7B57C64B}"/>
    <cellStyle name="Обычный 10" xfId="13765" xr:uid="{2594E865-AC2F-4AEF-AEDE-01A5E1819312}"/>
    <cellStyle name="Обычный 11" xfId="13766" xr:uid="{530B3691-4552-4FFE-8293-492DB0E4229E}"/>
    <cellStyle name="Обычный 12" xfId="13767" xr:uid="{9B7656BD-AFF6-40A7-9F56-C3D1B5D314DA}"/>
    <cellStyle name="Обычный 15" xfId="13768" xr:uid="{16DFCA8D-F5D4-4FBB-B472-58C180392E2C}"/>
    <cellStyle name="Обычный 2" xfId="13757" xr:uid="{682FF2BB-C15F-4205-9CF1-CB3F79AD609A}"/>
    <cellStyle name="Обычный 2 2" xfId="13758" xr:uid="{C4FB5F03-537B-4420-9AFC-958A6E7DCC5F}"/>
    <cellStyle name="Обычный 2 2 2" xfId="13769" xr:uid="{050817AC-ECBE-4FD2-90E5-0AEDFC11EC70}"/>
    <cellStyle name="Обычный 2 3" xfId="13770" xr:uid="{077E761B-CD0E-4F0E-AAA8-C7F01FFE6808}"/>
    <cellStyle name="Обычный 3" xfId="13771" xr:uid="{1336B295-EC79-478E-B05B-DE530BBED1CF}"/>
    <cellStyle name="Обычный 4" xfId="13772" xr:uid="{BE0E11A5-57C6-44B9-8883-D0C6D426075C}"/>
    <cellStyle name="Обычный 5" xfId="13773" xr:uid="{F2CA6325-0D5A-495B-81DE-1BC68B1A4CEB}"/>
    <cellStyle name="Обычный 6" xfId="13774" xr:uid="{A972C237-5F75-48DE-B7AC-6FFE3FB2832D}"/>
    <cellStyle name="Обычный 7" xfId="13775" xr:uid="{46916894-C0E1-4A02-9983-C30F5D8F6CA6}"/>
    <cellStyle name="Обычный 9" xfId="13776" xr:uid="{BDB6348A-899E-42A8-AA61-6BFB33BB5E83}"/>
    <cellStyle name="Обычный_BoP0212n_M6" xfId="13759" xr:uid="{64FF49E3-7855-4F66-89F4-21BB5DBF3496}"/>
    <cellStyle name="Финансовый 2" xfId="13777" xr:uid="{706E3FF5-BDB0-4539-B776-BD603BEC575E}"/>
    <cellStyle name="عادي 9" xfId="13817" xr:uid="{2F39D3FD-8777-41F5-85A8-75F1AAB08EB2}"/>
    <cellStyle name="عادي 9 3" xfId="13819" xr:uid="{50B58AA1-B7D4-4C47-B844-F3368126A267}"/>
    <cellStyle name="千位分隔 2" xfId="13813" xr:uid="{DFC4A020-364D-41B9-B3EA-30658FFCE2FA}"/>
    <cellStyle name="常规 2" xfId="13804" xr:uid="{121E6427-311B-4D40-8980-92E6EBBC6322}"/>
    <cellStyle name="常规 3" xfId="13805" xr:uid="{8CB85287-3B83-4AB4-9673-D9F94933143F}"/>
    <cellStyle name="常规 4" xfId="13808" xr:uid="{6149E6E2-2E34-40A6-B1E0-222CFA98C30F}"/>
    <cellStyle name="常规 5" xfId="13810" xr:uid="{9420B525-39C7-48D2-9722-912AC3311DDB}"/>
    <cellStyle name="常规 6" xfId="13812" xr:uid="{21894E8E-CFDA-4A8F-B041-9A4F0116045A}"/>
    <cellStyle name="超链接 2" xfId="13809" xr:uid="{6410232C-E5AF-4905-AE4B-0820F07A2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36247</xdr:colOff>
      <xdr:row>2</xdr:row>
      <xdr:rowOff>471632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A1B2-29E3-44F9-95F2-8AB29F6DD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2150797" cy="8659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stat-doc-p1\excel-sheets\DMB\NEW-QRT\mon-21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(1)"/>
      <sheetName val="(2)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base.stats.gov.sa/home/indicator/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04EE-BA99-40DD-9183-C1B78DDCEA47}">
  <dimension ref="A3:AG33"/>
  <sheetViews>
    <sheetView tabSelected="1" zoomScale="85" zoomScaleNormal="85" workbookViewId="0">
      <selection activeCell="I38" sqref="I38"/>
    </sheetView>
  </sheetViews>
  <sheetFormatPr defaultRowHeight="14.4"/>
  <sheetData>
    <row r="3" spans="1:33" ht="15" thickBot="1"/>
    <row r="4" spans="1:33" ht="27.6" thickBot="1">
      <c r="C4" s="19" t="s">
        <v>97</v>
      </c>
      <c r="D4" s="142" t="s">
        <v>98</v>
      </c>
      <c r="E4" s="142"/>
      <c r="F4" s="142"/>
      <c r="G4" s="149"/>
      <c r="H4" s="19" t="s">
        <v>99</v>
      </c>
      <c r="I4" s="142" t="s">
        <v>100</v>
      </c>
      <c r="J4" s="142"/>
      <c r="K4" s="142"/>
      <c r="L4" s="142"/>
      <c r="M4" s="20" t="s">
        <v>101</v>
      </c>
      <c r="N4" s="142" t="s">
        <v>102</v>
      </c>
      <c r="O4" s="142"/>
      <c r="P4" s="142"/>
      <c r="Q4" s="142"/>
      <c r="R4" s="142"/>
      <c r="S4" s="142"/>
      <c r="T4" s="142"/>
      <c r="U4" s="149"/>
      <c r="V4" s="141" t="s">
        <v>103</v>
      </c>
      <c r="W4" s="142"/>
      <c r="X4" s="143"/>
      <c r="Y4" s="143"/>
      <c r="Z4" s="143"/>
      <c r="AA4" s="144"/>
      <c r="AB4" s="141" t="s">
        <v>104</v>
      </c>
      <c r="AC4" s="143"/>
      <c r="AD4" s="143"/>
      <c r="AE4" s="144"/>
    </row>
    <row r="5" spans="1:33" ht="53.4">
      <c r="C5" s="21"/>
      <c r="G5" s="22"/>
      <c r="H5" s="21"/>
      <c r="I5" s="53"/>
      <c r="J5" s="53"/>
      <c r="K5" s="53"/>
      <c r="M5" s="23"/>
      <c r="N5" s="145" t="s">
        <v>105</v>
      </c>
      <c r="O5" s="145"/>
      <c r="P5" s="145"/>
      <c r="Q5" s="146" t="s">
        <v>106</v>
      </c>
      <c r="R5" s="147"/>
      <c r="S5" s="147"/>
      <c r="T5" s="147"/>
      <c r="U5" s="148"/>
      <c r="V5" s="24" t="s">
        <v>107</v>
      </c>
      <c r="W5" s="25" t="s">
        <v>123</v>
      </c>
      <c r="X5" s="25" t="s">
        <v>108</v>
      </c>
      <c r="Y5" s="25" t="s">
        <v>109</v>
      </c>
      <c r="AA5" s="22"/>
      <c r="AB5" s="26"/>
      <c r="AC5" s="27"/>
      <c r="AD5" s="27"/>
      <c r="AE5" s="28"/>
      <c r="AG5" s="29" t="s">
        <v>110</v>
      </c>
    </row>
    <row r="6" spans="1:33" ht="15" thickBot="1">
      <c r="A6" s="29" t="s">
        <v>111</v>
      </c>
      <c r="C6" s="23"/>
      <c r="G6" s="22"/>
      <c r="H6" s="23"/>
      <c r="I6" s="54"/>
      <c r="J6" s="53"/>
      <c r="K6" s="53"/>
      <c r="M6" s="23"/>
      <c r="O6" s="16" t="s">
        <v>82</v>
      </c>
      <c r="Q6" s="14"/>
      <c r="R6" s="54"/>
      <c r="S6" s="54"/>
      <c r="U6" s="22"/>
      <c r="V6" s="30"/>
      <c r="AA6" s="22"/>
      <c r="AB6" s="30"/>
      <c r="AC6" s="29"/>
      <c r="AE6" s="22"/>
    </row>
    <row r="7" spans="1:33" ht="15" thickBot="1">
      <c r="A7" s="37" t="s">
        <v>52</v>
      </c>
      <c r="B7" s="38" t="s">
        <v>53</v>
      </c>
      <c r="C7" s="39" t="s">
        <v>112</v>
      </c>
      <c r="D7" s="40" t="s">
        <v>85</v>
      </c>
      <c r="E7" s="40" t="s">
        <v>113</v>
      </c>
      <c r="F7" s="40" t="s">
        <v>84</v>
      </c>
      <c r="G7" s="41" t="s">
        <v>83</v>
      </c>
      <c r="H7" s="39" t="s">
        <v>114</v>
      </c>
      <c r="I7" s="40" t="s">
        <v>88</v>
      </c>
      <c r="J7" s="40" t="s">
        <v>9</v>
      </c>
      <c r="K7" s="40" t="s">
        <v>87</v>
      </c>
      <c r="L7" s="40" t="s">
        <v>86</v>
      </c>
      <c r="M7" s="39" t="s">
        <v>96</v>
      </c>
      <c r="N7" s="40" t="s">
        <v>95</v>
      </c>
      <c r="O7" s="40" t="s">
        <v>92</v>
      </c>
      <c r="P7" s="40" t="s">
        <v>93</v>
      </c>
      <c r="Q7" s="42" t="s">
        <v>115</v>
      </c>
      <c r="R7" s="40" t="s">
        <v>89</v>
      </c>
      <c r="S7" s="40" t="s">
        <v>13</v>
      </c>
      <c r="T7" s="40" t="s">
        <v>90</v>
      </c>
      <c r="U7" s="41" t="s">
        <v>91</v>
      </c>
      <c r="V7" s="37" t="s">
        <v>3</v>
      </c>
      <c r="W7" s="40"/>
      <c r="X7" s="43"/>
      <c r="Y7" s="40" t="s">
        <v>13</v>
      </c>
      <c r="Z7" s="40" t="s">
        <v>2</v>
      </c>
      <c r="AA7" s="41" t="s">
        <v>26</v>
      </c>
      <c r="AB7" s="37" t="s">
        <v>116</v>
      </c>
      <c r="AC7" s="40" t="s">
        <v>117</v>
      </c>
      <c r="AD7" s="40" t="s">
        <v>118</v>
      </c>
      <c r="AE7" s="41" t="s">
        <v>119</v>
      </c>
      <c r="AF7" s="29" t="s">
        <v>120</v>
      </c>
      <c r="AG7" s="29" t="s">
        <v>121</v>
      </c>
    </row>
    <row r="8" spans="1:33">
      <c r="A8" s="29" t="s">
        <v>54</v>
      </c>
      <c r="B8">
        <v>2000</v>
      </c>
      <c r="C8" s="34"/>
      <c r="D8" s="35"/>
      <c r="E8" s="35"/>
      <c r="F8" s="31"/>
      <c r="G8" s="36"/>
      <c r="H8" s="34"/>
      <c r="I8" s="35"/>
      <c r="J8" s="35"/>
      <c r="K8" s="31"/>
      <c r="L8" s="32"/>
      <c r="M8" s="34"/>
      <c r="N8" s="31"/>
      <c r="O8" s="31"/>
      <c r="P8" s="31"/>
      <c r="Q8" s="35"/>
      <c r="R8" s="35"/>
      <c r="S8" s="35"/>
      <c r="T8" s="31"/>
      <c r="U8" s="32"/>
      <c r="V8" s="44"/>
      <c r="W8" s="45"/>
      <c r="X8" s="35"/>
      <c r="Y8" s="35"/>
      <c r="Z8" s="31"/>
      <c r="AA8" s="32"/>
      <c r="AB8" s="33"/>
      <c r="AC8" s="33"/>
      <c r="AD8" s="33"/>
      <c r="AE8" s="33"/>
      <c r="AF8" s="9">
        <f t="shared" ref="AF8" si="0">N8+Q8+H8+C8+AA8</f>
        <v>0</v>
      </c>
      <c r="AG8" s="9">
        <f t="shared" ref="AG8" si="1">V8+X8+AA8+Y8</f>
        <v>0</v>
      </c>
    </row>
    <row r="9" spans="1:33">
      <c r="A9" s="29" t="s">
        <v>54</v>
      </c>
      <c r="B9">
        <v>2001</v>
      </c>
      <c r="C9" s="30"/>
      <c r="G9" s="22"/>
      <c r="H9" s="30"/>
      <c r="L9" s="22"/>
      <c r="M9" s="30"/>
      <c r="U9" s="22"/>
      <c r="V9" s="30"/>
      <c r="AA9" s="22"/>
    </row>
    <row r="10" spans="1:33">
      <c r="A10" s="29" t="s">
        <v>54</v>
      </c>
      <c r="B10">
        <v>2002</v>
      </c>
      <c r="C10" s="30"/>
      <c r="G10" s="22"/>
      <c r="H10" s="30"/>
      <c r="L10" s="22"/>
      <c r="M10" s="30"/>
      <c r="U10" s="22"/>
      <c r="V10" s="30"/>
      <c r="AA10" s="22"/>
    </row>
    <row r="11" spans="1:33">
      <c r="A11" s="29" t="s">
        <v>54</v>
      </c>
      <c r="B11">
        <v>2003</v>
      </c>
      <c r="C11" s="30"/>
      <c r="G11" s="22"/>
      <c r="H11" s="30"/>
      <c r="L11" s="22"/>
      <c r="M11" s="30"/>
      <c r="U11" s="22"/>
      <c r="V11" s="30"/>
      <c r="AA11" s="22"/>
    </row>
    <row r="12" spans="1:33">
      <c r="A12" s="29" t="s">
        <v>54</v>
      </c>
      <c r="B12">
        <v>2004</v>
      </c>
      <c r="C12" s="30"/>
      <c r="G12" s="22"/>
      <c r="H12" s="30"/>
      <c r="L12" s="22"/>
      <c r="M12" s="30"/>
      <c r="U12" s="22"/>
      <c r="V12" s="30"/>
      <c r="AA12" s="22"/>
    </row>
    <row r="13" spans="1:33">
      <c r="A13" s="29" t="s">
        <v>54</v>
      </c>
      <c r="B13">
        <v>2005</v>
      </c>
      <c r="C13" s="30"/>
      <c r="G13" s="22"/>
      <c r="H13" s="30"/>
      <c r="L13" s="22"/>
      <c r="M13" s="30"/>
      <c r="U13" s="22"/>
      <c r="V13" s="30"/>
      <c r="AA13" s="22"/>
    </row>
    <row r="14" spans="1:33">
      <c r="A14" s="29" t="s">
        <v>54</v>
      </c>
      <c r="B14">
        <v>2006</v>
      </c>
      <c r="C14" s="30"/>
      <c r="G14" s="22"/>
      <c r="H14" s="30"/>
      <c r="L14" s="22"/>
      <c r="M14" s="30"/>
      <c r="U14" s="22"/>
      <c r="V14" s="30"/>
      <c r="AA14" s="22"/>
    </row>
    <row r="15" spans="1:33">
      <c r="A15" s="29" t="s">
        <v>54</v>
      </c>
      <c r="B15">
        <v>2007</v>
      </c>
      <c r="C15" s="30"/>
      <c r="G15" s="22"/>
      <c r="H15" s="30"/>
      <c r="L15" s="22"/>
      <c r="M15" s="30"/>
      <c r="U15" s="22"/>
      <c r="V15" s="30"/>
      <c r="AA15" s="22"/>
    </row>
    <row r="16" spans="1:33">
      <c r="A16" s="29" t="s">
        <v>54</v>
      </c>
      <c r="B16">
        <v>2008</v>
      </c>
      <c r="C16" s="30"/>
      <c r="G16" s="22"/>
      <c r="H16" s="30"/>
      <c r="L16" s="22"/>
      <c r="M16" s="30"/>
      <c r="U16" s="22"/>
      <c r="V16" s="30"/>
      <c r="AA16" s="22"/>
    </row>
    <row r="17" spans="1:33">
      <c r="A17" s="29" t="s">
        <v>54</v>
      </c>
      <c r="B17">
        <v>2009</v>
      </c>
      <c r="C17" s="30"/>
      <c r="G17" s="22"/>
      <c r="H17" s="30"/>
      <c r="L17" s="22"/>
      <c r="M17" s="30"/>
      <c r="U17" s="22"/>
      <c r="V17" s="30"/>
      <c r="AA17" s="22"/>
    </row>
    <row r="18" spans="1:33">
      <c r="A18" s="29" t="s">
        <v>54</v>
      </c>
      <c r="B18">
        <v>2010</v>
      </c>
      <c r="C18" s="30"/>
      <c r="G18" s="22"/>
      <c r="H18" s="30"/>
      <c r="L18" s="22"/>
      <c r="M18" s="30"/>
      <c r="U18" s="22"/>
      <c r="V18" s="30"/>
      <c r="AA18" s="22"/>
    </row>
    <row r="19" spans="1:33">
      <c r="A19" s="29" t="s">
        <v>54</v>
      </c>
      <c r="B19">
        <v>2011</v>
      </c>
      <c r="C19" s="30"/>
      <c r="G19" s="22"/>
      <c r="H19" s="30"/>
      <c r="L19" s="22"/>
      <c r="M19" s="30"/>
      <c r="U19" s="22"/>
      <c r="V19" s="30"/>
      <c r="AA19" s="22"/>
    </row>
    <row r="20" spans="1:33">
      <c r="A20" s="29" t="s">
        <v>54</v>
      </c>
      <c r="B20">
        <v>2012</v>
      </c>
      <c r="C20" s="30"/>
      <c r="G20" s="22"/>
      <c r="H20" s="30"/>
      <c r="L20" s="22"/>
      <c r="M20" s="30"/>
      <c r="U20" s="22"/>
      <c r="V20" s="30"/>
      <c r="Z20" s="9"/>
      <c r="AA20" s="22"/>
    </row>
    <row r="21" spans="1:33">
      <c r="A21" s="29" t="s">
        <v>54</v>
      </c>
      <c r="B21">
        <v>2013</v>
      </c>
      <c r="C21" s="46">
        <f>D21+E21</f>
        <v>0.13145699870032326</v>
      </c>
      <c r="D21" s="9">
        <f>'SA_raw Sheet2'!G8</f>
        <v>0.11434405254136983</v>
      </c>
      <c r="E21" s="9">
        <f>G21</f>
        <v>1.7112946158953431E-2</v>
      </c>
      <c r="F21" s="33">
        <v>0</v>
      </c>
      <c r="G21" s="50">
        <f>'SA_raw Sheet2'!E8</f>
        <v>1.7112946158953431E-2</v>
      </c>
      <c r="H21" s="46">
        <f>I21+J21</f>
        <v>0.71973555024827429</v>
      </c>
      <c r="I21" s="9">
        <f>'SA_raw Sheet2'!K8</f>
        <v>6.7358898999866787E-2</v>
      </c>
      <c r="J21" s="9">
        <f>K21+L21</f>
        <v>0.65237665124840749</v>
      </c>
      <c r="K21" s="9">
        <f>'SA_raw Sheet2'!I8</f>
        <v>0.58808926089858771</v>
      </c>
      <c r="L21" s="50">
        <f>'SA_raw Sheet2'!H8</f>
        <v>6.428739034981984E-2</v>
      </c>
      <c r="M21" s="52">
        <f>N21+Q21</f>
        <v>0.13820181740452517</v>
      </c>
      <c r="N21" s="18">
        <f>O21+P21</f>
        <v>3.9714963997275636E-2</v>
      </c>
      <c r="O21" s="17">
        <f>'SA_raw Sheet2'!N8*(1/3)</f>
        <v>3.9656391041623579E-2</v>
      </c>
      <c r="P21" s="55">
        <f>'SA_raw Sheet2'!R8</f>
        <v>5.8572955652058072E-5</v>
      </c>
      <c r="Q21" s="18">
        <f>R21+S21</f>
        <v>9.8486853407249539E-2</v>
      </c>
      <c r="R21" s="9">
        <f>'SA_raw Sheet2'!L8</f>
        <v>1.4821814997319573E-2</v>
      </c>
      <c r="S21" s="18">
        <f>T21+U21</f>
        <v>8.3665038409929962E-2</v>
      </c>
      <c r="T21" s="9">
        <f>'SA_raw Sheet2'!N8*(2/3)</f>
        <v>7.9312782083247158E-2</v>
      </c>
      <c r="U21" s="51">
        <f>'SA_raw Sheet2'!P8</f>
        <v>4.3522563266828029E-3</v>
      </c>
      <c r="V21" s="46">
        <f>'SA_raw Sheet2'!D8</f>
        <v>0.19654012408180641</v>
      </c>
      <c r="W21" s="9">
        <f t="shared" ref="W21:W22" si="2">K21+O21+T21</f>
        <v>0.70705843402345847</v>
      </c>
      <c r="Z21" s="9">
        <f>'SA_raw Sheet2'!C8</f>
        <v>8.5781165008944879E-2</v>
      </c>
      <c r="AA21" s="50">
        <f>'SA_raw Sheet2'!S8</f>
        <v>7.5623400181504732E-3</v>
      </c>
      <c r="AD21" s="9">
        <f>J21/H21</f>
        <v>0.90641159940393212</v>
      </c>
      <c r="AF21" s="9">
        <f>C21+H21+M21+AA21</f>
        <v>0.9969567063712732</v>
      </c>
    </row>
    <row r="22" spans="1:33">
      <c r="A22" s="29" t="s">
        <v>54</v>
      </c>
      <c r="B22">
        <v>2014</v>
      </c>
      <c r="C22" s="46">
        <f t="shared" ref="C22:C23" si="3">D22+E22</f>
        <v>0.13804395423073751</v>
      </c>
      <c r="D22" s="9">
        <f>'SA_raw Sheet2'!G9</f>
        <v>0.11875695004149753</v>
      </c>
      <c r="E22" s="9">
        <f t="shared" ref="E22:E23" si="4">G22</f>
        <v>1.9287004189239978E-2</v>
      </c>
      <c r="F22" s="33">
        <v>0</v>
      </c>
      <c r="G22" s="50">
        <f>'SA_raw Sheet2'!E9</f>
        <v>1.9287004189239978E-2</v>
      </c>
      <c r="H22" s="46">
        <f t="shared" ref="H22:H23" si="5">I22+J22</f>
        <v>0.69835744561427271</v>
      </c>
      <c r="I22" s="9">
        <f>'SA_raw Sheet2'!K9</f>
        <v>6.698835178333569E-2</v>
      </c>
      <c r="J22" s="9">
        <f t="shared" ref="J22:J23" si="6">K22+L22</f>
        <v>0.63136909383093698</v>
      </c>
      <c r="K22" s="9">
        <f>'SA_raw Sheet2'!I9</f>
        <v>0.56402817177505737</v>
      </c>
      <c r="L22" s="50">
        <f>'SA_raw Sheet2'!H9</f>
        <v>6.7340922055879562E-2</v>
      </c>
      <c r="M22" s="52">
        <f t="shared" ref="M22:M23" si="7">N22+Q22</f>
        <v>0.14854702264981945</v>
      </c>
      <c r="N22" s="18">
        <f t="shared" ref="N22:N23" si="8">O22+P22</f>
        <v>4.2959512475229E-2</v>
      </c>
      <c r="O22" s="17">
        <f>'SA_raw Sheet2'!N9*(1/3)</f>
        <v>4.2907332074892508E-2</v>
      </c>
      <c r="P22" s="55">
        <f>'SA_raw Sheet2'!R9</f>
        <v>5.2180400336493067E-5</v>
      </c>
      <c r="Q22" s="18">
        <f t="shared" ref="Q22:Q23" si="9">R22+S22</f>
        <v>0.10558751017459045</v>
      </c>
      <c r="R22" s="9">
        <f>'SA_raw Sheet2'!L9</f>
        <v>1.5266292801149661E-2</v>
      </c>
      <c r="S22" s="18">
        <f t="shared" ref="S22:S23" si="10">T22+U22</f>
        <v>9.0321217373440787E-2</v>
      </c>
      <c r="T22" s="9">
        <f>'SA_raw Sheet2'!N9*(2/3)</f>
        <v>8.5814664149785017E-2</v>
      </c>
      <c r="U22" s="51">
        <f>'SA_raw Sheet2'!P9</f>
        <v>4.5065532236557727E-3</v>
      </c>
      <c r="V22" s="46">
        <f>'SA_raw Sheet2'!D9</f>
        <v>0.20462685020064775</v>
      </c>
      <c r="W22" s="9">
        <f t="shared" si="2"/>
        <v>0.69275016799973488</v>
      </c>
      <c r="Z22" s="9">
        <f>'SA_raw Sheet2'!C9</f>
        <v>9.0927520718792065E-2</v>
      </c>
      <c r="AA22" s="50">
        <f>'SA_raw Sheet2'!S9</f>
        <v>8.2924528102318717E-3</v>
      </c>
      <c r="AD22" s="9">
        <f t="shared" ref="AD22:AD23" si="11">J22/H22</f>
        <v>0.90407727131137983</v>
      </c>
      <c r="AF22" s="9">
        <f>C22+H22+M22+AA22</f>
        <v>0.99324087530506144</v>
      </c>
    </row>
    <row r="23" spans="1:33">
      <c r="A23" s="29" t="s">
        <v>54</v>
      </c>
      <c r="B23">
        <v>2015</v>
      </c>
      <c r="C23" s="46">
        <f t="shared" si="3"/>
        <v>0.19362733909595714</v>
      </c>
      <c r="D23" s="9">
        <f>'SA_raw Sheet2'!G10</f>
        <v>0.1686146226307432</v>
      </c>
      <c r="E23" s="9">
        <f t="shared" si="4"/>
        <v>2.5012716465213948E-2</v>
      </c>
      <c r="F23" s="33">
        <v>0</v>
      </c>
      <c r="G23" s="50">
        <f>'SA_raw Sheet2'!E10</f>
        <v>2.5012716465213948E-2</v>
      </c>
      <c r="H23" s="46">
        <f t="shared" si="5"/>
        <v>0.61109421922533902</v>
      </c>
      <c r="I23" s="9">
        <f>'SA_raw Sheet2'!K10</f>
        <v>8.885222489231763E-2</v>
      </c>
      <c r="J23" s="9">
        <f t="shared" si="6"/>
        <v>0.52224199433302143</v>
      </c>
      <c r="K23" s="9">
        <f>'SA_raw Sheet2'!I10</f>
        <v>0.42754956975959357</v>
      </c>
      <c r="L23" s="50">
        <f>'SA_raw Sheet2'!H10</f>
        <v>9.4692424573427803E-2</v>
      </c>
      <c r="M23" s="52">
        <f t="shared" si="7"/>
        <v>0.18085381282015328</v>
      </c>
      <c r="N23" s="18">
        <f t="shared" si="8"/>
        <v>5.139734388908633E-2</v>
      </c>
      <c r="O23" s="17">
        <f>'SA_raw Sheet2'!N10*(1/3)</f>
        <v>5.131379019136649E-2</v>
      </c>
      <c r="P23" s="55">
        <f>'SA_raw Sheet2'!R10</f>
        <v>8.355369771983997E-5</v>
      </c>
      <c r="Q23" s="18">
        <f t="shared" si="9"/>
        <v>0.12945646893106696</v>
      </c>
      <c r="R23" s="9">
        <f>'SA_raw Sheet2'!L10</f>
        <v>1.9971371650108091E-2</v>
      </c>
      <c r="S23" s="18">
        <f t="shared" si="10"/>
        <v>0.10948509728095887</v>
      </c>
      <c r="T23" s="9">
        <f>'SA_raw Sheet2'!N10*(2/3)</f>
        <v>0.10262758038273298</v>
      </c>
      <c r="U23" s="51">
        <f>'SA_raw Sheet2'!P10</f>
        <v>6.8575168982258905E-3</v>
      </c>
      <c r="V23" s="46">
        <f>'SA_raw Sheet2'!D10</f>
        <v>0.278085862225251</v>
      </c>
      <c r="W23" s="9">
        <f>K23+O23+T23</f>
        <v>0.58149094033369308</v>
      </c>
      <c r="Z23" s="9">
        <f>'SA_raw Sheet2'!C10</f>
        <v>0.12664661921360074</v>
      </c>
      <c r="AA23" s="50">
        <f>'SA_raw Sheet2'!S10</f>
        <v>1.0595016449888976E-2</v>
      </c>
      <c r="AD23" s="9">
        <f t="shared" si="11"/>
        <v>0.85460143117545406</v>
      </c>
      <c r="AF23" s="9">
        <f>C23+H23+M23+AA23</f>
        <v>0.99617038759133847</v>
      </c>
    </row>
    <row r="24" spans="1:33">
      <c r="A24" s="29" t="s">
        <v>54</v>
      </c>
      <c r="B24">
        <v>2016</v>
      </c>
      <c r="C24" s="140">
        <f>C23+(C$26-C$23)/3</f>
        <v>0.18942646868516064</v>
      </c>
      <c r="D24" s="140">
        <f>D23+(D$26-D$23)/3</f>
        <v>0.16485392114014655</v>
      </c>
      <c r="E24" s="140">
        <f t="shared" ref="E24:U25" si="12">E23+(E$26-E$23)/3</f>
        <v>2.4572547545014086E-2</v>
      </c>
      <c r="F24" s="140">
        <f t="shared" si="12"/>
        <v>0</v>
      </c>
      <c r="G24" s="140">
        <f t="shared" si="12"/>
        <v>2.4572547545014086E-2</v>
      </c>
      <c r="H24" s="140">
        <f t="shared" si="12"/>
        <v>0.62437863343008637</v>
      </c>
      <c r="I24" s="140">
        <f t="shared" si="12"/>
        <v>8.7001107157487184E-2</v>
      </c>
      <c r="J24" s="140">
        <f t="shared" si="12"/>
        <v>0.53737752627259927</v>
      </c>
      <c r="K24" s="140">
        <f t="shared" si="12"/>
        <v>0.45429311457073662</v>
      </c>
      <c r="L24" s="140">
        <f t="shared" si="12"/>
        <v>8.3084411701862607E-2</v>
      </c>
      <c r="M24" s="140">
        <f t="shared" si="12"/>
        <v>0.16867806921411219</v>
      </c>
      <c r="N24" s="140">
        <f t="shared" si="12"/>
        <v>4.7367418470356713E-2</v>
      </c>
      <c r="O24" s="140">
        <f t="shared" si="12"/>
        <v>4.7278382671876819E-2</v>
      </c>
      <c r="P24" s="140">
        <f t="shared" si="12"/>
        <v>8.903579847989332E-5</v>
      </c>
      <c r="Q24" s="140">
        <f t="shared" si="12"/>
        <v>0.12131065074375548</v>
      </c>
      <c r="R24" s="140">
        <f t="shared" si="12"/>
        <v>2.0589369569557259E-2</v>
      </c>
      <c r="S24" s="140">
        <f t="shared" si="12"/>
        <v>0.10072128117419821</v>
      </c>
      <c r="T24" s="140">
        <f t="shared" si="12"/>
        <v>9.4556765343753638E-2</v>
      </c>
      <c r="U24" s="140">
        <f t="shared" si="12"/>
        <v>6.1645158304445696E-3</v>
      </c>
      <c r="V24" s="140">
        <f>V23+(V$26-V$23)/3</f>
        <v>0.18539057481683402</v>
      </c>
      <c r="W24" s="140"/>
      <c r="X24" s="140">
        <f t="shared" ref="X24:X25" si="13">X23+(X$26-X$23)/3</f>
        <v>0</v>
      </c>
      <c r="Y24" s="140">
        <f t="shared" ref="Y24:Y25" si="14">Y23+(Y$26-Y$23)/3</f>
        <v>0</v>
      </c>
      <c r="Z24" s="140">
        <f t="shared" ref="Z24:Z25" si="15">Z23+(Z$26-Z$23)/3</f>
        <v>8.4431079475733833E-2</v>
      </c>
      <c r="AA24" s="140">
        <f t="shared" ref="AA24:AA25" si="16">AA23+(AA$26-AA$23)/3</f>
        <v>2.3306660398708563E-2</v>
      </c>
      <c r="AD24" s="9"/>
    </row>
    <row r="25" spans="1:33">
      <c r="A25" s="29" t="s">
        <v>54</v>
      </c>
      <c r="B25">
        <v>2017</v>
      </c>
      <c r="C25" s="140">
        <f>C24+(C$26-C$23)/3</f>
        <v>0.18522559827436413</v>
      </c>
      <c r="D25" s="140">
        <f>D24+(D$26-D$23)/3</f>
        <v>0.1610932196495499</v>
      </c>
      <c r="E25" s="140">
        <f t="shared" si="12"/>
        <v>2.4132378624814224E-2</v>
      </c>
      <c r="F25" s="140">
        <f t="shared" si="12"/>
        <v>0</v>
      </c>
      <c r="G25" s="140">
        <f t="shared" si="12"/>
        <v>2.4132378624814224E-2</v>
      </c>
      <c r="H25" s="140">
        <f t="shared" si="12"/>
        <v>0.63766304763483372</v>
      </c>
      <c r="I25" s="140">
        <f t="shared" si="12"/>
        <v>8.5149989422656738E-2</v>
      </c>
      <c r="J25" s="140">
        <f t="shared" si="12"/>
        <v>0.55251305821217711</v>
      </c>
      <c r="K25" s="140">
        <f t="shared" si="12"/>
        <v>0.48103665938187967</v>
      </c>
      <c r="L25" s="140">
        <f t="shared" si="12"/>
        <v>7.1476398830297411E-2</v>
      </c>
      <c r="M25" s="140">
        <f t="shared" si="12"/>
        <v>0.15650232560807109</v>
      </c>
      <c r="N25" s="140">
        <f t="shared" si="12"/>
        <v>4.3337493051627096E-2</v>
      </c>
      <c r="O25" s="140">
        <f t="shared" si="12"/>
        <v>4.3242975152387148E-2</v>
      </c>
      <c r="P25" s="140">
        <f t="shared" si="12"/>
        <v>9.4517899239946669E-5</v>
      </c>
      <c r="Q25" s="140">
        <f t="shared" si="12"/>
        <v>0.11316483255644399</v>
      </c>
      <c r="R25" s="140">
        <f t="shared" si="12"/>
        <v>2.1207367489006427E-2</v>
      </c>
      <c r="S25" s="140">
        <f t="shared" si="12"/>
        <v>9.1957465067437544E-2</v>
      </c>
      <c r="T25" s="140">
        <f t="shared" si="12"/>
        <v>8.6485950304774295E-2</v>
      </c>
      <c r="U25" s="140">
        <f t="shared" si="12"/>
        <v>5.4715147626632488E-3</v>
      </c>
      <c r="V25" s="140">
        <f>V24+(V$26-V$23)/3</f>
        <v>9.2695287408417024E-2</v>
      </c>
      <c r="W25" s="140"/>
      <c r="X25" s="140">
        <f t="shared" si="13"/>
        <v>0</v>
      </c>
      <c r="Y25" s="140">
        <f t="shared" si="14"/>
        <v>0</v>
      </c>
      <c r="Z25" s="140">
        <f t="shared" si="15"/>
        <v>4.2215539737866924E-2</v>
      </c>
      <c r="AA25" s="140">
        <f t="shared" si="16"/>
        <v>3.6018304347528146E-2</v>
      </c>
    </row>
    <row r="26" spans="1:33">
      <c r="A26" s="29" t="s">
        <v>54</v>
      </c>
      <c r="B26">
        <v>2018</v>
      </c>
      <c r="C26" s="135">
        <f>D26+E26</f>
        <v>0.18102472786356763</v>
      </c>
      <c r="D26" s="5">
        <f>SA_raw_data_2018!H21/SA_raw_data_2018!N13</f>
        <v>0.15733251815895327</v>
      </c>
      <c r="E26" s="5">
        <f>F26+G26</f>
        <v>2.3692209704614359E-2</v>
      </c>
      <c r="F26" s="5">
        <v>0</v>
      </c>
      <c r="G26" s="136">
        <f>SA_raw_data_2018!H30/SA_raw_data_2018!O19</f>
        <v>2.3692209704614359E-2</v>
      </c>
      <c r="H26" s="135">
        <f>I26+J26</f>
        <v>0.65094746183958119</v>
      </c>
      <c r="I26" s="5">
        <f>(SA_raw_data_2018!D21+SA_raw_data_2018!F21)/SA_raw_data_2018!O19</f>
        <v>8.3298871687826279E-2</v>
      </c>
      <c r="J26" s="5">
        <f>(SA_raw_data_2018!D30+SA_raw_data_2018!F30)/SA_raw_data_2018!O19</f>
        <v>0.56764859015175495</v>
      </c>
      <c r="K26" s="5">
        <f>(SA_raw_data_2018!D31+SA_raw_data_2018!F31)/SA_raw_data_2018!O19</f>
        <v>0.50778020419302272</v>
      </c>
      <c r="L26" s="136">
        <f>J26-K26</f>
        <v>5.9868385958732229E-2</v>
      </c>
      <c r="M26" s="135">
        <f>N26+Q26</f>
        <v>0.14432658200202997</v>
      </c>
      <c r="N26" s="5">
        <f>O26+P26</f>
        <v>3.9307567632897486E-2</v>
      </c>
      <c r="O26" s="5">
        <f>(SA_raw_data_2018!J33+SA_raw_data_2018!L33)/SA_raw_data_2018!O19*(1/3)</f>
        <v>3.9207567632897483E-2</v>
      </c>
      <c r="P26" s="5">
        <v>1E-4</v>
      </c>
      <c r="Q26" s="5">
        <f>R26+S26</f>
        <v>0.1050190143691325</v>
      </c>
      <c r="R26" s="5">
        <f>(SA_raw_data_2018!J21+SA_raw_data_2018!L21)/SA_raw_data_2018!O19</f>
        <v>2.1825365408455595E-2</v>
      </c>
      <c r="S26" s="5">
        <f>(SA_raw_data_2018!J32+SA_raw_data_2018!L32)/SA_raw_data_2018!O19*(2/3)</f>
        <v>8.3193648960676894E-2</v>
      </c>
      <c r="T26" s="5">
        <f>(SA_raw_data_2018!J33+SA_raw_data_2018!L33)/SA_raw_data_2018!O19*(2/3)</f>
        <v>7.8415135265794966E-2</v>
      </c>
      <c r="U26" s="139">
        <f>SA!S26-SA!T26</f>
        <v>4.7785136948819279E-3</v>
      </c>
      <c r="V26" s="135"/>
      <c r="W26" s="5"/>
      <c r="X26" s="5"/>
      <c r="Y26" s="5"/>
      <c r="Z26" s="5"/>
      <c r="AA26" s="136">
        <f>(SA_raw_data_2018!N24+SA_raw_data_2018!N27)/SA_raw_data_2018!O19</f>
        <v>4.8729948296347733E-2</v>
      </c>
      <c r="AB26" s="5"/>
      <c r="AC26" s="5"/>
      <c r="AD26" s="5"/>
      <c r="AE26" s="5"/>
      <c r="AF26" s="5"/>
      <c r="AG26" s="5"/>
    </row>
    <row r="27" spans="1:33">
      <c r="A27" s="29" t="s">
        <v>54</v>
      </c>
      <c r="B27">
        <v>2019</v>
      </c>
      <c r="C27" s="30"/>
      <c r="G27" s="22"/>
      <c r="H27" s="30"/>
      <c r="L27" s="22"/>
      <c r="M27" s="30"/>
      <c r="U27" s="22"/>
      <c r="V27" s="46"/>
      <c r="W27" s="9"/>
      <c r="Z27" s="9"/>
      <c r="AA27" s="50"/>
    </row>
    <row r="28" spans="1:33">
      <c r="A28" s="29" t="s">
        <v>54</v>
      </c>
      <c r="B28">
        <v>2020</v>
      </c>
      <c r="C28" s="30"/>
      <c r="G28" s="22"/>
      <c r="H28" s="30"/>
      <c r="L28" s="22"/>
      <c r="M28" s="30"/>
      <c r="U28" s="22"/>
      <c r="V28" s="46"/>
      <c r="W28" s="9"/>
      <c r="Z28" s="9"/>
      <c r="AA28" s="50"/>
    </row>
    <row r="29" spans="1:33">
      <c r="A29" s="29" t="s">
        <v>54</v>
      </c>
      <c r="B29">
        <v>2021</v>
      </c>
      <c r="C29" s="30"/>
      <c r="G29" s="22"/>
      <c r="H29" s="30"/>
      <c r="L29" s="22"/>
      <c r="M29" s="30"/>
      <c r="U29" s="22"/>
      <c r="V29" s="46"/>
      <c r="W29" s="9"/>
      <c r="Z29" s="9"/>
      <c r="AA29" s="50"/>
    </row>
    <row r="30" spans="1:33">
      <c r="A30" s="29" t="s">
        <v>54</v>
      </c>
      <c r="B30">
        <v>2022</v>
      </c>
      <c r="C30" s="30"/>
      <c r="G30" s="22"/>
      <c r="H30" s="30"/>
      <c r="L30" s="22"/>
      <c r="M30" s="30"/>
      <c r="U30" s="22"/>
      <c r="V30" s="46"/>
      <c r="W30" s="9"/>
      <c r="Z30" s="9"/>
      <c r="AA30" s="50"/>
    </row>
    <row r="31" spans="1:33">
      <c r="A31" s="29" t="s">
        <v>54</v>
      </c>
      <c r="B31">
        <v>2023</v>
      </c>
      <c r="C31" s="30"/>
      <c r="G31" s="22"/>
      <c r="H31" s="30"/>
      <c r="L31" s="22"/>
      <c r="M31" s="30"/>
      <c r="U31" s="22"/>
      <c r="V31" s="46"/>
      <c r="AA31" s="22"/>
    </row>
    <row r="32" spans="1:33">
      <c r="A32" s="29" t="s">
        <v>54</v>
      </c>
      <c r="B32">
        <v>2024</v>
      </c>
      <c r="C32" s="30"/>
      <c r="G32" s="22"/>
      <c r="H32" s="30"/>
      <c r="L32" s="22"/>
      <c r="M32" s="30"/>
      <c r="U32" s="22"/>
      <c r="V32" s="30"/>
      <c r="AA32" s="22"/>
    </row>
    <row r="33" spans="1:27" ht="15" thickBot="1">
      <c r="A33" s="29" t="s">
        <v>54</v>
      </c>
      <c r="B33">
        <v>2025</v>
      </c>
      <c r="C33" s="47"/>
      <c r="D33" s="48"/>
      <c r="E33" s="48"/>
      <c r="F33" s="48"/>
      <c r="G33" s="49"/>
      <c r="H33" s="47"/>
      <c r="I33" s="48"/>
      <c r="J33" s="48"/>
      <c r="K33" s="48"/>
      <c r="L33" s="49"/>
      <c r="M33" s="47"/>
      <c r="N33" s="48"/>
      <c r="O33" s="48"/>
      <c r="P33" s="48"/>
      <c r="Q33" s="48"/>
      <c r="R33" s="48"/>
      <c r="S33" s="48"/>
      <c r="T33" s="48"/>
      <c r="U33" s="49"/>
      <c r="V33" s="47"/>
      <c r="W33" s="48"/>
      <c r="X33" s="48"/>
      <c r="Y33" s="48"/>
      <c r="Z33" s="48"/>
      <c r="AA33" s="49"/>
    </row>
  </sheetData>
  <mergeCells count="7">
    <mergeCell ref="V4:AA4"/>
    <mergeCell ref="AB4:AE4"/>
    <mergeCell ref="N5:P5"/>
    <mergeCell ref="Q5:U5"/>
    <mergeCell ref="D4:G4"/>
    <mergeCell ref="I4:L4"/>
    <mergeCell ref="N4:U4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050A-EB9F-43F0-B074-B0A0A5619347}">
  <dimension ref="A1:U16"/>
  <sheetViews>
    <sheetView zoomScale="85" zoomScaleNormal="85" workbookViewId="0">
      <selection activeCell="N9" sqref="N9"/>
    </sheetView>
  </sheetViews>
  <sheetFormatPr defaultRowHeight="14.4"/>
  <cols>
    <col min="13" max="13" width="7.5546875" customWidth="1"/>
    <col min="20" max="20" width="7.88671875" customWidth="1"/>
    <col min="21" max="21" width="10.10937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/>
    </row>
    <row r="2" spans="1:21">
      <c r="A2" t="s">
        <v>18</v>
      </c>
      <c r="B2">
        <v>2799927</v>
      </c>
      <c r="C2">
        <v>240181</v>
      </c>
      <c r="D2">
        <v>550298</v>
      </c>
      <c r="E2">
        <v>47915</v>
      </c>
      <c r="F2">
        <v>0</v>
      </c>
      <c r="G2">
        <v>320155</v>
      </c>
      <c r="H2">
        <v>180000</v>
      </c>
      <c r="I2">
        <v>1646607</v>
      </c>
      <c r="J2">
        <v>1820000</v>
      </c>
      <c r="K2">
        <v>188600</v>
      </c>
      <c r="L2">
        <v>41500</v>
      </c>
      <c r="M2">
        <v>12350</v>
      </c>
      <c r="N2">
        <v>333105</v>
      </c>
      <c r="O2">
        <v>345291</v>
      </c>
      <c r="P2">
        <f t="shared" ref="P2:P3" si="0">O2-N2</f>
        <v>12186</v>
      </c>
      <c r="Q2">
        <v>0</v>
      </c>
      <c r="R2">
        <f>M2-P2</f>
        <v>164</v>
      </c>
      <c r="S2">
        <v>21174</v>
      </c>
      <c r="T2" s="10"/>
      <c r="U2" s="10"/>
    </row>
    <row r="3" spans="1:21">
      <c r="A3" t="s">
        <v>19</v>
      </c>
      <c r="B3">
        <v>2836314</v>
      </c>
      <c r="C3">
        <v>257899</v>
      </c>
      <c r="D3">
        <v>580386</v>
      </c>
      <c r="E3">
        <v>54704</v>
      </c>
      <c r="F3">
        <v>0</v>
      </c>
      <c r="G3">
        <v>336832</v>
      </c>
      <c r="H3">
        <v>191000</v>
      </c>
      <c r="I3">
        <v>1599761</v>
      </c>
      <c r="J3">
        <v>1790000</v>
      </c>
      <c r="K3">
        <v>190000</v>
      </c>
      <c r="L3">
        <v>43300</v>
      </c>
      <c r="M3">
        <v>12930</v>
      </c>
      <c r="N3">
        <v>365096</v>
      </c>
      <c r="O3">
        <v>377878</v>
      </c>
      <c r="P3">
        <f t="shared" si="0"/>
        <v>12782</v>
      </c>
      <c r="Q3">
        <v>0</v>
      </c>
      <c r="R3">
        <f t="shared" ref="R3:R4" si="1">M3-P3</f>
        <v>148</v>
      </c>
      <c r="S3">
        <v>23520</v>
      </c>
      <c r="T3" s="10"/>
      <c r="U3" s="10"/>
    </row>
    <row r="4" spans="1:21">
      <c r="A4" t="s">
        <v>20</v>
      </c>
      <c r="B4">
        <v>2453512</v>
      </c>
      <c r="C4">
        <v>310729</v>
      </c>
      <c r="D4">
        <v>682287</v>
      </c>
      <c r="E4">
        <v>61369</v>
      </c>
      <c r="F4">
        <v>0</v>
      </c>
      <c r="G4">
        <v>413698</v>
      </c>
      <c r="H4">
        <v>232329</v>
      </c>
      <c r="I4">
        <v>1048998</v>
      </c>
      <c r="J4">
        <v>1281000</v>
      </c>
      <c r="K4">
        <v>218000</v>
      </c>
      <c r="L4">
        <v>49000</v>
      </c>
      <c r="M4">
        <v>17030</v>
      </c>
      <c r="N4">
        <v>377697</v>
      </c>
      <c r="O4">
        <v>394522</v>
      </c>
      <c r="P4">
        <f>O4-N4</f>
        <v>16825</v>
      </c>
      <c r="Q4">
        <v>0</v>
      </c>
      <c r="R4">
        <f t="shared" si="1"/>
        <v>205</v>
      </c>
      <c r="S4">
        <v>25995</v>
      </c>
      <c r="T4" s="10"/>
      <c r="U4" s="10"/>
    </row>
    <row r="6" spans="1:21">
      <c r="S6" t="s">
        <v>21</v>
      </c>
      <c r="T6" t="s">
        <v>21</v>
      </c>
    </row>
    <row r="7" spans="1:21" s="3" customFormat="1">
      <c r="A7" s="6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11</v>
      </c>
      <c r="M7" s="7" t="s">
        <v>25</v>
      </c>
      <c r="N7" s="7" t="s">
        <v>12</v>
      </c>
      <c r="O7" s="7" t="s">
        <v>13</v>
      </c>
      <c r="P7" s="7" t="s">
        <v>14</v>
      </c>
      <c r="Q7" s="7" t="s">
        <v>15</v>
      </c>
      <c r="R7" s="7" t="s">
        <v>16</v>
      </c>
      <c r="S7" s="8" t="s">
        <v>17</v>
      </c>
    </row>
    <row r="8" spans="1:21">
      <c r="A8" s="2" t="s">
        <v>18</v>
      </c>
      <c r="B8" s="4">
        <f t="shared" ref="B8:R8" si="2">B2/$B2</f>
        <v>1</v>
      </c>
      <c r="C8" s="4">
        <f t="shared" si="2"/>
        <v>8.5781165008944879E-2</v>
      </c>
      <c r="D8" s="4">
        <f t="shared" si="2"/>
        <v>0.19654012408180641</v>
      </c>
      <c r="E8" s="4">
        <f t="shared" si="2"/>
        <v>1.7112946158953431E-2</v>
      </c>
      <c r="F8" s="4">
        <f t="shared" si="2"/>
        <v>0</v>
      </c>
      <c r="G8" s="4">
        <f t="shared" si="2"/>
        <v>0.11434405254136983</v>
      </c>
      <c r="H8" s="4">
        <f t="shared" si="2"/>
        <v>6.428739034981984E-2</v>
      </c>
      <c r="I8" s="4">
        <f t="shared" si="2"/>
        <v>0.58808926089858771</v>
      </c>
      <c r="J8" s="4">
        <f t="shared" si="2"/>
        <v>0.65001694687040057</v>
      </c>
      <c r="K8" s="4">
        <f t="shared" si="2"/>
        <v>6.7358898999866787E-2</v>
      </c>
      <c r="L8" s="4">
        <f t="shared" si="2"/>
        <v>1.4821814997319573E-2</v>
      </c>
      <c r="M8" s="4">
        <f t="shared" si="2"/>
        <v>4.410829282334861E-3</v>
      </c>
      <c r="N8" s="4">
        <f t="shared" si="2"/>
        <v>0.11896917312487075</v>
      </c>
      <c r="O8" s="4">
        <f t="shared" si="2"/>
        <v>0.12332142945155355</v>
      </c>
      <c r="P8" s="4">
        <f t="shared" si="2"/>
        <v>4.3522563266828029E-3</v>
      </c>
      <c r="Q8" s="4">
        <f t="shared" si="2"/>
        <v>0</v>
      </c>
      <c r="R8" s="138">
        <f t="shared" si="2"/>
        <v>5.8572955652058072E-5</v>
      </c>
      <c r="S8" s="4">
        <f>S2/$B2</f>
        <v>7.5623400181504732E-3</v>
      </c>
      <c r="T8" s="5">
        <f>S8+O8+J8+D8+E8</f>
        <v>0.99455378658086446</v>
      </c>
      <c r="U8" s="9">
        <f>C8+D8+I8+N8+S8</f>
        <v>0.99694206313236022</v>
      </c>
    </row>
    <row r="9" spans="1:21">
      <c r="A9" s="1" t="s">
        <v>19</v>
      </c>
      <c r="B9" s="4">
        <f t="shared" ref="B9:S9" si="3">B3/$B3</f>
        <v>1</v>
      </c>
      <c r="C9" s="4">
        <f t="shared" si="3"/>
        <v>9.0927520718792065E-2</v>
      </c>
      <c r="D9" s="4">
        <f t="shared" si="3"/>
        <v>0.20462685020064775</v>
      </c>
      <c r="E9" s="4">
        <f t="shared" si="3"/>
        <v>1.9287004189239978E-2</v>
      </c>
      <c r="F9" s="4">
        <f t="shared" si="3"/>
        <v>0</v>
      </c>
      <c r="G9" s="4">
        <f t="shared" si="3"/>
        <v>0.11875695004149753</v>
      </c>
      <c r="H9" s="4">
        <f t="shared" si="3"/>
        <v>6.7340922055879562E-2</v>
      </c>
      <c r="I9" s="4">
        <f t="shared" si="3"/>
        <v>0.56402817177505737</v>
      </c>
      <c r="J9" s="4">
        <f t="shared" si="3"/>
        <v>0.63110078785353108</v>
      </c>
      <c r="K9" s="4">
        <f t="shared" si="3"/>
        <v>6.698835178333569E-2</v>
      </c>
      <c r="L9" s="4">
        <f t="shared" si="3"/>
        <v>1.5266292801149661E-2</v>
      </c>
      <c r="M9" s="4">
        <f t="shared" si="3"/>
        <v>4.5587336239922664E-3</v>
      </c>
      <c r="N9" s="4">
        <f t="shared" si="3"/>
        <v>0.12872199622467753</v>
      </c>
      <c r="O9" s="4">
        <f t="shared" si="3"/>
        <v>0.13322854944833329</v>
      </c>
      <c r="P9" s="4">
        <f t="shared" si="3"/>
        <v>4.5065532236557727E-3</v>
      </c>
      <c r="Q9" s="4">
        <f t="shared" si="3"/>
        <v>0</v>
      </c>
      <c r="R9" s="138">
        <f t="shared" si="3"/>
        <v>5.2180400336493067E-5</v>
      </c>
      <c r="S9" s="4">
        <f t="shared" si="3"/>
        <v>8.2924528102318717E-3</v>
      </c>
      <c r="T9" s="5">
        <f t="shared" ref="T9" si="4">S9+O9+J9+D9+E9</f>
        <v>0.99653564450198395</v>
      </c>
      <c r="U9" s="9">
        <f t="shared" ref="U9:U10" si="5">C9+D9+I9+N9+S9</f>
        <v>0.99659699172940652</v>
      </c>
    </row>
    <row r="10" spans="1:21">
      <c r="A10" s="2" t="s">
        <v>20</v>
      </c>
      <c r="B10" s="4">
        <f t="shared" ref="B10:S10" si="6">B4/$B4</f>
        <v>1</v>
      </c>
      <c r="C10" s="4">
        <f t="shared" si="6"/>
        <v>0.12664661921360074</v>
      </c>
      <c r="D10" s="4">
        <f t="shared" si="6"/>
        <v>0.278085862225251</v>
      </c>
      <c r="E10" s="4">
        <f t="shared" si="6"/>
        <v>2.5012716465213948E-2</v>
      </c>
      <c r="F10" s="4">
        <f t="shared" si="6"/>
        <v>0</v>
      </c>
      <c r="G10" s="4">
        <f t="shared" si="6"/>
        <v>0.1686146226307432</v>
      </c>
      <c r="H10" s="4">
        <f t="shared" si="6"/>
        <v>9.4692424573427803E-2</v>
      </c>
      <c r="I10" s="4">
        <f t="shared" si="6"/>
        <v>0.42754956975959357</v>
      </c>
      <c r="J10" s="4">
        <f t="shared" si="6"/>
        <v>0.52210871599568287</v>
      </c>
      <c r="K10" s="4">
        <f t="shared" si="6"/>
        <v>8.885222489231763E-2</v>
      </c>
      <c r="L10" s="4">
        <f t="shared" si="6"/>
        <v>1.9971371650108091E-2</v>
      </c>
      <c r="M10" s="4">
        <f t="shared" si="6"/>
        <v>6.94107059594573E-3</v>
      </c>
      <c r="N10" s="4">
        <f t="shared" si="6"/>
        <v>0.15394137057409948</v>
      </c>
      <c r="O10" s="4">
        <f t="shared" si="6"/>
        <v>0.16079888747232537</v>
      </c>
      <c r="P10" s="4">
        <f t="shared" si="6"/>
        <v>6.8575168982258905E-3</v>
      </c>
      <c r="Q10" s="4">
        <f t="shared" si="6"/>
        <v>0</v>
      </c>
      <c r="R10" s="138">
        <f t="shared" si="6"/>
        <v>8.355369771983997E-5</v>
      </c>
      <c r="S10" s="4">
        <f t="shared" si="6"/>
        <v>1.0595016449888976E-2</v>
      </c>
      <c r="T10" s="5">
        <f>S10+O10+J10+D10+E10</f>
        <v>0.99660119860836216</v>
      </c>
      <c r="U10" s="9">
        <f t="shared" si="5"/>
        <v>0.99681843822243388</v>
      </c>
    </row>
    <row r="11" spans="1:21">
      <c r="C11" s="9"/>
    </row>
    <row r="12" spans="1:21">
      <c r="B12" s="3" t="s">
        <v>22</v>
      </c>
      <c r="C12" s="3" t="s">
        <v>23</v>
      </c>
      <c r="D12" s="3" t="s">
        <v>24</v>
      </c>
      <c r="E12" s="3" t="s">
        <v>26</v>
      </c>
      <c r="F12" s="3" t="s">
        <v>21</v>
      </c>
    </row>
    <row r="13" spans="1:21">
      <c r="A13" s="2" t="s">
        <v>18</v>
      </c>
      <c r="B13" s="9">
        <f>E8+G8</f>
        <v>0.13145699870032326</v>
      </c>
      <c r="C13" s="9">
        <f>N8+P8+Q8+R8+L8</f>
        <v>0.1382018174045252</v>
      </c>
      <c r="D13" s="9">
        <f>K8+I8+H8</f>
        <v>0.71973555024827429</v>
      </c>
      <c r="E13" s="9">
        <f>S8</f>
        <v>7.5623400181504732E-3</v>
      </c>
      <c r="F13" s="9">
        <f>B13+C13+D13+E13</f>
        <v>0.9969567063712732</v>
      </c>
    </row>
    <row r="14" spans="1:21">
      <c r="A14" s="1" t="s">
        <v>19</v>
      </c>
      <c r="B14" s="9">
        <f t="shared" ref="B14:B15" si="7">E9+G9</f>
        <v>0.13804395423073751</v>
      </c>
      <c r="C14" s="9">
        <f t="shared" ref="C14:C15" si="8">N9+P9+Q9+R9+L9</f>
        <v>0.14854702264981948</v>
      </c>
      <c r="D14" s="9">
        <f t="shared" ref="D14" si="9">K9+I9+H9</f>
        <v>0.69835744561427271</v>
      </c>
      <c r="E14" s="9">
        <f t="shared" ref="E14:E15" si="10">S9</f>
        <v>8.2924528102318717E-3</v>
      </c>
      <c r="F14" s="9">
        <f t="shared" ref="F14:F15" si="11">B14+C14+D14+E14</f>
        <v>0.99324087530506155</v>
      </c>
      <c r="K14" t="s">
        <v>27</v>
      </c>
      <c r="L14" t="s">
        <v>28</v>
      </c>
    </row>
    <row r="15" spans="1:21">
      <c r="A15" s="2" t="s">
        <v>20</v>
      </c>
      <c r="B15" s="9">
        <f t="shared" si="7"/>
        <v>0.19362733909595714</v>
      </c>
      <c r="C15" s="9">
        <f t="shared" si="8"/>
        <v>0.18085381282015331</v>
      </c>
      <c r="D15" s="9">
        <f>K10+I10+H10</f>
        <v>0.61109421922533902</v>
      </c>
      <c r="E15" s="9">
        <f t="shared" si="10"/>
        <v>1.0595016449888976E-2</v>
      </c>
      <c r="F15" s="9">
        <f t="shared" si="11"/>
        <v>0.99617038759133847</v>
      </c>
      <c r="M15" t="s">
        <v>29</v>
      </c>
    </row>
    <row r="16" spans="1:21">
      <c r="K1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D3F3-7578-4D0D-B991-D1527873AB38}">
  <sheetPr>
    <pageSetUpPr fitToPage="1"/>
  </sheetPr>
  <dimension ref="A2:Y113"/>
  <sheetViews>
    <sheetView showGridLines="0" showZeros="0" view="pageBreakPreview" zoomScale="85" zoomScaleNormal="100" zoomScaleSheetLayoutView="85" workbookViewId="0">
      <pane xSplit="3" ySplit="7" topLeftCell="D9" activePane="bottomRight" state="frozen"/>
      <selection activeCell="I49" sqref="I49"/>
      <selection pane="topRight" activeCell="I49" sqref="I49"/>
      <selection pane="bottomLeft" activeCell="I49" sqref="I49"/>
      <selection pane="bottomRight" activeCell="C24" sqref="C24:N27"/>
    </sheetView>
  </sheetViews>
  <sheetFormatPr defaultColWidth="20.6640625" defaultRowHeight="18"/>
  <cols>
    <col min="1" max="1" width="20.6640625" style="56"/>
    <col min="2" max="2" width="10.109375" style="57" customWidth="1"/>
    <col min="3" max="3" width="52.44140625" style="58" customWidth="1"/>
    <col min="4" max="15" width="15.44140625" style="59" customWidth="1"/>
    <col min="16" max="16" width="15.44140625" style="60" customWidth="1"/>
    <col min="17" max="17" width="15.44140625" style="61" customWidth="1"/>
    <col min="18" max="19" width="15.44140625" style="62" customWidth="1"/>
    <col min="20" max="16384" width="20.6640625" style="56"/>
  </cols>
  <sheetData>
    <row r="2" spans="1:25" ht="12.6" customHeight="1"/>
    <row r="3" spans="1:25" s="65" customFormat="1" ht="54.6" customHeight="1">
      <c r="A3" s="163" t="s">
        <v>124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64"/>
      <c r="U3" s="64"/>
    </row>
    <row r="4" spans="1:25" s="65" customFormat="1" ht="13.5" customHeight="1">
      <c r="A4" s="66" t="s">
        <v>125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4"/>
      <c r="U4" s="64"/>
    </row>
    <row r="5" spans="1:25" s="67" customFormat="1" ht="49.5" customHeight="1">
      <c r="A5" s="164" t="s">
        <v>126</v>
      </c>
      <c r="B5" s="167" t="s">
        <v>127</v>
      </c>
      <c r="C5" s="170" t="s">
        <v>128</v>
      </c>
      <c r="D5" s="173" t="s">
        <v>129</v>
      </c>
      <c r="E5" s="174"/>
      <c r="F5" s="173" t="s">
        <v>130</v>
      </c>
      <c r="G5" s="174"/>
      <c r="H5" s="173" t="s">
        <v>131</v>
      </c>
      <c r="I5" s="174"/>
      <c r="J5" s="173" t="s">
        <v>132</v>
      </c>
      <c r="K5" s="174"/>
      <c r="L5" s="173" t="s">
        <v>133</v>
      </c>
      <c r="M5" s="174"/>
      <c r="N5" s="175" t="s">
        <v>103</v>
      </c>
      <c r="O5" s="176"/>
      <c r="P5" s="173" t="s">
        <v>134</v>
      </c>
      <c r="Q5" s="174"/>
      <c r="R5" s="176" t="s">
        <v>135</v>
      </c>
      <c r="S5" s="176"/>
    </row>
    <row r="6" spans="1:25" s="68" customFormat="1" ht="17.100000000000001" customHeight="1">
      <c r="A6" s="165"/>
      <c r="B6" s="168"/>
      <c r="C6" s="171"/>
      <c r="D6" s="159" t="s">
        <v>136</v>
      </c>
      <c r="E6" s="160"/>
      <c r="F6" s="159" t="s">
        <v>137</v>
      </c>
      <c r="G6" s="160"/>
      <c r="H6" s="159" t="s">
        <v>138</v>
      </c>
      <c r="I6" s="160"/>
      <c r="J6" s="159" t="s">
        <v>139</v>
      </c>
      <c r="K6" s="160"/>
      <c r="L6" s="159" t="s">
        <v>140</v>
      </c>
      <c r="M6" s="160"/>
      <c r="N6" s="161" t="s">
        <v>141</v>
      </c>
      <c r="O6" s="162"/>
      <c r="P6" s="159" t="s">
        <v>142</v>
      </c>
      <c r="Q6" s="160"/>
      <c r="R6" s="162" t="s">
        <v>143</v>
      </c>
      <c r="S6" s="162"/>
    </row>
    <row r="7" spans="1:25" s="75" customFormat="1" ht="41.4" customHeight="1" thickBot="1">
      <c r="A7" s="166"/>
      <c r="B7" s="169"/>
      <c r="C7" s="172"/>
      <c r="D7" s="69" t="s">
        <v>144</v>
      </c>
      <c r="E7" s="70" t="s">
        <v>145</v>
      </c>
      <c r="F7" s="71" t="s">
        <v>144</v>
      </c>
      <c r="G7" s="72" t="s">
        <v>145</v>
      </c>
      <c r="H7" s="71" t="s">
        <v>144</v>
      </c>
      <c r="I7" s="72" t="s">
        <v>145</v>
      </c>
      <c r="J7" s="71" t="s">
        <v>144</v>
      </c>
      <c r="K7" s="72" t="s">
        <v>145</v>
      </c>
      <c r="L7" s="71" t="s">
        <v>144</v>
      </c>
      <c r="M7" s="72" t="s">
        <v>145</v>
      </c>
      <c r="N7" s="73" t="s">
        <v>144</v>
      </c>
      <c r="O7" s="73" t="s">
        <v>145</v>
      </c>
      <c r="P7" s="71" t="s">
        <v>144</v>
      </c>
      <c r="Q7" s="72" t="s">
        <v>145</v>
      </c>
      <c r="R7" s="73" t="s">
        <v>144</v>
      </c>
      <c r="S7" s="73" t="s">
        <v>145</v>
      </c>
      <c r="T7" s="74"/>
    </row>
    <row r="8" spans="1:25" s="84" customFormat="1" ht="27" customHeight="1">
      <c r="A8" s="153" t="s">
        <v>146</v>
      </c>
      <c r="B8" s="76" t="s">
        <v>147</v>
      </c>
      <c r="C8" s="77" t="s">
        <v>148</v>
      </c>
      <c r="D8" s="78"/>
      <c r="E8" s="79"/>
      <c r="F8" s="78"/>
      <c r="G8" s="79"/>
      <c r="H8" s="78"/>
      <c r="I8" s="79"/>
      <c r="J8" s="78"/>
      <c r="K8" s="79"/>
      <c r="L8" s="78"/>
      <c r="M8" s="79"/>
      <c r="N8" s="80">
        <v>0</v>
      </c>
      <c r="O8" s="81">
        <v>0</v>
      </c>
      <c r="P8" s="78">
        <v>1180937.1831729</v>
      </c>
      <c r="Q8" s="79">
        <v>0</v>
      </c>
      <c r="R8" s="80">
        <v>0</v>
      </c>
      <c r="S8" s="81">
        <v>1180937.1831729</v>
      </c>
      <c r="T8" s="82"/>
      <c r="U8" s="82"/>
      <c r="V8" s="83"/>
      <c r="W8" s="83"/>
      <c r="X8" s="83"/>
    </row>
    <row r="9" spans="1:25" s="84" customFormat="1" ht="27" customHeight="1">
      <c r="A9" s="154"/>
      <c r="B9" s="85" t="s">
        <v>149</v>
      </c>
      <c r="C9" s="86" t="s">
        <v>150</v>
      </c>
      <c r="D9" s="87"/>
      <c r="E9" s="88"/>
      <c r="F9" s="87"/>
      <c r="G9" s="88"/>
      <c r="H9" s="87"/>
      <c r="I9" s="88"/>
      <c r="J9" s="87"/>
      <c r="K9" s="88"/>
      <c r="L9" s="87"/>
      <c r="M9" s="88"/>
      <c r="N9" s="89">
        <v>0</v>
      </c>
      <c r="O9" s="89">
        <v>0</v>
      </c>
      <c r="P9" s="87">
        <v>0</v>
      </c>
      <c r="Q9" s="88">
        <v>785960.22613529232</v>
      </c>
      <c r="R9" s="89">
        <v>785960.22613529232</v>
      </c>
      <c r="S9" s="89">
        <v>0</v>
      </c>
      <c r="T9" s="82"/>
      <c r="U9" s="82" t="s">
        <v>151</v>
      </c>
      <c r="V9" s="83"/>
      <c r="W9" s="83"/>
      <c r="X9" s="82"/>
    </row>
    <row r="10" spans="1:25" s="84" customFormat="1" ht="27" customHeight="1">
      <c r="A10" s="153" t="s">
        <v>152</v>
      </c>
      <c r="B10" s="90" t="s">
        <v>153</v>
      </c>
      <c r="C10" s="91" t="s">
        <v>154</v>
      </c>
      <c r="D10" s="78">
        <v>0</v>
      </c>
      <c r="E10" s="79">
        <v>3435297.2279541437</v>
      </c>
      <c r="F10" s="78">
        <v>0</v>
      </c>
      <c r="G10" s="79">
        <v>113270.38121823642</v>
      </c>
      <c r="H10" s="78">
        <v>0</v>
      </c>
      <c r="I10" s="79">
        <v>759085.55580252665</v>
      </c>
      <c r="J10" s="78">
        <v>0</v>
      </c>
      <c r="K10" s="79">
        <v>724007.52012557094</v>
      </c>
      <c r="L10" s="78">
        <v>0</v>
      </c>
      <c r="M10" s="79">
        <v>5037</v>
      </c>
      <c r="N10" s="81">
        <v>0</v>
      </c>
      <c r="O10" s="81">
        <v>5036697.6851004772</v>
      </c>
      <c r="P10" s="78"/>
      <c r="Q10" s="79"/>
      <c r="R10" s="81">
        <v>0</v>
      </c>
      <c r="S10" s="81">
        <v>5036697.6851004772</v>
      </c>
      <c r="T10" s="82"/>
      <c r="U10" s="82"/>
      <c r="V10" s="82"/>
      <c r="W10" s="82"/>
      <c r="X10" s="82"/>
    </row>
    <row r="11" spans="1:25" s="84" customFormat="1" ht="27" customHeight="1">
      <c r="A11" s="153"/>
      <c r="B11" s="76" t="s">
        <v>155</v>
      </c>
      <c r="C11" s="77" t="s">
        <v>156</v>
      </c>
      <c r="D11" s="92">
        <v>1459585.7549703158</v>
      </c>
      <c r="E11" s="93">
        <v>0</v>
      </c>
      <c r="F11" s="92">
        <v>14219.016099999999</v>
      </c>
      <c r="G11" s="93">
        <v>0</v>
      </c>
      <c r="H11" s="92">
        <v>199727.83932228998</v>
      </c>
      <c r="I11" s="93">
        <v>0</v>
      </c>
      <c r="J11" s="92">
        <v>272046.09366246383</v>
      </c>
      <c r="K11" s="93">
        <v>0</v>
      </c>
      <c r="L11" s="92">
        <v>1167</v>
      </c>
      <c r="M11" s="93">
        <v>0</v>
      </c>
      <c r="N11" s="81">
        <v>1946745.7040550695</v>
      </c>
      <c r="O11" s="94">
        <v>0</v>
      </c>
      <c r="P11" s="92"/>
      <c r="Q11" s="93"/>
      <c r="R11" s="81">
        <v>1946745.7040550695</v>
      </c>
      <c r="S11" s="94">
        <v>0</v>
      </c>
      <c r="T11" s="82"/>
      <c r="U11" s="82"/>
      <c r="V11" s="82"/>
      <c r="W11" s="82"/>
      <c r="X11" s="82"/>
    </row>
    <row r="12" spans="1:25" s="84" customFormat="1" ht="27" customHeight="1">
      <c r="A12" s="153"/>
      <c r="B12" s="76" t="s">
        <v>157</v>
      </c>
      <c r="C12" s="77" t="s">
        <v>158</v>
      </c>
      <c r="D12" s="78">
        <v>0</v>
      </c>
      <c r="E12" s="79">
        <v>0</v>
      </c>
      <c r="F12" s="78">
        <v>0</v>
      </c>
      <c r="G12" s="79">
        <v>0</v>
      </c>
      <c r="H12" s="78">
        <v>0</v>
      </c>
      <c r="I12" s="79">
        <v>0</v>
      </c>
      <c r="J12" s="78">
        <v>0</v>
      </c>
      <c r="K12" s="79">
        <v>0</v>
      </c>
      <c r="L12" s="78">
        <v>0</v>
      </c>
      <c r="M12" s="79">
        <v>0</v>
      </c>
      <c r="N12" s="81">
        <v>0</v>
      </c>
      <c r="O12" s="94">
        <v>84737.236682619987</v>
      </c>
      <c r="P12" s="78"/>
      <c r="Q12" s="79"/>
      <c r="R12" s="81">
        <v>0</v>
      </c>
      <c r="S12" s="94">
        <v>84737.236682619987</v>
      </c>
      <c r="T12" s="82"/>
      <c r="U12" s="82"/>
      <c r="V12" s="82"/>
      <c r="W12" s="82"/>
      <c r="X12" s="82"/>
    </row>
    <row r="13" spans="1:25" s="84" customFormat="1" ht="27" customHeight="1">
      <c r="A13" s="153"/>
      <c r="B13" s="76" t="s">
        <v>159</v>
      </c>
      <c r="C13" s="95" t="s">
        <v>160</v>
      </c>
      <c r="D13" s="92">
        <v>1975711.4729838278</v>
      </c>
      <c r="E13" s="93">
        <v>0</v>
      </c>
      <c r="F13" s="92">
        <v>99051.365118236426</v>
      </c>
      <c r="G13" s="93">
        <v>0</v>
      </c>
      <c r="H13" s="92">
        <v>559357.71648023673</v>
      </c>
      <c r="I13" s="93">
        <v>0</v>
      </c>
      <c r="J13" s="92">
        <v>451961.42646310711</v>
      </c>
      <c r="K13" s="93">
        <v>0</v>
      </c>
      <c r="L13" s="92">
        <v>3870</v>
      </c>
      <c r="M13" s="93">
        <v>0</v>
      </c>
      <c r="N13" s="81">
        <v>3089951.9810454082</v>
      </c>
      <c r="O13" s="94">
        <v>0</v>
      </c>
      <c r="P13" s="92"/>
      <c r="Q13" s="93"/>
      <c r="R13" s="81">
        <v>3089951.9810454082</v>
      </c>
      <c r="S13" s="81">
        <v>0</v>
      </c>
      <c r="T13" s="82"/>
      <c r="U13" s="82"/>
      <c r="V13" s="82"/>
      <c r="W13" s="82"/>
      <c r="X13" s="82"/>
      <c r="Y13" s="96"/>
    </row>
    <row r="14" spans="1:25" s="84" customFormat="1" ht="27" customHeight="1">
      <c r="A14" s="153"/>
      <c r="B14" s="76" t="s">
        <v>161</v>
      </c>
      <c r="C14" s="77" t="s">
        <v>162</v>
      </c>
      <c r="D14" s="78">
        <v>182224.17079517565</v>
      </c>
      <c r="E14" s="79">
        <v>0</v>
      </c>
      <c r="F14" s="78">
        <v>2766.2669999999998</v>
      </c>
      <c r="G14" s="79">
        <v>0</v>
      </c>
      <c r="H14" s="78">
        <v>73207.79031211634</v>
      </c>
      <c r="I14" s="79">
        <v>0</v>
      </c>
      <c r="J14" s="78">
        <v>22148.06678692947</v>
      </c>
      <c r="K14" s="79">
        <v>0</v>
      </c>
      <c r="L14" s="78">
        <v>326</v>
      </c>
      <c r="M14" s="79">
        <v>0</v>
      </c>
      <c r="N14" s="81">
        <v>280672.29489422147</v>
      </c>
      <c r="O14" s="80">
        <v>0</v>
      </c>
      <c r="P14" s="78"/>
      <c r="Q14" s="79"/>
      <c r="R14" s="81">
        <v>280672.29489422147</v>
      </c>
      <c r="S14" s="81">
        <v>0</v>
      </c>
      <c r="T14" s="82"/>
      <c r="U14" s="82"/>
      <c r="V14" s="82"/>
      <c r="W14" s="82"/>
      <c r="X14" s="82"/>
    </row>
    <row r="15" spans="1:25" s="84" customFormat="1" ht="27" customHeight="1">
      <c r="A15" s="153"/>
      <c r="B15" s="76" t="s">
        <v>163</v>
      </c>
      <c r="C15" s="77" t="s">
        <v>164</v>
      </c>
      <c r="D15" s="92">
        <v>1793487.3021886521</v>
      </c>
      <c r="E15" s="93">
        <v>0</v>
      </c>
      <c r="F15" s="92">
        <v>96285.098118236434</v>
      </c>
      <c r="G15" s="93">
        <v>0</v>
      </c>
      <c r="H15" s="92">
        <v>486149.92616812041</v>
      </c>
      <c r="I15" s="93">
        <v>0</v>
      </c>
      <c r="J15" s="92">
        <v>429813.35967617761</v>
      </c>
      <c r="K15" s="93">
        <v>0</v>
      </c>
      <c r="L15" s="92">
        <v>3544</v>
      </c>
      <c r="M15" s="93">
        <v>0</v>
      </c>
      <c r="N15" s="81">
        <v>2809279.6861511865</v>
      </c>
      <c r="O15" s="94">
        <v>0</v>
      </c>
      <c r="P15" s="92"/>
      <c r="Q15" s="93"/>
      <c r="R15" s="81">
        <v>2809279.6861511865</v>
      </c>
      <c r="S15" s="97">
        <v>0</v>
      </c>
      <c r="T15" s="82"/>
      <c r="U15" s="82"/>
      <c r="V15" s="82"/>
      <c r="W15" s="82"/>
      <c r="X15" s="82"/>
    </row>
    <row r="16" spans="1:25" s="84" customFormat="1" ht="27" customHeight="1">
      <c r="A16" s="153"/>
      <c r="B16" s="98" t="s">
        <v>165</v>
      </c>
      <c r="C16" s="99" t="s">
        <v>166</v>
      </c>
      <c r="D16" s="92"/>
      <c r="E16" s="93"/>
      <c r="F16" s="92"/>
      <c r="G16" s="93"/>
      <c r="H16" s="92"/>
      <c r="I16" s="93"/>
      <c r="J16" s="92"/>
      <c r="K16" s="93"/>
      <c r="L16" s="92"/>
      <c r="M16" s="93"/>
      <c r="N16" s="80">
        <v>3174689.2177280281</v>
      </c>
      <c r="O16" s="100">
        <v>0</v>
      </c>
      <c r="P16" s="92"/>
      <c r="Q16" s="93"/>
      <c r="R16" s="80">
        <v>3174689.2177280281</v>
      </c>
      <c r="S16" s="101">
        <v>0</v>
      </c>
      <c r="T16" s="82"/>
      <c r="U16" s="82"/>
      <c r="V16" s="82"/>
      <c r="W16" s="82"/>
      <c r="X16" s="82"/>
    </row>
    <row r="17" spans="1:24" s="84" customFormat="1" ht="27" customHeight="1">
      <c r="A17" s="155"/>
      <c r="B17" s="102" t="s">
        <v>167</v>
      </c>
      <c r="C17" s="103" t="s">
        <v>168</v>
      </c>
      <c r="D17" s="104"/>
      <c r="E17" s="105"/>
      <c r="F17" s="104"/>
      <c r="G17" s="105"/>
      <c r="H17" s="104"/>
      <c r="I17" s="105"/>
      <c r="J17" s="104"/>
      <c r="K17" s="105"/>
      <c r="L17" s="104"/>
      <c r="M17" s="105"/>
      <c r="N17" s="106">
        <v>0</v>
      </c>
      <c r="O17" s="107">
        <v>0</v>
      </c>
      <c r="P17" s="104">
        <v>-394976.95703760767</v>
      </c>
      <c r="Q17" s="105"/>
      <c r="R17" s="106">
        <v>0</v>
      </c>
      <c r="S17" s="107">
        <v>-394976.95703760767</v>
      </c>
      <c r="T17" s="83"/>
      <c r="U17" s="83"/>
      <c r="V17" s="83"/>
      <c r="W17" s="83"/>
      <c r="X17" s="83"/>
    </row>
    <row r="18" spans="1:24" s="84" customFormat="1" ht="27" customHeight="1">
      <c r="A18" s="156" t="s">
        <v>169</v>
      </c>
      <c r="B18" s="108" t="s">
        <v>167</v>
      </c>
      <c r="C18" s="109" t="s">
        <v>168</v>
      </c>
      <c r="D18" s="110"/>
      <c r="E18" s="111"/>
      <c r="F18" s="110"/>
      <c r="G18" s="111"/>
      <c r="H18" s="110"/>
      <c r="I18" s="111"/>
      <c r="J18" s="110"/>
      <c r="K18" s="111"/>
      <c r="L18" s="110"/>
      <c r="M18" s="111"/>
      <c r="N18" s="112">
        <v>0</v>
      </c>
      <c r="O18" s="112">
        <v>0</v>
      </c>
      <c r="P18" s="110"/>
      <c r="Q18" s="111">
        <v>-394976.95703760767</v>
      </c>
      <c r="R18" s="112">
        <v>-394976.95703760767</v>
      </c>
      <c r="S18" s="112">
        <v>0</v>
      </c>
      <c r="T18" s="82"/>
      <c r="U18" s="82"/>
      <c r="V18" s="82"/>
      <c r="W18" s="82"/>
      <c r="X18" s="82"/>
    </row>
    <row r="19" spans="1:24" s="84" customFormat="1" ht="27" customHeight="1">
      <c r="A19" s="157"/>
      <c r="B19" s="76" t="s">
        <v>159</v>
      </c>
      <c r="C19" s="77" t="s">
        <v>170</v>
      </c>
      <c r="D19" s="78">
        <v>0</v>
      </c>
      <c r="E19" s="79">
        <v>1975711.4729838278</v>
      </c>
      <c r="F19" s="78">
        <v>0</v>
      </c>
      <c r="G19" s="79">
        <v>99051.365118236426</v>
      </c>
      <c r="H19" s="78">
        <v>0</v>
      </c>
      <c r="I19" s="79">
        <v>559357.71648023673</v>
      </c>
      <c r="J19" s="78">
        <v>0</v>
      </c>
      <c r="K19" s="79">
        <v>451961.42646310711</v>
      </c>
      <c r="L19" s="78">
        <v>0</v>
      </c>
      <c r="M19" s="79">
        <v>3870</v>
      </c>
      <c r="N19" s="81">
        <v>0</v>
      </c>
      <c r="O19" s="137">
        <v>3089951.9810454082</v>
      </c>
      <c r="P19" s="78"/>
      <c r="Q19" s="79"/>
      <c r="R19" s="81">
        <v>0</v>
      </c>
      <c r="S19" s="94">
        <v>3089951.9810454082</v>
      </c>
      <c r="T19" s="96"/>
      <c r="U19" s="96"/>
      <c r="V19" s="96"/>
      <c r="W19" s="96"/>
      <c r="X19" s="96"/>
    </row>
    <row r="20" spans="1:24" s="84" customFormat="1" ht="27" customHeight="1">
      <c r="A20" s="157"/>
      <c r="B20" s="76" t="s">
        <v>163</v>
      </c>
      <c r="C20" s="95" t="s">
        <v>171</v>
      </c>
      <c r="D20" s="92">
        <v>0</v>
      </c>
      <c r="E20" s="93">
        <v>1793487.3021886521</v>
      </c>
      <c r="F20" s="92">
        <v>0</v>
      </c>
      <c r="G20" s="93">
        <v>96285.098118236434</v>
      </c>
      <c r="H20" s="92">
        <v>0</v>
      </c>
      <c r="I20" s="93">
        <v>486149.92616812041</v>
      </c>
      <c r="J20" s="92">
        <v>0</v>
      </c>
      <c r="K20" s="93">
        <v>429813.35967617761</v>
      </c>
      <c r="L20" s="92">
        <v>0</v>
      </c>
      <c r="M20" s="93">
        <v>3544</v>
      </c>
      <c r="N20" s="81">
        <v>0</v>
      </c>
      <c r="O20" s="94">
        <v>2809279.6861511865</v>
      </c>
      <c r="P20" s="92"/>
      <c r="Q20" s="93"/>
      <c r="R20" s="81">
        <v>0</v>
      </c>
      <c r="S20" s="94">
        <v>2809279.6861511865</v>
      </c>
      <c r="T20" s="96"/>
      <c r="U20" s="96"/>
      <c r="V20" s="96"/>
      <c r="W20" s="96"/>
      <c r="X20" s="96"/>
    </row>
    <row r="21" spans="1:24" s="84" customFormat="1" ht="27" customHeight="1">
      <c r="A21" s="157"/>
      <c r="B21" s="76" t="s">
        <v>172</v>
      </c>
      <c r="C21" s="77" t="s">
        <v>94</v>
      </c>
      <c r="D21" s="78">
        <v>234830.26412493805</v>
      </c>
      <c r="E21" s="79">
        <v>0</v>
      </c>
      <c r="F21" s="78">
        <v>22559.249465708046</v>
      </c>
      <c r="G21" s="79">
        <v>0</v>
      </c>
      <c r="H21" s="78">
        <v>486149.92616812035</v>
      </c>
      <c r="I21" s="79">
        <v>0</v>
      </c>
      <c r="J21" s="78">
        <v>63895.331080897289</v>
      </c>
      <c r="K21" s="79">
        <v>0</v>
      </c>
      <c r="L21" s="78">
        <v>3544</v>
      </c>
      <c r="M21" s="79">
        <v>0</v>
      </c>
      <c r="N21" s="81">
        <v>810978.77083966369</v>
      </c>
      <c r="O21" s="94">
        <v>0</v>
      </c>
      <c r="P21" s="78"/>
      <c r="Q21" s="79"/>
      <c r="R21" s="81">
        <v>810978.77083966369</v>
      </c>
      <c r="S21" s="94">
        <v>0</v>
      </c>
      <c r="T21" s="96"/>
      <c r="U21" s="113"/>
      <c r="V21" s="96"/>
      <c r="W21" s="96"/>
      <c r="X21" s="96"/>
    </row>
    <row r="22" spans="1:24" s="84" customFormat="1" ht="27" customHeight="1">
      <c r="A22" s="157"/>
      <c r="B22" s="76" t="s">
        <v>173</v>
      </c>
      <c r="C22" s="77" t="s">
        <v>174</v>
      </c>
      <c r="D22" s="92">
        <v>189065.00944985671</v>
      </c>
      <c r="E22" s="93">
        <v>0</v>
      </c>
      <c r="F22" s="92">
        <v>18114.526053027057</v>
      </c>
      <c r="G22" s="93">
        <v>0</v>
      </c>
      <c r="H22" s="92">
        <v>453331.60511704034</v>
      </c>
      <c r="I22" s="93">
        <v>0</v>
      </c>
      <c r="J22" s="92">
        <v>62019.187690452825</v>
      </c>
      <c r="K22" s="93">
        <v>0</v>
      </c>
      <c r="L22" s="92">
        <v>3366</v>
      </c>
      <c r="M22" s="93">
        <v>0</v>
      </c>
      <c r="N22" s="81">
        <v>725896.32831037685</v>
      </c>
      <c r="O22" s="94">
        <v>0</v>
      </c>
      <c r="P22" s="92"/>
      <c r="Q22" s="93"/>
      <c r="R22" s="81">
        <v>725896.32831037685</v>
      </c>
      <c r="S22" s="94">
        <v>0</v>
      </c>
    </row>
    <row r="23" spans="1:24" s="84" customFormat="1" ht="27" customHeight="1">
      <c r="A23" s="157"/>
      <c r="B23" s="76" t="s">
        <v>175</v>
      </c>
      <c r="C23" s="77" t="s">
        <v>176</v>
      </c>
      <c r="D23" s="78">
        <v>45765.254675081349</v>
      </c>
      <c r="E23" s="79">
        <v>0</v>
      </c>
      <c r="F23" s="78">
        <v>4444.7234126809881</v>
      </c>
      <c r="G23" s="79">
        <v>0</v>
      </c>
      <c r="H23" s="78">
        <v>32818.321051079998</v>
      </c>
      <c r="I23" s="79">
        <v>0</v>
      </c>
      <c r="J23" s="78">
        <v>1876.1433904444639</v>
      </c>
      <c r="K23" s="79">
        <v>0</v>
      </c>
      <c r="L23" s="78">
        <v>178</v>
      </c>
      <c r="M23" s="79">
        <v>0</v>
      </c>
      <c r="N23" s="81">
        <v>85082.442529286782</v>
      </c>
      <c r="O23" s="94">
        <v>0</v>
      </c>
      <c r="P23" s="78"/>
      <c r="Q23" s="79"/>
      <c r="R23" s="81">
        <v>85082.442529286782</v>
      </c>
      <c r="S23" s="94">
        <v>0</v>
      </c>
    </row>
    <row r="24" spans="1:24" s="84" customFormat="1" ht="27" customHeight="1">
      <c r="A24" s="157"/>
      <c r="B24" s="76" t="s">
        <v>177</v>
      </c>
      <c r="C24" s="77" t="s">
        <v>178</v>
      </c>
      <c r="D24" s="92">
        <v>64620.370682445689</v>
      </c>
      <c r="E24" s="93"/>
      <c r="F24" s="92">
        <v>1145.660931262496</v>
      </c>
      <c r="G24" s="93">
        <v>0</v>
      </c>
      <c r="H24" s="92">
        <v>0</v>
      </c>
      <c r="I24" s="93">
        <v>0</v>
      </c>
      <c r="J24" s="92">
        <v>3131.9317621118385</v>
      </c>
      <c r="K24" s="93">
        <v>0</v>
      </c>
      <c r="L24" s="92">
        <v>0</v>
      </c>
      <c r="M24" s="93">
        <v>0</v>
      </c>
      <c r="N24" s="81">
        <v>162060.30822244001</v>
      </c>
      <c r="O24" s="94">
        <v>0</v>
      </c>
      <c r="P24" s="92"/>
      <c r="Q24" s="93"/>
      <c r="R24" s="81">
        <v>162060.30822244001</v>
      </c>
      <c r="S24" s="94">
        <v>0</v>
      </c>
      <c r="T24" s="96"/>
      <c r="U24" s="96"/>
    </row>
    <row r="25" spans="1:24" s="84" customFormat="1" ht="27" customHeight="1">
      <c r="A25" s="157"/>
      <c r="B25" s="76" t="s">
        <v>179</v>
      </c>
      <c r="C25" s="77" t="s">
        <v>180</v>
      </c>
      <c r="D25" s="78">
        <v>0</v>
      </c>
      <c r="E25" s="79"/>
      <c r="F25" s="78">
        <v>0</v>
      </c>
      <c r="G25" s="79">
        <v>0</v>
      </c>
      <c r="H25" s="78">
        <v>0</v>
      </c>
      <c r="I25" s="79">
        <v>0</v>
      </c>
      <c r="J25" s="78">
        <v>0</v>
      </c>
      <c r="K25" s="79">
        <v>0</v>
      </c>
      <c r="L25" s="78">
        <v>0</v>
      </c>
      <c r="M25" s="79">
        <v>0</v>
      </c>
      <c r="N25" s="81">
        <v>93162.344846619992</v>
      </c>
      <c r="O25" s="94">
        <v>0</v>
      </c>
      <c r="P25" s="78"/>
      <c r="Q25" s="79"/>
      <c r="R25" s="81">
        <v>93162.344846619992</v>
      </c>
      <c r="S25" s="94">
        <v>0</v>
      </c>
      <c r="T25" s="96"/>
      <c r="U25" s="96"/>
    </row>
    <row r="26" spans="1:24" s="84" customFormat="1" ht="27" customHeight="1">
      <c r="A26" s="157"/>
      <c r="B26" s="76" t="s">
        <v>181</v>
      </c>
      <c r="C26" s="77" t="s">
        <v>182</v>
      </c>
      <c r="D26" s="92">
        <v>64620.370682445689</v>
      </c>
      <c r="E26" s="93">
        <v>0</v>
      </c>
      <c r="F26" s="92">
        <v>1145.660931262496</v>
      </c>
      <c r="G26" s="93">
        <v>0</v>
      </c>
      <c r="H26" s="92">
        <v>0</v>
      </c>
      <c r="I26" s="93">
        <v>0</v>
      </c>
      <c r="J26" s="92">
        <v>3131.9317621118385</v>
      </c>
      <c r="K26" s="93">
        <v>0</v>
      </c>
      <c r="L26" s="92">
        <v>0</v>
      </c>
      <c r="M26" s="93">
        <v>0</v>
      </c>
      <c r="N26" s="81">
        <v>68897.963375820022</v>
      </c>
      <c r="O26" s="94">
        <v>0</v>
      </c>
      <c r="P26" s="92"/>
      <c r="Q26" s="93"/>
      <c r="R26" s="81">
        <v>68897.963375820022</v>
      </c>
      <c r="S26" s="94">
        <v>0</v>
      </c>
      <c r="T26" s="96"/>
      <c r="U26" s="96"/>
      <c r="V26" s="96"/>
      <c r="W26" s="96"/>
      <c r="X26" s="96"/>
    </row>
    <row r="27" spans="1:24" s="84" customFormat="1" ht="27" customHeight="1">
      <c r="A27" s="157"/>
      <c r="B27" s="76" t="s">
        <v>183</v>
      </c>
      <c r="C27" s="77" t="s">
        <v>184</v>
      </c>
      <c r="D27" s="78">
        <v>-2399.5927793382202</v>
      </c>
      <c r="E27" s="79">
        <v>0</v>
      </c>
      <c r="F27" s="78">
        <v>0</v>
      </c>
      <c r="G27" s="79">
        <v>0</v>
      </c>
      <c r="H27" s="78">
        <v>0</v>
      </c>
      <c r="I27" s="79">
        <v>0</v>
      </c>
      <c r="J27" s="78">
        <v>-662.40700456178502</v>
      </c>
      <c r="K27" s="79">
        <v>0</v>
      </c>
      <c r="L27" s="78">
        <v>0</v>
      </c>
      <c r="M27" s="79">
        <v>0</v>
      </c>
      <c r="N27" s="81">
        <v>-11487.107947900007</v>
      </c>
      <c r="O27" s="94">
        <v>0</v>
      </c>
      <c r="P27" s="78"/>
      <c r="Q27" s="79"/>
      <c r="R27" s="81">
        <v>-11487.107947900007</v>
      </c>
      <c r="S27" s="94">
        <v>0</v>
      </c>
    </row>
    <row r="28" spans="1:24" s="84" customFormat="1" ht="27" customHeight="1">
      <c r="A28" s="157"/>
      <c r="B28" s="76" t="s">
        <v>185</v>
      </c>
      <c r="C28" s="77" t="s">
        <v>186</v>
      </c>
      <c r="D28" s="92">
        <v>0</v>
      </c>
      <c r="E28" s="93">
        <v>0</v>
      </c>
      <c r="F28" s="92">
        <v>0</v>
      </c>
      <c r="G28" s="93">
        <v>0</v>
      </c>
      <c r="H28" s="92">
        <v>0</v>
      </c>
      <c r="I28" s="93">
        <v>0</v>
      </c>
      <c r="J28" s="92">
        <v>0</v>
      </c>
      <c r="K28" s="93">
        <v>0</v>
      </c>
      <c r="L28" s="92">
        <v>0</v>
      </c>
      <c r="M28" s="93">
        <v>0</v>
      </c>
      <c r="N28" s="81">
        <v>-8425.1081640000011</v>
      </c>
      <c r="O28" s="94">
        <v>0</v>
      </c>
      <c r="P28" s="92"/>
      <c r="Q28" s="93"/>
      <c r="R28" s="81">
        <v>-8425.1081640000011</v>
      </c>
      <c r="S28" s="94">
        <v>0</v>
      </c>
      <c r="T28" s="96"/>
      <c r="U28" s="96"/>
    </row>
    <row r="29" spans="1:24" s="84" customFormat="1" ht="27" customHeight="1">
      <c r="A29" s="157"/>
      <c r="B29" s="76" t="s">
        <v>187</v>
      </c>
      <c r="C29" s="77" t="s">
        <v>188</v>
      </c>
      <c r="D29" s="78">
        <v>-2399.5927793382202</v>
      </c>
      <c r="E29" s="79">
        <v>0</v>
      </c>
      <c r="F29" s="78">
        <v>0</v>
      </c>
      <c r="G29" s="79">
        <v>0</v>
      </c>
      <c r="H29" s="78">
        <v>0</v>
      </c>
      <c r="I29" s="79">
        <v>0</v>
      </c>
      <c r="J29" s="78">
        <v>-662.40700456178502</v>
      </c>
      <c r="K29" s="79">
        <v>0</v>
      </c>
      <c r="L29" s="78">
        <v>0</v>
      </c>
      <c r="M29" s="79">
        <v>0</v>
      </c>
      <c r="N29" s="81">
        <v>-3061.9997839000052</v>
      </c>
      <c r="O29" s="94">
        <v>0</v>
      </c>
      <c r="P29" s="78"/>
      <c r="Q29" s="79"/>
      <c r="R29" s="81">
        <v>-3061.9997839000052</v>
      </c>
      <c r="S29" s="94">
        <v>0</v>
      </c>
      <c r="T29" s="96"/>
      <c r="U29" s="96"/>
      <c r="V29" s="96"/>
      <c r="W29" s="96"/>
      <c r="X29" s="96"/>
    </row>
    <row r="30" spans="1:24" s="84" customFormat="1" ht="27" customHeight="1">
      <c r="A30" s="157"/>
      <c r="B30" s="76" t="s">
        <v>189</v>
      </c>
      <c r="C30" s="77" t="s">
        <v>190</v>
      </c>
      <c r="D30" s="92">
        <v>1678660.4309557823</v>
      </c>
      <c r="E30" s="93">
        <v>0</v>
      </c>
      <c r="F30" s="92">
        <v>75346.454721265894</v>
      </c>
      <c r="G30" s="93">
        <v>0</v>
      </c>
      <c r="H30" s="92">
        <v>73207.790312116384</v>
      </c>
      <c r="I30" s="93">
        <v>0</v>
      </c>
      <c r="J30" s="92">
        <v>0</v>
      </c>
      <c r="K30" s="93">
        <v>0</v>
      </c>
      <c r="L30" s="92">
        <v>326</v>
      </c>
      <c r="M30" s="93">
        <v>0</v>
      </c>
      <c r="N30" s="81">
        <v>1827540.6759891645</v>
      </c>
      <c r="O30" s="94">
        <v>0</v>
      </c>
      <c r="P30" s="92"/>
      <c r="Q30" s="93"/>
      <c r="R30" s="81">
        <v>1827540.6759891645</v>
      </c>
      <c r="S30" s="94">
        <v>0</v>
      </c>
    </row>
    <row r="31" spans="1:24" s="84" customFormat="1" ht="27" customHeight="1">
      <c r="A31" s="157"/>
      <c r="B31" s="76" t="s">
        <v>191</v>
      </c>
      <c r="C31" s="77" t="s">
        <v>192</v>
      </c>
      <c r="D31" s="78">
        <v>1496436.2601606066</v>
      </c>
      <c r="E31" s="79">
        <v>0</v>
      </c>
      <c r="F31" s="78">
        <v>72580.187721265887</v>
      </c>
      <c r="G31" s="79">
        <v>0</v>
      </c>
      <c r="H31" s="78">
        <v>0</v>
      </c>
      <c r="I31" s="79">
        <v>0</v>
      </c>
      <c r="J31" s="78"/>
      <c r="K31" s="79"/>
      <c r="L31" s="78">
        <v>0</v>
      </c>
      <c r="M31" s="79">
        <v>0</v>
      </c>
      <c r="N31" s="81">
        <v>1569016.4478818725</v>
      </c>
      <c r="O31" s="94">
        <v>0</v>
      </c>
      <c r="P31" s="78"/>
      <c r="Q31" s="79"/>
      <c r="R31" s="81">
        <v>1569016.4478818725</v>
      </c>
      <c r="S31" s="94">
        <v>0</v>
      </c>
      <c r="T31" s="96"/>
      <c r="U31" s="96"/>
    </row>
    <row r="32" spans="1:24" s="84" customFormat="1" ht="27" customHeight="1">
      <c r="A32" s="157"/>
      <c r="B32" s="76" t="s">
        <v>193</v>
      </c>
      <c r="C32" s="77" t="s">
        <v>194</v>
      </c>
      <c r="D32" s="92"/>
      <c r="E32" s="93"/>
      <c r="F32" s="92"/>
      <c r="G32" s="93"/>
      <c r="H32" s="92"/>
      <c r="I32" s="93"/>
      <c r="J32" s="92">
        <v>385596.57062465977</v>
      </c>
      <c r="K32" s="93">
        <v>0</v>
      </c>
      <c r="L32" s="92"/>
      <c r="M32" s="93"/>
      <c r="N32" s="81">
        <v>385596.57062465977</v>
      </c>
      <c r="O32" s="94">
        <v>0</v>
      </c>
      <c r="P32" s="92"/>
      <c r="Q32" s="93"/>
      <c r="R32" s="81">
        <v>385596.57062465977</v>
      </c>
      <c r="S32" s="94">
        <v>0</v>
      </c>
      <c r="T32" s="96"/>
      <c r="U32" s="96"/>
    </row>
    <row r="33" spans="1:21" s="84" customFormat="1" ht="27" customHeight="1">
      <c r="A33" s="158"/>
      <c r="B33" s="102" t="s">
        <v>195</v>
      </c>
      <c r="C33" s="103" t="s">
        <v>196</v>
      </c>
      <c r="D33" s="104"/>
      <c r="E33" s="105"/>
      <c r="F33" s="104"/>
      <c r="G33" s="105"/>
      <c r="H33" s="104"/>
      <c r="I33" s="105"/>
      <c r="J33" s="104">
        <v>363448.50383773027</v>
      </c>
      <c r="K33" s="105">
        <v>0</v>
      </c>
      <c r="L33" s="104"/>
      <c r="M33" s="105"/>
      <c r="N33" s="114">
        <v>363448.50383773027</v>
      </c>
      <c r="O33" s="107">
        <v>0</v>
      </c>
      <c r="P33" s="104"/>
      <c r="Q33" s="105"/>
      <c r="R33" s="114">
        <v>363448.50383773027</v>
      </c>
      <c r="S33" s="107">
        <v>0</v>
      </c>
      <c r="T33" s="96"/>
      <c r="U33" s="96"/>
    </row>
    <row r="34" spans="1:21" s="84" customFormat="1" ht="27" customHeight="1">
      <c r="A34" s="150" t="s">
        <v>197</v>
      </c>
      <c r="B34" s="108" t="s">
        <v>189</v>
      </c>
      <c r="C34" s="109" t="s">
        <v>190</v>
      </c>
      <c r="D34" s="110">
        <v>0</v>
      </c>
      <c r="E34" s="111">
        <v>1678660.4309557823</v>
      </c>
      <c r="F34" s="110">
        <v>0</v>
      </c>
      <c r="G34" s="111">
        <v>75346.454721265894</v>
      </c>
      <c r="H34" s="110">
        <v>0</v>
      </c>
      <c r="I34" s="111">
        <v>73207.790312116384</v>
      </c>
      <c r="J34" s="110">
        <v>0</v>
      </c>
      <c r="K34" s="111">
        <v>0</v>
      </c>
      <c r="L34" s="110">
        <v>0</v>
      </c>
      <c r="M34" s="111">
        <v>326</v>
      </c>
      <c r="N34" s="112">
        <v>0</v>
      </c>
      <c r="O34" s="112">
        <v>1827540.6759891645</v>
      </c>
      <c r="P34" s="110"/>
      <c r="Q34" s="111"/>
      <c r="R34" s="112">
        <v>0</v>
      </c>
      <c r="S34" s="112">
        <v>1827540.6759891645</v>
      </c>
      <c r="T34" s="96"/>
      <c r="U34" s="96"/>
    </row>
    <row r="35" spans="1:21" s="84" customFormat="1" ht="27" customHeight="1">
      <c r="A35" s="151"/>
      <c r="B35" s="76" t="s">
        <v>191</v>
      </c>
      <c r="C35" s="77" t="s">
        <v>192</v>
      </c>
      <c r="D35" s="92">
        <v>0</v>
      </c>
      <c r="E35" s="93">
        <v>1496436.2601606066</v>
      </c>
      <c r="F35" s="92">
        <v>0</v>
      </c>
      <c r="G35" s="93">
        <v>72580.187721265887</v>
      </c>
      <c r="H35" s="92">
        <v>0</v>
      </c>
      <c r="I35" s="93">
        <v>0</v>
      </c>
      <c r="J35" s="92">
        <v>0</v>
      </c>
      <c r="K35" s="93">
        <v>0</v>
      </c>
      <c r="L35" s="92">
        <v>0</v>
      </c>
      <c r="M35" s="93">
        <v>0</v>
      </c>
      <c r="N35" s="81">
        <v>0</v>
      </c>
      <c r="O35" s="81">
        <v>1569016.4478818725</v>
      </c>
      <c r="P35" s="92"/>
      <c r="Q35" s="93"/>
      <c r="R35" s="81">
        <v>0</v>
      </c>
      <c r="S35" s="81">
        <v>1569016.4478818725</v>
      </c>
      <c r="T35" s="96"/>
      <c r="U35" s="96"/>
    </row>
    <row r="36" spans="1:21" s="84" customFormat="1" ht="27" customHeight="1">
      <c r="A36" s="151"/>
      <c r="B36" s="76" t="s">
        <v>193</v>
      </c>
      <c r="C36" s="77" t="s">
        <v>194</v>
      </c>
      <c r="D36" s="78"/>
      <c r="E36" s="79"/>
      <c r="F36" s="78"/>
      <c r="G36" s="79"/>
      <c r="H36" s="78"/>
      <c r="I36" s="79"/>
      <c r="J36" s="78"/>
      <c r="K36" s="79">
        <v>385596.57062465977</v>
      </c>
      <c r="L36" s="78"/>
      <c r="M36" s="79"/>
      <c r="N36" s="81">
        <v>0</v>
      </c>
      <c r="O36" s="94">
        <v>385596.57062465977</v>
      </c>
      <c r="P36" s="78"/>
      <c r="Q36" s="79"/>
      <c r="R36" s="81">
        <v>0</v>
      </c>
      <c r="S36" s="94">
        <v>385596.57062465977</v>
      </c>
      <c r="T36" s="96"/>
      <c r="U36" s="96"/>
    </row>
    <row r="37" spans="1:21" s="84" customFormat="1" ht="27" customHeight="1">
      <c r="A37" s="151"/>
      <c r="B37" s="76" t="s">
        <v>195</v>
      </c>
      <c r="C37" s="77" t="s">
        <v>196</v>
      </c>
      <c r="D37" s="92">
        <v>0</v>
      </c>
      <c r="E37" s="93">
        <v>0</v>
      </c>
      <c r="F37" s="92">
        <v>0</v>
      </c>
      <c r="G37" s="93">
        <v>0</v>
      </c>
      <c r="H37" s="92">
        <v>0</v>
      </c>
      <c r="I37" s="93">
        <v>0</v>
      </c>
      <c r="J37" s="92">
        <v>0</v>
      </c>
      <c r="K37" s="93">
        <v>363448.50383773027</v>
      </c>
      <c r="L37" s="92">
        <v>0</v>
      </c>
      <c r="M37" s="93">
        <v>0</v>
      </c>
      <c r="N37" s="81">
        <v>0</v>
      </c>
      <c r="O37" s="94">
        <v>363448.50383773027</v>
      </c>
      <c r="P37" s="92"/>
      <c r="Q37" s="93"/>
      <c r="R37" s="81">
        <v>0</v>
      </c>
      <c r="S37" s="94">
        <v>363448.50383773027</v>
      </c>
      <c r="T37" s="96"/>
      <c r="U37" s="96"/>
    </row>
    <row r="38" spans="1:21" s="84" customFormat="1" ht="27" customHeight="1">
      <c r="A38" s="151"/>
      <c r="B38" s="76" t="s">
        <v>172</v>
      </c>
      <c r="C38" s="77" t="s">
        <v>94</v>
      </c>
      <c r="D38" s="78"/>
      <c r="E38" s="79"/>
      <c r="F38" s="78"/>
      <c r="G38" s="79"/>
      <c r="H38" s="78"/>
      <c r="I38" s="79"/>
      <c r="J38" s="78">
        <v>0</v>
      </c>
      <c r="K38" s="79">
        <v>808815.65083966381</v>
      </c>
      <c r="L38" s="78"/>
      <c r="M38" s="79"/>
      <c r="N38" s="81">
        <v>0</v>
      </c>
      <c r="O38" s="94">
        <v>808815.65083966381</v>
      </c>
      <c r="P38" s="78">
        <v>1255.93</v>
      </c>
      <c r="Q38" s="79">
        <v>3419.05</v>
      </c>
      <c r="R38" s="81">
        <v>3419.05</v>
      </c>
      <c r="S38" s="94">
        <v>810071.58083966386</v>
      </c>
      <c r="T38" s="96"/>
      <c r="U38" s="96"/>
    </row>
    <row r="39" spans="1:21" s="84" customFormat="1" ht="27" customHeight="1">
      <c r="A39" s="151"/>
      <c r="B39" s="76" t="s">
        <v>173</v>
      </c>
      <c r="C39" s="77" t="s">
        <v>174</v>
      </c>
      <c r="D39" s="92"/>
      <c r="E39" s="93"/>
      <c r="F39" s="92"/>
      <c r="G39" s="93"/>
      <c r="H39" s="92"/>
      <c r="I39" s="93"/>
      <c r="J39" s="92">
        <v>0</v>
      </c>
      <c r="K39" s="93">
        <v>723733.20831037697</v>
      </c>
      <c r="L39" s="92"/>
      <c r="M39" s="93"/>
      <c r="N39" s="81">
        <v>0</v>
      </c>
      <c r="O39" s="94">
        <v>723733.20831037697</v>
      </c>
      <c r="P39" s="92">
        <v>1255.93</v>
      </c>
      <c r="Q39" s="93">
        <v>3419.05</v>
      </c>
      <c r="R39" s="81">
        <v>3419.05</v>
      </c>
      <c r="S39" s="94">
        <v>724989.13831037702</v>
      </c>
      <c r="T39" s="96"/>
      <c r="U39" s="96"/>
    </row>
    <row r="40" spans="1:21" s="84" customFormat="1" ht="27" customHeight="1">
      <c r="A40" s="151"/>
      <c r="B40" s="76" t="s">
        <v>175</v>
      </c>
      <c r="C40" s="77" t="s">
        <v>176</v>
      </c>
      <c r="D40" s="78"/>
      <c r="E40" s="79"/>
      <c r="F40" s="78"/>
      <c r="G40" s="79"/>
      <c r="H40" s="78"/>
      <c r="I40" s="79"/>
      <c r="J40" s="78">
        <v>0</v>
      </c>
      <c r="K40" s="79">
        <v>85082.442529286796</v>
      </c>
      <c r="L40" s="78"/>
      <c r="M40" s="79"/>
      <c r="N40" s="81">
        <v>0</v>
      </c>
      <c r="O40" s="94">
        <v>85082.442529286796</v>
      </c>
      <c r="P40" s="78">
        <v>0</v>
      </c>
      <c r="Q40" s="79">
        <v>0</v>
      </c>
      <c r="R40" s="81">
        <v>0</v>
      </c>
      <c r="S40" s="94">
        <v>85082.442529286796</v>
      </c>
      <c r="T40" s="96"/>
      <c r="U40" s="96"/>
    </row>
    <row r="41" spans="1:21" s="84" customFormat="1" ht="27" customHeight="1">
      <c r="A41" s="151"/>
      <c r="B41" s="76" t="s">
        <v>177</v>
      </c>
      <c r="C41" s="77" t="s">
        <v>178</v>
      </c>
      <c r="D41" s="92"/>
      <c r="E41" s="93"/>
      <c r="F41" s="92"/>
      <c r="G41" s="93"/>
      <c r="H41" s="92">
        <v>0</v>
      </c>
      <c r="I41" s="93">
        <v>162060.30822244001</v>
      </c>
      <c r="J41" s="92"/>
      <c r="K41" s="93"/>
      <c r="L41" s="92"/>
      <c r="M41" s="93"/>
      <c r="N41" s="81">
        <v>0</v>
      </c>
      <c r="O41" s="94">
        <v>162060.30822244001</v>
      </c>
      <c r="P41" s="92">
        <v>0</v>
      </c>
      <c r="Q41" s="93">
        <v>0</v>
      </c>
      <c r="R41" s="81">
        <v>0</v>
      </c>
      <c r="S41" s="94">
        <v>162060.30822244001</v>
      </c>
      <c r="T41" s="96"/>
      <c r="U41" s="96"/>
    </row>
    <row r="42" spans="1:21" s="84" customFormat="1" ht="27" customHeight="1">
      <c r="A42" s="151"/>
      <c r="B42" s="76" t="s">
        <v>179</v>
      </c>
      <c r="C42" s="77" t="s">
        <v>180</v>
      </c>
      <c r="D42" s="78"/>
      <c r="E42" s="79"/>
      <c r="F42" s="78"/>
      <c r="G42" s="79"/>
      <c r="H42" s="78">
        <v>0</v>
      </c>
      <c r="I42" s="79">
        <v>93162.344846619992</v>
      </c>
      <c r="J42" s="78"/>
      <c r="K42" s="79"/>
      <c r="L42" s="78"/>
      <c r="M42" s="79"/>
      <c r="N42" s="81">
        <v>0</v>
      </c>
      <c r="O42" s="94">
        <v>93162.344846619992</v>
      </c>
      <c r="P42" s="78">
        <v>0</v>
      </c>
      <c r="Q42" s="79">
        <v>0</v>
      </c>
      <c r="R42" s="81">
        <v>0</v>
      </c>
      <c r="S42" s="94">
        <v>93162.344846619992</v>
      </c>
      <c r="T42" s="96"/>
      <c r="U42" s="96"/>
    </row>
    <row r="43" spans="1:21" s="84" customFormat="1" ht="27" customHeight="1">
      <c r="A43" s="151"/>
      <c r="B43" s="76" t="s">
        <v>181</v>
      </c>
      <c r="C43" s="77" t="s">
        <v>182</v>
      </c>
      <c r="D43" s="92"/>
      <c r="E43" s="93"/>
      <c r="F43" s="92"/>
      <c r="G43" s="93"/>
      <c r="H43" s="92">
        <v>0</v>
      </c>
      <c r="I43" s="93">
        <v>68897.963375820007</v>
      </c>
      <c r="J43" s="92"/>
      <c r="K43" s="93"/>
      <c r="L43" s="92"/>
      <c r="M43" s="93"/>
      <c r="N43" s="81">
        <v>0</v>
      </c>
      <c r="O43" s="94">
        <v>68897.963375820007</v>
      </c>
      <c r="P43" s="92">
        <v>0</v>
      </c>
      <c r="Q43" s="93">
        <v>0</v>
      </c>
      <c r="R43" s="81">
        <v>0</v>
      </c>
      <c r="S43" s="94">
        <v>68897.963375820007</v>
      </c>
      <c r="T43" s="96"/>
      <c r="U43" s="96"/>
    </row>
    <row r="44" spans="1:21" s="84" customFormat="1" ht="27" customHeight="1">
      <c r="A44" s="151"/>
      <c r="B44" s="76" t="s">
        <v>183</v>
      </c>
      <c r="C44" s="77" t="s">
        <v>184</v>
      </c>
      <c r="D44" s="78"/>
      <c r="E44" s="79"/>
      <c r="F44" s="78"/>
      <c r="G44" s="79"/>
      <c r="H44" s="78">
        <v>0</v>
      </c>
      <c r="I44" s="79">
        <v>-11487.107947900002</v>
      </c>
      <c r="J44" s="78"/>
      <c r="K44" s="79"/>
      <c r="L44" s="78"/>
      <c r="M44" s="79"/>
      <c r="N44" s="81">
        <v>0</v>
      </c>
      <c r="O44" s="94">
        <v>-11487.107947900002</v>
      </c>
      <c r="P44" s="78">
        <v>0</v>
      </c>
      <c r="Q44" s="79">
        <v>0</v>
      </c>
      <c r="R44" s="81">
        <v>0</v>
      </c>
      <c r="S44" s="94">
        <v>-11487.107947900002</v>
      </c>
      <c r="T44" s="96"/>
      <c r="U44" s="96"/>
    </row>
    <row r="45" spans="1:21" s="84" customFormat="1" ht="27" customHeight="1">
      <c r="A45" s="151"/>
      <c r="B45" s="76" t="s">
        <v>185</v>
      </c>
      <c r="C45" s="77" t="s">
        <v>186</v>
      </c>
      <c r="D45" s="92"/>
      <c r="E45" s="93"/>
      <c r="F45" s="92"/>
      <c r="G45" s="93"/>
      <c r="H45" s="92">
        <v>0</v>
      </c>
      <c r="I45" s="93">
        <v>-8425.1081640000011</v>
      </c>
      <c r="J45" s="92"/>
      <c r="K45" s="93"/>
      <c r="L45" s="92"/>
      <c r="M45" s="93"/>
      <c r="N45" s="81">
        <v>0</v>
      </c>
      <c r="O45" s="94">
        <v>-8425.1081640000011</v>
      </c>
      <c r="P45" s="92">
        <v>0</v>
      </c>
      <c r="Q45" s="93">
        <v>0</v>
      </c>
      <c r="R45" s="81">
        <v>0</v>
      </c>
      <c r="S45" s="94">
        <v>-8425.1081640000011</v>
      </c>
      <c r="T45" s="96"/>
      <c r="U45" s="96"/>
    </row>
    <row r="46" spans="1:21" s="84" customFormat="1" ht="27" customHeight="1">
      <c r="A46" s="151"/>
      <c r="B46" s="76" t="s">
        <v>187</v>
      </c>
      <c r="C46" s="77" t="s">
        <v>188</v>
      </c>
      <c r="D46" s="78"/>
      <c r="E46" s="79"/>
      <c r="F46" s="78"/>
      <c r="G46" s="79"/>
      <c r="H46" s="78">
        <v>0</v>
      </c>
      <c r="I46" s="79">
        <v>-3061.9997839000002</v>
      </c>
      <c r="J46" s="78"/>
      <c r="K46" s="79"/>
      <c r="L46" s="78"/>
      <c r="M46" s="79"/>
      <c r="N46" s="81">
        <v>0</v>
      </c>
      <c r="O46" s="94">
        <v>-3061.9997839000002</v>
      </c>
      <c r="P46" s="78">
        <v>0</v>
      </c>
      <c r="Q46" s="79">
        <v>0</v>
      </c>
      <c r="R46" s="81">
        <v>0</v>
      </c>
      <c r="S46" s="94">
        <v>-3061.9997839000002</v>
      </c>
      <c r="T46" s="96"/>
      <c r="U46" s="96"/>
    </row>
    <row r="47" spans="1:21" s="84" customFormat="1" ht="27" customHeight="1">
      <c r="A47" s="151"/>
      <c r="B47" s="76" t="s">
        <v>198</v>
      </c>
      <c r="C47" s="77" t="s">
        <v>199</v>
      </c>
      <c r="D47" s="92">
        <v>726048.10985852999</v>
      </c>
      <c r="E47" s="93">
        <v>23149.347891824713</v>
      </c>
      <c r="F47" s="92">
        <v>37389.146999999997</v>
      </c>
      <c r="G47" s="93">
        <v>140440.86901799936</v>
      </c>
      <c r="H47" s="92">
        <v>25399.732104120001</v>
      </c>
      <c r="I47" s="93">
        <v>481869.48276556999</v>
      </c>
      <c r="J47" s="92">
        <v>25007.634936240913</v>
      </c>
      <c r="K47" s="93">
        <v>199418.63897145315</v>
      </c>
      <c r="L47" s="92">
        <v>0</v>
      </c>
      <c r="M47" s="93">
        <v>45</v>
      </c>
      <c r="N47" s="81">
        <v>813844.62389889092</v>
      </c>
      <c r="O47" s="94">
        <v>844923.33864684717</v>
      </c>
      <c r="P47" s="92">
        <v>71737.511374411246</v>
      </c>
      <c r="Q47" s="93">
        <v>40658.796626455209</v>
      </c>
      <c r="R47" s="81">
        <v>854503.42052534618</v>
      </c>
      <c r="S47" s="94">
        <v>916660.85002125846</v>
      </c>
      <c r="T47" s="96"/>
      <c r="U47" s="96"/>
    </row>
    <row r="48" spans="1:21" s="84" customFormat="1" ht="27" customHeight="1">
      <c r="A48" s="151"/>
      <c r="B48" s="76" t="s">
        <v>200</v>
      </c>
      <c r="C48" s="77" t="s">
        <v>201</v>
      </c>
      <c r="D48" s="78">
        <v>45859.705230305022</v>
      </c>
      <c r="E48" s="79">
        <v>14452.673945912349</v>
      </c>
      <c r="F48" s="78">
        <v>17094.134999999998</v>
      </c>
      <c r="G48" s="79">
        <v>76951.762849241393</v>
      </c>
      <c r="H48" s="78">
        <v>15875.58417043</v>
      </c>
      <c r="I48" s="79">
        <v>0</v>
      </c>
      <c r="J48" s="78">
        <v>25007.634936240913</v>
      </c>
      <c r="K48" s="79">
        <v>31144.090916832185</v>
      </c>
      <c r="L48" s="78">
        <v>0</v>
      </c>
      <c r="M48" s="79">
        <v>0</v>
      </c>
      <c r="N48" s="81">
        <v>103837.05933697593</v>
      </c>
      <c r="O48" s="94">
        <v>122548.52771198592</v>
      </c>
      <c r="P48" s="78">
        <v>29815.589</v>
      </c>
      <c r="Q48" s="79">
        <v>11104.120624990001</v>
      </c>
      <c r="R48" s="81">
        <v>114941.17996196593</v>
      </c>
      <c r="S48" s="94">
        <v>152364.11671198593</v>
      </c>
      <c r="T48" s="96"/>
      <c r="U48" s="96"/>
    </row>
    <row r="49" spans="1:21" s="84" customFormat="1" ht="27" customHeight="1">
      <c r="A49" s="151"/>
      <c r="B49" s="76" t="s">
        <v>202</v>
      </c>
      <c r="C49" s="77" t="s">
        <v>203</v>
      </c>
      <c r="D49" s="92">
        <v>462436.43932016497</v>
      </c>
      <c r="E49" s="93">
        <v>8696.6739459123619</v>
      </c>
      <c r="F49" s="92">
        <v>16659.883999999998</v>
      </c>
      <c r="G49" s="93">
        <v>63489.106168757964</v>
      </c>
      <c r="H49" s="92">
        <v>0</v>
      </c>
      <c r="I49" s="93">
        <v>254593.36952382</v>
      </c>
      <c r="J49" s="92">
        <v>0</v>
      </c>
      <c r="K49" s="93">
        <v>164639.42005462098</v>
      </c>
      <c r="L49" s="92">
        <v>0</v>
      </c>
      <c r="M49" s="93">
        <v>45</v>
      </c>
      <c r="N49" s="81">
        <v>479096.32332016499</v>
      </c>
      <c r="O49" s="94">
        <v>491463.56969311135</v>
      </c>
      <c r="P49" s="92">
        <v>41921.922374411246</v>
      </c>
      <c r="Q49" s="93">
        <v>29554.67600146521</v>
      </c>
      <c r="R49" s="81">
        <v>508650.99932163022</v>
      </c>
      <c r="S49" s="94">
        <v>533385.4920675226</v>
      </c>
      <c r="T49" s="96"/>
      <c r="U49" s="96"/>
    </row>
    <row r="50" spans="1:21" s="84" customFormat="1" ht="27" customHeight="1">
      <c r="A50" s="151"/>
      <c r="B50" s="76" t="s">
        <v>204</v>
      </c>
      <c r="C50" s="77" t="s">
        <v>205</v>
      </c>
      <c r="D50" s="78">
        <v>0</v>
      </c>
      <c r="E50" s="79">
        <v>0</v>
      </c>
      <c r="F50" s="78">
        <v>0</v>
      </c>
      <c r="G50" s="79">
        <v>0</v>
      </c>
      <c r="H50" s="78">
        <v>0</v>
      </c>
      <c r="I50" s="79">
        <v>0</v>
      </c>
      <c r="J50" s="78">
        <v>0</v>
      </c>
      <c r="K50" s="79">
        <v>0</v>
      </c>
      <c r="L50" s="78">
        <v>0</v>
      </c>
      <c r="M50" s="79">
        <v>0</v>
      </c>
      <c r="N50" s="81">
        <v>0</v>
      </c>
      <c r="O50" s="94">
        <v>0</v>
      </c>
      <c r="P50" s="78">
        <v>0</v>
      </c>
      <c r="Q50" s="79">
        <v>0</v>
      </c>
      <c r="R50" s="81">
        <v>0</v>
      </c>
      <c r="S50" s="94">
        <v>0</v>
      </c>
      <c r="T50" s="96"/>
      <c r="U50" s="96"/>
    </row>
    <row r="51" spans="1:21" s="84" customFormat="1" ht="27" customHeight="1">
      <c r="A51" s="151"/>
      <c r="B51" s="76" t="s">
        <v>206</v>
      </c>
      <c r="C51" s="77" t="s">
        <v>207</v>
      </c>
      <c r="D51" s="92">
        <v>0</v>
      </c>
      <c r="E51" s="93">
        <v>0</v>
      </c>
      <c r="F51" s="92">
        <v>3635.1280000000002</v>
      </c>
      <c r="G51" s="93">
        <v>0</v>
      </c>
      <c r="H51" s="92">
        <v>0</v>
      </c>
      <c r="I51" s="93">
        <v>0</v>
      </c>
      <c r="J51" s="92">
        <v>0</v>
      </c>
      <c r="K51" s="93">
        <v>3635.1280000000002</v>
      </c>
      <c r="L51" s="92">
        <v>0</v>
      </c>
      <c r="M51" s="93">
        <v>0</v>
      </c>
      <c r="N51" s="81">
        <v>3635.1280000000002</v>
      </c>
      <c r="O51" s="94">
        <v>3635.1280000000002</v>
      </c>
      <c r="P51" s="92">
        <v>0</v>
      </c>
      <c r="Q51" s="93">
        <v>0</v>
      </c>
      <c r="R51" s="81">
        <v>3635.1280000000002</v>
      </c>
      <c r="S51" s="94">
        <v>3635.1280000000002</v>
      </c>
      <c r="T51" s="96"/>
      <c r="U51" s="96"/>
    </row>
    <row r="52" spans="1:21" s="84" customFormat="1" ht="27" customHeight="1">
      <c r="A52" s="151"/>
      <c r="B52" s="76" t="s">
        <v>208</v>
      </c>
      <c r="C52" s="77" t="s">
        <v>209</v>
      </c>
      <c r="D52" s="78">
        <v>217751.96530806</v>
      </c>
      <c r="E52" s="79">
        <v>0</v>
      </c>
      <c r="F52" s="78">
        <v>0</v>
      </c>
      <c r="G52" s="79">
        <v>0</v>
      </c>
      <c r="H52" s="78">
        <v>9524.1479336900011</v>
      </c>
      <c r="I52" s="79">
        <v>227276.11324174999</v>
      </c>
      <c r="J52" s="78">
        <v>0</v>
      </c>
      <c r="K52" s="79">
        <v>0</v>
      </c>
      <c r="L52" s="78">
        <v>0</v>
      </c>
      <c r="M52" s="79">
        <v>0</v>
      </c>
      <c r="N52" s="81">
        <v>227276.11324174999</v>
      </c>
      <c r="O52" s="94">
        <v>227276.11324174999</v>
      </c>
      <c r="P52" s="78">
        <v>0</v>
      </c>
      <c r="Q52" s="79">
        <v>0</v>
      </c>
      <c r="R52" s="81">
        <v>227276.11324174999</v>
      </c>
      <c r="S52" s="94">
        <v>227276.11324174999</v>
      </c>
      <c r="T52" s="96"/>
      <c r="U52" s="96"/>
    </row>
    <row r="53" spans="1:21" s="84" customFormat="1" ht="27" customHeight="1">
      <c r="A53" s="151"/>
      <c r="B53" s="76" t="s">
        <v>210</v>
      </c>
      <c r="C53" s="77" t="s">
        <v>211</v>
      </c>
      <c r="D53" s="92">
        <v>975761.66898907709</v>
      </c>
      <c r="E53" s="93">
        <v>0</v>
      </c>
      <c r="F53" s="92">
        <v>178398.17673926527</v>
      </c>
      <c r="G53" s="93">
        <v>0</v>
      </c>
      <c r="H53" s="92">
        <v>680250.74124810635</v>
      </c>
      <c r="I53" s="93">
        <v>0</v>
      </c>
      <c r="J53" s="92">
        <v>1368823.2254995359</v>
      </c>
      <c r="K53" s="93">
        <v>0</v>
      </c>
      <c r="L53" s="92">
        <v>371</v>
      </c>
      <c r="M53" s="93">
        <v>0</v>
      </c>
      <c r="N53" s="81">
        <v>3203604.8124759849</v>
      </c>
      <c r="O53" s="94">
        <v>0</v>
      </c>
      <c r="P53" s="92">
        <v>0</v>
      </c>
      <c r="Q53" s="93">
        <v>0</v>
      </c>
      <c r="R53" s="81">
        <v>3203604.8124759849</v>
      </c>
      <c r="S53" s="94">
        <v>0</v>
      </c>
      <c r="T53" s="96"/>
      <c r="U53" s="96"/>
    </row>
    <row r="54" spans="1:21" s="84" customFormat="1" ht="27" customHeight="1">
      <c r="A54" s="152"/>
      <c r="B54" s="102" t="s">
        <v>212</v>
      </c>
      <c r="C54" s="103" t="s">
        <v>213</v>
      </c>
      <c r="D54" s="104">
        <v>793537.4981939015</v>
      </c>
      <c r="E54" s="105">
        <v>0</v>
      </c>
      <c r="F54" s="104">
        <v>175631.90973926528</v>
      </c>
      <c r="G54" s="105">
        <v>0</v>
      </c>
      <c r="H54" s="104">
        <v>607042.95093598997</v>
      </c>
      <c r="I54" s="105">
        <v>0</v>
      </c>
      <c r="J54" s="104">
        <v>1346675.1587126064</v>
      </c>
      <c r="K54" s="105">
        <v>0</v>
      </c>
      <c r="L54" s="104">
        <v>45</v>
      </c>
      <c r="M54" s="105">
        <v>0</v>
      </c>
      <c r="N54" s="114">
        <v>2922932.5175817632</v>
      </c>
      <c r="O54" s="107">
        <v>0</v>
      </c>
      <c r="P54" s="104">
        <v>0</v>
      </c>
      <c r="Q54" s="105">
        <v>0</v>
      </c>
      <c r="R54" s="114">
        <v>2922932.5175817632</v>
      </c>
      <c r="S54" s="107">
        <v>0</v>
      </c>
      <c r="T54" s="96"/>
      <c r="U54" s="96"/>
    </row>
    <row r="55" spans="1:21" s="84" customFormat="1" ht="27" customHeight="1">
      <c r="A55" s="150" t="s">
        <v>214</v>
      </c>
      <c r="B55" s="108" t="s">
        <v>210</v>
      </c>
      <c r="C55" s="109" t="s">
        <v>211</v>
      </c>
      <c r="D55" s="110">
        <v>0</v>
      </c>
      <c r="E55" s="111">
        <v>975761.66898907709</v>
      </c>
      <c r="F55" s="110">
        <v>0</v>
      </c>
      <c r="G55" s="111">
        <v>178398.17673926527</v>
      </c>
      <c r="H55" s="110">
        <v>0</v>
      </c>
      <c r="I55" s="111">
        <v>680250.74124810635</v>
      </c>
      <c r="J55" s="110">
        <v>0</v>
      </c>
      <c r="K55" s="111">
        <v>1368823.2254995359</v>
      </c>
      <c r="L55" s="110">
        <v>0</v>
      </c>
      <c r="M55" s="111">
        <v>371</v>
      </c>
      <c r="N55" s="112">
        <v>0</v>
      </c>
      <c r="O55" s="112">
        <v>3203604.8124759849</v>
      </c>
      <c r="P55" s="110"/>
      <c r="Q55" s="111"/>
      <c r="R55" s="112">
        <v>0</v>
      </c>
      <c r="S55" s="112">
        <v>3203604.8124759849</v>
      </c>
      <c r="T55" s="96"/>
      <c r="U55" s="96"/>
    </row>
    <row r="56" spans="1:21" s="84" customFormat="1" ht="27" customHeight="1">
      <c r="A56" s="151"/>
      <c r="B56" s="76" t="s">
        <v>212</v>
      </c>
      <c r="C56" s="77" t="s">
        <v>213</v>
      </c>
      <c r="D56" s="78">
        <v>0</v>
      </c>
      <c r="E56" s="79">
        <v>793537.4981939015</v>
      </c>
      <c r="F56" s="78">
        <v>0</v>
      </c>
      <c r="G56" s="79">
        <v>175631.90973926528</v>
      </c>
      <c r="H56" s="78">
        <v>0</v>
      </c>
      <c r="I56" s="79">
        <v>607042.95093598997</v>
      </c>
      <c r="J56" s="78">
        <v>0</v>
      </c>
      <c r="K56" s="79">
        <v>1346675.1587126064</v>
      </c>
      <c r="L56" s="78">
        <v>0</v>
      </c>
      <c r="M56" s="79">
        <v>45</v>
      </c>
      <c r="N56" s="81">
        <v>0</v>
      </c>
      <c r="O56" s="94">
        <v>2922932.5175817632</v>
      </c>
      <c r="P56" s="78"/>
      <c r="Q56" s="79"/>
      <c r="R56" s="81">
        <v>0</v>
      </c>
      <c r="S56" s="94">
        <v>2922932.5175817632</v>
      </c>
      <c r="T56" s="96"/>
      <c r="U56" s="96"/>
    </row>
    <row r="57" spans="1:21" s="84" customFormat="1" ht="27" customHeight="1">
      <c r="A57" s="151"/>
      <c r="B57" s="76" t="s">
        <v>215</v>
      </c>
      <c r="C57" s="77" t="s">
        <v>216</v>
      </c>
      <c r="D57" s="92">
        <v>408556.20751352748</v>
      </c>
      <c r="E57" s="93">
        <v>0</v>
      </c>
      <c r="F57" s="92">
        <v>3542.1289999999999</v>
      </c>
      <c r="G57" s="93">
        <v>0</v>
      </c>
      <c r="H57" s="92">
        <v>0</v>
      </c>
      <c r="I57" s="93">
        <v>412098.33651352755</v>
      </c>
      <c r="J57" s="92">
        <v>0</v>
      </c>
      <c r="K57" s="93">
        <v>0</v>
      </c>
      <c r="L57" s="92">
        <v>0</v>
      </c>
      <c r="M57" s="93">
        <v>0</v>
      </c>
      <c r="N57" s="81">
        <v>412098.33651352749</v>
      </c>
      <c r="O57" s="81">
        <v>412098.33651352755</v>
      </c>
      <c r="P57" s="92"/>
      <c r="Q57" s="93"/>
      <c r="R57" s="81">
        <v>412098.33651352749</v>
      </c>
      <c r="S57" s="81">
        <v>412098.33651352755</v>
      </c>
      <c r="T57" s="96"/>
      <c r="U57" s="96"/>
    </row>
    <row r="58" spans="1:21" s="84" customFormat="1" ht="27" customHeight="1">
      <c r="A58" s="151"/>
      <c r="B58" s="76" t="s">
        <v>217</v>
      </c>
      <c r="C58" s="77" t="s">
        <v>218</v>
      </c>
      <c r="D58" s="78">
        <v>385717.56904214749</v>
      </c>
      <c r="E58" s="79">
        <v>0</v>
      </c>
      <c r="F58" s="78">
        <v>3542.1289999999999</v>
      </c>
      <c r="G58" s="79">
        <v>0</v>
      </c>
      <c r="H58" s="78">
        <v>0</v>
      </c>
      <c r="I58" s="79">
        <v>389259.69804214756</v>
      </c>
      <c r="J58" s="78">
        <v>0</v>
      </c>
      <c r="K58" s="79">
        <v>0</v>
      </c>
      <c r="L58" s="78">
        <v>0</v>
      </c>
      <c r="M58" s="79">
        <v>0</v>
      </c>
      <c r="N58" s="81">
        <v>389259.6980421475</v>
      </c>
      <c r="O58" s="94">
        <v>389259.69804214756</v>
      </c>
      <c r="P58" s="78"/>
      <c r="Q58" s="79"/>
      <c r="R58" s="81">
        <v>389259.6980421475</v>
      </c>
      <c r="S58" s="94">
        <v>389259.69804214756</v>
      </c>
      <c r="T58" s="96"/>
      <c r="U58" s="96"/>
    </row>
    <row r="59" spans="1:21" s="84" customFormat="1" ht="27" customHeight="1">
      <c r="A59" s="151"/>
      <c r="B59" s="76" t="s">
        <v>219</v>
      </c>
      <c r="C59" s="77" t="s">
        <v>220</v>
      </c>
      <c r="D59" s="92">
        <v>22838.63847138</v>
      </c>
      <c r="E59" s="93">
        <v>0</v>
      </c>
      <c r="F59" s="92">
        <v>0</v>
      </c>
      <c r="G59" s="93">
        <v>0</v>
      </c>
      <c r="H59" s="92">
        <v>0</v>
      </c>
      <c r="I59" s="93">
        <v>22838.638471380003</v>
      </c>
      <c r="J59" s="92">
        <v>0</v>
      </c>
      <c r="K59" s="93">
        <v>0</v>
      </c>
      <c r="L59" s="92">
        <v>0</v>
      </c>
      <c r="M59" s="93">
        <v>0</v>
      </c>
      <c r="N59" s="81">
        <v>22838.63847138</v>
      </c>
      <c r="O59" s="81">
        <v>22838.638471380003</v>
      </c>
      <c r="P59" s="92"/>
      <c r="Q59" s="93"/>
      <c r="R59" s="81">
        <v>22838.63847138</v>
      </c>
      <c r="S59" s="81">
        <v>22838.638471380003</v>
      </c>
      <c r="T59" s="96"/>
      <c r="U59" s="96"/>
    </row>
    <row r="60" spans="1:21" s="84" customFormat="1" ht="27" customHeight="1">
      <c r="A60" s="151"/>
      <c r="B60" s="76" t="s">
        <v>221</v>
      </c>
      <c r="C60" s="77" t="s">
        <v>222</v>
      </c>
      <c r="D60" s="78">
        <v>0</v>
      </c>
      <c r="E60" s="79">
        <v>0</v>
      </c>
      <c r="F60" s="78">
        <v>0</v>
      </c>
      <c r="G60" s="79">
        <v>93877.394948288638</v>
      </c>
      <c r="H60" s="78">
        <v>0</v>
      </c>
      <c r="I60" s="79">
        <v>0</v>
      </c>
      <c r="J60" s="78">
        <v>93877.394948288638</v>
      </c>
      <c r="K60" s="79">
        <v>0</v>
      </c>
      <c r="L60" s="78">
        <v>0</v>
      </c>
      <c r="M60" s="79">
        <v>0</v>
      </c>
      <c r="N60" s="81">
        <v>93877.394948288638</v>
      </c>
      <c r="O60" s="94">
        <v>93877.394948288638</v>
      </c>
      <c r="P60" s="78"/>
      <c r="Q60" s="79"/>
      <c r="R60" s="81">
        <v>93877.394948288638</v>
      </c>
      <c r="S60" s="94">
        <v>93877.394948288638</v>
      </c>
      <c r="T60" s="96"/>
      <c r="U60" s="96"/>
    </row>
    <row r="61" spans="1:21" s="84" customFormat="1" ht="27" customHeight="1">
      <c r="A61" s="151"/>
      <c r="B61" s="115" t="s">
        <v>223</v>
      </c>
      <c r="C61" s="77" t="s">
        <v>224</v>
      </c>
      <c r="D61" s="92">
        <v>0</v>
      </c>
      <c r="E61" s="93">
        <v>0</v>
      </c>
      <c r="F61" s="92">
        <v>75101.915958630911</v>
      </c>
      <c r="G61" s="93">
        <v>0</v>
      </c>
      <c r="H61" s="92">
        <v>69565.366903319984</v>
      </c>
      <c r="I61" s="93">
        <v>0</v>
      </c>
      <c r="J61" s="92">
        <v>0</v>
      </c>
      <c r="K61" s="93">
        <v>144667.28286195089</v>
      </c>
      <c r="L61" s="92">
        <v>0</v>
      </c>
      <c r="M61" s="93">
        <v>0</v>
      </c>
      <c r="N61" s="81">
        <v>144667.28286195089</v>
      </c>
      <c r="O61" s="81">
        <v>144667.28286195089</v>
      </c>
      <c r="P61" s="92"/>
      <c r="Q61" s="93"/>
      <c r="R61" s="81">
        <v>144667.28286195089</v>
      </c>
      <c r="S61" s="81">
        <v>144667.28286195089</v>
      </c>
      <c r="T61" s="96"/>
      <c r="U61" s="96"/>
    </row>
    <row r="62" spans="1:21" s="84" customFormat="1" ht="27" customHeight="1" thickBot="1">
      <c r="A62" s="151"/>
      <c r="B62" s="116" t="s">
        <v>225</v>
      </c>
      <c r="C62" s="77" t="s">
        <v>226</v>
      </c>
      <c r="D62" s="78">
        <v>39383.108837379972</v>
      </c>
      <c r="E62" s="79">
        <v>1095.3620000000001</v>
      </c>
      <c r="F62" s="78">
        <v>23401.927360240021</v>
      </c>
      <c r="G62" s="79">
        <v>17776</v>
      </c>
      <c r="H62" s="78">
        <v>113671.17523985999</v>
      </c>
      <c r="I62" s="79">
        <v>79475.672610859998</v>
      </c>
      <c r="J62" s="78">
        <v>146869.45231808</v>
      </c>
      <c r="K62" s="79">
        <v>65609.264911650011</v>
      </c>
      <c r="L62" s="78">
        <v>2396</v>
      </c>
      <c r="M62" s="79">
        <v>7767</v>
      </c>
      <c r="N62" s="81">
        <v>325721.66375556</v>
      </c>
      <c r="O62" s="94">
        <v>171723.29952251</v>
      </c>
      <c r="P62" s="78">
        <v>0</v>
      </c>
      <c r="Q62" s="79">
        <v>153998.36423305</v>
      </c>
      <c r="R62" s="81">
        <v>479720.02798860997</v>
      </c>
      <c r="S62" s="94">
        <v>171723.29952251</v>
      </c>
      <c r="T62" s="96"/>
      <c r="U62" s="96"/>
    </row>
    <row r="63" spans="1:21" s="84" customFormat="1" ht="27" customHeight="1">
      <c r="A63" s="151"/>
      <c r="B63" s="115" t="s">
        <v>227</v>
      </c>
      <c r="C63" s="77" t="s">
        <v>228</v>
      </c>
      <c r="D63" s="92">
        <v>0</v>
      </c>
      <c r="E63" s="93">
        <v>0</v>
      </c>
      <c r="F63" s="92">
        <v>0</v>
      </c>
      <c r="G63" s="93">
        <v>17776</v>
      </c>
      <c r="H63" s="92">
        <v>176.09151545999998</v>
      </c>
      <c r="I63" s="93">
        <v>0</v>
      </c>
      <c r="J63" s="92">
        <v>16808.908484539999</v>
      </c>
      <c r="K63" s="93">
        <v>0</v>
      </c>
      <c r="L63" s="92">
        <v>791</v>
      </c>
      <c r="M63" s="93">
        <v>0</v>
      </c>
      <c r="N63" s="81">
        <v>17776</v>
      </c>
      <c r="O63" s="81">
        <v>17776</v>
      </c>
      <c r="P63" s="92">
        <v>0</v>
      </c>
      <c r="Q63" s="93">
        <v>0</v>
      </c>
      <c r="R63" s="81">
        <v>17776</v>
      </c>
      <c r="S63" s="81">
        <v>17776</v>
      </c>
      <c r="T63" s="96"/>
      <c r="U63" s="96"/>
    </row>
    <row r="64" spans="1:21" s="84" customFormat="1" ht="27" customHeight="1">
      <c r="A64" s="151"/>
      <c r="B64" s="115" t="s">
        <v>229</v>
      </c>
      <c r="C64" s="77" t="s">
        <v>230</v>
      </c>
      <c r="D64" s="78">
        <v>0</v>
      </c>
      <c r="E64" s="79">
        <v>0</v>
      </c>
      <c r="F64" s="78">
        <v>18340</v>
      </c>
      <c r="G64" s="79">
        <v>0</v>
      </c>
      <c r="H64" s="78">
        <v>0</v>
      </c>
      <c r="I64" s="79">
        <v>291.86492312000001</v>
      </c>
      <c r="J64" s="78">
        <v>0</v>
      </c>
      <c r="K64" s="79">
        <v>17212.13507688</v>
      </c>
      <c r="L64" s="78">
        <v>0</v>
      </c>
      <c r="M64" s="79">
        <v>836</v>
      </c>
      <c r="N64" s="81">
        <v>18340</v>
      </c>
      <c r="O64" s="94">
        <v>18340</v>
      </c>
      <c r="P64" s="78">
        <v>0</v>
      </c>
      <c r="Q64" s="79">
        <v>0</v>
      </c>
      <c r="R64" s="81">
        <v>18340</v>
      </c>
      <c r="S64" s="94">
        <v>18340</v>
      </c>
      <c r="T64" s="96"/>
      <c r="U64" s="96"/>
    </row>
    <row r="65" spans="1:21" s="84" customFormat="1" ht="27" customHeight="1">
      <c r="A65" s="151"/>
      <c r="B65" s="115" t="s">
        <v>231</v>
      </c>
      <c r="C65" s="77" t="s">
        <v>232</v>
      </c>
      <c r="D65" s="92">
        <v>0</v>
      </c>
      <c r="E65" s="93">
        <v>0</v>
      </c>
      <c r="F65" s="92">
        <v>0</v>
      </c>
      <c r="G65" s="93">
        <v>0</v>
      </c>
      <c r="H65" s="92">
        <v>3468.0726397600001</v>
      </c>
      <c r="I65" s="93">
        <v>3468.0726397600001</v>
      </c>
      <c r="J65" s="92">
        <v>0</v>
      </c>
      <c r="K65" s="93">
        <v>0</v>
      </c>
      <c r="L65" s="92">
        <v>0</v>
      </c>
      <c r="M65" s="93">
        <v>0</v>
      </c>
      <c r="N65" s="81">
        <v>3468.0726397600001</v>
      </c>
      <c r="O65" s="81">
        <v>3468.0726397600001</v>
      </c>
      <c r="P65" s="92">
        <v>0</v>
      </c>
      <c r="Q65" s="93">
        <v>0</v>
      </c>
      <c r="R65" s="81">
        <v>3468.0726397600001</v>
      </c>
      <c r="S65" s="81">
        <v>3468.0726397600001</v>
      </c>
      <c r="T65" s="96"/>
      <c r="U65" s="96"/>
    </row>
    <row r="66" spans="1:21" s="84" customFormat="1" ht="27" customHeight="1">
      <c r="A66" s="151"/>
      <c r="B66" s="115" t="s">
        <v>233</v>
      </c>
      <c r="C66" s="77" t="s">
        <v>234</v>
      </c>
      <c r="D66" s="78">
        <v>0</v>
      </c>
      <c r="E66" s="79">
        <v>0</v>
      </c>
      <c r="F66" s="78">
        <v>0</v>
      </c>
      <c r="G66" s="79">
        <v>0</v>
      </c>
      <c r="H66" s="78">
        <v>6909.0300665500008</v>
      </c>
      <c r="I66" s="79">
        <v>0</v>
      </c>
      <c r="J66" s="78">
        <v>0</v>
      </c>
      <c r="K66" s="79">
        <v>0</v>
      </c>
      <c r="L66" s="78">
        <v>0</v>
      </c>
      <c r="M66" s="79">
        <v>0</v>
      </c>
      <c r="N66" s="81">
        <v>6909.0300665500008</v>
      </c>
      <c r="O66" s="94">
        <v>0</v>
      </c>
      <c r="P66" s="78">
        <v>0</v>
      </c>
      <c r="Q66" s="79">
        <v>6909.0300665499999</v>
      </c>
      <c r="R66" s="81">
        <v>13818.0601331</v>
      </c>
      <c r="S66" s="94">
        <v>0</v>
      </c>
      <c r="T66" s="96"/>
      <c r="U66" s="96"/>
    </row>
    <row r="67" spans="1:21" s="84" customFormat="1" ht="27" customHeight="1">
      <c r="A67" s="151"/>
      <c r="B67" s="115" t="s">
        <v>235</v>
      </c>
      <c r="C67" s="77" t="s">
        <v>236</v>
      </c>
      <c r="D67" s="92">
        <v>39383.108837379972</v>
      </c>
      <c r="E67" s="93">
        <v>1095.3620000000001</v>
      </c>
      <c r="F67" s="92">
        <v>5061.9273602400208</v>
      </c>
      <c r="G67" s="93">
        <v>0</v>
      </c>
      <c r="H67" s="92">
        <v>103117.98101808999</v>
      </c>
      <c r="I67" s="93">
        <v>75715.735047979993</v>
      </c>
      <c r="J67" s="92">
        <v>130060.54383354001</v>
      </c>
      <c r="K67" s="93">
        <v>48397.129834770007</v>
      </c>
      <c r="L67" s="92">
        <v>1605</v>
      </c>
      <c r="M67" s="93">
        <v>6931</v>
      </c>
      <c r="N67" s="81">
        <v>279228.56104925001</v>
      </c>
      <c r="O67" s="81">
        <v>132139.22688274999</v>
      </c>
      <c r="P67" s="92">
        <v>0</v>
      </c>
      <c r="Q67" s="93">
        <v>147089.33416649999</v>
      </c>
      <c r="R67" s="81">
        <v>426317.89521574997</v>
      </c>
      <c r="S67" s="81">
        <v>132139.22688274999</v>
      </c>
      <c r="T67" s="96"/>
      <c r="U67" s="96"/>
    </row>
    <row r="68" spans="1:21" s="84" customFormat="1" ht="27" customHeight="1">
      <c r="A68" s="151"/>
      <c r="B68" s="115" t="s">
        <v>237</v>
      </c>
      <c r="C68" s="77" t="s">
        <v>238</v>
      </c>
      <c r="D68" s="78">
        <v>528917.71463816962</v>
      </c>
      <c r="E68" s="79">
        <v>0</v>
      </c>
      <c r="F68" s="78">
        <v>188005.59936868298</v>
      </c>
      <c r="G68" s="79">
        <v>0</v>
      </c>
      <c r="H68" s="78">
        <v>988588.20822931384</v>
      </c>
      <c r="I68" s="79">
        <v>0</v>
      </c>
      <c r="J68" s="78">
        <v>1338352.9260067681</v>
      </c>
      <c r="K68" s="79">
        <v>0</v>
      </c>
      <c r="L68" s="78">
        <v>5742</v>
      </c>
      <c r="M68" s="79">
        <v>0</v>
      </c>
      <c r="N68" s="81">
        <v>3049606.4482429344</v>
      </c>
      <c r="O68" s="94">
        <v>0</v>
      </c>
      <c r="P68" s="78">
        <v>0</v>
      </c>
      <c r="Q68" s="79">
        <v>0</v>
      </c>
      <c r="R68" s="81">
        <v>3049606.4482429344</v>
      </c>
      <c r="S68" s="94">
        <v>0</v>
      </c>
      <c r="T68" s="96"/>
      <c r="U68" s="96"/>
    </row>
    <row r="69" spans="1:21" s="84" customFormat="1" ht="27" customHeight="1">
      <c r="A69" s="152"/>
      <c r="B69" s="117" t="s">
        <v>239</v>
      </c>
      <c r="C69" s="103" t="s">
        <v>240</v>
      </c>
      <c r="D69" s="118">
        <v>346693.54384299397</v>
      </c>
      <c r="E69" s="119">
        <v>0</v>
      </c>
      <c r="F69" s="118">
        <v>185239.33236868298</v>
      </c>
      <c r="G69" s="119">
        <v>0</v>
      </c>
      <c r="H69" s="118">
        <v>915380.41791719745</v>
      </c>
      <c r="I69" s="119">
        <v>0</v>
      </c>
      <c r="J69" s="118">
        <v>1316204.8592198386</v>
      </c>
      <c r="K69" s="119">
        <v>0</v>
      </c>
      <c r="L69" s="118">
        <v>5416</v>
      </c>
      <c r="M69" s="119">
        <v>0</v>
      </c>
      <c r="N69" s="114">
        <v>2768934.1533487132</v>
      </c>
      <c r="O69" s="114">
        <v>0</v>
      </c>
      <c r="P69" s="118"/>
      <c r="Q69" s="119"/>
      <c r="R69" s="114">
        <v>2768934.1533487132</v>
      </c>
      <c r="S69" s="114">
        <v>0</v>
      </c>
      <c r="T69" s="96"/>
      <c r="U69" s="96"/>
    </row>
    <row r="70" spans="1:21" s="84" customFormat="1" ht="27" customHeight="1">
      <c r="A70" s="150" t="s">
        <v>241</v>
      </c>
      <c r="B70" s="108" t="s">
        <v>237</v>
      </c>
      <c r="C70" s="109" t="s">
        <v>238</v>
      </c>
      <c r="D70" s="120">
        <v>0</v>
      </c>
      <c r="E70" s="121">
        <v>528917.71463816962</v>
      </c>
      <c r="F70" s="120">
        <v>0</v>
      </c>
      <c r="G70" s="121">
        <v>188005.59936868298</v>
      </c>
      <c r="H70" s="120">
        <v>0</v>
      </c>
      <c r="I70" s="121">
        <v>988588.20822931384</v>
      </c>
      <c r="J70" s="120">
        <v>0</v>
      </c>
      <c r="K70" s="121">
        <v>1338352.9260067681</v>
      </c>
      <c r="L70" s="120">
        <v>0</v>
      </c>
      <c r="M70" s="121">
        <v>5742</v>
      </c>
      <c r="N70" s="112">
        <v>0</v>
      </c>
      <c r="O70" s="112">
        <v>3049606.4482429344</v>
      </c>
      <c r="P70" s="120"/>
      <c r="Q70" s="121"/>
      <c r="R70" s="112">
        <v>0</v>
      </c>
      <c r="S70" s="112">
        <v>3049606.4482429344</v>
      </c>
      <c r="T70" s="96"/>
      <c r="U70" s="96"/>
    </row>
    <row r="71" spans="1:21" s="84" customFormat="1" ht="27" customHeight="1">
      <c r="A71" s="151"/>
      <c r="B71" s="76" t="s">
        <v>239</v>
      </c>
      <c r="C71" s="77" t="s">
        <v>240</v>
      </c>
      <c r="D71" s="92">
        <v>0</v>
      </c>
      <c r="E71" s="93">
        <v>346693.54384299397</v>
      </c>
      <c r="F71" s="92">
        <v>0</v>
      </c>
      <c r="G71" s="93">
        <v>185239.33236868298</v>
      </c>
      <c r="H71" s="92">
        <v>0</v>
      </c>
      <c r="I71" s="93">
        <v>915380.41791719745</v>
      </c>
      <c r="J71" s="92">
        <v>0</v>
      </c>
      <c r="K71" s="93">
        <v>1316204.8592198386</v>
      </c>
      <c r="L71" s="92">
        <v>0</v>
      </c>
      <c r="M71" s="93">
        <v>5416</v>
      </c>
      <c r="N71" s="81">
        <v>0</v>
      </c>
      <c r="O71" s="81">
        <v>2768934.1533487132</v>
      </c>
      <c r="P71" s="92"/>
      <c r="Q71" s="93"/>
      <c r="R71" s="81">
        <v>0</v>
      </c>
      <c r="S71" s="81">
        <v>2768934.1533487132</v>
      </c>
      <c r="T71" s="96"/>
      <c r="U71" s="96"/>
    </row>
    <row r="72" spans="1:21" s="84" customFormat="1" ht="27" customHeight="1">
      <c r="A72" s="151"/>
      <c r="B72" s="76" t="s">
        <v>242</v>
      </c>
      <c r="C72" s="77" t="s">
        <v>243</v>
      </c>
      <c r="D72" s="78">
        <v>0</v>
      </c>
      <c r="E72" s="79">
        <v>0</v>
      </c>
      <c r="F72" s="78"/>
      <c r="G72" s="79">
        <v>0</v>
      </c>
      <c r="H72" s="78">
        <v>320767.10353975138</v>
      </c>
      <c r="I72" s="79">
        <v>0</v>
      </c>
      <c r="J72" s="78">
        <v>0</v>
      </c>
      <c r="K72" s="79">
        <v>325803.81396558532</v>
      </c>
      <c r="L72" s="78">
        <v>5036.7104258339095</v>
      </c>
      <c r="M72" s="79">
        <v>0</v>
      </c>
      <c r="N72" s="81">
        <v>325803.81396558532</v>
      </c>
      <c r="O72" s="81">
        <v>325803.81396558532</v>
      </c>
      <c r="P72" s="78"/>
      <c r="Q72" s="79"/>
      <c r="R72" s="81">
        <v>325803.81396558532</v>
      </c>
      <c r="S72" s="81">
        <v>325803.81396558532</v>
      </c>
      <c r="T72" s="96"/>
      <c r="U72" s="96"/>
    </row>
    <row r="73" spans="1:21" s="84" customFormat="1" ht="27" customHeight="1">
      <c r="A73" s="151"/>
      <c r="B73" s="76" t="s">
        <v>244</v>
      </c>
      <c r="C73" s="77" t="s">
        <v>245</v>
      </c>
      <c r="D73" s="92">
        <v>528917.71463816962</v>
      </c>
      <c r="E73" s="93">
        <v>0</v>
      </c>
      <c r="F73" s="92">
        <v>188005.59936868298</v>
      </c>
      <c r="G73" s="93">
        <v>0</v>
      </c>
      <c r="H73" s="92">
        <v>667821.10468956246</v>
      </c>
      <c r="I73" s="93">
        <v>0</v>
      </c>
      <c r="J73" s="92">
        <v>1664156.7399723534</v>
      </c>
      <c r="K73" s="93">
        <v>0</v>
      </c>
      <c r="L73" s="92">
        <v>705.28957416609046</v>
      </c>
      <c r="M73" s="93">
        <v>0</v>
      </c>
      <c r="N73" s="81">
        <v>3049606.4482429349</v>
      </c>
      <c r="O73" s="81">
        <v>0</v>
      </c>
      <c r="P73" s="92"/>
      <c r="Q73" s="93"/>
      <c r="R73" s="81">
        <v>3049606.4482429349</v>
      </c>
      <c r="S73" s="97">
        <v>0</v>
      </c>
      <c r="T73" s="96"/>
      <c r="U73" s="96"/>
    </row>
    <row r="74" spans="1:21" s="84" customFormat="1" ht="27" customHeight="1">
      <c r="A74" s="152"/>
      <c r="B74" s="102" t="s">
        <v>246</v>
      </c>
      <c r="C74" s="103" t="s">
        <v>247</v>
      </c>
      <c r="D74" s="104">
        <v>346693.54384299397</v>
      </c>
      <c r="E74" s="105">
        <v>0</v>
      </c>
      <c r="F74" s="104">
        <v>185239.33236868298</v>
      </c>
      <c r="G74" s="105">
        <v>0</v>
      </c>
      <c r="H74" s="104">
        <v>594613.31437744608</v>
      </c>
      <c r="I74" s="105">
        <v>0</v>
      </c>
      <c r="J74" s="104">
        <v>1642008.6731854239</v>
      </c>
      <c r="K74" s="105">
        <v>0</v>
      </c>
      <c r="L74" s="104">
        <v>379.28957416609046</v>
      </c>
      <c r="M74" s="105">
        <v>0</v>
      </c>
      <c r="N74" s="114">
        <v>2768934.1533487132</v>
      </c>
      <c r="O74" s="114">
        <v>0</v>
      </c>
      <c r="P74" s="104"/>
      <c r="Q74" s="105"/>
      <c r="R74" s="114">
        <v>2768934.1533487132</v>
      </c>
      <c r="S74" s="114">
        <v>0</v>
      </c>
      <c r="T74" s="96"/>
      <c r="U74" s="96"/>
    </row>
    <row r="75" spans="1:21" s="84" customFormat="1" ht="27" customHeight="1">
      <c r="A75" s="150" t="s">
        <v>248</v>
      </c>
      <c r="B75" s="108" t="s">
        <v>237</v>
      </c>
      <c r="C75" s="109" t="s">
        <v>238</v>
      </c>
      <c r="D75" s="110">
        <v>0</v>
      </c>
      <c r="E75" s="111">
        <v>528917.71463816962</v>
      </c>
      <c r="F75" s="110">
        <v>0</v>
      </c>
      <c r="G75" s="111">
        <v>188005.59936868298</v>
      </c>
      <c r="H75" s="110">
        <v>0</v>
      </c>
      <c r="I75" s="111">
        <v>988588.20822931384</v>
      </c>
      <c r="J75" s="110">
        <v>0</v>
      </c>
      <c r="K75" s="111">
        <v>1338352.9260067681</v>
      </c>
      <c r="L75" s="110">
        <v>0</v>
      </c>
      <c r="M75" s="111">
        <v>5742</v>
      </c>
      <c r="N75" s="112">
        <v>0</v>
      </c>
      <c r="O75" s="112">
        <v>3049606.4482429344</v>
      </c>
      <c r="P75" s="110"/>
      <c r="Q75" s="111"/>
      <c r="R75" s="112">
        <v>0</v>
      </c>
      <c r="S75" s="112">
        <v>3049606.4482429344</v>
      </c>
      <c r="T75" s="96"/>
      <c r="U75" s="96"/>
    </row>
    <row r="76" spans="1:21" s="84" customFormat="1" ht="27" customHeight="1">
      <c r="A76" s="151"/>
      <c r="B76" s="76" t="s">
        <v>239</v>
      </c>
      <c r="C76" s="77" t="s">
        <v>240</v>
      </c>
      <c r="D76" s="78">
        <v>0</v>
      </c>
      <c r="E76" s="79">
        <v>346693.54384299397</v>
      </c>
      <c r="F76" s="78">
        <v>0</v>
      </c>
      <c r="G76" s="79">
        <v>185239.33236868298</v>
      </c>
      <c r="H76" s="78">
        <v>0</v>
      </c>
      <c r="I76" s="79">
        <v>915380.41791719745</v>
      </c>
      <c r="J76" s="78">
        <v>0</v>
      </c>
      <c r="K76" s="79">
        <v>1316204.8592198386</v>
      </c>
      <c r="L76" s="78">
        <v>0</v>
      </c>
      <c r="M76" s="79">
        <v>5416</v>
      </c>
      <c r="N76" s="81">
        <v>0</v>
      </c>
      <c r="O76" s="81">
        <v>2768934.1533487132</v>
      </c>
      <c r="P76" s="78"/>
      <c r="Q76" s="79"/>
      <c r="R76" s="81">
        <v>0</v>
      </c>
      <c r="S76" s="81">
        <v>2768934.1533487132</v>
      </c>
      <c r="T76" s="96"/>
      <c r="U76" s="96"/>
    </row>
    <row r="77" spans="1:21" s="84" customFormat="1" ht="27" customHeight="1">
      <c r="A77" s="151"/>
      <c r="B77" s="76" t="s">
        <v>249</v>
      </c>
      <c r="C77" s="77" t="s">
        <v>250</v>
      </c>
      <c r="D77" s="92"/>
      <c r="E77" s="93"/>
      <c r="F77" s="92"/>
      <c r="G77" s="93"/>
      <c r="H77" s="92">
        <v>749244.51275604614</v>
      </c>
      <c r="I77" s="93">
        <v>0</v>
      </c>
      <c r="J77" s="92">
        <v>1196104.8395751249</v>
      </c>
      <c r="K77" s="93">
        <v>0</v>
      </c>
      <c r="L77" s="92">
        <v>5036.7104258339095</v>
      </c>
      <c r="M77" s="93">
        <v>0</v>
      </c>
      <c r="N77" s="81">
        <v>1950386.062757005</v>
      </c>
      <c r="O77" s="81">
        <v>0</v>
      </c>
      <c r="P77" s="92"/>
      <c r="Q77" s="93"/>
      <c r="R77" s="81">
        <v>1950386.062757005</v>
      </c>
      <c r="S77" s="81">
        <v>0</v>
      </c>
      <c r="T77" s="96"/>
      <c r="U77" s="96"/>
    </row>
    <row r="78" spans="1:21" s="84" customFormat="1" ht="27" customHeight="1">
      <c r="A78" s="151"/>
      <c r="B78" s="76" t="s">
        <v>251</v>
      </c>
      <c r="C78" s="77" t="s">
        <v>252</v>
      </c>
      <c r="D78" s="78"/>
      <c r="E78" s="79"/>
      <c r="F78" s="78"/>
      <c r="G78" s="79"/>
      <c r="H78" s="78">
        <v>320767.10353975138</v>
      </c>
      <c r="I78" s="79">
        <v>0</v>
      </c>
      <c r="J78" s="78">
        <v>1196104.8395751249</v>
      </c>
      <c r="K78" s="79">
        <v>0</v>
      </c>
      <c r="L78" s="78">
        <v>5036.7104258339095</v>
      </c>
      <c r="M78" s="79">
        <v>0</v>
      </c>
      <c r="N78" s="81">
        <v>1521908.6535407102</v>
      </c>
      <c r="O78" s="81">
        <v>0</v>
      </c>
      <c r="P78" s="78"/>
      <c r="Q78" s="79"/>
      <c r="R78" s="81">
        <v>1521908.6535407102</v>
      </c>
      <c r="S78" s="81">
        <v>0</v>
      </c>
      <c r="T78" s="96"/>
      <c r="U78" s="96"/>
    </row>
    <row r="79" spans="1:21" s="84" customFormat="1" ht="27" customHeight="1">
      <c r="A79" s="151"/>
      <c r="B79" s="76" t="s">
        <v>253</v>
      </c>
      <c r="C79" s="77" t="s">
        <v>254</v>
      </c>
      <c r="D79" s="92"/>
      <c r="E79" s="93"/>
      <c r="F79" s="92"/>
      <c r="G79" s="93"/>
      <c r="H79" s="92">
        <v>428477.40921629482</v>
      </c>
      <c r="I79" s="93">
        <v>0</v>
      </c>
      <c r="J79" s="92">
        <v>0</v>
      </c>
      <c r="K79" s="93">
        <v>0</v>
      </c>
      <c r="L79" s="92">
        <v>0</v>
      </c>
      <c r="M79" s="93">
        <v>0</v>
      </c>
      <c r="N79" s="81">
        <v>428477.40921629482</v>
      </c>
      <c r="O79" s="81">
        <v>0</v>
      </c>
      <c r="P79" s="92"/>
      <c r="Q79" s="93"/>
      <c r="R79" s="81">
        <v>428477.40921629482</v>
      </c>
      <c r="S79" s="81">
        <v>0</v>
      </c>
      <c r="T79" s="96"/>
      <c r="U79" s="96"/>
    </row>
    <row r="80" spans="1:21" s="84" customFormat="1" ht="27" customHeight="1">
      <c r="A80" s="151"/>
      <c r="B80" s="76" t="s">
        <v>255</v>
      </c>
      <c r="C80" s="77" t="s">
        <v>256</v>
      </c>
      <c r="D80" s="78"/>
      <c r="E80" s="79"/>
      <c r="F80" s="78"/>
      <c r="G80" s="79"/>
      <c r="H80" s="78">
        <v>0</v>
      </c>
      <c r="I80" s="79">
        <v>0</v>
      </c>
      <c r="J80" s="78">
        <v>0</v>
      </c>
      <c r="K80" s="79">
        <v>0</v>
      </c>
      <c r="L80" s="78">
        <v>0</v>
      </c>
      <c r="M80" s="79">
        <v>0</v>
      </c>
      <c r="N80" s="81">
        <v>0</v>
      </c>
      <c r="O80" s="81">
        <v>0</v>
      </c>
      <c r="P80" s="78"/>
      <c r="Q80" s="79"/>
      <c r="R80" s="81">
        <v>0</v>
      </c>
      <c r="S80" s="81">
        <v>0</v>
      </c>
      <c r="T80" s="96"/>
      <c r="U80" s="96"/>
    </row>
    <row r="81" spans="1:21" s="84" customFormat="1" ht="27" customHeight="1">
      <c r="A81" s="151"/>
      <c r="B81" s="76" t="s">
        <v>257</v>
      </c>
      <c r="C81" s="77" t="s">
        <v>258</v>
      </c>
      <c r="D81" s="92">
        <v>528917.71463816962</v>
      </c>
      <c r="E81" s="93">
        <v>0</v>
      </c>
      <c r="F81" s="92">
        <v>188005.59936868298</v>
      </c>
      <c r="G81" s="93">
        <v>0</v>
      </c>
      <c r="H81" s="92">
        <v>239343.6954732677</v>
      </c>
      <c r="I81" s="93">
        <v>0</v>
      </c>
      <c r="J81" s="92">
        <v>142248.08643164323</v>
      </c>
      <c r="K81" s="93">
        <v>0</v>
      </c>
      <c r="L81" s="92">
        <v>705.28957416609046</v>
      </c>
      <c r="M81" s="93">
        <v>0</v>
      </c>
      <c r="N81" s="81">
        <v>1099220.3854859297</v>
      </c>
      <c r="O81" s="81">
        <v>0</v>
      </c>
      <c r="P81" s="92"/>
      <c r="Q81" s="93"/>
      <c r="R81" s="81">
        <v>1099220.3854859297</v>
      </c>
      <c r="S81" s="81">
        <v>0</v>
      </c>
      <c r="T81" s="96"/>
      <c r="U81" s="96"/>
    </row>
    <row r="82" spans="1:21" s="84" customFormat="1" ht="27" customHeight="1">
      <c r="A82" s="151"/>
      <c r="B82" s="76" t="s">
        <v>259</v>
      </c>
      <c r="C82" s="77" t="s">
        <v>260</v>
      </c>
      <c r="D82" s="78">
        <v>346693.54384299397</v>
      </c>
      <c r="E82" s="79">
        <v>0</v>
      </c>
      <c r="F82" s="78">
        <v>185239.33236868298</v>
      </c>
      <c r="G82" s="79">
        <v>0</v>
      </c>
      <c r="H82" s="78">
        <v>166135.90516115137</v>
      </c>
      <c r="I82" s="79">
        <v>0</v>
      </c>
      <c r="J82" s="78">
        <v>120100.01964471376</v>
      </c>
      <c r="K82" s="79">
        <v>0</v>
      </c>
      <c r="L82" s="78">
        <v>379.28957416609046</v>
      </c>
      <c r="M82" s="79">
        <v>0</v>
      </c>
      <c r="N82" s="81">
        <v>818548.0905917082</v>
      </c>
      <c r="O82" s="81">
        <v>0</v>
      </c>
      <c r="P82" s="78"/>
      <c r="Q82" s="79"/>
      <c r="R82" s="81">
        <v>818548.0905917082</v>
      </c>
      <c r="S82" s="81">
        <v>0</v>
      </c>
      <c r="T82" s="96"/>
      <c r="U82" s="96"/>
    </row>
    <row r="83" spans="1:21" s="84" customFormat="1" ht="27" customHeight="1">
      <c r="A83" s="152"/>
      <c r="B83" s="102" t="s">
        <v>261</v>
      </c>
      <c r="C83" s="103" t="s">
        <v>262</v>
      </c>
      <c r="D83" s="118"/>
      <c r="E83" s="119"/>
      <c r="F83" s="118"/>
      <c r="G83" s="119"/>
      <c r="H83" s="118"/>
      <c r="I83" s="119">
        <v>0</v>
      </c>
      <c r="J83" s="118"/>
      <c r="K83" s="119"/>
      <c r="L83" s="118"/>
      <c r="M83" s="119"/>
      <c r="N83" s="114">
        <v>0</v>
      </c>
      <c r="O83" s="114">
        <v>0</v>
      </c>
      <c r="P83" s="118">
        <v>-269894.18755251373</v>
      </c>
      <c r="Q83" s="119">
        <v>0</v>
      </c>
      <c r="R83" s="114">
        <v>0</v>
      </c>
      <c r="S83" s="114">
        <v>-269894.18755251373</v>
      </c>
      <c r="T83" s="96"/>
      <c r="U83" s="96"/>
    </row>
    <row r="84" spans="1:21" s="84" customFormat="1" ht="27" customHeight="1">
      <c r="A84" s="150" t="s">
        <v>263</v>
      </c>
      <c r="B84" s="108" t="s">
        <v>244</v>
      </c>
      <c r="C84" s="109" t="s">
        <v>245</v>
      </c>
      <c r="D84" s="120">
        <v>0</v>
      </c>
      <c r="E84" s="121">
        <v>528917.71463816962</v>
      </c>
      <c r="F84" s="120"/>
      <c r="G84" s="121">
        <v>188005.59936868298</v>
      </c>
      <c r="H84" s="120">
        <v>0</v>
      </c>
      <c r="I84" s="121">
        <v>667821.10468956246</v>
      </c>
      <c r="J84" s="120">
        <v>0</v>
      </c>
      <c r="K84" s="121">
        <v>1664156.7399723534</v>
      </c>
      <c r="L84" s="120">
        <v>0</v>
      </c>
      <c r="M84" s="121">
        <v>705.28957416609046</v>
      </c>
      <c r="N84" s="112">
        <v>0</v>
      </c>
      <c r="O84" s="122">
        <v>3049606.4482429349</v>
      </c>
      <c r="P84" s="120"/>
      <c r="Q84" s="121"/>
      <c r="R84" s="112">
        <v>0</v>
      </c>
      <c r="S84" s="112">
        <v>3049606.4482429349</v>
      </c>
      <c r="T84" s="96"/>
      <c r="U84" s="96"/>
    </row>
    <row r="85" spans="1:21" s="84" customFormat="1" ht="27" customHeight="1">
      <c r="A85" s="151"/>
      <c r="B85" s="76" t="s">
        <v>246</v>
      </c>
      <c r="C85" s="77" t="s">
        <v>247</v>
      </c>
      <c r="D85" s="92">
        <v>0</v>
      </c>
      <c r="E85" s="93">
        <v>346693.54384299397</v>
      </c>
      <c r="F85" s="92"/>
      <c r="G85" s="93">
        <v>185239.33236868298</v>
      </c>
      <c r="H85" s="92">
        <v>0</v>
      </c>
      <c r="I85" s="93">
        <v>594613.31437744608</v>
      </c>
      <c r="J85" s="92">
        <v>0</v>
      </c>
      <c r="K85" s="93">
        <v>1642008.6731854239</v>
      </c>
      <c r="L85" s="92">
        <v>0</v>
      </c>
      <c r="M85" s="93">
        <v>379.28957416609046</v>
      </c>
      <c r="N85" s="81">
        <v>0</v>
      </c>
      <c r="O85" s="97">
        <v>2768934.1533487132</v>
      </c>
      <c r="P85" s="92"/>
      <c r="Q85" s="93"/>
      <c r="R85" s="81">
        <v>0</v>
      </c>
      <c r="S85" s="81">
        <v>2768934.1533487132</v>
      </c>
      <c r="T85" s="96"/>
      <c r="U85" s="96"/>
    </row>
    <row r="86" spans="1:21" s="84" customFormat="1" ht="27" customHeight="1">
      <c r="A86" s="151"/>
      <c r="B86" s="76" t="s">
        <v>264</v>
      </c>
      <c r="C86" s="77" t="s">
        <v>265</v>
      </c>
      <c r="D86" s="78"/>
      <c r="E86" s="79"/>
      <c r="F86" s="78"/>
      <c r="G86" s="79"/>
      <c r="H86" s="78">
        <v>428477.40921629482</v>
      </c>
      <c r="I86" s="79">
        <v>0</v>
      </c>
      <c r="J86" s="78">
        <v>1521908.6535407102</v>
      </c>
      <c r="K86" s="79">
        <v>0</v>
      </c>
      <c r="L86" s="78">
        <v>0</v>
      </c>
      <c r="M86" s="79">
        <v>0</v>
      </c>
      <c r="N86" s="81">
        <v>1950386.062757005</v>
      </c>
      <c r="O86" s="97">
        <v>0</v>
      </c>
      <c r="P86" s="78"/>
      <c r="Q86" s="79"/>
      <c r="R86" s="81">
        <v>1950386.062757005</v>
      </c>
      <c r="S86" s="97">
        <v>0</v>
      </c>
      <c r="T86" s="96"/>
      <c r="U86" s="96"/>
    </row>
    <row r="87" spans="1:21" s="84" customFormat="1" ht="27" customHeight="1">
      <c r="A87" s="151"/>
      <c r="B87" s="76" t="s">
        <v>266</v>
      </c>
      <c r="C87" s="77" t="s">
        <v>267</v>
      </c>
      <c r="D87" s="92"/>
      <c r="E87" s="93"/>
      <c r="F87" s="92"/>
      <c r="G87" s="93"/>
      <c r="H87" s="92">
        <v>0</v>
      </c>
      <c r="I87" s="93">
        <v>0</v>
      </c>
      <c r="J87" s="92">
        <v>1521908.6535407102</v>
      </c>
      <c r="K87" s="93">
        <v>0</v>
      </c>
      <c r="L87" s="92">
        <v>0</v>
      </c>
      <c r="M87" s="93">
        <v>0</v>
      </c>
      <c r="N87" s="81">
        <v>1521908.6535407102</v>
      </c>
      <c r="O87" s="81">
        <v>0</v>
      </c>
      <c r="P87" s="92"/>
      <c r="Q87" s="93"/>
      <c r="R87" s="81">
        <v>1521908.6535407102</v>
      </c>
      <c r="S87" s="97">
        <v>0</v>
      </c>
      <c r="T87" s="96"/>
      <c r="U87" s="96"/>
    </row>
    <row r="88" spans="1:21" s="84" customFormat="1" ht="27" customHeight="1">
      <c r="A88" s="151"/>
      <c r="B88" s="76" t="s">
        <v>268</v>
      </c>
      <c r="C88" s="77" t="s">
        <v>269</v>
      </c>
      <c r="D88" s="78"/>
      <c r="E88" s="79"/>
      <c r="F88" s="78"/>
      <c r="G88" s="79"/>
      <c r="H88" s="78">
        <v>428477.40921629482</v>
      </c>
      <c r="I88" s="79">
        <v>0</v>
      </c>
      <c r="J88" s="78">
        <v>0</v>
      </c>
      <c r="K88" s="79">
        <v>0</v>
      </c>
      <c r="L88" s="78">
        <v>0</v>
      </c>
      <c r="M88" s="79">
        <v>0</v>
      </c>
      <c r="N88" s="81">
        <v>428477.40921629482</v>
      </c>
      <c r="O88" s="81">
        <v>0</v>
      </c>
      <c r="P88" s="78"/>
      <c r="Q88" s="79"/>
      <c r="R88" s="81">
        <v>428477.40921629482</v>
      </c>
      <c r="S88" s="81">
        <v>0</v>
      </c>
      <c r="T88" s="96"/>
      <c r="U88" s="96"/>
    </row>
    <row r="89" spans="1:21" s="84" customFormat="1" ht="27" customHeight="1">
      <c r="A89" s="151"/>
      <c r="B89" s="76" t="s">
        <v>255</v>
      </c>
      <c r="C89" s="77" t="s">
        <v>256</v>
      </c>
      <c r="D89" s="92"/>
      <c r="E89" s="93"/>
      <c r="F89" s="92"/>
      <c r="G89" s="93"/>
      <c r="H89" s="92">
        <v>0</v>
      </c>
      <c r="I89" s="93">
        <v>0</v>
      </c>
      <c r="J89" s="92"/>
      <c r="K89" s="93"/>
      <c r="L89" s="92"/>
      <c r="M89" s="93"/>
      <c r="N89" s="81">
        <v>0</v>
      </c>
      <c r="O89" s="81">
        <v>0</v>
      </c>
      <c r="P89" s="92"/>
      <c r="Q89" s="93"/>
      <c r="R89" s="81">
        <v>0</v>
      </c>
      <c r="S89" s="81">
        <v>0</v>
      </c>
      <c r="T89" s="96"/>
      <c r="U89" s="96"/>
    </row>
    <row r="90" spans="1:21" s="84" customFormat="1" ht="27" customHeight="1">
      <c r="A90" s="151"/>
      <c r="B90" s="76" t="s">
        <v>257</v>
      </c>
      <c r="C90" s="77" t="s">
        <v>258</v>
      </c>
      <c r="D90" s="78">
        <v>528917.71463816962</v>
      </c>
      <c r="E90" s="79">
        <v>0</v>
      </c>
      <c r="F90" s="78">
        <v>188005.59936868298</v>
      </c>
      <c r="G90" s="79"/>
      <c r="H90" s="78">
        <v>239343.69547326764</v>
      </c>
      <c r="I90" s="79">
        <v>0</v>
      </c>
      <c r="J90" s="78">
        <v>142248.08643164323</v>
      </c>
      <c r="K90" s="79">
        <v>0</v>
      </c>
      <c r="L90" s="78">
        <v>705.28957416609046</v>
      </c>
      <c r="M90" s="79">
        <v>0</v>
      </c>
      <c r="N90" s="81">
        <v>1099220.3854859294</v>
      </c>
      <c r="O90" s="97">
        <v>0</v>
      </c>
      <c r="P90" s="78"/>
      <c r="Q90" s="79"/>
      <c r="R90" s="81">
        <v>1099220.3854859294</v>
      </c>
      <c r="S90" s="81">
        <v>0</v>
      </c>
      <c r="T90" s="96"/>
      <c r="U90" s="96"/>
    </row>
    <row r="91" spans="1:21" s="84" customFormat="1" ht="27" customHeight="1">
      <c r="A91" s="152"/>
      <c r="B91" s="102" t="s">
        <v>259</v>
      </c>
      <c r="C91" s="103" t="s">
        <v>260</v>
      </c>
      <c r="D91" s="118">
        <v>346693.54384299397</v>
      </c>
      <c r="E91" s="119">
        <v>0</v>
      </c>
      <c r="F91" s="118">
        <v>185239.33236868298</v>
      </c>
      <c r="G91" s="119"/>
      <c r="H91" s="118">
        <v>166135.90516115131</v>
      </c>
      <c r="I91" s="119">
        <v>0</v>
      </c>
      <c r="J91" s="118">
        <v>120100.01964471376</v>
      </c>
      <c r="K91" s="119">
        <v>0</v>
      </c>
      <c r="L91" s="118">
        <v>379.28957416609046</v>
      </c>
      <c r="M91" s="119">
        <v>0</v>
      </c>
      <c r="N91" s="114">
        <v>818548.09059170808</v>
      </c>
      <c r="O91" s="114">
        <v>0</v>
      </c>
      <c r="P91" s="118"/>
      <c r="Q91" s="119"/>
      <c r="R91" s="114">
        <v>818548.09059170808</v>
      </c>
      <c r="S91" s="106">
        <v>0</v>
      </c>
      <c r="T91" s="96"/>
      <c r="U91" s="96"/>
    </row>
    <row r="92" spans="1:21" s="84" customFormat="1" ht="26.4">
      <c r="A92" s="123"/>
      <c r="B92" s="123"/>
      <c r="C92" s="123"/>
      <c r="D92" s="124" t="s">
        <v>270</v>
      </c>
      <c r="E92" s="125" t="s">
        <v>271</v>
      </c>
      <c r="F92" s="124" t="s">
        <v>270</v>
      </c>
      <c r="G92" s="125" t="s">
        <v>271</v>
      </c>
      <c r="H92" s="124" t="s">
        <v>270</v>
      </c>
      <c r="I92" s="125" t="s">
        <v>271</v>
      </c>
      <c r="J92" s="124" t="s">
        <v>270</v>
      </c>
      <c r="K92" s="125" t="s">
        <v>271</v>
      </c>
      <c r="L92" s="124" t="s">
        <v>270</v>
      </c>
      <c r="M92" s="125" t="s">
        <v>271</v>
      </c>
      <c r="N92" s="126" t="s">
        <v>270</v>
      </c>
      <c r="O92" s="126" t="s">
        <v>271</v>
      </c>
      <c r="P92" s="124" t="s">
        <v>270</v>
      </c>
      <c r="Q92" s="125" t="s">
        <v>271</v>
      </c>
      <c r="R92" s="126" t="s">
        <v>270</v>
      </c>
      <c r="S92" s="126" t="s">
        <v>271</v>
      </c>
      <c r="T92" s="96"/>
      <c r="U92" s="96"/>
    </row>
    <row r="93" spans="1:21" s="84" customFormat="1" ht="27" customHeight="1">
      <c r="A93" s="151" t="s">
        <v>272</v>
      </c>
      <c r="B93" s="90" t="s">
        <v>259</v>
      </c>
      <c r="C93" s="91" t="s">
        <v>260</v>
      </c>
      <c r="D93" s="78">
        <v>0</v>
      </c>
      <c r="E93" s="79">
        <v>346693.54384299397</v>
      </c>
      <c r="F93" s="78">
        <v>0</v>
      </c>
      <c r="G93" s="79">
        <v>185239.33236868298</v>
      </c>
      <c r="H93" s="78">
        <v>0</v>
      </c>
      <c r="I93" s="79">
        <v>166135.90516115131</v>
      </c>
      <c r="J93" s="78">
        <v>0</v>
      </c>
      <c r="K93" s="79">
        <v>120100.01964471376</v>
      </c>
      <c r="L93" s="78">
        <v>0</v>
      </c>
      <c r="M93" s="79">
        <v>379.28957416609046</v>
      </c>
      <c r="N93" s="81">
        <v>0</v>
      </c>
      <c r="O93" s="81">
        <v>818548.09059170808</v>
      </c>
      <c r="P93" s="78">
        <v>0</v>
      </c>
      <c r="Q93" s="79">
        <v>-269894.18755251373</v>
      </c>
      <c r="R93" s="81">
        <v>0</v>
      </c>
      <c r="S93" s="81">
        <v>548653.90303919441</v>
      </c>
      <c r="T93" s="96"/>
      <c r="U93" s="96"/>
    </row>
    <row r="94" spans="1:21" s="84" customFormat="1" ht="27" customHeight="1">
      <c r="A94" s="151"/>
      <c r="B94" s="90" t="s">
        <v>273</v>
      </c>
      <c r="C94" s="91" t="s">
        <v>274</v>
      </c>
      <c r="D94" s="78">
        <v>535494.84723237809</v>
      </c>
      <c r="E94" s="79">
        <v>0</v>
      </c>
      <c r="F94" s="78">
        <v>12789.504370583043</v>
      </c>
      <c r="G94" s="79">
        <v>0</v>
      </c>
      <c r="H94" s="78">
        <v>187525.36227196996</v>
      </c>
      <c r="I94" s="79">
        <v>0</v>
      </c>
      <c r="J94" s="78">
        <v>93429.460754918633</v>
      </c>
      <c r="K94" s="79">
        <v>0</v>
      </c>
      <c r="L94" s="78">
        <v>87</v>
      </c>
      <c r="M94" s="79">
        <v>0</v>
      </c>
      <c r="N94" s="81">
        <v>829326.17462984961</v>
      </c>
      <c r="O94" s="81">
        <v>0</v>
      </c>
      <c r="P94" s="78"/>
      <c r="Q94" s="79"/>
      <c r="R94" s="81">
        <v>829326.17462984961</v>
      </c>
      <c r="S94" s="81">
        <v>0</v>
      </c>
      <c r="T94" s="96"/>
      <c r="U94" s="96"/>
    </row>
    <row r="95" spans="1:21" s="84" customFormat="1" ht="27" customHeight="1">
      <c r="A95" s="151"/>
      <c r="B95" s="76" t="s">
        <v>275</v>
      </c>
      <c r="C95" s="77" t="s">
        <v>276</v>
      </c>
      <c r="D95" s="92">
        <v>397746.8019370407</v>
      </c>
      <c r="E95" s="93">
        <v>0</v>
      </c>
      <c r="F95" s="92">
        <v>12789.504370583043</v>
      </c>
      <c r="G95" s="93">
        <v>0</v>
      </c>
      <c r="H95" s="92">
        <v>179135.59993697997</v>
      </c>
      <c r="I95" s="93">
        <v>0</v>
      </c>
      <c r="J95" s="92">
        <v>68067.790841357099</v>
      </c>
      <c r="K95" s="93">
        <v>0</v>
      </c>
      <c r="L95" s="92">
        <v>87</v>
      </c>
      <c r="M95" s="93">
        <v>0</v>
      </c>
      <c r="N95" s="97">
        <v>657826.69708596077</v>
      </c>
      <c r="O95" s="81">
        <v>0</v>
      </c>
      <c r="P95" s="92"/>
      <c r="Q95" s="93"/>
      <c r="R95" s="97">
        <v>657826.69708596077</v>
      </c>
      <c r="S95" s="81">
        <v>0</v>
      </c>
      <c r="T95" s="96"/>
      <c r="U95" s="96"/>
    </row>
    <row r="96" spans="1:21" s="84" customFormat="1" ht="27" customHeight="1">
      <c r="A96" s="151"/>
      <c r="B96" s="76" t="s">
        <v>277</v>
      </c>
      <c r="C96" s="77" t="s">
        <v>162</v>
      </c>
      <c r="D96" s="78">
        <v>-182224.17079517565</v>
      </c>
      <c r="E96" s="79">
        <v>0</v>
      </c>
      <c r="F96" s="78">
        <v>-2766.2669999999998</v>
      </c>
      <c r="G96" s="79">
        <v>0</v>
      </c>
      <c r="H96" s="78">
        <v>-73207.79031211634</v>
      </c>
      <c r="I96" s="79">
        <v>0</v>
      </c>
      <c r="J96" s="78">
        <v>-22148.06678692947</v>
      </c>
      <c r="K96" s="79">
        <v>0</v>
      </c>
      <c r="L96" s="78">
        <v>-326</v>
      </c>
      <c r="M96" s="79">
        <v>0</v>
      </c>
      <c r="N96" s="97">
        <v>-280672.29489422147</v>
      </c>
      <c r="O96" s="81">
        <v>0</v>
      </c>
      <c r="P96" s="78"/>
      <c r="Q96" s="79"/>
      <c r="R96" s="97">
        <v>-280672.29489422147</v>
      </c>
      <c r="S96" s="81">
        <v>0</v>
      </c>
      <c r="U96" s="96"/>
    </row>
    <row r="97" spans="1:21" s="84" customFormat="1" ht="27" customHeight="1">
      <c r="A97" s="151"/>
      <c r="B97" s="76" t="s">
        <v>278</v>
      </c>
      <c r="C97" s="77" t="s">
        <v>279</v>
      </c>
      <c r="D97" s="92">
        <v>137748.04529533733</v>
      </c>
      <c r="E97" s="93">
        <v>0</v>
      </c>
      <c r="F97" s="92">
        <v>0</v>
      </c>
      <c r="G97" s="93">
        <v>0</v>
      </c>
      <c r="H97" s="92">
        <v>8389.7623349900005</v>
      </c>
      <c r="I97" s="93">
        <v>0</v>
      </c>
      <c r="J97" s="92">
        <v>25361.669913561527</v>
      </c>
      <c r="K97" s="93">
        <v>0</v>
      </c>
      <c r="L97" s="92">
        <v>0</v>
      </c>
      <c r="M97" s="93">
        <v>0</v>
      </c>
      <c r="N97" s="81">
        <v>171499.47754388885</v>
      </c>
      <c r="O97" s="81">
        <v>0</v>
      </c>
      <c r="P97" s="92"/>
      <c r="Q97" s="93"/>
      <c r="R97" s="81">
        <v>171499.47754388885</v>
      </c>
      <c r="S97" s="81">
        <v>0</v>
      </c>
      <c r="T97" s="96"/>
      <c r="U97" s="96"/>
    </row>
    <row r="98" spans="1:21" s="84" customFormat="1" ht="27" customHeight="1">
      <c r="A98" s="151"/>
      <c r="B98" s="76" t="s">
        <v>280</v>
      </c>
      <c r="C98" s="77" t="s">
        <v>281</v>
      </c>
      <c r="D98" s="78">
        <v>0</v>
      </c>
      <c r="E98" s="79">
        <v>0</v>
      </c>
      <c r="F98" s="78">
        <v>0</v>
      </c>
      <c r="G98" s="79">
        <v>0</v>
      </c>
      <c r="H98" s="78">
        <v>0</v>
      </c>
      <c r="I98" s="79">
        <v>0</v>
      </c>
      <c r="J98" s="78">
        <v>0</v>
      </c>
      <c r="K98" s="79">
        <v>0</v>
      </c>
      <c r="L98" s="78">
        <v>0</v>
      </c>
      <c r="M98" s="79">
        <v>0</v>
      </c>
      <c r="N98" s="81">
        <v>0</v>
      </c>
      <c r="O98" s="81">
        <v>0</v>
      </c>
      <c r="P98" s="78"/>
      <c r="Q98" s="79"/>
      <c r="R98" s="81">
        <v>0</v>
      </c>
      <c r="S98" s="81">
        <v>0</v>
      </c>
      <c r="T98" s="96"/>
      <c r="U98" s="96"/>
    </row>
    <row r="99" spans="1:21" s="84" customFormat="1" ht="27" customHeight="1">
      <c r="A99" s="151"/>
      <c r="B99" s="76" t="s">
        <v>282</v>
      </c>
      <c r="C99" s="77" t="s">
        <v>283</v>
      </c>
      <c r="D99" s="92">
        <v>19120.24911742</v>
      </c>
      <c r="E99" s="93">
        <v>0</v>
      </c>
      <c r="F99" s="92">
        <v>0</v>
      </c>
      <c r="G99" s="93">
        <v>0</v>
      </c>
      <c r="H99" s="92">
        <v>1367.7508825800001</v>
      </c>
      <c r="I99" s="93">
        <v>0</v>
      </c>
      <c r="J99" s="92">
        <v>-20488</v>
      </c>
      <c r="K99" s="93">
        <v>0</v>
      </c>
      <c r="L99" s="92">
        <v>0</v>
      </c>
      <c r="M99" s="93">
        <v>0</v>
      </c>
      <c r="N99" s="81">
        <v>0</v>
      </c>
      <c r="O99" s="81">
        <v>0</v>
      </c>
      <c r="P99" s="92"/>
      <c r="Q99" s="93"/>
      <c r="R99" s="81">
        <v>0</v>
      </c>
      <c r="S99" s="81">
        <v>0</v>
      </c>
      <c r="T99" s="96"/>
      <c r="U99" s="96"/>
    </row>
    <row r="100" spans="1:21" s="84" customFormat="1" ht="27" customHeight="1">
      <c r="A100" s="151"/>
      <c r="B100" s="76" t="s">
        <v>284</v>
      </c>
      <c r="C100" s="77" t="s">
        <v>285</v>
      </c>
      <c r="D100" s="78">
        <v>0</v>
      </c>
      <c r="E100" s="79">
        <v>193052.68469590801</v>
      </c>
      <c r="F100" s="78">
        <v>0</v>
      </c>
      <c r="G100" s="79">
        <v>0</v>
      </c>
      <c r="H100" s="78">
        <v>0</v>
      </c>
      <c r="I100" s="79">
        <v>0</v>
      </c>
      <c r="J100" s="78">
        <v>0</v>
      </c>
      <c r="K100" s="79">
        <v>29682.335103756257</v>
      </c>
      <c r="L100" s="78">
        <v>0</v>
      </c>
      <c r="M100" s="79">
        <v>234</v>
      </c>
      <c r="N100" s="81">
        <v>0</v>
      </c>
      <c r="O100" s="81">
        <v>222969.01979966427</v>
      </c>
      <c r="P100" s="78">
        <v>0</v>
      </c>
      <c r="Q100" s="79">
        <v>8732.7639999999992</v>
      </c>
      <c r="R100" s="81">
        <v>0</v>
      </c>
      <c r="S100" s="97">
        <v>231701.78379966426</v>
      </c>
      <c r="T100" s="96"/>
      <c r="U100" s="96"/>
    </row>
    <row r="101" spans="1:21" s="84" customFormat="1" ht="27" customHeight="1">
      <c r="A101" s="151"/>
      <c r="B101" s="76" t="s">
        <v>286</v>
      </c>
      <c r="C101" s="77" t="s">
        <v>287</v>
      </c>
      <c r="D101" s="92">
        <v>0</v>
      </c>
      <c r="E101" s="93">
        <v>-38649.099103756729</v>
      </c>
      <c r="F101" s="92">
        <v>0</v>
      </c>
      <c r="G101" s="93">
        <v>0</v>
      </c>
      <c r="H101" s="92">
        <v>0</v>
      </c>
      <c r="I101" s="93">
        <v>-193052.68469590755</v>
      </c>
      <c r="J101" s="92">
        <v>0</v>
      </c>
      <c r="K101" s="93">
        <v>0</v>
      </c>
      <c r="L101" s="92">
        <v>0</v>
      </c>
      <c r="M101" s="93">
        <v>0</v>
      </c>
      <c r="N101" s="81">
        <v>0</v>
      </c>
      <c r="O101" s="81">
        <v>-231701.78379966429</v>
      </c>
      <c r="P101" s="92">
        <v>0</v>
      </c>
      <c r="Q101" s="93">
        <v>0</v>
      </c>
      <c r="R101" s="81">
        <v>0</v>
      </c>
      <c r="S101" s="81">
        <v>-231701.78379966429</v>
      </c>
      <c r="T101" s="96"/>
      <c r="U101" s="96"/>
    </row>
    <row r="102" spans="1:21" s="84" customFormat="1" ht="27" customHeight="1">
      <c r="A102" s="151"/>
      <c r="B102" s="76" t="s">
        <v>288</v>
      </c>
      <c r="C102" s="77" t="s">
        <v>289</v>
      </c>
      <c r="D102" s="78">
        <v>128706.20388052282</v>
      </c>
      <c r="E102" s="79">
        <v>0</v>
      </c>
      <c r="F102" s="78">
        <v>175216.09499809993</v>
      </c>
      <c r="G102" s="79">
        <v>0</v>
      </c>
      <c r="H102" s="78">
        <v>-142602.10237718985</v>
      </c>
      <c r="I102" s="79">
        <v>0</v>
      </c>
      <c r="J102" s="78">
        <v>98988.960780480847</v>
      </c>
      <c r="K102" s="79">
        <v>0</v>
      </c>
      <c r="L102" s="78">
        <v>852.28957416609046</v>
      </c>
      <c r="M102" s="79">
        <v>0</v>
      </c>
      <c r="N102" s="81">
        <v>261161.44685607986</v>
      </c>
      <c r="O102" s="81">
        <v>0</v>
      </c>
      <c r="P102" s="78">
        <v>-261161.42355251373</v>
      </c>
      <c r="Q102" s="79">
        <v>0</v>
      </c>
      <c r="R102" s="81">
        <v>2.3303566122194752E-2</v>
      </c>
      <c r="S102" s="81">
        <v>0</v>
      </c>
      <c r="T102" s="96"/>
      <c r="U102" s="96"/>
    </row>
    <row r="103" spans="1:21" s="84" customFormat="1" ht="27" customHeight="1">
      <c r="A103" s="151"/>
      <c r="B103" s="98" t="s">
        <v>290</v>
      </c>
      <c r="C103" s="99" t="s">
        <v>291</v>
      </c>
      <c r="D103" s="92">
        <v>0</v>
      </c>
      <c r="E103" s="93">
        <v>501097.1294351453</v>
      </c>
      <c r="F103" s="92">
        <v>0</v>
      </c>
      <c r="G103" s="93">
        <v>185239.33236868298</v>
      </c>
      <c r="H103" s="92">
        <v>0</v>
      </c>
      <c r="I103" s="93">
        <v>-26916.779534756235</v>
      </c>
      <c r="J103" s="92">
        <v>0</v>
      </c>
      <c r="K103" s="93">
        <v>149782.35474847001</v>
      </c>
      <c r="L103" s="92">
        <v>0</v>
      </c>
      <c r="M103" s="93">
        <v>613.28957416609046</v>
      </c>
      <c r="N103" s="127">
        <v>0</v>
      </c>
      <c r="O103" s="127">
        <v>809815.32659170812</v>
      </c>
      <c r="P103" s="92">
        <v>0</v>
      </c>
      <c r="Q103" s="93">
        <v>-261161.42355251373</v>
      </c>
      <c r="R103" s="80">
        <v>0</v>
      </c>
      <c r="S103" s="128">
        <v>548653.90303919441</v>
      </c>
      <c r="T103" s="96"/>
      <c r="U103" s="96"/>
    </row>
    <row r="104" spans="1:21" s="84" customFormat="1" ht="26.4">
      <c r="A104" s="123"/>
      <c r="B104" s="123"/>
      <c r="C104" s="123"/>
      <c r="D104" s="124" t="s">
        <v>270</v>
      </c>
      <c r="E104" s="125" t="s">
        <v>271</v>
      </c>
      <c r="F104" s="124" t="s">
        <v>270</v>
      </c>
      <c r="G104" s="125" t="s">
        <v>271</v>
      </c>
      <c r="H104" s="124" t="s">
        <v>270</v>
      </c>
      <c r="I104" s="125" t="s">
        <v>271</v>
      </c>
      <c r="J104" s="124" t="s">
        <v>270</v>
      </c>
      <c r="K104" s="125" t="s">
        <v>271</v>
      </c>
      <c r="L104" s="124" t="s">
        <v>270</v>
      </c>
      <c r="M104" s="125" t="s">
        <v>271</v>
      </c>
      <c r="N104" s="126" t="s">
        <v>270</v>
      </c>
      <c r="O104" s="126" t="s">
        <v>271</v>
      </c>
      <c r="P104" s="124" t="s">
        <v>270</v>
      </c>
      <c r="Q104" s="125" t="s">
        <v>271</v>
      </c>
      <c r="R104" s="126" t="s">
        <v>270</v>
      </c>
      <c r="S104" s="126" t="s">
        <v>271</v>
      </c>
      <c r="T104" s="96"/>
      <c r="U104" s="96"/>
    </row>
    <row r="105" spans="1:21" ht="27" customHeight="1">
      <c r="A105" s="151" t="s">
        <v>292</v>
      </c>
      <c r="B105" s="90" t="s">
        <v>293</v>
      </c>
      <c r="C105" s="91" t="s">
        <v>294</v>
      </c>
      <c r="D105" s="78">
        <v>0</v>
      </c>
      <c r="E105" s="79">
        <v>0</v>
      </c>
      <c r="F105" s="78">
        <v>1435</v>
      </c>
      <c r="G105" s="79">
        <v>0</v>
      </c>
      <c r="H105" s="78">
        <v>0</v>
      </c>
      <c r="I105" s="79">
        <v>0</v>
      </c>
      <c r="J105" s="78"/>
      <c r="K105" s="79"/>
      <c r="L105" s="78"/>
      <c r="M105" s="79"/>
      <c r="N105" s="81">
        <v>1435</v>
      </c>
      <c r="O105" s="81">
        <v>0</v>
      </c>
      <c r="P105" s="78">
        <v>0</v>
      </c>
      <c r="Q105" s="79">
        <v>1434.9005000000016</v>
      </c>
      <c r="R105" s="81">
        <v>1435</v>
      </c>
      <c r="S105" s="81">
        <v>1434.9005000000016</v>
      </c>
      <c r="T105" s="96"/>
      <c r="U105" s="96"/>
    </row>
    <row r="106" spans="1:21" ht="27" customHeight="1">
      <c r="A106" s="151"/>
      <c r="B106" s="76" t="s">
        <v>295</v>
      </c>
      <c r="C106" s="77" t="s">
        <v>296</v>
      </c>
      <c r="D106" s="92">
        <v>178001.12224321521</v>
      </c>
      <c r="E106" s="93">
        <v>-5362</v>
      </c>
      <c r="F106" s="92">
        <v>71597</v>
      </c>
      <c r="G106" s="93">
        <v>55129</v>
      </c>
      <c r="H106" s="92">
        <v>-79010</v>
      </c>
      <c r="I106" s="93">
        <v>0</v>
      </c>
      <c r="J106" s="92">
        <v>87310.3231343839</v>
      </c>
      <c r="K106" s="93">
        <v>0</v>
      </c>
      <c r="L106" s="92">
        <v>767</v>
      </c>
      <c r="M106" s="93">
        <v>0</v>
      </c>
      <c r="N106" s="81">
        <v>258665.4453775991</v>
      </c>
      <c r="O106" s="129">
        <v>49767</v>
      </c>
      <c r="P106" s="92">
        <v>-51.627737679984421</v>
      </c>
      <c r="Q106" s="93">
        <v>208846.81763991911</v>
      </c>
      <c r="R106" s="81">
        <v>258613.81763991911</v>
      </c>
      <c r="S106" s="81">
        <v>258613.81763991911</v>
      </c>
      <c r="T106" s="96"/>
      <c r="U106" s="96"/>
    </row>
    <row r="107" spans="1:21" ht="27" customHeight="1">
      <c r="A107" s="151"/>
      <c r="B107" s="76" t="s">
        <v>297</v>
      </c>
      <c r="C107" s="77" t="s">
        <v>298</v>
      </c>
      <c r="D107" s="78">
        <v>4106.6405956902563</v>
      </c>
      <c r="E107" s="79">
        <v>-36877.848022999999</v>
      </c>
      <c r="F107" s="78">
        <v>-21840</v>
      </c>
      <c r="G107" s="79">
        <v>-1486</v>
      </c>
      <c r="H107" s="78">
        <v>0</v>
      </c>
      <c r="I107" s="79">
        <v>50289</v>
      </c>
      <c r="J107" s="78">
        <v>0</v>
      </c>
      <c r="K107" s="79">
        <v>0</v>
      </c>
      <c r="L107" s="78">
        <v>0</v>
      </c>
      <c r="M107" s="79">
        <v>0</v>
      </c>
      <c r="N107" s="81">
        <v>-17733.359404309744</v>
      </c>
      <c r="O107" s="129">
        <v>11925.151977000001</v>
      </c>
      <c r="P107" s="78">
        <v>0</v>
      </c>
      <c r="Q107" s="79">
        <v>-29658.511381309745</v>
      </c>
      <c r="R107" s="81">
        <v>-17733.359404309744</v>
      </c>
      <c r="S107" s="81">
        <v>-17733.359404309744</v>
      </c>
      <c r="T107" s="96"/>
      <c r="U107" s="96"/>
    </row>
    <row r="108" spans="1:21" ht="27" customHeight="1">
      <c r="A108" s="151"/>
      <c r="B108" s="76" t="s">
        <v>299</v>
      </c>
      <c r="C108" s="77" t="s">
        <v>300</v>
      </c>
      <c r="D108" s="92">
        <v>18290.411759999988</v>
      </c>
      <c r="E108" s="93">
        <v>149611.95387399997</v>
      </c>
      <c r="F108" s="92">
        <v>150878</v>
      </c>
      <c r="G108" s="93">
        <v>263.46588600000001</v>
      </c>
      <c r="H108" s="92">
        <v>20767</v>
      </c>
      <c r="I108" s="93">
        <v>45477</v>
      </c>
      <c r="J108" s="92">
        <v>0</v>
      </c>
      <c r="K108" s="93">
        <v>6865</v>
      </c>
      <c r="L108" s="92">
        <v>0</v>
      </c>
      <c r="M108" s="93">
        <v>0</v>
      </c>
      <c r="N108" s="81">
        <v>189935.41175999999</v>
      </c>
      <c r="O108" s="129">
        <v>202217.41975999996</v>
      </c>
      <c r="P108" s="92">
        <v>44236.186000000002</v>
      </c>
      <c r="Q108" s="93">
        <v>31954.178</v>
      </c>
      <c r="R108" s="81">
        <v>234171.59775999998</v>
      </c>
      <c r="S108" s="81">
        <v>234171.59775999998</v>
      </c>
      <c r="T108" s="96"/>
      <c r="U108" s="96"/>
    </row>
    <row r="109" spans="1:21" ht="27" customHeight="1">
      <c r="A109" s="151"/>
      <c r="B109" s="76" t="s">
        <v>301</v>
      </c>
      <c r="C109" s="77" t="s">
        <v>302</v>
      </c>
      <c r="D109" s="78">
        <v>-12750.107116290912</v>
      </c>
      <c r="E109" s="79">
        <v>-32910.821971030011</v>
      </c>
      <c r="F109" s="78">
        <v>38927.662606500002</v>
      </c>
      <c r="G109" s="79">
        <v>6526</v>
      </c>
      <c r="H109" s="78">
        <v>6000</v>
      </c>
      <c r="I109" s="79">
        <v>0</v>
      </c>
      <c r="J109" s="78">
        <v>31174.542296188301</v>
      </c>
      <c r="K109" s="79">
        <v>0</v>
      </c>
      <c r="L109" s="78">
        <v>0</v>
      </c>
      <c r="M109" s="79">
        <v>0</v>
      </c>
      <c r="N109" s="81">
        <v>63352.097786397389</v>
      </c>
      <c r="O109" s="129">
        <v>-26384.821971030011</v>
      </c>
      <c r="P109" s="78">
        <v>77701.677861219781</v>
      </c>
      <c r="Q109" s="79">
        <v>167438.59761864715</v>
      </c>
      <c r="R109" s="81">
        <v>141053.77564761718</v>
      </c>
      <c r="S109" s="81">
        <v>141053.77564761715</v>
      </c>
      <c r="T109" s="96"/>
      <c r="U109" s="96"/>
    </row>
    <row r="110" spans="1:21" ht="27" customHeight="1">
      <c r="A110" s="151"/>
      <c r="B110" s="76" t="s">
        <v>303</v>
      </c>
      <c r="C110" s="77" t="s">
        <v>304</v>
      </c>
      <c r="D110" s="92">
        <v>-3358.0720000000001</v>
      </c>
      <c r="E110" s="93">
        <v>0</v>
      </c>
      <c r="F110" s="92">
        <v>2253.5450000000001</v>
      </c>
      <c r="G110" s="93">
        <v>-452.52699999999999</v>
      </c>
      <c r="H110" s="92">
        <v>0</v>
      </c>
      <c r="I110" s="93">
        <v>0</v>
      </c>
      <c r="J110" s="92">
        <v>652</v>
      </c>
      <c r="K110" s="93">
        <v>0</v>
      </c>
      <c r="L110" s="92">
        <v>0</v>
      </c>
      <c r="M110" s="93">
        <v>0</v>
      </c>
      <c r="N110" s="81">
        <v>-452.52700000000004</v>
      </c>
      <c r="O110" s="129">
        <v>-452.52699999999999</v>
      </c>
      <c r="P110" s="92"/>
      <c r="Q110" s="93"/>
      <c r="R110" s="81">
        <v>-452.52700000000004</v>
      </c>
      <c r="S110" s="81">
        <v>-452.52699999999999</v>
      </c>
      <c r="T110" s="96"/>
      <c r="U110" s="96"/>
    </row>
    <row r="111" spans="1:21" ht="27" customHeight="1">
      <c r="A111" s="151"/>
      <c r="B111" s="130" t="s">
        <v>305</v>
      </c>
      <c r="C111" s="131" t="s">
        <v>306</v>
      </c>
      <c r="D111" s="92">
        <v>45270.791277878219</v>
      </c>
      <c r="E111" s="93">
        <v>26393.298999999999</v>
      </c>
      <c r="F111" s="92">
        <v>-654.04355480303639</v>
      </c>
      <c r="G111" s="93">
        <v>7401.1301675970608</v>
      </c>
      <c r="H111" s="92">
        <v>656.89762281038566</v>
      </c>
      <c r="I111" s="93">
        <v>-4750</v>
      </c>
      <c r="J111" s="92">
        <v>-13282.904650091354</v>
      </c>
      <c r="K111" s="93"/>
      <c r="L111" s="92">
        <v>85</v>
      </c>
      <c r="M111" s="93"/>
      <c r="N111" s="81">
        <v>32075.740695794215</v>
      </c>
      <c r="O111" s="129">
        <v>29044.42916759706</v>
      </c>
      <c r="P111" s="92">
        <v>-3393.8522987971292</v>
      </c>
      <c r="Q111" s="93">
        <v>-362.174999999997</v>
      </c>
      <c r="R111" s="81">
        <v>28681.888396997085</v>
      </c>
      <c r="S111" s="81">
        <v>28682.254167597064</v>
      </c>
      <c r="T111" s="96"/>
      <c r="U111" s="96"/>
    </row>
    <row r="112" spans="1:21" ht="27" customHeight="1">
      <c r="A112" s="151"/>
      <c r="B112" s="130"/>
      <c r="C112" s="95" t="s">
        <v>307</v>
      </c>
      <c r="D112" s="132">
        <v>229560.78676049277</v>
      </c>
      <c r="E112" s="133">
        <v>100854.58287996997</v>
      </c>
      <c r="F112" s="132">
        <v>242597.16405169698</v>
      </c>
      <c r="G112" s="133">
        <v>67381.06905359705</v>
      </c>
      <c r="H112" s="132">
        <v>-51586.102377189614</v>
      </c>
      <c r="I112" s="133">
        <v>91016</v>
      </c>
      <c r="J112" s="132">
        <v>105853.96078048085</v>
      </c>
      <c r="K112" s="133">
        <v>6865</v>
      </c>
      <c r="L112" s="132">
        <v>852</v>
      </c>
      <c r="M112" s="133">
        <v>0</v>
      </c>
      <c r="N112" s="81">
        <v>527277.80921548093</v>
      </c>
      <c r="O112" s="81">
        <v>266116.65193356702</v>
      </c>
      <c r="P112" s="132">
        <v>118492.38382474268</v>
      </c>
      <c r="Q112" s="133">
        <v>379653.80737725651</v>
      </c>
      <c r="R112" s="81">
        <v>645770.19304022356</v>
      </c>
      <c r="S112" s="81">
        <v>645770.45931082359</v>
      </c>
      <c r="T112" s="96"/>
      <c r="U112" s="96"/>
    </row>
    <row r="113" spans="4:12">
      <c r="D113" s="134"/>
      <c r="F113" s="134"/>
      <c r="H113" s="134"/>
      <c r="J113" s="134"/>
      <c r="L113" s="134"/>
    </row>
  </sheetData>
  <mergeCells count="30">
    <mergeCell ref="A3:S3"/>
    <mergeCell ref="A5:A7"/>
    <mergeCell ref="B5:B7"/>
    <mergeCell ref="C5:C7"/>
    <mergeCell ref="D5:E5"/>
    <mergeCell ref="F5:G5"/>
    <mergeCell ref="H5:I5"/>
    <mergeCell ref="J5:K5"/>
    <mergeCell ref="L5:M5"/>
    <mergeCell ref="N5:O5"/>
    <mergeCell ref="P5:Q5"/>
    <mergeCell ref="R5:S5"/>
    <mergeCell ref="D6:E6"/>
    <mergeCell ref="F6:G6"/>
    <mergeCell ref="H6:I6"/>
    <mergeCell ref="J6:K6"/>
    <mergeCell ref="L6:M6"/>
    <mergeCell ref="N6:O6"/>
    <mergeCell ref="P6:Q6"/>
    <mergeCell ref="R6:S6"/>
    <mergeCell ref="A75:A83"/>
    <mergeCell ref="A84:A91"/>
    <mergeCell ref="A93:A103"/>
    <mergeCell ref="A105:A112"/>
    <mergeCell ref="A8:A9"/>
    <mergeCell ref="A10:A17"/>
    <mergeCell ref="A18:A33"/>
    <mergeCell ref="A34:A54"/>
    <mergeCell ref="A55:A69"/>
    <mergeCell ref="A70:A74"/>
  </mergeCells>
  <printOptions horizontalCentered="1" verticalCentered="1"/>
  <pageMargins left="0.25" right="0.25" top="0.75" bottom="0.75" header="0.3" footer="0.3"/>
  <pageSetup paperSize="9" scale="15" firstPageNumber="30" orientation="landscape" useFirstPageNumber="1" horizontalDpi="4294967295" verticalDpi="4294967295" r:id="rId1"/>
  <headerFooter alignWithMargins="0"/>
  <rowBreaks count="4" manualBreakCount="4">
    <brk id="23" min="1" max="18" man="1"/>
    <brk id="45" min="1" max="18" man="1"/>
    <brk id="61" min="1" max="18" man="1"/>
    <brk id="78" min="1" max="1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ECF9-D835-49CD-9A18-89F8743D3E4F}">
  <dimension ref="A1:V19"/>
  <sheetViews>
    <sheetView workbookViewId="0">
      <selection activeCell="U2" sqref="U2"/>
    </sheetView>
  </sheetViews>
  <sheetFormatPr defaultColWidth="8.77734375" defaultRowHeight="15.6"/>
  <cols>
    <col min="1" max="1" width="36.5546875" style="11" customWidth="1"/>
    <col min="2" max="16384" width="8.77734375" style="11"/>
  </cols>
  <sheetData>
    <row r="1" spans="1:22">
      <c r="B1" s="11" t="s">
        <v>0</v>
      </c>
      <c r="I1" s="11" t="s">
        <v>0</v>
      </c>
      <c r="Q1" s="11" t="s">
        <v>50</v>
      </c>
      <c r="R1" s="11" t="s">
        <v>43</v>
      </c>
      <c r="S1" s="11" t="s">
        <v>42</v>
      </c>
      <c r="T1" s="11" t="s">
        <v>41</v>
      </c>
      <c r="U1" s="11" t="s">
        <v>40</v>
      </c>
      <c r="V1" s="11" t="s">
        <v>39</v>
      </c>
    </row>
    <row r="2" spans="1:22">
      <c r="A2" s="11" t="s">
        <v>50</v>
      </c>
      <c r="B2" s="11" t="s">
        <v>49</v>
      </c>
      <c r="C2" s="11" t="s">
        <v>48</v>
      </c>
      <c r="D2" s="11" t="s">
        <v>47</v>
      </c>
      <c r="E2" s="11" t="s">
        <v>46</v>
      </c>
      <c r="F2" s="11" t="s">
        <v>45</v>
      </c>
      <c r="G2" s="11" t="s">
        <v>44</v>
      </c>
      <c r="I2" s="13" t="s">
        <v>49</v>
      </c>
      <c r="J2" s="13" t="s">
        <v>48</v>
      </c>
      <c r="K2" s="13" t="s">
        <v>47</v>
      </c>
      <c r="L2" s="13" t="s">
        <v>46</v>
      </c>
      <c r="M2" s="13" t="s">
        <v>45</v>
      </c>
      <c r="N2" s="13" t="s">
        <v>44</v>
      </c>
      <c r="Q2" s="13" t="s">
        <v>49</v>
      </c>
      <c r="R2" s="12">
        <v>0.26538188399096568</v>
      </c>
      <c r="S2" s="12">
        <v>1.9701031954506773E-2</v>
      </c>
      <c r="T2" s="12">
        <v>0.10412086577444607</v>
      </c>
      <c r="U2" s="12">
        <v>0.61079621828008257</v>
      </c>
      <c r="V2" s="12">
        <v>1</v>
      </c>
    </row>
    <row r="3" spans="1:22">
      <c r="A3" s="11" t="s">
        <v>43</v>
      </c>
      <c r="B3" s="11">
        <v>711549.89700161305</v>
      </c>
      <c r="C3" s="11">
        <v>810978.77083966404</v>
      </c>
      <c r="D3" s="11">
        <v>843116.74308795005</v>
      </c>
      <c r="E3" s="11">
        <v>856682.85319630802</v>
      </c>
      <c r="F3" s="11">
        <v>931608.68102235999</v>
      </c>
      <c r="G3" s="11">
        <v>988183.84856642899</v>
      </c>
      <c r="I3" s="12">
        <v>0.26538188399096568</v>
      </c>
      <c r="J3" s="12">
        <v>0.25545139104134773</v>
      </c>
      <c r="K3" s="12">
        <v>0.26811423135516349</v>
      </c>
      <c r="L3" s="12">
        <v>0.31112314611325764</v>
      </c>
      <c r="M3" s="12">
        <v>0.28419292285125969</v>
      </c>
      <c r="N3" s="12">
        <v>0.23770743595896524</v>
      </c>
      <c r="Q3" s="13" t="s">
        <v>48</v>
      </c>
      <c r="R3" s="12">
        <v>0.25545139104134773</v>
      </c>
      <c r="S3" s="12">
        <v>4.7429272931342005E-2</v>
      </c>
      <c r="T3" s="12">
        <v>8.8409377329645683E-2</v>
      </c>
      <c r="U3" s="12">
        <v>0.60870995869766609</v>
      </c>
      <c r="V3" s="12">
        <v>1</v>
      </c>
    </row>
    <row r="4" spans="1:22">
      <c r="A4" s="11" t="s">
        <v>42</v>
      </c>
      <c r="B4" s="11">
        <v>52823</v>
      </c>
      <c r="C4" s="11">
        <v>150573.20027454</v>
      </c>
      <c r="D4" s="11">
        <v>168270.34624479001</v>
      </c>
      <c r="E4" s="11">
        <v>160121.80564012</v>
      </c>
      <c r="F4" s="11">
        <v>229675.72812968001</v>
      </c>
      <c r="G4" s="11">
        <v>230892.90401913901</v>
      </c>
      <c r="I4" s="12">
        <v>1.9701031954506773E-2</v>
      </c>
      <c r="J4" s="12">
        <v>4.7429272931342005E-2</v>
      </c>
      <c r="K4" s="12">
        <v>5.351059021559821E-2</v>
      </c>
      <c r="L4" s="12">
        <v>5.8151741623190908E-2</v>
      </c>
      <c r="M4" s="12">
        <v>7.0063984819822026E-2</v>
      </c>
      <c r="N4" s="12">
        <v>5.5541243944769302E-2</v>
      </c>
      <c r="Q4" s="13" t="s">
        <v>47</v>
      </c>
      <c r="R4" s="12">
        <v>0.26811423135516349</v>
      </c>
      <c r="S4" s="12">
        <v>5.351059021559821E-2</v>
      </c>
      <c r="T4" s="12">
        <v>9.4451678560591751E-2</v>
      </c>
      <c r="U4" s="12">
        <v>0.58392349986864811</v>
      </c>
      <c r="V4" s="12">
        <v>1</v>
      </c>
    </row>
    <row r="5" spans="1:22">
      <c r="A5" s="11" t="s">
        <v>41</v>
      </c>
      <c r="B5" s="11">
        <v>279172</v>
      </c>
      <c r="C5" s="11">
        <v>280672.29489422101</v>
      </c>
      <c r="D5" s="11">
        <v>297014.415104685</v>
      </c>
      <c r="E5" s="11">
        <v>311441.16096211103</v>
      </c>
      <c r="F5" s="11">
        <v>323719.92612537002</v>
      </c>
      <c r="G5" s="11">
        <v>349476.66796424001</v>
      </c>
      <c r="I5" s="12">
        <v>0.10412086577444607</v>
      </c>
      <c r="J5" s="12">
        <v>8.8409377329645683E-2</v>
      </c>
      <c r="K5" s="12">
        <v>9.4451678560591751E-2</v>
      </c>
      <c r="L5" s="12">
        <v>0.11310668057166508</v>
      </c>
      <c r="M5" s="12">
        <v>9.8752742288534617E-2</v>
      </c>
      <c r="N5" s="12">
        <v>8.4066545703795403E-2</v>
      </c>
      <c r="Q5" s="13" t="s">
        <v>46</v>
      </c>
      <c r="R5" s="12">
        <v>0.31112314611325764</v>
      </c>
      <c r="S5" s="12">
        <v>5.8151741623190908E-2</v>
      </c>
      <c r="T5" s="12">
        <v>0.11310668057166508</v>
      </c>
      <c r="U5" s="12">
        <v>0.51761843169188604</v>
      </c>
      <c r="V5" s="12">
        <v>1</v>
      </c>
    </row>
    <row r="6" spans="1:22">
      <c r="A6" s="11" t="s">
        <v>40</v>
      </c>
      <c r="B6" s="11">
        <v>1637685.2092170799</v>
      </c>
      <c r="C6" s="11">
        <v>1932464.92841604</v>
      </c>
      <c r="D6" s="11">
        <v>1836216.1416549899</v>
      </c>
      <c r="E6" s="11">
        <v>1425271.12003226</v>
      </c>
      <c r="F6" s="11">
        <v>1793081.0993480801</v>
      </c>
      <c r="G6" s="11">
        <v>2588589.7692703698</v>
      </c>
      <c r="I6" s="12">
        <v>0.61079621828008257</v>
      </c>
      <c r="J6" s="12">
        <v>0.60870995869766609</v>
      </c>
      <c r="K6" s="12">
        <v>0.58392349986864811</v>
      </c>
      <c r="L6" s="12">
        <v>0.51761843169188604</v>
      </c>
      <c r="M6" s="12">
        <v>0.54699035004038365</v>
      </c>
      <c r="N6" s="12">
        <v>0.6226847743924695</v>
      </c>
      <c r="Q6" s="13" t="s">
        <v>45</v>
      </c>
      <c r="R6" s="12">
        <v>0.28419292285125969</v>
      </c>
      <c r="S6" s="12">
        <v>7.0063984819822026E-2</v>
      </c>
      <c r="T6" s="12">
        <v>9.8752742288534617E-2</v>
      </c>
      <c r="U6" s="12">
        <v>0.54699035004038365</v>
      </c>
      <c r="V6" s="12">
        <v>1</v>
      </c>
    </row>
    <row r="7" spans="1:22">
      <c r="A7" s="11" t="s">
        <v>39</v>
      </c>
      <c r="B7" s="11">
        <v>2681230.1062186901</v>
      </c>
      <c r="C7" s="11">
        <v>3174689.1944244602</v>
      </c>
      <c r="D7" s="11">
        <v>3144617.6460924102</v>
      </c>
      <c r="E7" s="11">
        <v>2753516.9398308001</v>
      </c>
      <c r="F7" s="11">
        <v>3278085.4346254901</v>
      </c>
      <c r="G7" s="11">
        <v>4157143.1898201802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Q7" s="13" t="s">
        <v>44</v>
      </c>
      <c r="R7" s="12">
        <v>0.23770743595896524</v>
      </c>
      <c r="S7" s="12">
        <v>5.5541243944769302E-2</v>
      </c>
      <c r="T7" s="12">
        <v>8.4066545703795403E-2</v>
      </c>
      <c r="U7" s="12">
        <v>0.6226847743924695</v>
      </c>
      <c r="V7" s="12">
        <v>1</v>
      </c>
    </row>
    <row r="11" spans="1:22">
      <c r="A11" s="11" t="s">
        <v>38</v>
      </c>
      <c r="B11" s="15" t="s">
        <v>51</v>
      </c>
    </row>
    <row r="12" spans="1:22">
      <c r="A12" s="11" t="s">
        <v>37</v>
      </c>
    </row>
    <row r="13" spans="1:22">
      <c r="A13" s="11" t="s">
        <v>36</v>
      </c>
    </row>
    <row r="14" spans="1:22">
      <c r="A14" s="11" t="s">
        <v>35</v>
      </c>
    </row>
    <row r="15" spans="1:22">
      <c r="A15" s="11" t="s">
        <v>34</v>
      </c>
    </row>
    <row r="16" spans="1:22">
      <c r="A16" s="11" t="s">
        <v>33</v>
      </c>
    </row>
    <row r="17" spans="1:1">
      <c r="A17" s="11" t="s">
        <v>32</v>
      </c>
    </row>
    <row r="18" spans="1:1">
      <c r="A18" s="11" t="s">
        <v>31</v>
      </c>
    </row>
    <row r="19" spans="1:1">
      <c r="A19" s="11" t="s">
        <v>30</v>
      </c>
    </row>
  </sheetData>
  <hyperlinks>
    <hyperlink ref="B11" r:id="rId1" xr:uid="{F1649CC4-A5E5-4B8B-AFA6-73BC825E885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9DD4-2945-4298-9F0F-F2BCBB10E900}">
  <dimension ref="A1:P34"/>
  <sheetViews>
    <sheetView zoomScale="85" zoomScaleNormal="85" workbookViewId="0">
      <selection activeCell="N40" sqref="N40"/>
    </sheetView>
  </sheetViews>
  <sheetFormatPr defaultColWidth="8.77734375" defaultRowHeight="15.6"/>
  <cols>
    <col min="1" max="16384" width="8.77734375" style="11"/>
  </cols>
  <sheetData>
    <row r="1" spans="1:16">
      <c r="C1" s="11" t="s">
        <v>0</v>
      </c>
    </row>
    <row r="2" spans="1:16">
      <c r="A2" s="11" t="s">
        <v>81</v>
      </c>
      <c r="B2" s="11" t="s">
        <v>80</v>
      </c>
      <c r="C2" s="11" t="s">
        <v>79</v>
      </c>
      <c r="D2" s="11" t="s">
        <v>78</v>
      </c>
      <c r="E2" s="11" t="s">
        <v>77</v>
      </c>
      <c r="F2" s="11" t="s">
        <v>18</v>
      </c>
      <c r="G2" s="11" t="s">
        <v>19</v>
      </c>
      <c r="H2" s="11" t="s">
        <v>20</v>
      </c>
      <c r="I2" s="11" t="s">
        <v>76</v>
      </c>
      <c r="J2" s="11" t="s">
        <v>49</v>
      </c>
      <c r="K2" s="11" t="s">
        <v>48</v>
      </c>
      <c r="L2" s="11" t="s">
        <v>47</v>
      </c>
      <c r="M2" s="11" t="s">
        <v>46</v>
      </c>
      <c r="N2" s="11" t="s">
        <v>45</v>
      </c>
      <c r="O2" s="11" t="s">
        <v>44</v>
      </c>
      <c r="P2" s="11" t="s">
        <v>75</v>
      </c>
    </row>
    <row r="3" spans="1:16">
      <c r="A3" s="11" t="s">
        <v>74</v>
      </c>
      <c r="B3" s="11" t="s">
        <v>73</v>
      </c>
      <c r="C3" s="11">
        <v>880392.58000000007</v>
      </c>
      <c r="D3" s="11">
        <v>1276416.4100000001</v>
      </c>
      <c r="E3" s="11">
        <v>1376577.13</v>
      </c>
      <c r="F3" s="11">
        <v>1290793.82</v>
      </c>
      <c r="G3" s="11">
        <v>1197428.46</v>
      </c>
      <c r="H3" s="11">
        <v>659699.39</v>
      </c>
      <c r="I3" s="11">
        <v>595540.81999999995</v>
      </c>
      <c r="J3" s="11">
        <v>735363.05</v>
      </c>
      <c r="K3" s="11">
        <v>1086260.6099999999</v>
      </c>
      <c r="L3" s="11">
        <v>958288.36999999988</v>
      </c>
      <c r="M3" s="11">
        <v>612500.02</v>
      </c>
      <c r="N3" s="11">
        <v>928650.94</v>
      </c>
      <c r="O3" s="11">
        <v>1617919.35</v>
      </c>
      <c r="P3" s="11">
        <v>885561.34</v>
      </c>
    </row>
    <row r="4" spans="1:16">
      <c r="A4" s="11" t="s">
        <v>72</v>
      </c>
      <c r="B4" s="11" t="s">
        <v>71</v>
      </c>
      <c r="C4" s="11">
        <v>1085716.0900000001</v>
      </c>
      <c r="D4" s="11">
        <v>1243678.26</v>
      </c>
      <c r="E4" s="11">
        <v>1383866.34</v>
      </c>
      <c r="F4" s="11">
        <v>1515024.21</v>
      </c>
      <c r="G4" s="11">
        <v>1653823.84</v>
      </c>
      <c r="H4" s="11">
        <v>1824872.03</v>
      </c>
      <c r="I4" s="11">
        <v>1876096.72</v>
      </c>
      <c r="J4" s="11">
        <v>1922489.0499999998</v>
      </c>
      <c r="K4" s="11">
        <v>2003691.38</v>
      </c>
      <c r="L4" s="11">
        <v>2094384.86</v>
      </c>
      <c r="M4" s="11">
        <v>2023746.8699999999</v>
      </c>
      <c r="N4" s="11">
        <v>2151579.96</v>
      </c>
      <c r="O4" s="11">
        <v>2348160.1100000003</v>
      </c>
      <c r="P4" s="11">
        <v>1986735.58</v>
      </c>
    </row>
    <row r="5" spans="1:16">
      <c r="A5" s="11" t="s">
        <v>70</v>
      </c>
      <c r="B5" s="11" t="s">
        <v>69</v>
      </c>
      <c r="C5" s="11">
        <v>332671.13</v>
      </c>
      <c r="D5" s="11">
        <v>371169.46</v>
      </c>
      <c r="E5" s="11">
        <v>413473.06</v>
      </c>
      <c r="F5" s="11">
        <v>436992.1</v>
      </c>
      <c r="G5" s="11">
        <v>465787.45</v>
      </c>
      <c r="H5" s="11">
        <v>554394.57999999996</v>
      </c>
      <c r="I5" s="11">
        <v>569764.96</v>
      </c>
      <c r="J5" s="11">
        <v>576257.09</v>
      </c>
      <c r="K5" s="11">
        <v>645503.61</v>
      </c>
      <c r="L5" s="11">
        <v>674981.97</v>
      </c>
      <c r="M5" s="11">
        <v>663347.43999999994</v>
      </c>
      <c r="N5" s="11">
        <v>667942.6</v>
      </c>
      <c r="O5" s="11">
        <v>700710.95000000007</v>
      </c>
      <c r="P5" s="11">
        <v>568854.34</v>
      </c>
    </row>
    <row r="6" spans="1:16">
      <c r="A6" s="11" t="s">
        <v>68</v>
      </c>
      <c r="B6" s="11" t="s">
        <v>67</v>
      </c>
      <c r="C6" s="11">
        <v>753044.97</v>
      </c>
      <c r="D6" s="11">
        <v>872508.8</v>
      </c>
      <c r="E6" s="11">
        <v>970393.26</v>
      </c>
      <c r="F6" s="11">
        <v>1078032.1000000001</v>
      </c>
      <c r="G6" s="11">
        <v>1188036.3900000001</v>
      </c>
      <c r="H6" s="11">
        <v>1270477.45</v>
      </c>
      <c r="I6" s="11">
        <v>1306331.76</v>
      </c>
      <c r="J6" s="11">
        <v>1346231.95</v>
      </c>
      <c r="K6" s="11">
        <v>1358187.7899999998</v>
      </c>
      <c r="L6" s="11">
        <v>1419402.8900000001</v>
      </c>
      <c r="M6" s="11">
        <v>1360399.4500000002</v>
      </c>
      <c r="N6" s="11">
        <v>1483637.3599999999</v>
      </c>
      <c r="O6" s="11">
        <v>1647449.14</v>
      </c>
      <c r="P6" s="11">
        <v>1417881.24</v>
      </c>
    </row>
    <row r="7" spans="1:16">
      <c r="A7" s="11" t="s">
        <v>66</v>
      </c>
      <c r="B7" s="11" t="s">
        <v>65</v>
      </c>
      <c r="C7" s="11">
        <v>1966108.66</v>
      </c>
      <c r="D7" s="11">
        <v>2520094.66</v>
      </c>
      <c r="E7" s="11">
        <v>2760443.44</v>
      </c>
      <c r="F7" s="11">
        <v>2805818.04</v>
      </c>
      <c r="G7" s="11">
        <v>2851252.3</v>
      </c>
      <c r="H7" s="11">
        <v>2484571.4300000002</v>
      </c>
      <c r="I7" s="11">
        <v>2471637.5500000003</v>
      </c>
      <c r="J7" s="11">
        <v>2657852.1100000003</v>
      </c>
      <c r="K7" s="11">
        <v>3089951.98</v>
      </c>
      <c r="L7" s="11">
        <v>3052673.2199999997</v>
      </c>
      <c r="M7" s="11">
        <v>2636246.91</v>
      </c>
      <c r="N7" s="11">
        <v>3080230.88</v>
      </c>
      <c r="O7" s="11">
        <v>3966079.44</v>
      </c>
      <c r="P7" s="11">
        <v>2872296.92</v>
      </c>
    </row>
    <row r="8" spans="1:16">
      <c r="A8" s="11" t="s">
        <v>64</v>
      </c>
      <c r="B8" s="11" t="s">
        <v>63</v>
      </c>
      <c r="C8" s="11">
        <v>14668.7</v>
      </c>
      <c r="D8" s="11">
        <v>17285</v>
      </c>
      <c r="E8" s="11">
        <v>21494</v>
      </c>
      <c r="F8" s="11">
        <v>21174</v>
      </c>
      <c r="G8" s="11">
        <v>23520</v>
      </c>
      <c r="H8" s="11">
        <v>25995</v>
      </c>
      <c r="I8" s="11">
        <v>25862</v>
      </c>
      <c r="J8" s="11">
        <v>23378</v>
      </c>
      <c r="K8" s="11">
        <v>84737.24</v>
      </c>
      <c r="L8" s="11">
        <v>91944.420000000013</v>
      </c>
      <c r="M8" s="11">
        <v>117270.03</v>
      </c>
      <c r="N8" s="11">
        <v>197854.55</v>
      </c>
      <c r="O8" s="11">
        <v>191063.74000000002</v>
      </c>
      <c r="P8" s="11">
        <v>172963.31</v>
      </c>
    </row>
    <row r="9" spans="1:16">
      <c r="A9" s="11" t="s">
        <v>62</v>
      </c>
      <c r="B9" s="11" t="s">
        <v>39</v>
      </c>
      <c r="C9" s="11">
        <v>1980777.36</v>
      </c>
      <c r="D9" s="11">
        <v>2537379.66</v>
      </c>
      <c r="E9" s="11">
        <v>2781937.44</v>
      </c>
      <c r="F9" s="11">
        <v>2826992.04</v>
      </c>
      <c r="G9" s="11">
        <v>2874772.3</v>
      </c>
      <c r="H9" s="11">
        <v>2510566.4300000002</v>
      </c>
      <c r="I9" s="11">
        <v>2497499.5500000003</v>
      </c>
      <c r="J9" s="11">
        <v>2681230.11</v>
      </c>
      <c r="K9" s="11">
        <v>3174689.21</v>
      </c>
      <c r="L9" s="11">
        <v>3144617.6399999997</v>
      </c>
      <c r="M9" s="11">
        <v>2753516.94</v>
      </c>
      <c r="N9" s="11">
        <v>3278085.44</v>
      </c>
      <c r="O9" s="11">
        <v>4157143.1900000004</v>
      </c>
      <c r="P9" s="11">
        <v>3045260.25</v>
      </c>
    </row>
    <row r="12" spans="1:16">
      <c r="C12" s="11" t="s">
        <v>0</v>
      </c>
    </row>
    <row r="13" spans="1:16">
      <c r="A13" s="11" t="s">
        <v>81</v>
      </c>
      <c r="B13" s="11" t="s">
        <v>80</v>
      </c>
      <c r="C13" s="11" t="s">
        <v>79</v>
      </c>
      <c r="D13" s="11" t="s">
        <v>78</v>
      </c>
      <c r="E13" s="11" t="s">
        <v>77</v>
      </c>
      <c r="F13" s="11" t="s">
        <v>18</v>
      </c>
      <c r="G13" s="11" t="s">
        <v>19</v>
      </c>
      <c r="H13" s="11" t="s">
        <v>20</v>
      </c>
      <c r="I13" s="11" t="s">
        <v>76</v>
      </c>
      <c r="J13" s="11" t="s">
        <v>49</v>
      </c>
      <c r="K13" s="11" t="s">
        <v>48</v>
      </c>
      <c r="L13" s="11" t="s">
        <v>47</v>
      </c>
      <c r="M13" s="11" t="s">
        <v>46</v>
      </c>
      <c r="N13" s="11" t="s">
        <v>45</v>
      </c>
      <c r="O13" s="11" t="s">
        <v>44</v>
      </c>
      <c r="P13" s="11" t="s">
        <v>75</v>
      </c>
    </row>
    <row r="14" spans="1:16">
      <c r="A14" s="11" t="s">
        <v>74</v>
      </c>
      <c r="B14" s="11" t="s">
        <v>73</v>
      </c>
      <c r="C14" s="12">
        <v>0.4444682162562682</v>
      </c>
      <c r="D14" s="12">
        <v>0.50304510204830766</v>
      </c>
      <c r="E14" s="12">
        <v>0.4948267743936039</v>
      </c>
      <c r="F14" s="12">
        <v>0.4565961989762094</v>
      </c>
      <c r="G14" s="12">
        <v>0.41652984481588334</v>
      </c>
      <c r="H14" s="12">
        <v>0.2627691432964791</v>
      </c>
      <c r="I14" s="12">
        <v>0.2384548257476162</v>
      </c>
      <c r="J14" s="12">
        <v>0.27426331192439135</v>
      </c>
      <c r="K14" s="12">
        <v>0.34216281914411389</v>
      </c>
      <c r="L14" s="12">
        <v>0.30473923373399381</v>
      </c>
      <c r="M14" s="12">
        <v>0.22244280073323247</v>
      </c>
      <c r="N14" s="12">
        <v>0.28329064540794885</v>
      </c>
      <c r="O14" s="12">
        <v>0.38919019048752079</v>
      </c>
      <c r="P14" s="12">
        <v>0.29079988812122048</v>
      </c>
    </row>
    <row r="15" spans="1:16">
      <c r="A15" s="11" t="s">
        <v>72</v>
      </c>
      <c r="B15" s="11" t="s">
        <v>71</v>
      </c>
      <c r="C15" s="12">
        <v>0.54812626190355895</v>
      </c>
      <c r="D15" s="12">
        <v>0.49014275616917335</v>
      </c>
      <c r="E15" s="12">
        <v>0.49744696631280111</v>
      </c>
      <c r="F15" s="12">
        <v>0.53591385775532641</v>
      </c>
      <c r="G15" s="12">
        <v>0.5752886376427101</v>
      </c>
      <c r="H15" s="12">
        <v>0.72687661564884376</v>
      </c>
      <c r="I15" s="12">
        <v>0.75119001322742973</v>
      </c>
      <c r="J15" s="12">
        <v>0.71701755206680118</v>
      </c>
      <c r="K15" s="12">
        <v>0.63114567992625648</v>
      </c>
      <c r="L15" s="12">
        <v>0.66602210499588765</v>
      </c>
      <c r="M15" s="12">
        <v>0.73496801149151458</v>
      </c>
      <c r="N15" s="12">
        <v>0.65635261782560494</v>
      </c>
      <c r="O15" s="12">
        <v>0.56484946576978512</v>
      </c>
      <c r="P15" s="12">
        <v>0.65240255902594868</v>
      </c>
    </row>
    <row r="16" spans="1:16">
      <c r="A16" s="11" t="s">
        <v>70</v>
      </c>
      <c r="B16" s="11" t="s">
        <v>69</v>
      </c>
      <c r="C16" s="12">
        <v>0.16794978411909958</v>
      </c>
      <c r="D16" s="12">
        <v>0.14628061612190901</v>
      </c>
      <c r="E16" s="12">
        <v>0.14862773477752972</v>
      </c>
      <c r="F16" s="12">
        <v>0.15457846849826998</v>
      </c>
      <c r="G16" s="12">
        <v>0.16202585853495249</v>
      </c>
      <c r="H16" s="12">
        <v>0.22082450134569828</v>
      </c>
      <c r="I16" s="12">
        <v>0.22813415922337199</v>
      </c>
      <c r="J16" s="12">
        <v>0.21492265354278003</v>
      </c>
      <c r="K16" s="12">
        <v>0.20332812672393843</v>
      </c>
      <c r="L16" s="12">
        <v>0.214646754318913</v>
      </c>
      <c r="M16" s="12">
        <v>0.24090915525654982</v>
      </c>
      <c r="N16" s="12">
        <v>0.20375997277239974</v>
      </c>
      <c r="O16" s="12">
        <v>0.16855588512937414</v>
      </c>
      <c r="P16" s="12">
        <v>0.18679990979424499</v>
      </c>
    </row>
    <row r="17" spans="1:16">
      <c r="A17" s="11" t="s">
        <v>68</v>
      </c>
      <c r="B17" s="11" t="s">
        <v>67</v>
      </c>
      <c r="C17" s="12">
        <v>0.38017648283298228</v>
      </c>
      <c r="D17" s="12">
        <v>0.34386214004726434</v>
      </c>
      <c r="E17" s="12">
        <v>0.34881922434603707</v>
      </c>
      <c r="F17" s="12">
        <v>0.38133538571972775</v>
      </c>
      <c r="G17" s="12">
        <v>0.41326277910775761</v>
      </c>
      <c r="H17" s="12">
        <v>0.50605211430314545</v>
      </c>
      <c r="I17" s="12">
        <v>0.52305585400405774</v>
      </c>
      <c r="J17" s="12">
        <v>0.50209489479438973</v>
      </c>
      <c r="K17" s="12">
        <v>0.42781755950214723</v>
      </c>
      <c r="L17" s="12">
        <v>0.4513753506769746</v>
      </c>
      <c r="M17" s="12">
        <v>0.49405886349840294</v>
      </c>
      <c r="N17" s="12">
        <v>0.45259264505320518</v>
      </c>
      <c r="O17" s="12">
        <v>0.39629357582941466</v>
      </c>
      <c r="P17" s="12">
        <v>0.46560264923170358</v>
      </c>
    </row>
    <row r="18" spans="1:16">
      <c r="A18" s="11" t="s">
        <v>66</v>
      </c>
      <c r="B18" s="11" t="s">
        <v>65</v>
      </c>
      <c r="C18" s="12">
        <v>0.992594473111304</v>
      </c>
      <c r="D18" s="12">
        <v>0.99318785427640732</v>
      </c>
      <c r="E18" s="12">
        <v>0.99227372992255358</v>
      </c>
      <c r="F18" s="12">
        <v>0.99251006026886446</v>
      </c>
      <c r="G18" s="12">
        <v>0.99181848245859328</v>
      </c>
      <c r="H18" s="12">
        <v>0.98964576292848783</v>
      </c>
      <c r="I18" s="12">
        <v>0.98964484297905075</v>
      </c>
      <c r="J18" s="12">
        <v>0.99128086772082402</v>
      </c>
      <c r="K18" s="12">
        <v>0.97330849592045576</v>
      </c>
      <c r="L18" s="12">
        <v>0.97076133554984445</v>
      </c>
      <c r="M18" s="12">
        <v>0.95741081948818529</v>
      </c>
      <c r="N18" s="12">
        <v>0.93964325713243158</v>
      </c>
      <c r="O18" s="12">
        <v>0.95403965144630953</v>
      </c>
      <c r="P18" s="12">
        <v>0.94320244714716905</v>
      </c>
    </row>
    <row r="19" spans="1:16">
      <c r="A19" s="11" t="s">
        <v>64</v>
      </c>
      <c r="B19" s="11" t="s">
        <v>63</v>
      </c>
      <c r="C19" s="12">
        <v>7.4055268886958599E-3</v>
      </c>
      <c r="D19" s="12">
        <v>6.812145723592661E-3</v>
      </c>
      <c r="E19" s="12">
        <v>7.7262700774464576E-3</v>
      </c>
      <c r="F19" s="12">
        <v>7.4899397311355715E-3</v>
      </c>
      <c r="G19" s="12">
        <v>8.1815175414066705E-3</v>
      </c>
      <c r="H19" s="12">
        <v>1.0354237071512184E-2</v>
      </c>
      <c r="I19" s="12">
        <v>1.0355157020949211E-2</v>
      </c>
      <c r="J19" s="12">
        <v>8.7191322791761432E-3</v>
      </c>
      <c r="K19" s="12">
        <v>2.6691507229458851E-2</v>
      </c>
      <c r="L19" s="12">
        <v>2.9238664450155542E-2</v>
      </c>
      <c r="M19" s="12">
        <v>4.2589180511814831E-2</v>
      </c>
      <c r="N19" s="12">
        <v>6.0356739817007329E-2</v>
      </c>
      <c r="O19" s="12">
        <v>4.5960346148192215E-2</v>
      </c>
      <c r="P19" s="12">
        <v>5.6797546285247705E-2</v>
      </c>
    </row>
    <row r="20" spans="1:16">
      <c r="A20" s="11" t="s">
        <v>62</v>
      </c>
      <c r="B20" s="11" t="s">
        <v>39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1</v>
      </c>
      <c r="O20" s="12">
        <v>1</v>
      </c>
      <c r="P20" s="12">
        <v>1</v>
      </c>
    </row>
    <row r="25" spans="1:16">
      <c r="A25" s="11" t="s">
        <v>38</v>
      </c>
    </row>
    <row r="26" spans="1:16">
      <c r="A26" s="11" t="s">
        <v>61</v>
      </c>
    </row>
    <row r="27" spans="1:16">
      <c r="A27" s="11" t="s">
        <v>60</v>
      </c>
    </row>
    <row r="28" spans="1:16">
      <c r="A28" s="11" t="s">
        <v>59</v>
      </c>
    </row>
    <row r="29" spans="1:16">
      <c r="A29" s="11" t="s">
        <v>58</v>
      </c>
    </row>
    <row r="30" spans="1:16">
      <c r="A30" s="11" t="s">
        <v>34</v>
      </c>
    </row>
    <row r="31" spans="1:16">
      <c r="A31" s="11" t="s">
        <v>33</v>
      </c>
    </row>
    <row r="32" spans="1:16">
      <c r="A32" s="11" t="s">
        <v>57</v>
      </c>
    </row>
    <row r="33" spans="1:1">
      <c r="A33" s="11" t="s">
        <v>56</v>
      </c>
    </row>
    <row r="34" spans="1:1">
      <c r="A34" s="1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758E6F-98A8-4C39-BE92-31E8496F0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SA</vt:lpstr>
      <vt:lpstr>SA_raw Sheet2</vt:lpstr>
      <vt:lpstr>SA_raw_data_2018</vt:lpstr>
      <vt:lpstr>SAW_rawReport</vt:lpstr>
      <vt:lpstr>SA_RAWInstitutional</vt:lpstr>
      <vt:lpstr>SA_raw_data_2018!Print_Area</vt:lpstr>
      <vt:lpstr>SA_raw_data_2018!Print_Titles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Jonas Dietrich</cp:lastModifiedBy>
  <dcterms:created xsi:type="dcterms:W3CDTF">2024-12-17T10:29:32Z</dcterms:created>
  <dcterms:modified xsi:type="dcterms:W3CDTF">2025-07-04T15:14:15Z</dcterms:modified>
</cp:coreProperties>
</file>