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Lenovo\Documents\GitHub\WIL_sector_output\WIL_GitHub\data-input\country-sheets\"/>
    </mc:Choice>
  </mc:AlternateContent>
  <xr:revisionPtr revIDLastSave="0" documentId="13_ncr:1_{69F607C6-93FC-4CC6-A74E-D28906CA1291}" xr6:coauthVersionLast="47" xr6:coauthVersionMax="47" xr10:uidLastSave="{00000000-0000-0000-0000-000000000000}"/>
  <bookViews>
    <workbookView xWindow="-96" yWindow="-96" windowWidth="23232" windowHeight="12432" xr2:uid="{D2FF2097-F12D-4209-B15C-B7B479B8D325}"/>
  </bookViews>
  <sheets>
    <sheet name="SE" sheetId="5" r:id="rId1"/>
    <sheet name="Data" sheetId="1" r:id="rId2"/>
    <sheet name="Explanations" sheetId="2" r:id="rId3"/>
    <sheet name="About file" sheetId="3" r:id="rId4"/>
    <sheet name="Sweden" sheetId="4" r:id="rId5"/>
  </sheets>
  <definedNames>
    <definedName name="OLE_LINK1" localSheetId="2">Explanations!$A$9</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26" i="5" l="1"/>
  <c r="J115" i="5"/>
  <c r="Q131" i="5"/>
  <c r="S60" i="5"/>
  <c r="S59" i="5"/>
  <c r="S118" i="5"/>
  <c r="Y118" i="5"/>
  <c r="X118" i="5"/>
  <c r="N118" i="5"/>
  <c r="J118" i="5"/>
  <c r="S115" i="5"/>
  <c r="Y115" i="5"/>
  <c r="X115" i="5"/>
  <c r="S116" i="5"/>
  <c r="Y116" i="5"/>
  <c r="X116" i="5"/>
  <c r="S117" i="5"/>
  <c r="Y117" i="5"/>
  <c r="X117" i="5"/>
  <c r="S119" i="5"/>
  <c r="Y119" i="5"/>
  <c r="X119" i="5"/>
  <c r="S120" i="5"/>
  <c r="Y120" i="5"/>
  <c r="X120" i="5"/>
  <c r="S121" i="5"/>
  <c r="Y121" i="5"/>
  <c r="X121" i="5"/>
  <c r="S122" i="5"/>
  <c r="Y122" i="5"/>
  <c r="X122" i="5"/>
  <c r="S123" i="5"/>
  <c r="Y123" i="5"/>
  <c r="X123" i="5"/>
  <c r="S124" i="5"/>
  <c r="Y124" i="5"/>
  <c r="X124" i="5"/>
  <c r="S125" i="5"/>
  <c r="Y125" i="5"/>
  <c r="X125" i="5"/>
  <c r="S126" i="5"/>
  <c r="X126" i="5"/>
  <c r="S127" i="5"/>
  <c r="Y127" i="5"/>
  <c r="X127" i="5"/>
  <c r="S128" i="5"/>
  <c r="Y128" i="5"/>
  <c r="X128" i="5"/>
  <c r="S129" i="5"/>
  <c r="Y129" i="5"/>
  <c r="X129" i="5"/>
  <c r="S130" i="5"/>
  <c r="Y130" i="5"/>
  <c r="X130" i="5"/>
  <c r="S131" i="5"/>
  <c r="Y131" i="5"/>
  <c r="X131" i="5"/>
  <c r="S132" i="5"/>
  <c r="Y132" i="5"/>
  <c r="X132" i="5"/>
  <c r="S133" i="5"/>
  <c r="Y133" i="5"/>
  <c r="X133" i="5"/>
  <c r="S134" i="5"/>
  <c r="Y134" i="5"/>
  <c r="X134" i="5"/>
  <c r="S135" i="5"/>
  <c r="Y135" i="5"/>
  <c r="X135" i="5"/>
  <c r="S136" i="5"/>
  <c r="Y136" i="5"/>
  <c r="X136" i="5"/>
  <c r="S137" i="5"/>
  <c r="Y137" i="5"/>
  <c r="X137" i="5"/>
  <c r="S138" i="5"/>
  <c r="Y138" i="5"/>
  <c r="X138" i="5"/>
  <c r="S139" i="5"/>
  <c r="Y139" i="5"/>
  <c r="X139" i="5"/>
  <c r="S140" i="5"/>
  <c r="Y140" i="5"/>
  <c r="X140" i="5"/>
  <c r="S141" i="5"/>
  <c r="Y141" i="5"/>
  <c r="X141" i="5"/>
  <c r="S142" i="5"/>
  <c r="Y142" i="5"/>
  <c r="X142" i="5"/>
  <c r="S143" i="5"/>
  <c r="Y143" i="5"/>
  <c r="X143" i="5"/>
  <c r="S144" i="5"/>
  <c r="Y144" i="5"/>
  <c r="X144" i="5"/>
  <c r="S145" i="5"/>
  <c r="Y145" i="5"/>
  <c r="X145" i="5"/>
  <c r="S146" i="5"/>
  <c r="Y146" i="5"/>
  <c r="X146" i="5"/>
  <c r="S147" i="5"/>
  <c r="Y147" i="5"/>
  <c r="X147" i="5"/>
  <c r="S148" i="5"/>
  <c r="Y148" i="5"/>
  <c r="X148" i="5"/>
  <c r="S149" i="5"/>
  <c r="Y149" i="5"/>
  <c r="X149" i="5"/>
  <c r="S150" i="5"/>
  <c r="Y150" i="5"/>
  <c r="X150" i="5"/>
  <c r="S151" i="5"/>
  <c r="Y151" i="5"/>
  <c r="X151" i="5"/>
  <c r="S152" i="5"/>
  <c r="Y152" i="5"/>
  <c r="X152" i="5"/>
  <c r="S153" i="5"/>
  <c r="Y153" i="5"/>
  <c r="X153" i="5"/>
  <c r="S154" i="5"/>
  <c r="Y154" i="5"/>
  <c r="X154" i="5"/>
  <c r="S155" i="5"/>
  <c r="Y155" i="5"/>
  <c r="X155" i="5"/>
  <c r="S156" i="5"/>
  <c r="Y156" i="5"/>
  <c r="X156" i="5"/>
  <c r="S157" i="5"/>
  <c r="Y157" i="5"/>
  <c r="X157" i="5"/>
  <c r="S158" i="5"/>
  <c r="Y158" i="5"/>
  <c r="X158" i="5"/>
  <c r="S159" i="5"/>
  <c r="Y159" i="5"/>
  <c r="X159" i="5"/>
  <c r="S160" i="5"/>
  <c r="Y160" i="5"/>
  <c r="X160" i="5"/>
  <c r="S161" i="5"/>
  <c r="Y161" i="5"/>
  <c r="X161" i="5"/>
  <c r="S162" i="5"/>
  <c r="Y162" i="5"/>
  <c r="X162" i="5"/>
  <c r="S163" i="5"/>
  <c r="Y163" i="5"/>
  <c r="X163" i="5"/>
  <c r="S164" i="5"/>
  <c r="Y164" i="5"/>
  <c r="X164" i="5"/>
  <c r="S165" i="5"/>
  <c r="Y165" i="5"/>
  <c r="X165" i="5"/>
  <c r="S166" i="5"/>
  <c r="Y166" i="5"/>
  <c r="X166" i="5"/>
  <c r="S167" i="5"/>
  <c r="Y167" i="5"/>
  <c r="X167" i="5"/>
  <c r="S168" i="5"/>
  <c r="Y168" i="5"/>
  <c r="X168" i="5"/>
  <c r="S169" i="5"/>
  <c r="Y169" i="5"/>
  <c r="X169" i="5"/>
  <c r="S170" i="5"/>
  <c r="Y170" i="5"/>
  <c r="X170" i="5"/>
  <c r="S171" i="5"/>
  <c r="Y171" i="5"/>
  <c r="X171" i="5"/>
  <c r="S172" i="5"/>
  <c r="Y172" i="5"/>
  <c r="X172" i="5"/>
  <c r="S173" i="5"/>
  <c r="Y173" i="5"/>
  <c r="X173" i="5"/>
  <c r="S174" i="5"/>
  <c r="Y174" i="5"/>
  <c r="X174" i="5"/>
  <c r="S175" i="5"/>
  <c r="Y175" i="5"/>
  <c r="X175" i="5"/>
  <c r="S176" i="5"/>
  <c r="Y176" i="5"/>
  <c r="X176" i="5"/>
  <c r="S177" i="5"/>
  <c r="Y177" i="5"/>
  <c r="X177" i="5"/>
  <c r="S178" i="5"/>
  <c r="Y178" i="5"/>
  <c r="X178" i="5"/>
  <c r="S179" i="5"/>
  <c r="Y179" i="5"/>
  <c r="X179" i="5"/>
  <c r="S180" i="5"/>
  <c r="Y180" i="5"/>
  <c r="X180" i="5"/>
  <c r="S181" i="5"/>
  <c r="Y181" i="5"/>
  <c r="X181" i="5"/>
  <c r="S182" i="5"/>
  <c r="Y182" i="5"/>
  <c r="X182" i="5"/>
  <c r="S183" i="5"/>
  <c r="Y183" i="5"/>
  <c r="X183" i="5"/>
  <c r="S184" i="5"/>
  <c r="Y184" i="5"/>
  <c r="X184" i="5"/>
  <c r="S185" i="5"/>
  <c r="Y185" i="5"/>
  <c r="X185" i="5"/>
  <c r="S186" i="5"/>
  <c r="Y186" i="5"/>
  <c r="X186" i="5"/>
  <c r="S187" i="5"/>
  <c r="Y187" i="5"/>
  <c r="X187" i="5"/>
  <c r="S188" i="5"/>
  <c r="Y188" i="5"/>
  <c r="X188" i="5"/>
  <c r="S189" i="5"/>
  <c r="Y189" i="5"/>
  <c r="X189" i="5"/>
  <c r="S190" i="5"/>
  <c r="Y190" i="5"/>
  <c r="X190" i="5"/>
  <c r="S191" i="5"/>
  <c r="Y191" i="5"/>
  <c r="X191" i="5"/>
  <c r="S192" i="5"/>
  <c r="Y192" i="5"/>
  <c r="X192" i="5"/>
  <c r="S193" i="5"/>
  <c r="Y193" i="5"/>
  <c r="X193" i="5"/>
  <c r="S194" i="5"/>
  <c r="Y194" i="5"/>
  <c r="X194" i="5"/>
  <c r="S195" i="5"/>
  <c r="Y195" i="5"/>
  <c r="X195" i="5"/>
  <c r="S196" i="5"/>
  <c r="Y196" i="5"/>
  <c r="X196" i="5"/>
  <c r="S197" i="5"/>
  <c r="Y197" i="5"/>
  <c r="X197" i="5"/>
  <c r="S198" i="5"/>
  <c r="Y198" i="5"/>
  <c r="X198" i="5"/>
  <c r="S199" i="5"/>
  <c r="Y199" i="5"/>
  <c r="X199" i="5"/>
  <c r="S200" i="5"/>
  <c r="Y200" i="5"/>
  <c r="X200" i="5"/>
  <c r="S201" i="5"/>
  <c r="Y201" i="5"/>
  <c r="X201" i="5"/>
  <c r="S202" i="5"/>
  <c r="Y202" i="5"/>
  <c r="X202" i="5"/>
  <c r="S203" i="5"/>
  <c r="Y203" i="5"/>
  <c r="X203" i="5"/>
  <c r="S204" i="5"/>
  <c r="Y204" i="5"/>
  <c r="X204" i="5"/>
  <c r="S205" i="5"/>
  <c r="Y205" i="5"/>
  <c r="X205" i="5"/>
  <c r="S206" i="5"/>
  <c r="Y206" i="5"/>
  <c r="X206" i="5"/>
  <c r="S207" i="5"/>
  <c r="Y207" i="5"/>
  <c r="X207" i="5"/>
  <c r="S208" i="5"/>
  <c r="Y208" i="5"/>
  <c r="X208" i="5"/>
  <c r="S209" i="5"/>
  <c r="Y209" i="5"/>
  <c r="X209" i="5"/>
  <c r="Y59" i="5"/>
  <c r="X59" i="5"/>
  <c r="Y60" i="5"/>
  <c r="X60" i="5"/>
  <c r="S61" i="5"/>
  <c r="Y61" i="5"/>
  <c r="X61" i="5"/>
  <c r="S62" i="5"/>
  <c r="Y62" i="5"/>
  <c r="X62" i="5"/>
  <c r="S63" i="5"/>
  <c r="Y63" i="5"/>
  <c r="X63" i="5"/>
  <c r="S64" i="5"/>
  <c r="Y64" i="5"/>
  <c r="X64" i="5"/>
  <c r="S65" i="5"/>
  <c r="Y65" i="5"/>
  <c r="X65" i="5"/>
  <c r="S66" i="5"/>
  <c r="Y66" i="5"/>
  <c r="X66" i="5"/>
  <c r="S67" i="5"/>
  <c r="Y67" i="5"/>
  <c r="X67" i="5"/>
  <c r="S68" i="5"/>
  <c r="Y68" i="5"/>
  <c r="X68" i="5"/>
  <c r="S69" i="5"/>
  <c r="Y69" i="5"/>
  <c r="X69" i="5"/>
  <c r="S70" i="5"/>
  <c r="Y70" i="5"/>
  <c r="X70" i="5"/>
  <c r="S71" i="5"/>
  <c r="Y71" i="5"/>
  <c r="X71" i="5"/>
  <c r="S72" i="5"/>
  <c r="Y72" i="5"/>
  <c r="X72" i="5"/>
  <c r="S73" i="5"/>
  <c r="Y73" i="5"/>
  <c r="X73" i="5"/>
  <c r="S74" i="5"/>
  <c r="Y74" i="5"/>
  <c r="X74" i="5"/>
  <c r="S75" i="5"/>
  <c r="Y75" i="5"/>
  <c r="X75" i="5"/>
  <c r="S76" i="5"/>
  <c r="Y76" i="5"/>
  <c r="X76" i="5"/>
  <c r="S77" i="5"/>
  <c r="Y77" i="5"/>
  <c r="X77" i="5"/>
  <c r="S78" i="5"/>
  <c r="Y78" i="5"/>
  <c r="X78" i="5"/>
  <c r="S79" i="5"/>
  <c r="Y79" i="5"/>
  <c r="X79" i="5"/>
  <c r="S80" i="5"/>
  <c r="Y80" i="5"/>
  <c r="X80" i="5"/>
  <c r="S81" i="5"/>
  <c r="Y81" i="5"/>
  <c r="X81" i="5"/>
  <c r="S82" i="5"/>
  <c r="Y82" i="5"/>
  <c r="X82" i="5"/>
  <c r="S83" i="5"/>
  <c r="Y83" i="5"/>
  <c r="X83" i="5"/>
  <c r="S84" i="5"/>
  <c r="Y84" i="5"/>
  <c r="X84" i="5"/>
  <c r="S85" i="5"/>
  <c r="Y85" i="5"/>
  <c r="X85" i="5"/>
  <c r="S86" i="5"/>
  <c r="Y86" i="5"/>
  <c r="X86" i="5"/>
  <c r="S87" i="5"/>
  <c r="Y87" i="5"/>
  <c r="X87" i="5"/>
  <c r="S88" i="5"/>
  <c r="Y88" i="5"/>
  <c r="X88" i="5"/>
  <c r="S89" i="5"/>
  <c r="Y89" i="5"/>
  <c r="X89" i="5"/>
  <c r="S90" i="5"/>
  <c r="Y90" i="5"/>
  <c r="X90" i="5"/>
  <c r="S91" i="5"/>
  <c r="Y91" i="5"/>
  <c r="X91" i="5"/>
  <c r="S92" i="5"/>
  <c r="Y92" i="5"/>
  <c r="X92" i="5"/>
  <c r="S93" i="5"/>
  <c r="Y93" i="5"/>
  <c r="X93" i="5"/>
  <c r="S94" i="5"/>
  <c r="Y94" i="5"/>
  <c r="X94" i="5"/>
  <c r="S95" i="5"/>
  <c r="Y95" i="5"/>
  <c r="X95" i="5"/>
  <c r="S96" i="5"/>
  <c r="Y96" i="5"/>
  <c r="X96" i="5"/>
  <c r="S97" i="5"/>
  <c r="Y97" i="5"/>
  <c r="X97" i="5"/>
  <c r="S98" i="5"/>
  <c r="Y98" i="5"/>
  <c r="X98" i="5"/>
  <c r="S99" i="5"/>
  <c r="Y99" i="5"/>
  <c r="X99" i="5"/>
  <c r="S100" i="5"/>
  <c r="Y100" i="5"/>
  <c r="X100" i="5"/>
  <c r="S101" i="5"/>
  <c r="Y101" i="5"/>
  <c r="X101" i="5"/>
  <c r="S102" i="5"/>
  <c r="Y102" i="5"/>
  <c r="X102" i="5"/>
  <c r="S103" i="5"/>
  <c r="Y103" i="5"/>
  <c r="X103" i="5"/>
  <c r="S104" i="5"/>
  <c r="Y104" i="5"/>
  <c r="X104" i="5"/>
  <c r="S105" i="5"/>
  <c r="Y105" i="5"/>
  <c r="X105" i="5"/>
  <c r="S106" i="5"/>
  <c r="Y106" i="5"/>
  <c r="X106" i="5"/>
  <c r="S107" i="5"/>
  <c r="Y107" i="5"/>
  <c r="X107" i="5"/>
  <c r="S108" i="5"/>
  <c r="Y108" i="5"/>
  <c r="X108" i="5"/>
  <c r="S109" i="5"/>
  <c r="Y109" i="5"/>
  <c r="X109" i="5"/>
  <c r="S110" i="5"/>
  <c r="Y110" i="5"/>
  <c r="X110" i="5"/>
  <c r="S111" i="5"/>
  <c r="Y111" i="5"/>
  <c r="X111" i="5"/>
  <c r="S112" i="5"/>
  <c r="Y112" i="5"/>
  <c r="X112" i="5"/>
  <c r="S113" i="5"/>
  <c r="Y113" i="5"/>
  <c r="X113" i="5"/>
  <c r="S114" i="5"/>
  <c r="Y114" i="5"/>
  <c r="X114" i="5"/>
  <c r="N59" i="5"/>
  <c r="J59" i="5"/>
  <c r="V59" i="5"/>
  <c r="R59" i="5"/>
  <c r="D59" i="5"/>
  <c r="I59" i="5"/>
  <c r="H59" i="5"/>
  <c r="W59" i="5"/>
  <c r="Q59" i="5"/>
  <c r="E59" i="5"/>
  <c r="C59" i="5"/>
  <c r="AA59" i="5"/>
  <c r="AF59" i="5"/>
  <c r="G117" i="5"/>
  <c r="N60" i="5"/>
  <c r="J60" i="5"/>
  <c r="N61" i="5"/>
  <c r="J61" i="5"/>
  <c r="N62" i="5"/>
  <c r="J62" i="5"/>
  <c r="N63" i="5"/>
  <c r="J63" i="5"/>
  <c r="N64" i="5"/>
  <c r="J64" i="5"/>
  <c r="N65" i="5"/>
  <c r="J65" i="5"/>
  <c r="N66" i="5"/>
  <c r="J66" i="5"/>
  <c r="N67" i="5"/>
  <c r="J67" i="5"/>
  <c r="N68" i="5"/>
  <c r="J68" i="5"/>
  <c r="N69" i="5"/>
  <c r="J69" i="5"/>
  <c r="N70" i="5"/>
  <c r="J70" i="5"/>
  <c r="N71" i="5"/>
  <c r="J71" i="5"/>
  <c r="N72" i="5"/>
  <c r="J72" i="5"/>
  <c r="N73" i="5"/>
  <c r="J73" i="5"/>
  <c r="N74" i="5"/>
  <c r="J74" i="5"/>
  <c r="N75" i="5"/>
  <c r="J75" i="5"/>
  <c r="N76" i="5"/>
  <c r="J76" i="5"/>
  <c r="N77" i="5"/>
  <c r="J77" i="5"/>
  <c r="N78" i="5"/>
  <c r="J78" i="5"/>
  <c r="N79" i="5"/>
  <c r="J79" i="5"/>
  <c r="N80" i="5"/>
  <c r="J80" i="5"/>
  <c r="N81" i="5"/>
  <c r="J81" i="5"/>
  <c r="N82" i="5"/>
  <c r="J82" i="5"/>
  <c r="N83" i="5"/>
  <c r="J83" i="5"/>
  <c r="N84" i="5"/>
  <c r="J84" i="5"/>
  <c r="N85" i="5"/>
  <c r="J85" i="5"/>
  <c r="N86" i="5"/>
  <c r="J86" i="5"/>
  <c r="N87" i="5"/>
  <c r="J87" i="5"/>
  <c r="N88" i="5"/>
  <c r="J88" i="5"/>
  <c r="N89" i="5"/>
  <c r="J89" i="5"/>
  <c r="N90" i="5"/>
  <c r="J90" i="5"/>
  <c r="N91" i="5"/>
  <c r="J91" i="5"/>
  <c r="N92" i="5"/>
  <c r="J92" i="5"/>
  <c r="N93" i="5"/>
  <c r="J93" i="5"/>
  <c r="N94" i="5"/>
  <c r="J94" i="5"/>
  <c r="N95" i="5"/>
  <c r="J95" i="5"/>
  <c r="N96" i="5"/>
  <c r="J96" i="5"/>
  <c r="N97" i="5"/>
  <c r="J97" i="5"/>
  <c r="N98" i="5"/>
  <c r="J98" i="5"/>
  <c r="N99" i="5"/>
  <c r="J99" i="5"/>
  <c r="N100" i="5"/>
  <c r="J100" i="5"/>
  <c r="N101" i="5"/>
  <c r="J101" i="5"/>
  <c r="N102" i="5"/>
  <c r="J102" i="5"/>
  <c r="N103" i="5"/>
  <c r="J103" i="5"/>
  <c r="N104" i="5"/>
  <c r="J104" i="5"/>
  <c r="N105" i="5"/>
  <c r="J105" i="5"/>
  <c r="N106" i="5"/>
  <c r="J106" i="5"/>
  <c r="N107" i="5"/>
  <c r="J107" i="5"/>
  <c r="N108" i="5"/>
  <c r="J108" i="5"/>
  <c r="N109" i="5"/>
  <c r="J109" i="5"/>
  <c r="N110" i="5"/>
  <c r="J110" i="5"/>
  <c r="N111" i="5"/>
  <c r="J111" i="5"/>
  <c r="N112" i="5"/>
  <c r="J112" i="5"/>
  <c r="N113" i="5"/>
  <c r="J113" i="5"/>
  <c r="N114" i="5"/>
  <c r="J114" i="5"/>
  <c r="N115" i="5"/>
  <c r="N116" i="5"/>
  <c r="J116" i="5"/>
  <c r="N117" i="5"/>
  <c r="J117" i="5"/>
  <c r="N119" i="5"/>
  <c r="J119" i="5"/>
  <c r="N120" i="5"/>
  <c r="J120" i="5"/>
  <c r="N121" i="5"/>
  <c r="J121" i="5"/>
  <c r="N122" i="5"/>
  <c r="J122" i="5"/>
  <c r="N123" i="5"/>
  <c r="J123" i="5"/>
  <c r="N124" i="5"/>
  <c r="J124" i="5"/>
  <c r="N125" i="5"/>
  <c r="J125" i="5"/>
  <c r="N126" i="5"/>
  <c r="J126" i="5"/>
  <c r="N127" i="5"/>
  <c r="J127" i="5"/>
  <c r="N128" i="5"/>
  <c r="J128" i="5"/>
  <c r="N129" i="5"/>
  <c r="J129" i="5"/>
  <c r="N130" i="5"/>
  <c r="J130" i="5"/>
  <c r="N131" i="5"/>
  <c r="J131" i="5"/>
  <c r="N132" i="5"/>
  <c r="J132" i="5"/>
  <c r="N133" i="5"/>
  <c r="J133" i="5"/>
  <c r="N134" i="5"/>
  <c r="J134" i="5"/>
  <c r="N135" i="5"/>
  <c r="J135" i="5"/>
  <c r="N136" i="5"/>
  <c r="J136" i="5"/>
  <c r="N137" i="5"/>
  <c r="J137" i="5"/>
  <c r="N138" i="5"/>
  <c r="J138" i="5"/>
  <c r="N139" i="5"/>
  <c r="J139" i="5"/>
  <c r="N140" i="5"/>
  <c r="J140" i="5"/>
  <c r="N141" i="5"/>
  <c r="J141" i="5"/>
  <c r="N142" i="5"/>
  <c r="J142" i="5"/>
  <c r="N143" i="5"/>
  <c r="J143" i="5"/>
  <c r="N144" i="5"/>
  <c r="J144" i="5"/>
  <c r="N145" i="5"/>
  <c r="J145" i="5"/>
  <c r="N146" i="5"/>
  <c r="J146" i="5"/>
  <c r="N147" i="5"/>
  <c r="J147" i="5"/>
  <c r="N148" i="5"/>
  <c r="J148" i="5"/>
  <c r="N149" i="5"/>
  <c r="J149" i="5"/>
  <c r="N150" i="5"/>
  <c r="J150" i="5"/>
  <c r="N151" i="5"/>
  <c r="J151" i="5"/>
  <c r="N152" i="5"/>
  <c r="J152" i="5"/>
  <c r="N153" i="5"/>
  <c r="J153" i="5"/>
  <c r="N154" i="5"/>
  <c r="J154" i="5"/>
  <c r="N155" i="5"/>
  <c r="J155" i="5"/>
  <c r="N156" i="5"/>
  <c r="J156" i="5"/>
  <c r="N157" i="5"/>
  <c r="J157" i="5"/>
  <c r="N158" i="5"/>
  <c r="J158" i="5"/>
  <c r="N159" i="5"/>
  <c r="J159" i="5"/>
  <c r="N160" i="5"/>
  <c r="J160" i="5"/>
  <c r="N161" i="5"/>
  <c r="J161" i="5"/>
  <c r="N162" i="5"/>
  <c r="J162" i="5"/>
  <c r="N163" i="5"/>
  <c r="J163" i="5"/>
  <c r="N164" i="5"/>
  <c r="J164" i="5"/>
  <c r="N165" i="5"/>
  <c r="J165" i="5"/>
  <c r="N166" i="5"/>
  <c r="J166" i="5"/>
  <c r="N167" i="5"/>
  <c r="J167" i="5"/>
  <c r="N168" i="5"/>
  <c r="J168" i="5"/>
  <c r="N169" i="5"/>
  <c r="J169" i="5"/>
  <c r="N170" i="5"/>
  <c r="J170" i="5"/>
  <c r="N171" i="5"/>
  <c r="J171" i="5"/>
  <c r="N172" i="5"/>
  <c r="J172" i="5"/>
  <c r="N173" i="5"/>
  <c r="J173" i="5"/>
  <c r="N174" i="5"/>
  <c r="J174" i="5"/>
  <c r="N175" i="5"/>
  <c r="J175" i="5"/>
  <c r="N176" i="5"/>
  <c r="J176" i="5"/>
  <c r="N177" i="5"/>
  <c r="J177" i="5"/>
  <c r="N178" i="5"/>
  <c r="J178" i="5"/>
  <c r="N179" i="5"/>
  <c r="J179" i="5"/>
  <c r="N180" i="5"/>
  <c r="J180" i="5"/>
  <c r="N181" i="5"/>
  <c r="J181" i="5"/>
  <c r="N182" i="5"/>
  <c r="J182" i="5"/>
  <c r="N183" i="5"/>
  <c r="J183" i="5"/>
  <c r="N184" i="5"/>
  <c r="J184" i="5"/>
  <c r="N185" i="5"/>
  <c r="J185" i="5"/>
  <c r="N186" i="5"/>
  <c r="J186" i="5"/>
  <c r="N187" i="5"/>
  <c r="J187" i="5"/>
  <c r="N188" i="5"/>
  <c r="J188" i="5"/>
  <c r="N189" i="5"/>
  <c r="J189" i="5"/>
  <c r="N190" i="5"/>
  <c r="J190" i="5"/>
  <c r="N191" i="5"/>
  <c r="J191" i="5"/>
  <c r="N192" i="5"/>
  <c r="J192" i="5"/>
  <c r="N193" i="5"/>
  <c r="J193" i="5"/>
  <c r="N194" i="5"/>
  <c r="J194" i="5"/>
  <c r="N195" i="5"/>
  <c r="J195" i="5"/>
  <c r="N196" i="5"/>
  <c r="J196" i="5"/>
  <c r="N197" i="5"/>
  <c r="J197" i="5"/>
  <c r="N198" i="5"/>
  <c r="J198" i="5"/>
  <c r="N199" i="5"/>
  <c r="J199" i="5"/>
  <c r="N200" i="5"/>
  <c r="J200" i="5"/>
  <c r="N201" i="5"/>
  <c r="J201" i="5"/>
  <c r="N202" i="5"/>
  <c r="J202" i="5"/>
  <c r="N203" i="5"/>
  <c r="J203" i="5"/>
  <c r="N204" i="5"/>
  <c r="J204" i="5"/>
  <c r="N205" i="5"/>
  <c r="J205" i="5"/>
  <c r="N206" i="5"/>
  <c r="J206" i="5"/>
  <c r="N207" i="5"/>
  <c r="J207" i="5"/>
  <c r="N208" i="5"/>
  <c r="J208" i="5"/>
  <c r="N209" i="5"/>
  <c r="J209" i="5"/>
  <c r="V60" i="5"/>
  <c r="R60" i="5"/>
  <c r="Q60" i="5"/>
  <c r="D60" i="5"/>
  <c r="I60" i="5"/>
  <c r="H60" i="5"/>
  <c r="E60" i="5"/>
  <c r="C60" i="5"/>
  <c r="AA60" i="5"/>
  <c r="AF60" i="5"/>
  <c r="V61" i="5"/>
  <c r="R61" i="5"/>
  <c r="Q61" i="5"/>
  <c r="D61" i="5"/>
  <c r="I61" i="5"/>
  <c r="H61" i="5"/>
  <c r="E61" i="5"/>
  <c r="C61" i="5"/>
  <c r="AA61" i="5"/>
  <c r="AF61" i="5"/>
  <c r="V62" i="5"/>
  <c r="R62" i="5"/>
  <c r="Q62" i="5"/>
  <c r="D62" i="5"/>
  <c r="I62" i="5"/>
  <c r="H62" i="5"/>
  <c r="E62" i="5"/>
  <c r="C62" i="5"/>
  <c r="AA62" i="5"/>
  <c r="AF62" i="5"/>
  <c r="V63" i="5"/>
  <c r="R63" i="5"/>
  <c r="Q63" i="5"/>
  <c r="D63" i="5"/>
  <c r="I63" i="5"/>
  <c r="H63" i="5"/>
  <c r="E63" i="5"/>
  <c r="C63" i="5"/>
  <c r="AA63" i="5"/>
  <c r="AF63" i="5"/>
  <c r="V64" i="5"/>
  <c r="R64" i="5"/>
  <c r="Q64" i="5"/>
  <c r="D64" i="5"/>
  <c r="I64" i="5"/>
  <c r="H64" i="5"/>
  <c r="E64" i="5"/>
  <c r="C64" i="5"/>
  <c r="AA64" i="5"/>
  <c r="AF64" i="5"/>
  <c r="V65" i="5"/>
  <c r="R65" i="5"/>
  <c r="Q65" i="5"/>
  <c r="D65" i="5"/>
  <c r="I65" i="5"/>
  <c r="H65" i="5"/>
  <c r="E65" i="5"/>
  <c r="C65" i="5"/>
  <c r="AA65" i="5"/>
  <c r="AF65" i="5"/>
  <c r="V66" i="5"/>
  <c r="R66" i="5"/>
  <c r="Q66" i="5"/>
  <c r="D66" i="5"/>
  <c r="I66" i="5"/>
  <c r="H66" i="5"/>
  <c r="E66" i="5"/>
  <c r="C66" i="5"/>
  <c r="AA66" i="5"/>
  <c r="AF66" i="5"/>
  <c r="V67" i="5"/>
  <c r="R67" i="5"/>
  <c r="Q67" i="5"/>
  <c r="D67" i="5"/>
  <c r="I67" i="5"/>
  <c r="H67" i="5"/>
  <c r="E67" i="5"/>
  <c r="C67" i="5"/>
  <c r="AA67" i="5"/>
  <c r="AF67" i="5"/>
  <c r="V68" i="5"/>
  <c r="R68" i="5"/>
  <c r="Q68" i="5"/>
  <c r="D68" i="5"/>
  <c r="I68" i="5"/>
  <c r="H68" i="5"/>
  <c r="E68" i="5"/>
  <c r="C68" i="5"/>
  <c r="AA68" i="5"/>
  <c r="AF68" i="5"/>
  <c r="V69" i="5"/>
  <c r="R69" i="5"/>
  <c r="Q69" i="5"/>
  <c r="D69" i="5"/>
  <c r="I69" i="5"/>
  <c r="H69" i="5"/>
  <c r="E69" i="5"/>
  <c r="C69" i="5"/>
  <c r="AA69" i="5"/>
  <c r="AF69" i="5"/>
  <c r="V70" i="5"/>
  <c r="R70" i="5"/>
  <c r="Q70" i="5"/>
  <c r="D70" i="5"/>
  <c r="I70" i="5"/>
  <c r="H70" i="5"/>
  <c r="E70" i="5"/>
  <c r="C70" i="5"/>
  <c r="AA70" i="5"/>
  <c r="AF70" i="5"/>
  <c r="V71" i="5"/>
  <c r="R71" i="5"/>
  <c r="Q71" i="5"/>
  <c r="D71" i="5"/>
  <c r="I71" i="5"/>
  <c r="H71" i="5"/>
  <c r="E71" i="5"/>
  <c r="C71" i="5"/>
  <c r="AA71" i="5"/>
  <c r="AF71" i="5"/>
  <c r="V72" i="5"/>
  <c r="R72" i="5"/>
  <c r="Q72" i="5"/>
  <c r="D72" i="5"/>
  <c r="I72" i="5"/>
  <c r="H72" i="5"/>
  <c r="E72" i="5"/>
  <c r="C72" i="5"/>
  <c r="AA72" i="5"/>
  <c r="AF72" i="5"/>
  <c r="V73" i="5"/>
  <c r="R73" i="5"/>
  <c r="Q73" i="5"/>
  <c r="D73" i="5"/>
  <c r="I73" i="5"/>
  <c r="H73" i="5"/>
  <c r="E73" i="5"/>
  <c r="C73" i="5"/>
  <c r="AA73" i="5"/>
  <c r="AF73" i="5"/>
  <c r="V74" i="5"/>
  <c r="R74" i="5"/>
  <c r="Q74" i="5"/>
  <c r="D74" i="5"/>
  <c r="I74" i="5"/>
  <c r="H74" i="5"/>
  <c r="E74" i="5"/>
  <c r="C74" i="5"/>
  <c r="AA74" i="5"/>
  <c r="AF74" i="5"/>
  <c r="V75" i="5"/>
  <c r="R75" i="5"/>
  <c r="Q75" i="5"/>
  <c r="D75" i="5"/>
  <c r="I75" i="5"/>
  <c r="H75" i="5"/>
  <c r="E75" i="5"/>
  <c r="C75" i="5"/>
  <c r="AA75" i="5"/>
  <c r="AF75" i="5"/>
  <c r="V76" i="5"/>
  <c r="R76" i="5"/>
  <c r="Q76" i="5"/>
  <c r="D76" i="5"/>
  <c r="I76" i="5"/>
  <c r="H76" i="5"/>
  <c r="E76" i="5"/>
  <c r="C76" i="5"/>
  <c r="AA76" i="5"/>
  <c r="AF76" i="5"/>
  <c r="V77" i="5"/>
  <c r="R77" i="5"/>
  <c r="Q77" i="5"/>
  <c r="D77" i="5"/>
  <c r="I77" i="5"/>
  <c r="H77" i="5"/>
  <c r="E77" i="5"/>
  <c r="C77" i="5"/>
  <c r="AA77" i="5"/>
  <c r="AF77" i="5"/>
  <c r="V78" i="5"/>
  <c r="R78" i="5"/>
  <c r="Q78" i="5"/>
  <c r="D78" i="5"/>
  <c r="I78" i="5"/>
  <c r="H78" i="5"/>
  <c r="E78" i="5"/>
  <c r="C78" i="5"/>
  <c r="AA78" i="5"/>
  <c r="AF78" i="5"/>
  <c r="V79" i="5"/>
  <c r="R79" i="5"/>
  <c r="Q79" i="5"/>
  <c r="D79" i="5"/>
  <c r="I79" i="5"/>
  <c r="H79" i="5"/>
  <c r="E79" i="5"/>
  <c r="C79" i="5"/>
  <c r="AA79" i="5"/>
  <c r="AF79" i="5"/>
  <c r="V80" i="5"/>
  <c r="R80" i="5"/>
  <c r="Q80" i="5"/>
  <c r="D80" i="5"/>
  <c r="I80" i="5"/>
  <c r="H80" i="5"/>
  <c r="E80" i="5"/>
  <c r="C80" i="5"/>
  <c r="AA80" i="5"/>
  <c r="AF80" i="5"/>
  <c r="V81" i="5"/>
  <c r="R81" i="5"/>
  <c r="Q81" i="5"/>
  <c r="D81" i="5"/>
  <c r="I81" i="5"/>
  <c r="H81" i="5"/>
  <c r="E81" i="5"/>
  <c r="C81" i="5"/>
  <c r="AA81" i="5"/>
  <c r="AF81" i="5"/>
  <c r="V82" i="5"/>
  <c r="R82" i="5"/>
  <c r="Q82" i="5"/>
  <c r="D82" i="5"/>
  <c r="I82" i="5"/>
  <c r="H82" i="5"/>
  <c r="E82" i="5"/>
  <c r="C82" i="5"/>
  <c r="AA82" i="5"/>
  <c r="AF82" i="5"/>
  <c r="V83" i="5"/>
  <c r="R83" i="5"/>
  <c r="Q83" i="5"/>
  <c r="D83" i="5"/>
  <c r="I83" i="5"/>
  <c r="H83" i="5"/>
  <c r="E83" i="5"/>
  <c r="C83" i="5"/>
  <c r="AA83" i="5"/>
  <c r="AF83" i="5"/>
  <c r="V84" i="5"/>
  <c r="R84" i="5"/>
  <c r="Q84" i="5"/>
  <c r="D84" i="5"/>
  <c r="I84" i="5"/>
  <c r="H84" i="5"/>
  <c r="E84" i="5"/>
  <c r="C84" i="5"/>
  <c r="AA84" i="5"/>
  <c r="AF84" i="5"/>
  <c r="V85" i="5"/>
  <c r="R85" i="5"/>
  <c r="Q85" i="5"/>
  <c r="D85" i="5"/>
  <c r="I85" i="5"/>
  <c r="H85" i="5"/>
  <c r="E85" i="5"/>
  <c r="C85" i="5"/>
  <c r="AA85" i="5"/>
  <c r="AF85" i="5"/>
  <c r="V86" i="5"/>
  <c r="R86" i="5"/>
  <c r="Q86" i="5"/>
  <c r="D86" i="5"/>
  <c r="I86" i="5"/>
  <c r="H86" i="5"/>
  <c r="E86" i="5"/>
  <c r="C86" i="5"/>
  <c r="AA86" i="5"/>
  <c r="AF86" i="5"/>
  <c r="V87" i="5"/>
  <c r="R87" i="5"/>
  <c r="Q87" i="5"/>
  <c r="D87" i="5"/>
  <c r="I87" i="5"/>
  <c r="H87" i="5"/>
  <c r="E87" i="5"/>
  <c r="C87" i="5"/>
  <c r="AA87" i="5"/>
  <c r="AF87" i="5"/>
  <c r="V88" i="5"/>
  <c r="R88" i="5"/>
  <c r="Q88" i="5"/>
  <c r="D88" i="5"/>
  <c r="I88" i="5"/>
  <c r="H88" i="5"/>
  <c r="E88" i="5"/>
  <c r="C88" i="5"/>
  <c r="AA88" i="5"/>
  <c r="AF88" i="5"/>
  <c r="V89" i="5"/>
  <c r="R89" i="5"/>
  <c r="Q89" i="5"/>
  <c r="D89" i="5"/>
  <c r="I89" i="5"/>
  <c r="H89" i="5"/>
  <c r="E89" i="5"/>
  <c r="C89" i="5"/>
  <c r="AA89" i="5"/>
  <c r="AF89" i="5"/>
  <c r="V90" i="5"/>
  <c r="R90" i="5"/>
  <c r="Q90" i="5"/>
  <c r="D90" i="5"/>
  <c r="I90" i="5"/>
  <c r="H90" i="5"/>
  <c r="E90" i="5"/>
  <c r="C90" i="5"/>
  <c r="AA90" i="5"/>
  <c r="AF90" i="5"/>
  <c r="V91" i="5"/>
  <c r="R91" i="5"/>
  <c r="Q91" i="5"/>
  <c r="D91" i="5"/>
  <c r="I91" i="5"/>
  <c r="H91" i="5"/>
  <c r="E91" i="5"/>
  <c r="C91" i="5"/>
  <c r="AA91" i="5"/>
  <c r="AF91" i="5"/>
  <c r="V92" i="5"/>
  <c r="R92" i="5"/>
  <c r="Q92" i="5"/>
  <c r="D92" i="5"/>
  <c r="I92" i="5"/>
  <c r="H92" i="5"/>
  <c r="E92" i="5"/>
  <c r="C92" i="5"/>
  <c r="AA92" i="5"/>
  <c r="AF92" i="5"/>
  <c r="V93" i="5"/>
  <c r="R93" i="5"/>
  <c r="Q93" i="5"/>
  <c r="D93" i="5"/>
  <c r="I93" i="5"/>
  <c r="H93" i="5"/>
  <c r="E93" i="5"/>
  <c r="C93" i="5"/>
  <c r="AA93" i="5"/>
  <c r="AF93" i="5"/>
  <c r="V94" i="5"/>
  <c r="R94" i="5"/>
  <c r="Q94" i="5"/>
  <c r="D94" i="5"/>
  <c r="I94" i="5"/>
  <c r="H94" i="5"/>
  <c r="E94" i="5"/>
  <c r="C94" i="5"/>
  <c r="AA94" i="5"/>
  <c r="AF94" i="5"/>
  <c r="V95" i="5"/>
  <c r="R95" i="5"/>
  <c r="Q95" i="5"/>
  <c r="D95" i="5"/>
  <c r="I95" i="5"/>
  <c r="H95" i="5"/>
  <c r="E95" i="5"/>
  <c r="C95" i="5"/>
  <c r="AA95" i="5"/>
  <c r="AF95" i="5"/>
  <c r="V96" i="5"/>
  <c r="R96" i="5"/>
  <c r="Q96" i="5"/>
  <c r="D96" i="5"/>
  <c r="I96" i="5"/>
  <c r="H96" i="5"/>
  <c r="E96" i="5"/>
  <c r="C96" i="5"/>
  <c r="AA96" i="5"/>
  <c r="AF96" i="5"/>
  <c r="V97" i="5"/>
  <c r="R97" i="5"/>
  <c r="Q97" i="5"/>
  <c r="D97" i="5"/>
  <c r="I97" i="5"/>
  <c r="H97" i="5"/>
  <c r="E97" i="5"/>
  <c r="C97" i="5"/>
  <c r="AA97" i="5"/>
  <c r="AF97" i="5"/>
  <c r="V98" i="5"/>
  <c r="R98" i="5"/>
  <c r="Q98" i="5"/>
  <c r="D98" i="5"/>
  <c r="I98" i="5"/>
  <c r="H98" i="5"/>
  <c r="E98" i="5"/>
  <c r="C98" i="5"/>
  <c r="AA98" i="5"/>
  <c r="AF98" i="5"/>
  <c r="V99" i="5"/>
  <c r="R99" i="5"/>
  <c r="Q99" i="5"/>
  <c r="D99" i="5"/>
  <c r="I99" i="5"/>
  <c r="H99" i="5"/>
  <c r="E99" i="5"/>
  <c r="C99" i="5"/>
  <c r="AA99" i="5"/>
  <c r="AF99" i="5"/>
  <c r="V100" i="5"/>
  <c r="R100" i="5"/>
  <c r="Q100" i="5"/>
  <c r="D100" i="5"/>
  <c r="I100" i="5"/>
  <c r="H100" i="5"/>
  <c r="E100" i="5"/>
  <c r="C100" i="5"/>
  <c r="AA100" i="5"/>
  <c r="AF100" i="5"/>
  <c r="V101" i="5"/>
  <c r="R101" i="5"/>
  <c r="Q101" i="5"/>
  <c r="D101" i="5"/>
  <c r="I101" i="5"/>
  <c r="H101" i="5"/>
  <c r="E101" i="5"/>
  <c r="C101" i="5"/>
  <c r="AA101" i="5"/>
  <c r="AF101" i="5"/>
  <c r="V102" i="5"/>
  <c r="R102" i="5"/>
  <c r="Q102" i="5"/>
  <c r="D102" i="5"/>
  <c r="I102" i="5"/>
  <c r="H102" i="5"/>
  <c r="E102" i="5"/>
  <c r="C102" i="5"/>
  <c r="AA102" i="5"/>
  <c r="AF102" i="5"/>
  <c r="V103" i="5"/>
  <c r="R103" i="5"/>
  <c r="Q103" i="5"/>
  <c r="D103" i="5"/>
  <c r="I103" i="5"/>
  <c r="H103" i="5"/>
  <c r="E103" i="5"/>
  <c r="C103" i="5"/>
  <c r="AA103" i="5"/>
  <c r="AF103" i="5"/>
  <c r="V104" i="5"/>
  <c r="R104" i="5"/>
  <c r="Q104" i="5"/>
  <c r="D104" i="5"/>
  <c r="I104" i="5"/>
  <c r="H104" i="5"/>
  <c r="E104" i="5"/>
  <c r="C104" i="5"/>
  <c r="AA104" i="5"/>
  <c r="AF104" i="5"/>
  <c r="V105" i="5"/>
  <c r="R105" i="5"/>
  <c r="Q105" i="5"/>
  <c r="D105" i="5"/>
  <c r="I105" i="5"/>
  <c r="H105" i="5"/>
  <c r="E105" i="5"/>
  <c r="C105" i="5"/>
  <c r="AA105" i="5"/>
  <c r="AF105" i="5"/>
  <c r="V106" i="5"/>
  <c r="R106" i="5"/>
  <c r="Q106" i="5"/>
  <c r="D106" i="5"/>
  <c r="I106" i="5"/>
  <c r="H106" i="5"/>
  <c r="E106" i="5"/>
  <c r="C106" i="5"/>
  <c r="AA106" i="5"/>
  <c r="AF106" i="5"/>
  <c r="V107" i="5"/>
  <c r="R107" i="5"/>
  <c r="Q107" i="5"/>
  <c r="D107" i="5"/>
  <c r="I107" i="5"/>
  <c r="H107" i="5"/>
  <c r="E107" i="5"/>
  <c r="C107" i="5"/>
  <c r="AA107" i="5"/>
  <c r="AF107" i="5"/>
  <c r="V108" i="5"/>
  <c r="R108" i="5"/>
  <c r="Q108" i="5"/>
  <c r="D108" i="5"/>
  <c r="I108" i="5"/>
  <c r="H108" i="5"/>
  <c r="E108" i="5"/>
  <c r="C108" i="5"/>
  <c r="AA108" i="5"/>
  <c r="AF108" i="5"/>
  <c r="V109" i="5"/>
  <c r="R109" i="5"/>
  <c r="Q109" i="5"/>
  <c r="D109" i="5"/>
  <c r="I109" i="5"/>
  <c r="H109" i="5"/>
  <c r="E109" i="5"/>
  <c r="C109" i="5"/>
  <c r="AA109" i="5"/>
  <c r="AF109" i="5"/>
  <c r="V110" i="5"/>
  <c r="R110" i="5"/>
  <c r="Q110" i="5"/>
  <c r="D110" i="5"/>
  <c r="I110" i="5"/>
  <c r="H110" i="5"/>
  <c r="E110" i="5"/>
  <c r="C110" i="5"/>
  <c r="AA110" i="5"/>
  <c r="AF110" i="5"/>
  <c r="V111" i="5"/>
  <c r="R111" i="5"/>
  <c r="Q111" i="5"/>
  <c r="D111" i="5"/>
  <c r="I111" i="5"/>
  <c r="H111" i="5"/>
  <c r="E111" i="5"/>
  <c r="C111" i="5"/>
  <c r="AA111" i="5"/>
  <c r="AF111" i="5"/>
  <c r="V112" i="5"/>
  <c r="R112" i="5"/>
  <c r="Q112" i="5"/>
  <c r="D112" i="5"/>
  <c r="I112" i="5"/>
  <c r="H112" i="5"/>
  <c r="E112" i="5"/>
  <c r="C112" i="5"/>
  <c r="AA112" i="5"/>
  <c r="AF112" i="5"/>
  <c r="V113" i="5"/>
  <c r="R113" i="5"/>
  <c r="Q113" i="5"/>
  <c r="D113" i="5"/>
  <c r="I113" i="5"/>
  <c r="H113" i="5"/>
  <c r="E113" i="5"/>
  <c r="C113" i="5"/>
  <c r="AA113" i="5"/>
  <c r="AF113" i="5"/>
  <c r="V114" i="5"/>
  <c r="R114" i="5"/>
  <c r="Q114" i="5"/>
  <c r="D114" i="5"/>
  <c r="I114" i="5"/>
  <c r="H114" i="5"/>
  <c r="E114" i="5"/>
  <c r="C114" i="5"/>
  <c r="AA114" i="5"/>
  <c r="AF114" i="5"/>
  <c r="V115" i="5"/>
  <c r="R115" i="5"/>
  <c r="Q115" i="5"/>
  <c r="D115" i="5"/>
  <c r="I115" i="5"/>
  <c r="H115" i="5"/>
  <c r="E115" i="5"/>
  <c r="C115" i="5"/>
  <c r="AA115" i="5"/>
  <c r="AF115" i="5"/>
  <c r="V116" i="5"/>
  <c r="R116" i="5"/>
  <c r="Q116" i="5"/>
  <c r="D116" i="5"/>
  <c r="I116" i="5"/>
  <c r="H116" i="5"/>
  <c r="E116" i="5"/>
  <c r="C116" i="5"/>
  <c r="AA116" i="5"/>
  <c r="AF116" i="5"/>
  <c r="V117" i="5"/>
  <c r="R117" i="5"/>
  <c r="Q117" i="5"/>
  <c r="D117" i="5"/>
  <c r="I117" i="5"/>
  <c r="H117" i="5"/>
  <c r="E117" i="5"/>
  <c r="C117" i="5"/>
  <c r="AA117" i="5"/>
  <c r="AF117" i="5"/>
  <c r="V118" i="5"/>
  <c r="R118" i="5"/>
  <c r="Q118" i="5"/>
  <c r="D118" i="5"/>
  <c r="I118" i="5"/>
  <c r="H118" i="5"/>
  <c r="E118" i="5"/>
  <c r="C118" i="5"/>
  <c r="AA118" i="5"/>
  <c r="AF118" i="5"/>
  <c r="V119" i="5"/>
  <c r="R119" i="5"/>
  <c r="Q119" i="5"/>
  <c r="D119" i="5"/>
  <c r="I119" i="5"/>
  <c r="H119" i="5"/>
  <c r="E119" i="5"/>
  <c r="C119" i="5"/>
  <c r="AA119" i="5"/>
  <c r="AF119" i="5"/>
  <c r="V120" i="5"/>
  <c r="R120" i="5"/>
  <c r="Q120" i="5"/>
  <c r="D120" i="5"/>
  <c r="I120" i="5"/>
  <c r="H120" i="5"/>
  <c r="E120" i="5"/>
  <c r="C120" i="5"/>
  <c r="AA120" i="5"/>
  <c r="AF120" i="5"/>
  <c r="V121" i="5"/>
  <c r="R121" i="5"/>
  <c r="Q121" i="5"/>
  <c r="D121" i="5"/>
  <c r="I121" i="5"/>
  <c r="H121" i="5"/>
  <c r="E121" i="5"/>
  <c r="C121" i="5"/>
  <c r="AA121" i="5"/>
  <c r="AF121" i="5"/>
  <c r="V122" i="5"/>
  <c r="R122" i="5"/>
  <c r="Q122" i="5"/>
  <c r="D122" i="5"/>
  <c r="I122" i="5"/>
  <c r="H122" i="5"/>
  <c r="E122" i="5"/>
  <c r="C122" i="5"/>
  <c r="AA122" i="5"/>
  <c r="AF122" i="5"/>
  <c r="V123" i="5"/>
  <c r="R123" i="5"/>
  <c r="Q123" i="5"/>
  <c r="D123" i="5"/>
  <c r="I123" i="5"/>
  <c r="H123" i="5"/>
  <c r="E123" i="5"/>
  <c r="C123" i="5"/>
  <c r="AA123" i="5"/>
  <c r="AF123" i="5"/>
  <c r="V124" i="5"/>
  <c r="R124" i="5"/>
  <c r="Q124" i="5"/>
  <c r="D124" i="5"/>
  <c r="I124" i="5"/>
  <c r="H124" i="5"/>
  <c r="E124" i="5"/>
  <c r="C124" i="5"/>
  <c r="AA124" i="5"/>
  <c r="AF124" i="5"/>
  <c r="V125" i="5"/>
  <c r="R125" i="5"/>
  <c r="Q125" i="5"/>
  <c r="D125" i="5"/>
  <c r="I125" i="5"/>
  <c r="H125" i="5"/>
  <c r="E125" i="5"/>
  <c r="C125" i="5"/>
  <c r="AA125" i="5"/>
  <c r="AF125" i="5"/>
  <c r="V126" i="5"/>
  <c r="R126" i="5"/>
  <c r="Q126" i="5"/>
  <c r="D126" i="5"/>
  <c r="I126" i="5"/>
  <c r="H126" i="5"/>
  <c r="E126" i="5"/>
  <c r="C126" i="5"/>
  <c r="AA126" i="5"/>
  <c r="AF126" i="5"/>
  <c r="V127" i="5"/>
  <c r="R127" i="5"/>
  <c r="Q127" i="5"/>
  <c r="D127" i="5"/>
  <c r="I127" i="5"/>
  <c r="H127" i="5"/>
  <c r="E127" i="5"/>
  <c r="C127" i="5"/>
  <c r="AA127" i="5"/>
  <c r="AF127" i="5"/>
  <c r="V128" i="5"/>
  <c r="R128" i="5"/>
  <c r="Q128" i="5"/>
  <c r="D128" i="5"/>
  <c r="I128" i="5"/>
  <c r="H128" i="5"/>
  <c r="E128" i="5"/>
  <c r="C128" i="5"/>
  <c r="AA128" i="5"/>
  <c r="AF128" i="5"/>
  <c r="V129" i="5"/>
  <c r="R129" i="5"/>
  <c r="Q129" i="5"/>
  <c r="D129" i="5"/>
  <c r="I129" i="5"/>
  <c r="H129" i="5"/>
  <c r="E129" i="5"/>
  <c r="C129" i="5"/>
  <c r="AA129" i="5"/>
  <c r="AF129" i="5"/>
  <c r="V130" i="5"/>
  <c r="R130" i="5"/>
  <c r="Q130" i="5"/>
  <c r="D130" i="5"/>
  <c r="I130" i="5"/>
  <c r="H130" i="5"/>
  <c r="E130" i="5"/>
  <c r="C130" i="5"/>
  <c r="AA130" i="5"/>
  <c r="AF130" i="5"/>
  <c r="V131" i="5"/>
  <c r="R131" i="5"/>
  <c r="D131" i="5"/>
  <c r="I131" i="5"/>
  <c r="H131" i="5"/>
  <c r="E131" i="5"/>
  <c r="C131" i="5"/>
  <c r="AA131" i="5"/>
  <c r="AF131" i="5"/>
  <c r="V132" i="5"/>
  <c r="R132" i="5"/>
  <c r="Q132" i="5"/>
  <c r="D132" i="5"/>
  <c r="I132" i="5"/>
  <c r="H132" i="5"/>
  <c r="E132" i="5"/>
  <c r="C132" i="5"/>
  <c r="AA132" i="5"/>
  <c r="AF132" i="5"/>
  <c r="V133" i="5"/>
  <c r="R133" i="5"/>
  <c r="Q133" i="5"/>
  <c r="D133" i="5"/>
  <c r="I133" i="5"/>
  <c r="H133" i="5"/>
  <c r="E133" i="5"/>
  <c r="C133" i="5"/>
  <c r="AA133" i="5"/>
  <c r="AF133" i="5"/>
  <c r="V134" i="5"/>
  <c r="R134" i="5"/>
  <c r="Q134" i="5"/>
  <c r="D134" i="5"/>
  <c r="I134" i="5"/>
  <c r="H134" i="5"/>
  <c r="E134" i="5"/>
  <c r="C134" i="5"/>
  <c r="AA134" i="5"/>
  <c r="AF134" i="5"/>
  <c r="V135" i="5"/>
  <c r="R135" i="5"/>
  <c r="Q135" i="5"/>
  <c r="D135" i="5"/>
  <c r="I135" i="5"/>
  <c r="H135" i="5"/>
  <c r="E135" i="5"/>
  <c r="C135" i="5"/>
  <c r="AA135" i="5"/>
  <c r="AF135" i="5"/>
  <c r="V136" i="5"/>
  <c r="R136" i="5"/>
  <c r="Q136" i="5"/>
  <c r="D136" i="5"/>
  <c r="I136" i="5"/>
  <c r="H136" i="5"/>
  <c r="E136" i="5"/>
  <c r="C136" i="5"/>
  <c r="AA136" i="5"/>
  <c r="AF136" i="5"/>
  <c r="V137" i="5"/>
  <c r="R137" i="5"/>
  <c r="Q137" i="5"/>
  <c r="D137" i="5"/>
  <c r="I137" i="5"/>
  <c r="H137" i="5"/>
  <c r="E137" i="5"/>
  <c r="C137" i="5"/>
  <c r="AA137" i="5"/>
  <c r="AF137" i="5"/>
  <c r="V138" i="5"/>
  <c r="R138" i="5"/>
  <c r="Q138" i="5"/>
  <c r="D138" i="5"/>
  <c r="I138" i="5"/>
  <c r="H138" i="5"/>
  <c r="E138" i="5"/>
  <c r="C138" i="5"/>
  <c r="AA138" i="5"/>
  <c r="AF138" i="5"/>
  <c r="V139" i="5"/>
  <c r="R139" i="5"/>
  <c r="Q139" i="5"/>
  <c r="D139" i="5"/>
  <c r="I139" i="5"/>
  <c r="H139" i="5"/>
  <c r="E139" i="5"/>
  <c r="C139" i="5"/>
  <c r="AA139" i="5"/>
  <c r="AF139" i="5"/>
  <c r="V140" i="5"/>
  <c r="R140" i="5"/>
  <c r="Q140" i="5"/>
  <c r="D140" i="5"/>
  <c r="I140" i="5"/>
  <c r="H140" i="5"/>
  <c r="E140" i="5"/>
  <c r="C140" i="5"/>
  <c r="AA140" i="5"/>
  <c r="AF140" i="5"/>
  <c r="V141" i="5"/>
  <c r="R141" i="5"/>
  <c r="Q141" i="5"/>
  <c r="D141" i="5"/>
  <c r="I141" i="5"/>
  <c r="H141" i="5"/>
  <c r="E141" i="5"/>
  <c r="C141" i="5"/>
  <c r="AA141" i="5"/>
  <c r="AF141" i="5"/>
  <c r="V142" i="5"/>
  <c r="R142" i="5"/>
  <c r="Q142" i="5"/>
  <c r="D142" i="5"/>
  <c r="I142" i="5"/>
  <c r="H142" i="5"/>
  <c r="E142" i="5"/>
  <c r="C142" i="5"/>
  <c r="AA142" i="5"/>
  <c r="AF142" i="5"/>
  <c r="V143" i="5"/>
  <c r="R143" i="5"/>
  <c r="Q143" i="5"/>
  <c r="D143" i="5"/>
  <c r="I143" i="5"/>
  <c r="H143" i="5"/>
  <c r="E143" i="5"/>
  <c r="C143" i="5"/>
  <c r="AA143" i="5"/>
  <c r="AF143" i="5"/>
  <c r="V144" i="5"/>
  <c r="R144" i="5"/>
  <c r="Q144" i="5"/>
  <c r="D144" i="5"/>
  <c r="I144" i="5"/>
  <c r="H144" i="5"/>
  <c r="E144" i="5"/>
  <c r="C144" i="5"/>
  <c r="AA144" i="5"/>
  <c r="AF144" i="5"/>
  <c r="V145" i="5"/>
  <c r="R145" i="5"/>
  <c r="Q145" i="5"/>
  <c r="D145" i="5"/>
  <c r="I145" i="5"/>
  <c r="H145" i="5"/>
  <c r="E145" i="5"/>
  <c r="C145" i="5"/>
  <c r="AA145" i="5"/>
  <c r="AF145" i="5"/>
  <c r="V146" i="5"/>
  <c r="R146" i="5"/>
  <c r="Q146" i="5"/>
  <c r="D146" i="5"/>
  <c r="I146" i="5"/>
  <c r="H146" i="5"/>
  <c r="E146" i="5"/>
  <c r="C146" i="5"/>
  <c r="AA146" i="5"/>
  <c r="AF146" i="5"/>
  <c r="V147" i="5"/>
  <c r="R147" i="5"/>
  <c r="Q147" i="5"/>
  <c r="D147" i="5"/>
  <c r="I147" i="5"/>
  <c r="H147" i="5"/>
  <c r="E147" i="5"/>
  <c r="C147" i="5"/>
  <c r="AA147" i="5"/>
  <c r="AF147" i="5"/>
  <c r="V148" i="5"/>
  <c r="R148" i="5"/>
  <c r="Q148" i="5"/>
  <c r="D148" i="5"/>
  <c r="I148" i="5"/>
  <c r="H148" i="5"/>
  <c r="E148" i="5"/>
  <c r="C148" i="5"/>
  <c r="AA148" i="5"/>
  <c r="AF148" i="5"/>
  <c r="V149" i="5"/>
  <c r="R149" i="5"/>
  <c r="Q149" i="5"/>
  <c r="D149" i="5"/>
  <c r="I149" i="5"/>
  <c r="H149" i="5"/>
  <c r="E149" i="5"/>
  <c r="C149" i="5"/>
  <c r="AA149" i="5"/>
  <c r="AF149" i="5"/>
  <c r="V150" i="5"/>
  <c r="R150" i="5"/>
  <c r="Q150" i="5"/>
  <c r="D150" i="5"/>
  <c r="I150" i="5"/>
  <c r="H150" i="5"/>
  <c r="E150" i="5"/>
  <c r="C150" i="5"/>
  <c r="AA150" i="5"/>
  <c r="AF150" i="5"/>
  <c r="V151" i="5"/>
  <c r="R151" i="5"/>
  <c r="Q151" i="5"/>
  <c r="D151" i="5"/>
  <c r="I151" i="5"/>
  <c r="H151" i="5"/>
  <c r="E151" i="5"/>
  <c r="C151" i="5"/>
  <c r="AA151" i="5"/>
  <c r="AF151" i="5"/>
  <c r="V152" i="5"/>
  <c r="R152" i="5"/>
  <c r="Q152" i="5"/>
  <c r="D152" i="5"/>
  <c r="I152" i="5"/>
  <c r="H152" i="5"/>
  <c r="E152" i="5"/>
  <c r="C152" i="5"/>
  <c r="AA152" i="5"/>
  <c r="AF152" i="5"/>
  <c r="V153" i="5"/>
  <c r="R153" i="5"/>
  <c r="Q153" i="5"/>
  <c r="D153" i="5"/>
  <c r="I153" i="5"/>
  <c r="H153" i="5"/>
  <c r="E153" i="5"/>
  <c r="C153" i="5"/>
  <c r="AA153" i="5"/>
  <c r="AF153" i="5"/>
  <c r="V154" i="5"/>
  <c r="R154" i="5"/>
  <c r="Q154" i="5"/>
  <c r="D154" i="5"/>
  <c r="I154" i="5"/>
  <c r="H154" i="5"/>
  <c r="E154" i="5"/>
  <c r="C154" i="5"/>
  <c r="AA154" i="5"/>
  <c r="AF154" i="5"/>
  <c r="V155" i="5"/>
  <c r="R155" i="5"/>
  <c r="Q155" i="5"/>
  <c r="D155" i="5"/>
  <c r="I155" i="5"/>
  <c r="H155" i="5"/>
  <c r="E155" i="5"/>
  <c r="C155" i="5"/>
  <c r="AA155" i="5"/>
  <c r="AF155" i="5"/>
  <c r="V156" i="5"/>
  <c r="R156" i="5"/>
  <c r="Q156" i="5"/>
  <c r="D156" i="5"/>
  <c r="I156" i="5"/>
  <c r="H156" i="5"/>
  <c r="E156" i="5"/>
  <c r="C156" i="5"/>
  <c r="AA156" i="5"/>
  <c r="AF156" i="5"/>
  <c r="V157" i="5"/>
  <c r="R157" i="5"/>
  <c r="Q157" i="5"/>
  <c r="D157" i="5"/>
  <c r="I157" i="5"/>
  <c r="H157" i="5"/>
  <c r="E157" i="5"/>
  <c r="C157" i="5"/>
  <c r="AA157" i="5"/>
  <c r="AF157" i="5"/>
  <c r="V158" i="5"/>
  <c r="R158" i="5"/>
  <c r="Q158" i="5"/>
  <c r="D158" i="5"/>
  <c r="I158" i="5"/>
  <c r="H158" i="5"/>
  <c r="E158" i="5"/>
  <c r="C158" i="5"/>
  <c r="AA158" i="5"/>
  <c r="AF158" i="5"/>
  <c r="V159" i="5"/>
  <c r="R159" i="5"/>
  <c r="Q159" i="5"/>
  <c r="D159" i="5"/>
  <c r="I159" i="5"/>
  <c r="H159" i="5"/>
  <c r="E159" i="5"/>
  <c r="C159" i="5"/>
  <c r="AA159" i="5"/>
  <c r="AF159" i="5"/>
  <c r="V160" i="5"/>
  <c r="R160" i="5"/>
  <c r="Q160" i="5"/>
  <c r="D160" i="5"/>
  <c r="I160" i="5"/>
  <c r="H160" i="5"/>
  <c r="E160" i="5"/>
  <c r="C160" i="5"/>
  <c r="AA160" i="5"/>
  <c r="AF160" i="5"/>
  <c r="V161" i="5"/>
  <c r="R161" i="5"/>
  <c r="Q161" i="5"/>
  <c r="D161" i="5"/>
  <c r="I161" i="5"/>
  <c r="H161" i="5"/>
  <c r="E161" i="5"/>
  <c r="C161" i="5"/>
  <c r="AA161" i="5"/>
  <c r="AF161" i="5"/>
  <c r="V162" i="5"/>
  <c r="R162" i="5"/>
  <c r="Q162" i="5"/>
  <c r="D162" i="5"/>
  <c r="I162" i="5"/>
  <c r="H162" i="5"/>
  <c r="E162" i="5"/>
  <c r="C162" i="5"/>
  <c r="AA162" i="5"/>
  <c r="AF162" i="5"/>
  <c r="V163" i="5"/>
  <c r="R163" i="5"/>
  <c r="Q163" i="5"/>
  <c r="D163" i="5"/>
  <c r="I163" i="5"/>
  <c r="H163" i="5"/>
  <c r="E163" i="5"/>
  <c r="C163" i="5"/>
  <c r="AA163" i="5"/>
  <c r="AF163" i="5"/>
  <c r="V164" i="5"/>
  <c r="R164" i="5"/>
  <c r="Q164" i="5"/>
  <c r="D164" i="5"/>
  <c r="I164" i="5"/>
  <c r="H164" i="5"/>
  <c r="E164" i="5"/>
  <c r="C164" i="5"/>
  <c r="AA164" i="5"/>
  <c r="AF164" i="5"/>
  <c r="V165" i="5"/>
  <c r="R165" i="5"/>
  <c r="Q165" i="5"/>
  <c r="D165" i="5"/>
  <c r="I165" i="5"/>
  <c r="H165" i="5"/>
  <c r="E165" i="5"/>
  <c r="C165" i="5"/>
  <c r="AA165" i="5"/>
  <c r="AF165" i="5"/>
  <c r="V166" i="5"/>
  <c r="R166" i="5"/>
  <c r="Q166" i="5"/>
  <c r="D166" i="5"/>
  <c r="I166" i="5"/>
  <c r="H166" i="5"/>
  <c r="E166" i="5"/>
  <c r="C166" i="5"/>
  <c r="AA166" i="5"/>
  <c r="AF166" i="5"/>
  <c r="V167" i="5"/>
  <c r="R167" i="5"/>
  <c r="Q167" i="5"/>
  <c r="D167" i="5"/>
  <c r="I167" i="5"/>
  <c r="H167" i="5"/>
  <c r="E167" i="5"/>
  <c r="C167" i="5"/>
  <c r="AA167" i="5"/>
  <c r="AF167" i="5"/>
  <c r="V168" i="5"/>
  <c r="R168" i="5"/>
  <c r="Q168" i="5"/>
  <c r="D168" i="5"/>
  <c r="I168" i="5"/>
  <c r="H168" i="5"/>
  <c r="E168" i="5"/>
  <c r="C168" i="5"/>
  <c r="AA168" i="5"/>
  <c r="AF168" i="5"/>
  <c r="V169" i="5"/>
  <c r="R169" i="5"/>
  <c r="Q169" i="5"/>
  <c r="D169" i="5"/>
  <c r="I169" i="5"/>
  <c r="H169" i="5"/>
  <c r="E169" i="5"/>
  <c r="C169" i="5"/>
  <c r="AA169" i="5"/>
  <c r="AF169" i="5"/>
  <c r="V170" i="5"/>
  <c r="R170" i="5"/>
  <c r="Q170" i="5"/>
  <c r="D170" i="5"/>
  <c r="I170" i="5"/>
  <c r="H170" i="5"/>
  <c r="E170" i="5"/>
  <c r="C170" i="5"/>
  <c r="AA170" i="5"/>
  <c r="AF170" i="5"/>
  <c r="V171" i="5"/>
  <c r="R171" i="5"/>
  <c r="Q171" i="5"/>
  <c r="D171" i="5"/>
  <c r="I171" i="5"/>
  <c r="H171" i="5"/>
  <c r="E171" i="5"/>
  <c r="C171" i="5"/>
  <c r="AA171" i="5"/>
  <c r="AF171" i="5"/>
  <c r="V172" i="5"/>
  <c r="R172" i="5"/>
  <c r="Q172" i="5"/>
  <c r="D172" i="5"/>
  <c r="I172" i="5"/>
  <c r="H172" i="5"/>
  <c r="E172" i="5"/>
  <c r="C172" i="5"/>
  <c r="AA172" i="5"/>
  <c r="AF172" i="5"/>
  <c r="V173" i="5"/>
  <c r="R173" i="5"/>
  <c r="Q173" i="5"/>
  <c r="D173" i="5"/>
  <c r="I173" i="5"/>
  <c r="H173" i="5"/>
  <c r="E173" i="5"/>
  <c r="C173" i="5"/>
  <c r="AA173" i="5"/>
  <c r="AF173" i="5"/>
  <c r="V174" i="5"/>
  <c r="R174" i="5"/>
  <c r="Q174" i="5"/>
  <c r="D174" i="5"/>
  <c r="I174" i="5"/>
  <c r="H174" i="5"/>
  <c r="E174" i="5"/>
  <c r="C174" i="5"/>
  <c r="AA174" i="5"/>
  <c r="AF174" i="5"/>
  <c r="V175" i="5"/>
  <c r="R175" i="5"/>
  <c r="Q175" i="5"/>
  <c r="D175" i="5"/>
  <c r="I175" i="5"/>
  <c r="H175" i="5"/>
  <c r="E175" i="5"/>
  <c r="C175" i="5"/>
  <c r="AA175" i="5"/>
  <c r="AF175" i="5"/>
  <c r="V176" i="5"/>
  <c r="R176" i="5"/>
  <c r="Q176" i="5"/>
  <c r="D176" i="5"/>
  <c r="I176" i="5"/>
  <c r="H176" i="5"/>
  <c r="E176" i="5"/>
  <c r="C176" i="5"/>
  <c r="AA176" i="5"/>
  <c r="AF176" i="5"/>
  <c r="V177" i="5"/>
  <c r="R177" i="5"/>
  <c r="Q177" i="5"/>
  <c r="D177" i="5"/>
  <c r="I177" i="5"/>
  <c r="H177" i="5"/>
  <c r="E177" i="5"/>
  <c r="C177" i="5"/>
  <c r="AA177" i="5"/>
  <c r="AF177" i="5"/>
  <c r="V178" i="5"/>
  <c r="R178" i="5"/>
  <c r="Q178" i="5"/>
  <c r="D178" i="5"/>
  <c r="I178" i="5"/>
  <c r="H178" i="5"/>
  <c r="E178" i="5"/>
  <c r="C178" i="5"/>
  <c r="AA178" i="5"/>
  <c r="AF178" i="5"/>
  <c r="V179" i="5"/>
  <c r="R179" i="5"/>
  <c r="Q179" i="5"/>
  <c r="D179" i="5"/>
  <c r="I179" i="5"/>
  <c r="H179" i="5"/>
  <c r="E179" i="5"/>
  <c r="C179" i="5"/>
  <c r="AA179" i="5"/>
  <c r="AF179" i="5"/>
  <c r="V180" i="5"/>
  <c r="R180" i="5"/>
  <c r="Q180" i="5"/>
  <c r="D180" i="5"/>
  <c r="I180" i="5"/>
  <c r="H180" i="5"/>
  <c r="E180" i="5"/>
  <c r="C180" i="5"/>
  <c r="AA180" i="5"/>
  <c r="AF180" i="5"/>
  <c r="V181" i="5"/>
  <c r="R181" i="5"/>
  <c r="Q181" i="5"/>
  <c r="D181" i="5"/>
  <c r="I181" i="5"/>
  <c r="H181" i="5"/>
  <c r="E181" i="5"/>
  <c r="C181" i="5"/>
  <c r="AA181" i="5"/>
  <c r="AF181" i="5"/>
  <c r="V182" i="5"/>
  <c r="R182" i="5"/>
  <c r="Q182" i="5"/>
  <c r="D182" i="5"/>
  <c r="I182" i="5"/>
  <c r="H182" i="5"/>
  <c r="E182" i="5"/>
  <c r="C182" i="5"/>
  <c r="AA182" i="5"/>
  <c r="AF182" i="5"/>
  <c r="V183" i="5"/>
  <c r="R183" i="5"/>
  <c r="Q183" i="5"/>
  <c r="D183" i="5"/>
  <c r="I183" i="5"/>
  <c r="H183" i="5"/>
  <c r="E183" i="5"/>
  <c r="C183" i="5"/>
  <c r="AA183" i="5"/>
  <c r="AF183" i="5"/>
  <c r="V184" i="5"/>
  <c r="R184" i="5"/>
  <c r="Q184" i="5"/>
  <c r="D184" i="5"/>
  <c r="I184" i="5"/>
  <c r="H184" i="5"/>
  <c r="E184" i="5"/>
  <c r="C184" i="5"/>
  <c r="AA184" i="5"/>
  <c r="AF184" i="5"/>
  <c r="V185" i="5"/>
  <c r="R185" i="5"/>
  <c r="Q185" i="5"/>
  <c r="D185" i="5"/>
  <c r="I185" i="5"/>
  <c r="H185" i="5"/>
  <c r="E185" i="5"/>
  <c r="C185" i="5"/>
  <c r="AA185" i="5"/>
  <c r="AF185" i="5"/>
  <c r="V186" i="5"/>
  <c r="R186" i="5"/>
  <c r="Q186" i="5"/>
  <c r="D186" i="5"/>
  <c r="I186" i="5"/>
  <c r="H186" i="5"/>
  <c r="E186" i="5"/>
  <c r="C186" i="5"/>
  <c r="AA186" i="5"/>
  <c r="AF186" i="5"/>
  <c r="V187" i="5"/>
  <c r="R187" i="5"/>
  <c r="Q187" i="5"/>
  <c r="D187" i="5"/>
  <c r="I187" i="5"/>
  <c r="H187" i="5"/>
  <c r="E187" i="5"/>
  <c r="C187" i="5"/>
  <c r="AA187" i="5"/>
  <c r="AF187" i="5"/>
  <c r="V188" i="5"/>
  <c r="R188" i="5"/>
  <c r="Q188" i="5"/>
  <c r="D188" i="5"/>
  <c r="I188" i="5"/>
  <c r="H188" i="5"/>
  <c r="E188" i="5"/>
  <c r="C188" i="5"/>
  <c r="AA188" i="5"/>
  <c r="AF188" i="5"/>
  <c r="V189" i="5"/>
  <c r="R189" i="5"/>
  <c r="Q189" i="5"/>
  <c r="D189" i="5"/>
  <c r="I189" i="5"/>
  <c r="H189" i="5"/>
  <c r="E189" i="5"/>
  <c r="C189" i="5"/>
  <c r="AA189" i="5"/>
  <c r="AF189" i="5"/>
  <c r="V190" i="5"/>
  <c r="R190" i="5"/>
  <c r="Q190" i="5"/>
  <c r="D190" i="5"/>
  <c r="I190" i="5"/>
  <c r="H190" i="5"/>
  <c r="E190" i="5"/>
  <c r="C190" i="5"/>
  <c r="AA190" i="5"/>
  <c r="AF190" i="5"/>
  <c r="V191" i="5"/>
  <c r="R191" i="5"/>
  <c r="Q191" i="5"/>
  <c r="D191" i="5"/>
  <c r="I191" i="5"/>
  <c r="H191" i="5"/>
  <c r="E191" i="5"/>
  <c r="C191" i="5"/>
  <c r="AA191" i="5"/>
  <c r="AF191" i="5"/>
  <c r="V192" i="5"/>
  <c r="R192" i="5"/>
  <c r="Q192" i="5"/>
  <c r="D192" i="5"/>
  <c r="I192" i="5"/>
  <c r="H192" i="5"/>
  <c r="E192" i="5"/>
  <c r="C192" i="5"/>
  <c r="AA192" i="5"/>
  <c r="AF192" i="5"/>
  <c r="V193" i="5"/>
  <c r="R193" i="5"/>
  <c r="Q193" i="5"/>
  <c r="D193" i="5"/>
  <c r="I193" i="5"/>
  <c r="H193" i="5"/>
  <c r="E193" i="5"/>
  <c r="C193" i="5"/>
  <c r="AA193" i="5"/>
  <c r="AF193" i="5"/>
  <c r="V194" i="5"/>
  <c r="R194" i="5"/>
  <c r="Q194" i="5"/>
  <c r="D194" i="5"/>
  <c r="I194" i="5"/>
  <c r="H194" i="5"/>
  <c r="E194" i="5"/>
  <c r="C194" i="5"/>
  <c r="AA194" i="5"/>
  <c r="AF194" i="5"/>
  <c r="V195" i="5"/>
  <c r="R195" i="5"/>
  <c r="Q195" i="5"/>
  <c r="D195" i="5"/>
  <c r="I195" i="5"/>
  <c r="H195" i="5"/>
  <c r="E195" i="5"/>
  <c r="C195" i="5"/>
  <c r="AA195" i="5"/>
  <c r="AF195" i="5"/>
  <c r="V196" i="5"/>
  <c r="R196" i="5"/>
  <c r="Q196" i="5"/>
  <c r="D196" i="5"/>
  <c r="I196" i="5"/>
  <c r="H196" i="5"/>
  <c r="E196" i="5"/>
  <c r="C196" i="5"/>
  <c r="AA196" i="5"/>
  <c r="AF196" i="5"/>
  <c r="V197" i="5"/>
  <c r="R197" i="5"/>
  <c r="Q197" i="5"/>
  <c r="D197" i="5"/>
  <c r="I197" i="5"/>
  <c r="H197" i="5"/>
  <c r="E197" i="5"/>
  <c r="C197" i="5"/>
  <c r="AA197" i="5"/>
  <c r="AF197" i="5"/>
  <c r="V198" i="5"/>
  <c r="R198" i="5"/>
  <c r="Q198" i="5"/>
  <c r="D198" i="5"/>
  <c r="I198" i="5"/>
  <c r="H198" i="5"/>
  <c r="E198" i="5"/>
  <c r="C198" i="5"/>
  <c r="AA198" i="5"/>
  <c r="AF198" i="5"/>
  <c r="V199" i="5"/>
  <c r="R199" i="5"/>
  <c r="Q199" i="5"/>
  <c r="D199" i="5"/>
  <c r="I199" i="5"/>
  <c r="H199" i="5"/>
  <c r="E199" i="5"/>
  <c r="C199" i="5"/>
  <c r="AA199" i="5"/>
  <c r="AF199" i="5"/>
  <c r="V200" i="5"/>
  <c r="R200" i="5"/>
  <c r="Q200" i="5"/>
  <c r="D200" i="5"/>
  <c r="I200" i="5"/>
  <c r="H200" i="5"/>
  <c r="E200" i="5"/>
  <c r="C200" i="5"/>
  <c r="AA200" i="5"/>
  <c r="AF200" i="5"/>
  <c r="V201" i="5"/>
  <c r="R201" i="5"/>
  <c r="Q201" i="5"/>
  <c r="D201" i="5"/>
  <c r="I201" i="5"/>
  <c r="H201" i="5"/>
  <c r="E201" i="5"/>
  <c r="C201" i="5"/>
  <c r="AA201" i="5"/>
  <c r="AF201" i="5"/>
  <c r="V202" i="5"/>
  <c r="R202" i="5"/>
  <c r="Q202" i="5"/>
  <c r="D202" i="5"/>
  <c r="I202" i="5"/>
  <c r="H202" i="5"/>
  <c r="E202" i="5"/>
  <c r="C202" i="5"/>
  <c r="AA202" i="5"/>
  <c r="AF202" i="5"/>
  <c r="V203" i="5"/>
  <c r="R203" i="5"/>
  <c r="Q203" i="5"/>
  <c r="D203" i="5"/>
  <c r="I203" i="5"/>
  <c r="H203" i="5"/>
  <c r="E203" i="5"/>
  <c r="C203" i="5"/>
  <c r="AA203" i="5"/>
  <c r="AF203" i="5"/>
  <c r="V204" i="5"/>
  <c r="R204" i="5"/>
  <c r="Q204" i="5"/>
  <c r="D204" i="5"/>
  <c r="I204" i="5"/>
  <c r="H204" i="5"/>
  <c r="E204" i="5"/>
  <c r="C204" i="5"/>
  <c r="AA204" i="5"/>
  <c r="AF204" i="5"/>
  <c r="V205" i="5"/>
  <c r="R205" i="5"/>
  <c r="Q205" i="5"/>
  <c r="D205" i="5"/>
  <c r="I205" i="5"/>
  <c r="H205" i="5"/>
  <c r="E205" i="5"/>
  <c r="C205" i="5"/>
  <c r="AA205" i="5"/>
  <c r="AF205" i="5"/>
  <c r="V206" i="5"/>
  <c r="R206" i="5"/>
  <c r="Q206" i="5"/>
  <c r="D206" i="5"/>
  <c r="I206" i="5"/>
  <c r="H206" i="5"/>
  <c r="E206" i="5"/>
  <c r="C206" i="5"/>
  <c r="AA206" i="5"/>
  <c r="AF206" i="5"/>
  <c r="V207" i="5"/>
  <c r="R207" i="5"/>
  <c r="Q207" i="5"/>
  <c r="D207" i="5"/>
  <c r="I207" i="5"/>
  <c r="H207" i="5"/>
  <c r="E207" i="5"/>
  <c r="C207" i="5"/>
  <c r="AA207" i="5"/>
  <c r="AF207" i="5"/>
  <c r="V208" i="5"/>
  <c r="R208" i="5"/>
  <c r="Q208" i="5"/>
  <c r="D208" i="5"/>
  <c r="I208" i="5"/>
  <c r="H208" i="5"/>
  <c r="E208" i="5"/>
  <c r="C208" i="5"/>
  <c r="AA208" i="5"/>
  <c r="AF208" i="5"/>
  <c r="V209" i="5"/>
  <c r="R209" i="5"/>
  <c r="Q209" i="5"/>
  <c r="D209" i="5"/>
  <c r="I209" i="5"/>
  <c r="H209" i="5"/>
  <c r="E209" i="5"/>
  <c r="C209" i="5"/>
  <c r="AA209" i="5"/>
  <c r="AF20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59" i="5"/>
  <c r="W60" i="5"/>
  <c r="W61" i="5"/>
  <c r="W62" i="5"/>
  <c r="W63" i="5"/>
  <c r="W64" i="5"/>
  <c r="W65" i="5"/>
  <c r="W66" i="5"/>
  <c r="W67" i="5"/>
  <c r="W68" i="5"/>
  <c r="W69" i="5"/>
  <c r="W70" i="5"/>
  <c r="W71" i="5"/>
  <c r="W72" i="5"/>
  <c r="W73" i="5"/>
  <c r="W74" i="5"/>
  <c r="W75" i="5"/>
  <c r="W76" i="5"/>
  <c r="W77" i="5"/>
  <c r="W78" i="5"/>
  <c r="W79" i="5"/>
  <c r="W80" i="5"/>
  <c r="W81" i="5"/>
  <c r="W82" i="5"/>
  <c r="W83" i="5"/>
  <c r="W84" i="5"/>
  <c r="W85" i="5"/>
  <c r="W86" i="5"/>
  <c r="W87" i="5"/>
  <c r="W88" i="5"/>
  <c r="W89" i="5"/>
  <c r="W90" i="5"/>
  <c r="W91" i="5"/>
  <c r="W92" i="5"/>
  <c r="W93" i="5"/>
  <c r="W94" i="5"/>
  <c r="W95" i="5"/>
  <c r="W96" i="5"/>
  <c r="W97" i="5"/>
  <c r="W98" i="5"/>
  <c r="W99" i="5"/>
  <c r="W100" i="5"/>
  <c r="W101" i="5"/>
  <c r="W102" i="5"/>
  <c r="W103" i="5"/>
  <c r="W104" i="5"/>
  <c r="W105" i="5"/>
  <c r="W106" i="5"/>
  <c r="W107" i="5"/>
  <c r="W108" i="5"/>
  <c r="W109" i="5"/>
  <c r="W110" i="5"/>
  <c r="W111" i="5"/>
  <c r="W112" i="5"/>
  <c r="W113" i="5"/>
  <c r="W114" i="5"/>
  <c r="W115" i="5"/>
  <c r="W116" i="5"/>
  <c r="W117" i="5"/>
  <c r="W118" i="5"/>
  <c r="W119" i="5"/>
  <c r="W120" i="5"/>
  <c r="W121" i="5"/>
  <c r="W122" i="5"/>
  <c r="W123" i="5"/>
  <c r="W124" i="5"/>
  <c r="W125" i="5"/>
  <c r="W126" i="5"/>
  <c r="W127" i="5"/>
  <c r="W128" i="5"/>
  <c r="W129" i="5"/>
  <c r="W130" i="5"/>
  <c r="W131" i="5"/>
  <c r="W132" i="5"/>
  <c r="W133" i="5"/>
  <c r="W134" i="5"/>
  <c r="W135" i="5"/>
  <c r="W136" i="5"/>
  <c r="W137" i="5"/>
  <c r="W138" i="5"/>
  <c r="W139" i="5"/>
  <c r="W140" i="5"/>
  <c r="W141" i="5"/>
  <c r="W142" i="5"/>
  <c r="W143" i="5"/>
  <c r="W144" i="5"/>
  <c r="W145" i="5"/>
  <c r="W146" i="5"/>
  <c r="W147" i="5"/>
  <c r="W148" i="5"/>
  <c r="W149" i="5"/>
  <c r="W150" i="5"/>
  <c r="W151" i="5"/>
  <c r="W152" i="5"/>
  <c r="W153" i="5"/>
  <c r="W154" i="5"/>
  <c r="W155" i="5"/>
  <c r="W156" i="5"/>
  <c r="W157" i="5"/>
  <c r="W158" i="5"/>
  <c r="W159" i="5"/>
  <c r="W160" i="5"/>
  <c r="W161" i="5"/>
  <c r="W162" i="5"/>
  <c r="W163" i="5"/>
  <c r="W164" i="5"/>
  <c r="W165" i="5"/>
  <c r="W166" i="5"/>
  <c r="W167" i="5"/>
  <c r="W168" i="5"/>
  <c r="W169" i="5"/>
  <c r="W170" i="5"/>
  <c r="W171" i="5"/>
  <c r="W172" i="5"/>
  <c r="W173" i="5"/>
  <c r="W174" i="5"/>
  <c r="W175" i="5"/>
  <c r="W176" i="5"/>
  <c r="W177" i="5"/>
  <c r="W178" i="5"/>
  <c r="W179" i="5"/>
  <c r="W180" i="5"/>
  <c r="W181" i="5"/>
  <c r="W182" i="5"/>
  <c r="W183" i="5"/>
  <c r="W184" i="5"/>
  <c r="W185" i="5"/>
  <c r="W186" i="5"/>
  <c r="W187" i="5"/>
  <c r="W188" i="5"/>
  <c r="W189" i="5"/>
  <c r="W190" i="5"/>
  <c r="W191" i="5"/>
  <c r="W192" i="5"/>
  <c r="W193" i="5"/>
  <c r="W194" i="5"/>
  <c r="W195" i="5"/>
  <c r="W196" i="5"/>
  <c r="W197" i="5"/>
  <c r="W198" i="5"/>
  <c r="W199" i="5"/>
  <c r="W200" i="5"/>
  <c r="W201" i="5"/>
  <c r="W202" i="5"/>
  <c r="W203" i="5"/>
  <c r="W204" i="5"/>
  <c r="W205" i="5"/>
  <c r="W206" i="5"/>
  <c r="W207" i="5"/>
  <c r="W208" i="5"/>
  <c r="W209" i="5"/>
  <c r="AG60" i="5"/>
  <c r="AG61" i="5"/>
  <c r="AG62" i="5"/>
  <c r="AG63" i="5"/>
  <c r="AG64" i="5"/>
  <c r="AG65" i="5"/>
  <c r="AG66" i="5"/>
  <c r="AG67" i="5"/>
  <c r="AG68" i="5"/>
  <c r="AG69" i="5"/>
  <c r="AG70" i="5"/>
  <c r="AG71" i="5"/>
  <c r="AG72" i="5"/>
  <c r="AG73" i="5"/>
  <c r="AG74" i="5"/>
  <c r="AG75" i="5"/>
  <c r="AG76" i="5"/>
  <c r="AG77" i="5"/>
  <c r="AG78" i="5"/>
  <c r="AG79" i="5"/>
  <c r="AG80" i="5"/>
  <c r="AG81" i="5"/>
  <c r="AG82" i="5"/>
  <c r="AG83" i="5"/>
  <c r="AG84" i="5"/>
  <c r="AG85" i="5"/>
  <c r="AG86" i="5"/>
  <c r="AG87" i="5"/>
  <c r="AG88" i="5"/>
  <c r="AG89" i="5"/>
  <c r="AG90" i="5"/>
  <c r="AG91" i="5"/>
  <c r="AG92" i="5"/>
  <c r="AG93" i="5"/>
  <c r="AG94" i="5"/>
  <c r="AG95" i="5"/>
  <c r="AG96" i="5"/>
  <c r="AG97" i="5"/>
  <c r="AG98" i="5"/>
  <c r="AG99" i="5"/>
  <c r="AG100" i="5"/>
  <c r="AG101" i="5"/>
  <c r="AG102" i="5"/>
  <c r="AG103" i="5"/>
  <c r="AG104" i="5"/>
  <c r="AG105" i="5"/>
  <c r="AG106" i="5"/>
  <c r="AG107" i="5"/>
  <c r="AG108" i="5"/>
  <c r="AG109" i="5"/>
  <c r="AG110" i="5"/>
  <c r="AG111" i="5"/>
  <c r="AG112" i="5"/>
  <c r="AG113" i="5"/>
  <c r="AG114" i="5"/>
  <c r="AG115" i="5"/>
  <c r="AG116" i="5"/>
  <c r="AG117" i="5"/>
  <c r="AG118" i="5"/>
  <c r="AG119" i="5"/>
  <c r="AG120" i="5"/>
  <c r="AG121" i="5"/>
  <c r="AG122" i="5"/>
  <c r="AG123" i="5"/>
  <c r="AG124" i="5"/>
  <c r="AG125" i="5"/>
  <c r="AG126" i="5"/>
  <c r="AG127" i="5"/>
  <c r="AG128" i="5"/>
  <c r="AG129" i="5"/>
  <c r="AG130" i="5"/>
  <c r="AG131" i="5"/>
  <c r="AG132" i="5"/>
  <c r="AG133" i="5"/>
  <c r="AG134" i="5"/>
  <c r="AG135" i="5"/>
  <c r="AG136" i="5"/>
  <c r="AG137" i="5"/>
  <c r="AG138" i="5"/>
  <c r="AG139" i="5"/>
  <c r="AG140" i="5"/>
  <c r="AG141" i="5"/>
  <c r="AG142" i="5"/>
  <c r="AG143" i="5"/>
  <c r="AG144" i="5"/>
  <c r="AG145" i="5"/>
  <c r="AG146" i="5"/>
  <c r="AG147" i="5"/>
  <c r="AG148" i="5"/>
  <c r="AG149" i="5"/>
  <c r="AG150" i="5"/>
  <c r="AG151" i="5"/>
  <c r="AG152" i="5"/>
  <c r="AG153" i="5"/>
  <c r="AG154" i="5"/>
  <c r="AG155" i="5"/>
  <c r="AG156" i="5"/>
  <c r="AG157" i="5"/>
  <c r="AG158" i="5"/>
  <c r="AG159" i="5"/>
  <c r="AG160" i="5"/>
  <c r="AG161" i="5"/>
  <c r="AG162" i="5"/>
  <c r="AG163" i="5"/>
  <c r="AG164" i="5"/>
  <c r="AG165" i="5"/>
  <c r="AG166" i="5"/>
  <c r="AG167" i="5"/>
  <c r="AG168" i="5"/>
  <c r="AG169" i="5"/>
  <c r="AG170" i="5"/>
  <c r="AG171" i="5"/>
  <c r="AG172" i="5"/>
  <c r="AG173" i="5"/>
  <c r="AG174" i="5"/>
  <c r="AG175" i="5"/>
  <c r="AG176" i="5"/>
  <c r="AG177" i="5"/>
  <c r="AG178" i="5"/>
  <c r="AG179" i="5"/>
  <c r="AG180" i="5"/>
  <c r="AG181" i="5"/>
  <c r="AG182" i="5"/>
  <c r="AG183" i="5"/>
  <c r="AG184" i="5"/>
  <c r="AG185" i="5"/>
  <c r="AG186" i="5"/>
  <c r="AG187" i="5"/>
  <c r="AG188" i="5"/>
  <c r="AG189" i="5"/>
  <c r="AG190" i="5"/>
  <c r="AG191" i="5"/>
  <c r="AG192" i="5"/>
  <c r="AG193" i="5"/>
  <c r="AG194" i="5"/>
  <c r="AG195" i="5"/>
  <c r="AG196" i="5"/>
  <c r="AG197" i="5"/>
  <c r="AG198" i="5"/>
  <c r="AG199" i="5"/>
  <c r="AG200" i="5"/>
  <c r="AG201" i="5"/>
  <c r="AG202" i="5"/>
  <c r="AG203" i="5"/>
  <c r="AG204" i="5"/>
  <c r="AG205" i="5"/>
  <c r="AG206" i="5"/>
  <c r="AG207" i="5"/>
  <c r="AG208" i="5"/>
  <c r="AG209" i="5"/>
  <c r="AG59" i="5"/>
  <c r="D59" i="4"/>
  <c r="Y59" i="4"/>
  <c r="W59" i="4"/>
  <c r="S59" i="4"/>
  <c r="AA59" i="4"/>
  <c r="O59" i="4"/>
  <c r="I59" i="4"/>
  <c r="AC59" i="4"/>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59" i="5"/>
  <c r="Z11" i="5"/>
  <c r="Z12" i="5"/>
  <c r="Z13" i="5"/>
  <c r="Z14" i="5"/>
  <c r="Z15" i="5"/>
  <c r="Z16" i="5"/>
  <c r="Z17" i="5"/>
  <c r="Z18" i="5"/>
  <c r="Z19" i="5"/>
  <c r="Z20" i="5"/>
  <c r="Z21" i="5"/>
  <c r="Z22" i="5"/>
  <c r="Z23" i="5"/>
  <c r="Z24" i="5"/>
  <c r="Z25" i="5"/>
  <c r="Z26" i="5"/>
  <c r="Z27" i="5"/>
  <c r="Z28" i="5"/>
  <c r="Z29" i="5"/>
  <c r="Z30" i="5"/>
  <c r="Z31" i="5"/>
  <c r="Z32" i="5"/>
  <c r="Z33" i="5"/>
  <c r="Z34" i="5"/>
  <c r="Z35" i="5"/>
  <c r="Z36" i="5"/>
  <c r="Z37" i="5"/>
  <c r="Z38" i="5"/>
  <c r="Z39" i="5"/>
  <c r="Z40" i="5"/>
  <c r="Z41" i="5"/>
  <c r="Z42" i="5"/>
  <c r="Z43" i="5"/>
  <c r="Z44" i="5"/>
  <c r="Z45" i="5"/>
  <c r="Z46" i="5"/>
  <c r="Z47" i="5"/>
  <c r="Z48" i="5"/>
  <c r="Z49" i="5"/>
  <c r="Z50" i="5"/>
  <c r="Z51" i="5"/>
  <c r="Z52" i="5"/>
  <c r="Z53" i="5"/>
  <c r="Z54" i="5"/>
  <c r="Z55" i="5"/>
  <c r="Z56" i="5"/>
  <c r="Z57" i="5"/>
  <c r="Z58" i="5"/>
  <c r="Z59" i="5"/>
  <c r="Z60" i="5"/>
  <c r="Z61" i="5"/>
  <c r="Z62" i="5"/>
  <c r="Z63" i="5"/>
  <c r="Z64" i="5"/>
  <c r="Z65" i="5"/>
  <c r="Z66" i="5"/>
  <c r="Z67" i="5"/>
  <c r="Z68" i="5"/>
  <c r="Z69" i="5"/>
  <c r="Z70" i="5"/>
  <c r="Z71" i="5"/>
  <c r="Z72" i="5"/>
  <c r="Z73" i="5"/>
  <c r="Z74" i="5"/>
  <c r="Z75" i="5"/>
  <c r="Z76" i="5"/>
  <c r="Z77" i="5"/>
  <c r="Z78" i="5"/>
  <c r="Z79" i="5"/>
  <c r="Z80" i="5"/>
  <c r="Z81" i="5"/>
  <c r="Z82" i="5"/>
  <c r="Z83" i="5"/>
  <c r="Z84" i="5"/>
  <c r="Z85" i="5"/>
  <c r="Z86" i="5"/>
  <c r="Z87" i="5"/>
  <c r="Z88" i="5"/>
  <c r="Z89" i="5"/>
  <c r="Z90" i="5"/>
  <c r="Z91" i="5"/>
  <c r="Z92" i="5"/>
  <c r="Z93" i="5"/>
  <c r="Z94" i="5"/>
  <c r="Z95" i="5"/>
  <c r="Z96" i="5"/>
  <c r="Z97" i="5"/>
  <c r="Z98" i="5"/>
  <c r="Z99" i="5"/>
  <c r="Z100" i="5"/>
  <c r="Z101" i="5"/>
  <c r="Z102" i="5"/>
  <c r="Z103" i="5"/>
  <c r="Z104" i="5"/>
  <c r="Z105" i="5"/>
  <c r="Z106" i="5"/>
  <c r="Z107" i="5"/>
  <c r="Z108" i="5"/>
  <c r="Z109" i="5"/>
  <c r="Z110" i="5"/>
  <c r="Z111" i="5"/>
  <c r="Z112" i="5"/>
  <c r="Z113" i="5"/>
  <c r="Z114" i="5"/>
  <c r="Z115" i="5"/>
  <c r="Z116" i="5"/>
  <c r="Z117" i="5"/>
  <c r="Z118" i="5"/>
  <c r="Z119" i="5"/>
  <c r="Z120" i="5"/>
  <c r="Z121" i="5"/>
  <c r="Z122" i="5"/>
  <c r="Z123" i="5"/>
  <c r="Z124" i="5"/>
  <c r="Z125" i="5"/>
  <c r="Z126" i="5"/>
  <c r="Z127" i="5"/>
  <c r="Z128" i="5"/>
  <c r="Z129" i="5"/>
  <c r="Z130" i="5"/>
  <c r="Z131" i="5"/>
  <c r="Z132" i="5"/>
  <c r="Z133" i="5"/>
  <c r="Z134" i="5"/>
  <c r="Z135" i="5"/>
  <c r="Z136" i="5"/>
  <c r="Z137" i="5"/>
  <c r="Z138" i="5"/>
  <c r="Z139" i="5"/>
  <c r="Z140" i="5"/>
  <c r="Z141" i="5"/>
  <c r="Z142" i="5"/>
  <c r="Z143" i="5"/>
  <c r="Z144" i="5"/>
  <c r="Z145" i="5"/>
  <c r="Z146" i="5"/>
  <c r="Z147" i="5"/>
  <c r="Z148" i="5"/>
  <c r="Z149" i="5"/>
  <c r="Z150" i="5"/>
  <c r="Z151" i="5"/>
  <c r="Z152" i="5"/>
  <c r="Z153" i="5"/>
  <c r="Z154" i="5"/>
  <c r="Z155" i="5"/>
  <c r="Z156" i="5"/>
  <c r="Z157" i="5"/>
  <c r="Z158" i="5"/>
  <c r="Z159" i="5"/>
  <c r="Z160" i="5"/>
  <c r="Z161" i="5"/>
  <c r="Z162" i="5"/>
  <c r="Z163" i="5"/>
  <c r="Z164" i="5"/>
  <c r="Z165" i="5"/>
  <c r="Z166" i="5"/>
  <c r="Z167" i="5"/>
  <c r="Z168" i="5"/>
  <c r="Z169" i="5"/>
  <c r="Z170" i="5"/>
  <c r="Z171" i="5"/>
  <c r="Z172" i="5"/>
  <c r="Z173" i="5"/>
  <c r="Z174" i="5"/>
  <c r="Z175" i="5"/>
  <c r="Z176" i="5"/>
  <c r="Z177" i="5"/>
  <c r="Z178" i="5"/>
  <c r="Z179" i="5"/>
  <c r="Z180" i="5"/>
  <c r="Z181" i="5"/>
  <c r="Z182" i="5"/>
  <c r="Z183" i="5"/>
  <c r="Z184" i="5"/>
  <c r="Z185" i="5"/>
  <c r="Z186" i="5"/>
  <c r="Z187" i="5"/>
  <c r="Z188" i="5"/>
  <c r="Z189" i="5"/>
  <c r="Z190" i="5"/>
  <c r="Z191" i="5"/>
  <c r="Z192" i="5"/>
  <c r="Z193" i="5"/>
  <c r="Z194" i="5"/>
  <c r="Z195" i="5"/>
  <c r="Z196" i="5"/>
  <c r="Z197" i="5"/>
  <c r="Z198" i="5"/>
  <c r="Z199" i="5"/>
  <c r="Z200" i="5"/>
  <c r="Z201" i="5"/>
  <c r="Z202" i="5"/>
  <c r="Z203" i="5"/>
  <c r="Z204" i="5"/>
  <c r="Z205" i="5"/>
  <c r="Z206" i="5"/>
  <c r="Z207" i="5"/>
  <c r="Z208" i="5"/>
  <c r="Z209" i="5"/>
  <c r="Z10" i="5"/>
  <c r="Z9" i="5"/>
  <c r="AA11" i="5"/>
  <c r="AA12" i="5"/>
  <c r="AA13" i="5"/>
  <c r="AA14" i="5"/>
  <c r="AA15" i="5"/>
  <c r="AA16" i="5"/>
  <c r="AA17" i="5"/>
  <c r="AA18" i="5"/>
  <c r="AA19" i="5"/>
  <c r="AA20" i="5"/>
  <c r="AA21" i="5"/>
  <c r="AA22" i="5"/>
  <c r="AA23" i="5"/>
  <c r="AA24" i="5"/>
  <c r="AA25" i="5"/>
  <c r="AA26" i="5"/>
  <c r="AA27" i="5"/>
  <c r="AA28" i="5"/>
  <c r="AA29" i="5"/>
  <c r="AA30" i="5"/>
  <c r="AA31" i="5"/>
  <c r="AA32" i="5"/>
  <c r="AA33" i="5"/>
  <c r="AA34" i="5"/>
  <c r="AA35" i="5"/>
  <c r="AA36" i="5"/>
  <c r="AA37" i="5"/>
  <c r="AA38" i="5"/>
  <c r="AA39" i="5"/>
  <c r="AA40" i="5"/>
  <c r="AA41" i="5"/>
  <c r="AA42" i="5"/>
  <c r="AA43" i="5"/>
  <c r="AA44" i="5"/>
  <c r="AA45" i="5"/>
  <c r="AA46" i="5"/>
  <c r="AA47" i="5"/>
  <c r="AA48" i="5"/>
  <c r="AA49" i="5"/>
  <c r="AA50" i="5"/>
  <c r="AA51" i="5"/>
  <c r="AA52" i="5"/>
  <c r="AA53" i="5"/>
  <c r="AA54" i="5"/>
  <c r="AA55" i="5"/>
  <c r="AA56" i="5"/>
  <c r="AA57" i="5"/>
  <c r="AA58" i="5"/>
  <c r="AA10" i="5"/>
  <c r="AA9" i="5"/>
  <c r="Y208" i="4"/>
  <c r="S208" i="4"/>
  <c r="AC208" i="4"/>
  <c r="C59" i="4"/>
  <c r="AB59" i="4"/>
  <c r="Y60" i="4"/>
  <c r="W60" i="4"/>
  <c r="O60" i="4"/>
  <c r="I60" i="4"/>
  <c r="Y61" i="4"/>
  <c r="W61" i="4"/>
  <c r="O61" i="4"/>
  <c r="I61" i="4"/>
  <c r="Y62" i="4"/>
  <c r="W62" i="4"/>
  <c r="O62" i="4"/>
  <c r="I62" i="4"/>
  <c r="Y63" i="4"/>
  <c r="W63" i="4"/>
  <c r="O63" i="4"/>
  <c r="I63" i="4"/>
  <c r="Y64" i="4"/>
  <c r="W64" i="4"/>
  <c r="O64" i="4"/>
  <c r="I64" i="4"/>
  <c r="Y65" i="4"/>
  <c r="W65" i="4"/>
  <c r="O65" i="4"/>
  <c r="I65" i="4"/>
  <c r="Y66" i="4"/>
  <c r="W66" i="4"/>
  <c r="O66" i="4"/>
  <c r="I66" i="4"/>
  <c r="Y67" i="4"/>
  <c r="W67" i="4"/>
  <c r="O67" i="4"/>
  <c r="I67" i="4"/>
  <c r="Y68" i="4"/>
  <c r="W68" i="4"/>
  <c r="O68" i="4"/>
  <c r="I68" i="4"/>
  <c r="Y69" i="4"/>
  <c r="W69" i="4"/>
  <c r="O69" i="4"/>
  <c r="I69" i="4"/>
  <c r="Y70" i="4"/>
  <c r="W70" i="4"/>
  <c r="O70" i="4"/>
  <c r="I70" i="4"/>
  <c r="Y71" i="4"/>
  <c r="W71" i="4"/>
  <c r="O71" i="4"/>
  <c r="I71" i="4"/>
  <c r="Y72" i="4"/>
  <c r="W72" i="4"/>
  <c r="O72" i="4"/>
  <c r="I72" i="4"/>
  <c r="Y73" i="4"/>
  <c r="W73" i="4"/>
  <c r="O73" i="4"/>
  <c r="I73" i="4"/>
  <c r="Y74" i="4"/>
  <c r="W74" i="4"/>
  <c r="O74" i="4"/>
  <c r="I74" i="4"/>
  <c r="Y75" i="4"/>
  <c r="W75" i="4"/>
  <c r="O75" i="4"/>
  <c r="I75" i="4"/>
  <c r="Y76" i="4"/>
  <c r="W76" i="4"/>
  <c r="O76" i="4"/>
  <c r="I76" i="4"/>
  <c r="Y77" i="4"/>
  <c r="W77" i="4"/>
  <c r="O77" i="4"/>
  <c r="I77" i="4"/>
  <c r="Y78" i="4"/>
  <c r="W78" i="4"/>
  <c r="O78" i="4"/>
  <c r="I78" i="4"/>
  <c r="Y79" i="4"/>
  <c r="W79" i="4"/>
  <c r="O79" i="4"/>
  <c r="I79" i="4"/>
  <c r="Y80" i="4"/>
  <c r="W80" i="4"/>
  <c r="O80" i="4"/>
  <c r="I80" i="4"/>
  <c r="Y81" i="4"/>
  <c r="W81" i="4"/>
  <c r="O81" i="4"/>
  <c r="I81" i="4"/>
  <c r="Y82" i="4"/>
  <c r="W82" i="4"/>
  <c r="O82" i="4"/>
  <c r="I82" i="4"/>
  <c r="Y83" i="4"/>
  <c r="W83" i="4"/>
  <c r="O83" i="4"/>
  <c r="I83" i="4"/>
  <c r="Y84" i="4"/>
  <c r="W84" i="4"/>
  <c r="O84" i="4"/>
  <c r="I84" i="4"/>
  <c r="Y85" i="4"/>
  <c r="W85" i="4"/>
  <c r="O85" i="4"/>
  <c r="I85" i="4"/>
  <c r="Y86" i="4"/>
  <c r="W86" i="4"/>
  <c r="O86" i="4"/>
  <c r="I86" i="4"/>
  <c r="Y87" i="4"/>
  <c r="W87" i="4"/>
  <c r="O87" i="4"/>
  <c r="I87" i="4"/>
  <c r="Y88" i="4"/>
  <c r="W88" i="4"/>
  <c r="O88" i="4"/>
  <c r="I88" i="4"/>
  <c r="Y89" i="4"/>
  <c r="W89" i="4"/>
  <c r="O89" i="4"/>
  <c r="I89" i="4"/>
  <c r="Y90" i="4"/>
  <c r="W90" i="4"/>
  <c r="O90" i="4"/>
  <c r="I90" i="4"/>
  <c r="Y91" i="4"/>
  <c r="W91" i="4"/>
  <c r="O91" i="4"/>
  <c r="I91" i="4"/>
  <c r="Y92" i="4"/>
  <c r="W92" i="4"/>
  <c r="O92" i="4"/>
  <c r="I92" i="4"/>
  <c r="Y93" i="4"/>
  <c r="W93" i="4"/>
  <c r="O93" i="4"/>
  <c r="I93" i="4"/>
  <c r="Y94" i="4"/>
  <c r="W94" i="4"/>
  <c r="O94" i="4"/>
  <c r="I94" i="4"/>
  <c r="Y95" i="4"/>
  <c r="W95" i="4"/>
  <c r="O95" i="4"/>
  <c r="I95" i="4"/>
  <c r="Y96" i="4"/>
  <c r="W96" i="4"/>
  <c r="O96" i="4"/>
  <c r="I96" i="4"/>
  <c r="Y97" i="4"/>
  <c r="W97" i="4"/>
  <c r="O97" i="4"/>
  <c r="I97" i="4"/>
  <c r="Y98" i="4"/>
  <c r="W98" i="4"/>
  <c r="O98" i="4"/>
  <c r="I98" i="4"/>
  <c r="Y99" i="4"/>
  <c r="W99" i="4"/>
  <c r="O99" i="4"/>
  <c r="I99" i="4"/>
  <c r="Y100" i="4"/>
  <c r="W100" i="4"/>
  <c r="O100" i="4"/>
  <c r="I100" i="4"/>
  <c r="Y101" i="4"/>
  <c r="W101" i="4"/>
  <c r="O101" i="4"/>
  <c r="I101" i="4"/>
  <c r="Y102" i="4"/>
  <c r="W102" i="4"/>
  <c r="O102" i="4"/>
  <c r="I102" i="4"/>
  <c r="Y103" i="4"/>
  <c r="W103" i="4"/>
  <c r="O103" i="4"/>
  <c r="I103" i="4"/>
  <c r="Y104" i="4"/>
  <c r="W104" i="4"/>
  <c r="O104" i="4"/>
  <c r="I104" i="4"/>
  <c r="Y105" i="4"/>
  <c r="W105" i="4"/>
  <c r="O105" i="4"/>
  <c r="I105" i="4"/>
  <c r="Y106" i="4"/>
  <c r="W106" i="4"/>
  <c r="O106" i="4"/>
  <c r="I106" i="4"/>
  <c r="Y107" i="4"/>
  <c r="W107" i="4"/>
  <c r="O107" i="4"/>
  <c r="I107" i="4"/>
  <c r="Y108" i="4"/>
  <c r="W108" i="4"/>
  <c r="O108" i="4"/>
  <c r="I108" i="4"/>
  <c r="Y109" i="4"/>
  <c r="W109" i="4"/>
  <c r="O109" i="4"/>
  <c r="I109" i="4"/>
  <c r="Y110" i="4"/>
  <c r="W110" i="4"/>
  <c r="O110" i="4"/>
  <c r="I110" i="4"/>
  <c r="Y111" i="4"/>
  <c r="W111" i="4"/>
  <c r="O111" i="4"/>
  <c r="I111" i="4"/>
  <c r="Y112" i="4"/>
  <c r="W112" i="4"/>
  <c r="O112" i="4"/>
  <c r="I112" i="4"/>
  <c r="Y113" i="4"/>
  <c r="W113" i="4"/>
  <c r="O113" i="4"/>
  <c r="I113" i="4"/>
  <c r="Y114" i="4"/>
  <c r="W114" i="4"/>
  <c r="O114" i="4"/>
  <c r="I114" i="4"/>
  <c r="Y115" i="4"/>
  <c r="W115" i="4"/>
  <c r="O115" i="4"/>
  <c r="I115" i="4"/>
  <c r="Y116" i="4"/>
  <c r="W116" i="4"/>
  <c r="O116" i="4"/>
  <c r="I116" i="4"/>
  <c r="Y117" i="4"/>
  <c r="W117" i="4"/>
  <c r="O117" i="4"/>
  <c r="I117" i="4"/>
  <c r="Y118" i="4"/>
  <c r="W118" i="4"/>
  <c r="O118" i="4"/>
  <c r="I118" i="4"/>
  <c r="Y119" i="4"/>
  <c r="W119" i="4"/>
  <c r="O119" i="4"/>
  <c r="I119" i="4"/>
  <c r="Y120" i="4"/>
  <c r="W120" i="4"/>
  <c r="O120" i="4"/>
  <c r="I120" i="4"/>
  <c r="Y121" i="4"/>
  <c r="W121" i="4"/>
  <c r="O121" i="4"/>
  <c r="I121" i="4"/>
  <c r="Y122" i="4"/>
  <c r="W122" i="4"/>
  <c r="O122" i="4"/>
  <c r="I122" i="4"/>
  <c r="Y123" i="4"/>
  <c r="W123" i="4"/>
  <c r="O123" i="4"/>
  <c r="I123" i="4"/>
  <c r="Y124" i="4"/>
  <c r="W124" i="4"/>
  <c r="O124" i="4"/>
  <c r="I124" i="4"/>
  <c r="Y125" i="4"/>
  <c r="W125" i="4"/>
  <c r="O125" i="4"/>
  <c r="I125" i="4"/>
  <c r="Y126" i="4"/>
  <c r="W126" i="4"/>
  <c r="O126" i="4"/>
  <c r="I126" i="4"/>
  <c r="Y127" i="4"/>
  <c r="W127" i="4"/>
  <c r="O127" i="4"/>
  <c r="I127" i="4"/>
  <c r="Y128" i="4"/>
  <c r="W128" i="4"/>
  <c r="O128" i="4"/>
  <c r="I128" i="4"/>
  <c r="Y129" i="4"/>
  <c r="W129" i="4"/>
  <c r="O129" i="4"/>
  <c r="I129" i="4"/>
  <c r="Y130" i="4"/>
  <c r="W130" i="4"/>
  <c r="O130" i="4"/>
  <c r="I130" i="4"/>
  <c r="Y131" i="4"/>
  <c r="W131" i="4"/>
  <c r="O131" i="4"/>
  <c r="I131" i="4"/>
  <c r="Y132" i="4"/>
  <c r="W132" i="4"/>
  <c r="O132" i="4"/>
  <c r="I132" i="4"/>
  <c r="Y133" i="4"/>
  <c r="W133" i="4"/>
  <c r="O133" i="4"/>
  <c r="I133" i="4"/>
  <c r="Y134" i="4"/>
  <c r="W134" i="4"/>
  <c r="O134" i="4"/>
  <c r="I134" i="4"/>
  <c r="Y135" i="4"/>
  <c r="W135" i="4"/>
  <c r="O135" i="4"/>
  <c r="I135" i="4"/>
  <c r="Y136" i="4"/>
  <c r="W136" i="4"/>
  <c r="O136" i="4"/>
  <c r="I136" i="4"/>
  <c r="Y137" i="4"/>
  <c r="W137" i="4"/>
  <c r="O137" i="4"/>
  <c r="I137" i="4"/>
  <c r="Y138" i="4"/>
  <c r="W138" i="4"/>
  <c r="O138" i="4"/>
  <c r="I138" i="4"/>
  <c r="Y139" i="4"/>
  <c r="W139" i="4"/>
  <c r="O139" i="4"/>
  <c r="I139" i="4"/>
  <c r="Y140" i="4"/>
  <c r="W140" i="4"/>
  <c r="O140" i="4"/>
  <c r="I140" i="4"/>
  <c r="Y141" i="4"/>
  <c r="W141" i="4"/>
  <c r="O141" i="4"/>
  <c r="I141" i="4"/>
  <c r="Y142" i="4"/>
  <c r="W142" i="4"/>
  <c r="O142" i="4"/>
  <c r="I142" i="4"/>
  <c r="Y143" i="4"/>
  <c r="W143" i="4"/>
  <c r="O143" i="4"/>
  <c r="I143" i="4"/>
  <c r="Y144" i="4"/>
  <c r="W144" i="4"/>
  <c r="O144" i="4"/>
  <c r="I144" i="4"/>
  <c r="Y145" i="4"/>
  <c r="W145" i="4"/>
  <c r="O145" i="4"/>
  <c r="I145" i="4"/>
  <c r="Y146" i="4"/>
  <c r="W146" i="4"/>
  <c r="O146" i="4"/>
  <c r="I146" i="4"/>
  <c r="Y147" i="4"/>
  <c r="W147" i="4"/>
  <c r="O147" i="4"/>
  <c r="I147" i="4"/>
  <c r="Y148" i="4"/>
  <c r="W148" i="4"/>
  <c r="O148" i="4"/>
  <c r="I148" i="4"/>
  <c r="Y149" i="4"/>
  <c r="W149" i="4"/>
  <c r="O149" i="4"/>
  <c r="I149" i="4"/>
  <c r="Y150" i="4"/>
  <c r="W150" i="4"/>
  <c r="O150" i="4"/>
  <c r="I150" i="4"/>
  <c r="Y151" i="4"/>
  <c r="W151" i="4"/>
  <c r="O151" i="4"/>
  <c r="I151" i="4"/>
  <c r="Y152" i="4"/>
  <c r="W152" i="4"/>
  <c r="O152" i="4"/>
  <c r="I152" i="4"/>
  <c r="Y153" i="4"/>
  <c r="W153" i="4"/>
  <c r="O153" i="4"/>
  <c r="I153" i="4"/>
  <c r="Y154" i="4"/>
  <c r="W154" i="4"/>
  <c r="O154" i="4"/>
  <c r="I154" i="4"/>
  <c r="Y155" i="4"/>
  <c r="W155" i="4"/>
  <c r="O155" i="4"/>
  <c r="I155" i="4"/>
  <c r="Y156" i="4"/>
  <c r="W156" i="4"/>
  <c r="O156" i="4"/>
  <c r="I156" i="4"/>
  <c r="Y157" i="4"/>
  <c r="W157" i="4"/>
  <c r="O157" i="4"/>
  <c r="I157" i="4"/>
  <c r="Y158" i="4"/>
  <c r="W158" i="4"/>
  <c r="O158" i="4"/>
  <c r="I158" i="4"/>
  <c r="Y159" i="4"/>
  <c r="W159" i="4"/>
  <c r="O159" i="4"/>
  <c r="I159" i="4"/>
  <c r="Y160" i="4"/>
  <c r="W160" i="4"/>
  <c r="O160" i="4"/>
  <c r="I160" i="4"/>
  <c r="Y161" i="4"/>
  <c r="W161" i="4"/>
  <c r="O161" i="4"/>
  <c r="I161" i="4"/>
  <c r="Y162" i="4"/>
  <c r="W162" i="4"/>
  <c r="O162" i="4"/>
  <c r="I162" i="4"/>
  <c r="Y163" i="4"/>
  <c r="W163" i="4"/>
  <c r="O163" i="4"/>
  <c r="I163" i="4"/>
  <c r="Y164" i="4"/>
  <c r="W164" i="4"/>
  <c r="O164" i="4"/>
  <c r="I164" i="4"/>
  <c r="Y165" i="4"/>
  <c r="W165" i="4"/>
  <c r="O165" i="4"/>
  <c r="I165" i="4"/>
  <c r="Y166" i="4"/>
  <c r="W166" i="4"/>
  <c r="O166" i="4"/>
  <c r="I166" i="4"/>
  <c r="Y167" i="4"/>
  <c r="W167" i="4"/>
  <c r="O167" i="4"/>
  <c r="I167" i="4"/>
  <c r="Y168" i="4"/>
  <c r="W168" i="4"/>
  <c r="O168" i="4"/>
  <c r="I168" i="4"/>
  <c r="Y169" i="4"/>
  <c r="W169" i="4"/>
  <c r="O169" i="4"/>
  <c r="I169" i="4"/>
  <c r="Y170" i="4"/>
  <c r="W170" i="4"/>
  <c r="O170" i="4"/>
  <c r="I170" i="4"/>
  <c r="Y171" i="4"/>
  <c r="W171" i="4"/>
  <c r="O171" i="4"/>
  <c r="I171" i="4"/>
  <c r="Y172" i="4"/>
  <c r="W172" i="4"/>
  <c r="O172" i="4"/>
  <c r="I172" i="4"/>
  <c r="Y173" i="4"/>
  <c r="W173" i="4"/>
  <c r="O173" i="4"/>
  <c r="I173" i="4"/>
  <c r="Y174" i="4"/>
  <c r="W174" i="4"/>
  <c r="O174" i="4"/>
  <c r="I174" i="4"/>
  <c r="Y175" i="4"/>
  <c r="W175" i="4"/>
  <c r="O175" i="4"/>
  <c r="I175" i="4"/>
  <c r="Y176" i="4"/>
  <c r="W176" i="4"/>
  <c r="O176" i="4"/>
  <c r="I176" i="4"/>
  <c r="Y177" i="4"/>
  <c r="W177" i="4"/>
  <c r="O177" i="4"/>
  <c r="I177" i="4"/>
  <c r="Y178" i="4"/>
  <c r="W178" i="4"/>
  <c r="O178" i="4"/>
  <c r="I178" i="4"/>
  <c r="Y179" i="4"/>
  <c r="W179" i="4"/>
  <c r="O179" i="4"/>
  <c r="I179" i="4"/>
  <c r="Y180" i="4"/>
  <c r="W180" i="4"/>
  <c r="O180" i="4"/>
  <c r="I180" i="4"/>
  <c r="Y181" i="4"/>
  <c r="W181" i="4"/>
  <c r="O181" i="4"/>
  <c r="I181" i="4"/>
  <c r="Y182" i="4"/>
  <c r="W182" i="4"/>
  <c r="O182" i="4"/>
  <c r="I182" i="4"/>
  <c r="Y183" i="4"/>
  <c r="W183" i="4"/>
  <c r="O183" i="4"/>
  <c r="I183" i="4"/>
  <c r="Y184" i="4"/>
  <c r="W184" i="4"/>
  <c r="O184" i="4"/>
  <c r="I184" i="4"/>
  <c r="Y185" i="4"/>
  <c r="W185" i="4"/>
  <c r="O185" i="4"/>
  <c r="I185" i="4"/>
  <c r="Y186" i="4"/>
  <c r="W186" i="4"/>
  <c r="O186" i="4"/>
  <c r="I186" i="4"/>
  <c r="Y187" i="4"/>
  <c r="W187" i="4"/>
  <c r="O187" i="4"/>
  <c r="I187" i="4"/>
  <c r="Y188" i="4"/>
  <c r="W188" i="4"/>
  <c r="O188" i="4"/>
  <c r="I188" i="4"/>
  <c r="Y189" i="4"/>
  <c r="W189" i="4"/>
  <c r="O189" i="4"/>
  <c r="I189" i="4"/>
  <c r="Y190" i="4"/>
  <c r="W190" i="4"/>
  <c r="O190" i="4"/>
  <c r="I190" i="4"/>
  <c r="Y191" i="4"/>
  <c r="W191" i="4"/>
  <c r="O191" i="4"/>
  <c r="I191" i="4"/>
  <c r="Y192" i="4"/>
  <c r="W192" i="4"/>
  <c r="O192" i="4"/>
  <c r="I192" i="4"/>
  <c r="Y193" i="4"/>
  <c r="W193" i="4"/>
  <c r="O193" i="4"/>
  <c r="I193" i="4"/>
  <c r="Y194" i="4"/>
  <c r="W194" i="4"/>
  <c r="O194" i="4"/>
  <c r="I194" i="4"/>
  <c r="Y195" i="4"/>
  <c r="W195" i="4"/>
  <c r="O195" i="4"/>
  <c r="I195" i="4"/>
  <c r="Y196" i="4"/>
  <c r="W196" i="4"/>
  <c r="O196" i="4"/>
  <c r="I196" i="4"/>
  <c r="Y197" i="4"/>
  <c r="W197" i="4"/>
  <c r="O197" i="4"/>
  <c r="I197" i="4"/>
  <c r="Y198" i="4"/>
  <c r="W198" i="4"/>
  <c r="O198" i="4"/>
  <c r="I198" i="4"/>
  <c r="Y199" i="4"/>
  <c r="W199" i="4"/>
  <c r="O199" i="4"/>
  <c r="I199" i="4"/>
  <c r="Y200" i="4"/>
  <c r="W200" i="4"/>
  <c r="O200" i="4"/>
  <c r="I200" i="4"/>
  <c r="Y201" i="4"/>
  <c r="W201" i="4"/>
  <c r="O201" i="4"/>
  <c r="I201" i="4"/>
  <c r="Y202" i="4"/>
  <c r="W202" i="4"/>
  <c r="O202" i="4"/>
  <c r="I202" i="4"/>
  <c r="Y203" i="4"/>
  <c r="W203" i="4"/>
  <c r="O203" i="4"/>
  <c r="I203" i="4"/>
  <c r="Y204" i="4"/>
  <c r="W204" i="4"/>
  <c r="O204" i="4"/>
  <c r="I204" i="4"/>
  <c r="Y205" i="4"/>
  <c r="W205" i="4"/>
  <c r="O205" i="4"/>
  <c r="I205" i="4"/>
  <c r="Y206" i="4"/>
  <c r="W206" i="4"/>
  <c r="O206" i="4"/>
  <c r="I206" i="4"/>
  <c r="Y207" i="4"/>
  <c r="W207" i="4"/>
  <c r="O207" i="4"/>
  <c r="I207" i="4"/>
  <c r="W208" i="4"/>
  <c r="O208" i="4"/>
  <c r="I208" i="4"/>
  <c r="Y209" i="4"/>
  <c r="W209" i="4"/>
  <c r="O209" i="4"/>
  <c r="I209" i="4"/>
  <c r="S188" i="4"/>
  <c r="AC188" i="4"/>
  <c r="D109" i="4"/>
  <c r="S109" i="4"/>
  <c r="AA109" i="4"/>
  <c r="AC109" i="4"/>
  <c r="D209" i="4"/>
  <c r="S203" i="4"/>
  <c r="AC203" i="4"/>
  <c r="D203" i="4"/>
  <c r="AG203" i="4"/>
  <c r="C60" i="4"/>
  <c r="S60" i="4"/>
  <c r="AB60" i="4"/>
  <c r="C61" i="4"/>
  <c r="S61" i="4"/>
  <c r="AB61" i="4"/>
  <c r="C62" i="4"/>
  <c r="S62" i="4"/>
  <c r="AB62" i="4"/>
  <c r="C63" i="4"/>
  <c r="S63" i="4"/>
  <c r="AB63" i="4"/>
  <c r="C64" i="4"/>
  <c r="S64" i="4"/>
  <c r="AB64" i="4"/>
  <c r="C65" i="4"/>
  <c r="S65" i="4"/>
  <c r="AB65" i="4"/>
  <c r="C66" i="4"/>
  <c r="S66" i="4"/>
  <c r="AB66" i="4"/>
  <c r="C67" i="4"/>
  <c r="S67" i="4"/>
  <c r="AB67" i="4"/>
  <c r="C68" i="4"/>
  <c r="S68" i="4"/>
  <c r="AB68" i="4"/>
  <c r="C69" i="4"/>
  <c r="S69" i="4"/>
  <c r="AB69" i="4"/>
  <c r="C70" i="4"/>
  <c r="S70" i="4"/>
  <c r="AB70" i="4"/>
  <c r="C71" i="4"/>
  <c r="S71" i="4"/>
  <c r="AB71" i="4"/>
  <c r="C72" i="4"/>
  <c r="S72" i="4"/>
  <c r="AB72" i="4"/>
  <c r="C73" i="4"/>
  <c r="S73" i="4"/>
  <c r="AB73" i="4"/>
  <c r="C74" i="4"/>
  <c r="S74" i="4"/>
  <c r="AB74" i="4"/>
  <c r="C75" i="4"/>
  <c r="S75" i="4"/>
  <c r="AB75" i="4"/>
  <c r="C76" i="4"/>
  <c r="S76" i="4"/>
  <c r="AB76" i="4"/>
  <c r="C77" i="4"/>
  <c r="S77" i="4"/>
  <c r="AB77" i="4"/>
  <c r="C78" i="4"/>
  <c r="S78" i="4"/>
  <c r="AB78" i="4"/>
  <c r="C79" i="4"/>
  <c r="S79" i="4"/>
  <c r="AB79" i="4"/>
  <c r="C80" i="4"/>
  <c r="S80" i="4"/>
  <c r="AB80" i="4"/>
  <c r="C81" i="4"/>
  <c r="S81" i="4"/>
  <c r="AB81" i="4"/>
  <c r="C82" i="4"/>
  <c r="S82" i="4"/>
  <c r="AB82" i="4"/>
  <c r="C83" i="4"/>
  <c r="S83" i="4"/>
  <c r="AB83" i="4"/>
  <c r="C84" i="4"/>
  <c r="S84" i="4"/>
  <c r="AB84" i="4"/>
  <c r="C85" i="4"/>
  <c r="S85" i="4"/>
  <c r="AB85" i="4"/>
  <c r="C86" i="4"/>
  <c r="S86" i="4"/>
  <c r="AB86" i="4"/>
  <c r="C87" i="4"/>
  <c r="S87" i="4"/>
  <c r="AB87" i="4"/>
  <c r="C88" i="4"/>
  <c r="S88" i="4"/>
  <c r="AB88" i="4"/>
  <c r="C89" i="4"/>
  <c r="S89" i="4"/>
  <c r="AB89" i="4"/>
  <c r="C90" i="4"/>
  <c r="S90" i="4"/>
  <c r="AB90" i="4"/>
  <c r="C91" i="4"/>
  <c r="S91" i="4"/>
  <c r="AB91" i="4"/>
  <c r="C92" i="4"/>
  <c r="S92" i="4"/>
  <c r="AB92" i="4"/>
  <c r="C93" i="4"/>
  <c r="S93" i="4"/>
  <c r="AB93" i="4"/>
  <c r="C94" i="4"/>
  <c r="S94" i="4"/>
  <c r="AB94" i="4"/>
  <c r="C95" i="4"/>
  <c r="S95" i="4"/>
  <c r="AB95" i="4"/>
  <c r="C96" i="4"/>
  <c r="S96" i="4"/>
  <c r="AB96" i="4"/>
  <c r="C97" i="4"/>
  <c r="S97" i="4"/>
  <c r="AB97" i="4"/>
  <c r="C98" i="4"/>
  <c r="S98" i="4"/>
  <c r="AB98" i="4"/>
  <c r="C99" i="4"/>
  <c r="S99" i="4"/>
  <c r="AB99" i="4"/>
  <c r="C100" i="4"/>
  <c r="S100" i="4"/>
  <c r="AB100" i="4"/>
  <c r="C101" i="4"/>
  <c r="S101" i="4"/>
  <c r="AB101" i="4"/>
  <c r="C102" i="4"/>
  <c r="S102" i="4"/>
  <c r="AB102" i="4"/>
  <c r="C103" i="4"/>
  <c r="S103" i="4"/>
  <c r="AB103" i="4"/>
  <c r="C104" i="4"/>
  <c r="S104" i="4"/>
  <c r="AB104" i="4"/>
  <c r="C105" i="4"/>
  <c r="S105" i="4"/>
  <c r="AB105" i="4"/>
  <c r="C106" i="4"/>
  <c r="S106" i="4"/>
  <c r="AB106" i="4"/>
  <c r="C107" i="4"/>
  <c r="S107" i="4"/>
  <c r="AB107" i="4"/>
  <c r="C108" i="4"/>
  <c r="S108" i="4"/>
  <c r="AB108" i="4"/>
  <c r="C109" i="4"/>
  <c r="AB109" i="4"/>
  <c r="C110" i="4"/>
  <c r="S110" i="4"/>
  <c r="AB110" i="4"/>
  <c r="C111" i="4"/>
  <c r="S111" i="4"/>
  <c r="AB111" i="4"/>
  <c r="C112" i="4"/>
  <c r="S112" i="4"/>
  <c r="AB112" i="4"/>
  <c r="C113" i="4"/>
  <c r="S113" i="4"/>
  <c r="AB113" i="4"/>
  <c r="C114" i="4"/>
  <c r="S114" i="4"/>
  <c r="AB114" i="4"/>
  <c r="C115" i="4"/>
  <c r="S115" i="4"/>
  <c r="AB115" i="4"/>
  <c r="C116" i="4"/>
  <c r="S116" i="4"/>
  <c r="AB116" i="4"/>
  <c r="C117" i="4"/>
  <c r="S117" i="4"/>
  <c r="AB117" i="4"/>
  <c r="C118" i="4"/>
  <c r="S118" i="4"/>
  <c r="AB118" i="4"/>
  <c r="C119" i="4"/>
  <c r="S119" i="4"/>
  <c r="AB119" i="4"/>
  <c r="C120" i="4"/>
  <c r="S120" i="4"/>
  <c r="AB120" i="4"/>
  <c r="C121" i="4"/>
  <c r="S121" i="4"/>
  <c r="AB121" i="4"/>
  <c r="C122" i="4"/>
  <c r="S122" i="4"/>
  <c r="AB122" i="4"/>
  <c r="C123" i="4"/>
  <c r="S123" i="4"/>
  <c r="AB123" i="4"/>
  <c r="C124" i="4"/>
  <c r="S124" i="4"/>
  <c r="AB124" i="4"/>
  <c r="C125" i="4"/>
  <c r="S125" i="4"/>
  <c r="AB125" i="4"/>
  <c r="C126" i="4"/>
  <c r="S126" i="4"/>
  <c r="AB126" i="4"/>
  <c r="C127" i="4"/>
  <c r="S127" i="4"/>
  <c r="AB127" i="4"/>
  <c r="C128" i="4"/>
  <c r="S128" i="4"/>
  <c r="AB128" i="4"/>
  <c r="C129" i="4"/>
  <c r="S129" i="4"/>
  <c r="AB129" i="4"/>
  <c r="C130" i="4"/>
  <c r="S130" i="4"/>
  <c r="AB130" i="4"/>
  <c r="C131" i="4"/>
  <c r="S131" i="4"/>
  <c r="AB131" i="4"/>
  <c r="C132" i="4"/>
  <c r="S132" i="4"/>
  <c r="AB132" i="4"/>
  <c r="C133" i="4"/>
  <c r="S133" i="4"/>
  <c r="AB133" i="4"/>
  <c r="C134" i="4"/>
  <c r="S134" i="4"/>
  <c r="AB134" i="4"/>
  <c r="C135" i="4"/>
  <c r="S135" i="4"/>
  <c r="AB135" i="4"/>
  <c r="C136" i="4"/>
  <c r="S136" i="4"/>
  <c r="AB136" i="4"/>
  <c r="C137" i="4"/>
  <c r="S137" i="4"/>
  <c r="AB137" i="4"/>
  <c r="C138" i="4"/>
  <c r="S138" i="4"/>
  <c r="AB138" i="4"/>
  <c r="C139" i="4"/>
  <c r="S139" i="4"/>
  <c r="AB139" i="4"/>
  <c r="C140" i="4"/>
  <c r="S140" i="4"/>
  <c r="AB140" i="4"/>
  <c r="C141" i="4"/>
  <c r="S141" i="4"/>
  <c r="AB141" i="4"/>
  <c r="C142" i="4"/>
  <c r="S142" i="4"/>
  <c r="AB142" i="4"/>
  <c r="C143" i="4"/>
  <c r="S143" i="4"/>
  <c r="AB143" i="4"/>
  <c r="C144" i="4"/>
  <c r="S144" i="4"/>
  <c r="AB144" i="4"/>
  <c r="C145" i="4"/>
  <c r="S145" i="4"/>
  <c r="AB145" i="4"/>
  <c r="C146" i="4"/>
  <c r="S146" i="4"/>
  <c r="AB146" i="4"/>
  <c r="C147" i="4"/>
  <c r="S147" i="4"/>
  <c r="AB147" i="4"/>
  <c r="C148" i="4"/>
  <c r="S148" i="4"/>
  <c r="AB148" i="4"/>
  <c r="C149" i="4"/>
  <c r="S149" i="4"/>
  <c r="AB149" i="4"/>
  <c r="C150" i="4"/>
  <c r="S150" i="4"/>
  <c r="AB150" i="4"/>
  <c r="C151" i="4"/>
  <c r="S151" i="4"/>
  <c r="AB151" i="4"/>
  <c r="C152" i="4"/>
  <c r="S152" i="4"/>
  <c r="AB152" i="4"/>
  <c r="C153" i="4"/>
  <c r="S153" i="4"/>
  <c r="AB153" i="4"/>
  <c r="C154" i="4"/>
  <c r="S154" i="4"/>
  <c r="AB154" i="4"/>
  <c r="C155" i="4"/>
  <c r="S155" i="4"/>
  <c r="AB155" i="4"/>
  <c r="C156" i="4"/>
  <c r="S156" i="4"/>
  <c r="AB156" i="4"/>
  <c r="C157" i="4"/>
  <c r="S157" i="4"/>
  <c r="AB157" i="4"/>
  <c r="C158" i="4"/>
  <c r="S158" i="4"/>
  <c r="AB158" i="4"/>
  <c r="C159" i="4"/>
  <c r="S159" i="4"/>
  <c r="AB159" i="4"/>
  <c r="C160" i="4"/>
  <c r="S160" i="4"/>
  <c r="AB160" i="4"/>
  <c r="C161" i="4"/>
  <c r="S161" i="4"/>
  <c r="AB161" i="4"/>
  <c r="C162" i="4"/>
  <c r="S162" i="4"/>
  <c r="AB162" i="4"/>
  <c r="C163" i="4"/>
  <c r="S163" i="4"/>
  <c r="AB163" i="4"/>
  <c r="C164" i="4"/>
  <c r="S164" i="4"/>
  <c r="AB164" i="4"/>
  <c r="C165" i="4"/>
  <c r="S165" i="4"/>
  <c r="AB165" i="4"/>
  <c r="C166" i="4"/>
  <c r="S166" i="4"/>
  <c r="AB166" i="4"/>
  <c r="C167" i="4"/>
  <c r="S167" i="4"/>
  <c r="AB167" i="4"/>
  <c r="C168" i="4"/>
  <c r="S168" i="4"/>
  <c r="AB168" i="4"/>
  <c r="C169" i="4"/>
  <c r="S169" i="4"/>
  <c r="AB169" i="4"/>
  <c r="C170" i="4"/>
  <c r="S170" i="4"/>
  <c r="AB170" i="4"/>
  <c r="C171" i="4"/>
  <c r="S171" i="4"/>
  <c r="AB171" i="4"/>
  <c r="C172" i="4"/>
  <c r="S172" i="4"/>
  <c r="AB172" i="4"/>
  <c r="C173" i="4"/>
  <c r="S173" i="4"/>
  <c r="AB173" i="4"/>
  <c r="C174" i="4"/>
  <c r="S174" i="4"/>
  <c r="AB174" i="4"/>
  <c r="C175" i="4"/>
  <c r="S175" i="4"/>
  <c r="AB175" i="4"/>
  <c r="C176" i="4"/>
  <c r="S176" i="4"/>
  <c r="AB176" i="4"/>
  <c r="C177" i="4"/>
  <c r="S177" i="4"/>
  <c r="AB177" i="4"/>
  <c r="C178" i="4"/>
  <c r="S178" i="4"/>
  <c r="AB178" i="4"/>
  <c r="C179" i="4"/>
  <c r="S179" i="4"/>
  <c r="AB179" i="4"/>
  <c r="C180" i="4"/>
  <c r="S180" i="4"/>
  <c r="AB180" i="4"/>
  <c r="C181" i="4"/>
  <c r="S181" i="4"/>
  <c r="AB181" i="4"/>
  <c r="C182" i="4"/>
  <c r="S182" i="4"/>
  <c r="AB182" i="4"/>
  <c r="C183" i="4"/>
  <c r="S183" i="4"/>
  <c r="AB183" i="4"/>
  <c r="C184" i="4"/>
  <c r="S184" i="4"/>
  <c r="AB184" i="4"/>
  <c r="C185" i="4"/>
  <c r="S185" i="4"/>
  <c r="AB185" i="4"/>
  <c r="C186" i="4"/>
  <c r="S186" i="4"/>
  <c r="AB186" i="4"/>
  <c r="C187" i="4"/>
  <c r="S187" i="4"/>
  <c r="AB187" i="4"/>
  <c r="C188" i="4"/>
  <c r="AB188" i="4"/>
  <c r="C189" i="4"/>
  <c r="S189" i="4"/>
  <c r="AB189" i="4"/>
  <c r="C190" i="4"/>
  <c r="S190" i="4"/>
  <c r="AB190" i="4"/>
  <c r="C191" i="4"/>
  <c r="S191" i="4"/>
  <c r="AB191" i="4"/>
  <c r="C192" i="4"/>
  <c r="S192" i="4"/>
  <c r="AB192" i="4"/>
  <c r="C193" i="4"/>
  <c r="S193" i="4"/>
  <c r="AB193" i="4"/>
  <c r="C194" i="4"/>
  <c r="S194" i="4"/>
  <c r="AB194" i="4"/>
  <c r="C195" i="4"/>
  <c r="S195" i="4"/>
  <c r="AB195" i="4"/>
  <c r="C196" i="4"/>
  <c r="S196" i="4"/>
  <c r="AB196" i="4"/>
  <c r="C197" i="4"/>
  <c r="S197" i="4"/>
  <c r="AB197" i="4"/>
  <c r="C198" i="4"/>
  <c r="S198" i="4"/>
  <c r="AB198" i="4"/>
  <c r="C199" i="4"/>
  <c r="S199" i="4"/>
  <c r="AB199" i="4"/>
  <c r="C200" i="4"/>
  <c r="S200" i="4"/>
  <c r="AB200" i="4"/>
  <c r="C201" i="4"/>
  <c r="S201" i="4"/>
  <c r="AB201" i="4"/>
  <c r="C202" i="4"/>
  <c r="S202" i="4"/>
  <c r="AB202" i="4"/>
  <c r="C203" i="4"/>
  <c r="AB203" i="4"/>
  <c r="C204" i="4"/>
  <c r="S204" i="4"/>
  <c r="AB204" i="4"/>
  <c r="C205" i="4"/>
  <c r="S205" i="4"/>
  <c r="AB205" i="4"/>
  <c r="C206" i="4"/>
  <c r="S206" i="4"/>
  <c r="AB206" i="4"/>
  <c r="C207" i="4"/>
  <c r="S207" i="4"/>
  <c r="AB207" i="4"/>
  <c r="C208" i="4"/>
  <c r="AB208" i="4"/>
  <c r="C209" i="4"/>
  <c r="S209" i="4"/>
  <c r="AB209" i="4"/>
  <c r="AG59" i="4"/>
  <c r="AC60" i="4"/>
  <c r="D60" i="4"/>
  <c r="AG60" i="4"/>
  <c r="AC61" i="4"/>
  <c r="D61" i="4"/>
  <c r="AG61" i="4"/>
  <c r="AC62" i="4"/>
  <c r="D62" i="4"/>
  <c r="AG62" i="4"/>
  <c r="AC63" i="4"/>
  <c r="D63" i="4"/>
  <c r="AG63" i="4"/>
  <c r="AC64" i="4"/>
  <c r="D64" i="4"/>
  <c r="AG64" i="4"/>
  <c r="AC65" i="4"/>
  <c r="D65" i="4"/>
  <c r="AG65" i="4"/>
  <c r="AC66" i="4"/>
  <c r="D66" i="4"/>
  <c r="AG66" i="4"/>
  <c r="AC67" i="4"/>
  <c r="D67" i="4"/>
  <c r="AG67" i="4"/>
  <c r="AC68" i="4"/>
  <c r="D68" i="4"/>
  <c r="AG68" i="4"/>
  <c r="AC69" i="4"/>
  <c r="D69" i="4"/>
  <c r="AG69" i="4"/>
  <c r="AC70" i="4"/>
  <c r="D70" i="4"/>
  <c r="AG70" i="4"/>
  <c r="AC71" i="4"/>
  <c r="D71" i="4"/>
  <c r="AG71" i="4"/>
  <c r="AC72" i="4"/>
  <c r="D72" i="4"/>
  <c r="AG72" i="4"/>
  <c r="AC73" i="4"/>
  <c r="D73" i="4"/>
  <c r="AG73" i="4"/>
  <c r="AC74" i="4"/>
  <c r="D74" i="4"/>
  <c r="AG74" i="4"/>
  <c r="AC75" i="4"/>
  <c r="D75" i="4"/>
  <c r="AG75" i="4"/>
  <c r="AC76" i="4"/>
  <c r="D76" i="4"/>
  <c r="AG76" i="4"/>
  <c r="AC77" i="4"/>
  <c r="D77" i="4"/>
  <c r="AG77" i="4"/>
  <c r="AC78" i="4"/>
  <c r="D78" i="4"/>
  <c r="AG78" i="4"/>
  <c r="AC79" i="4"/>
  <c r="D79" i="4"/>
  <c r="AG79" i="4"/>
  <c r="AC80" i="4"/>
  <c r="D80" i="4"/>
  <c r="AG80" i="4"/>
  <c r="AC81" i="4"/>
  <c r="D81" i="4"/>
  <c r="AG81" i="4"/>
  <c r="AC82" i="4"/>
  <c r="D82" i="4"/>
  <c r="AG82" i="4"/>
  <c r="AC83" i="4"/>
  <c r="D83" i="4"/>
  <c r="AG83" i="4"/>
  <c r="AC84" i="4"/>
  <c r="D84" i="4"/>
  <c r="AG84" i="4"/>
  <c r="AC85" i="4"/>
  <c r="D85" i="4"/>
  <c r="AG85" i="4"/>
  <c r="AC86" i="4"/>
  <c r="D86" i="4"/>
  <c r="AG86" i="4"/>
  <c r="AC87" i="4"/>
  <c r="D87" i="4"/>
  <c r="AG87" i="4"/>
  <c r="AC88" i="4"/>
  <c r="D88" i="4"/>
  <c r="AG88" i="4"/>
  <c r="AC89" i="4"/>
  <c r="D89" i="4"/>
  <c r="AG89" i="4"/>
  <c r="AC90" i="4"/>
  <c r="D90" i="4"/>
  <c r="AG90" i="4"/>
  <c r="AC91" i="4"/>
  <c r="D91" i="4"/>
  <c r="AG91" i="4"/>
  <c r="AC92" i="4"/>
  <c r="D92" i="4"/>
  <c r="AG92" i="4"/>
  <c r="AC93" i="4"/>
  <c r="D93" i="4"/>
  <c r="AG93" i="4"/>
  <c r="AC94" i="4"/>
  <c r="D94" i="4"/>
  <c r="AG94" i="4"/>
  <c r="AC95" i="4"/>
  <c r="D95" i="4"/>
  <c r="AG95" i="4"/>
  <c r="AC96" i="4"/>
  <c r="D96" i="4"/>
  <c r="AG96" i="4"/>
  <c r="AC97" i="4"/>
  <c r="D97" i="4"/>
  <c r="AG97" i="4"/>
  <c r="AC98" i="4"/>
  <c r="D98" i="4"/>
  <c r="AG98" i="4"/>
  <c r="AC99" i="4"/>
  <c r="D99" i="4"/>
  <c r="AG99" i="4"/>
  <c r="AC100" i="4"/>
  <c r="D100" i="4"/>
  <c r="AG100" i="4"/>
  <c r="AC101" i="4"/>
  <c r="D101" i="4"/>
  <c r="AG101" i="4"/>
  <c r="AC102" i="4"/>
  <c r="D102" i="4"/>
  <c r="AG102" i="4"/>
  <c r="AC103" i="4"/>
  <c r="D103" i="4"/>
  <c r="AG103" i="4"/>
  <c r="AC104" i="4"/>
  <c r="D104" i="4"/>
  <c r="AG104" i="4"/>
  <c r="AC105" i="4"/>
  <c r="D105" i="4"/>
  <c r="AG105" i="4"/>
  <c r="AC106" i="4"/>
  <c r="D106" i="4"/>
  <c r="AG106" i="4"/>
  <c r="AC107" i="4"/>
  <c r="D107" i="4"/>
  <c r="AG107" i="4"/>
  <c r="AC108" i="4"/>
  <c r="D108" i="4"/>
  <c r="AG108" i="4"/>
  <c r="AG109" i="4"/>
  <c r="AC110" i="4"/>
  <c r="D110" i="4"/>
  <c r="AG110" i="4"/>
  <c r="AC111" i="4"/>
  <c r="D111" i="4"/>
  <c r="AG111" i="4"/>
  <c r="AC112" i="4"/>
  <c r="D112" i="4"/>
  <c r="AG112" i="4"/>
  <c r="AC113" i="4"/>
  <c r="D113" i="4"/>
  <c r="AG113" i="4"/>
  <c r="AC114" i="4"/>
  <c r="D114" i="4"/>
  <c r="AG114" i="4"/>
  <c r="AC115" i="4"/>
  <c r="D115" i="4"/>
  <c r="AG115" i="4"/>
  <c r="AC116" i="4"/>
  <c r="D116" i="4"/>
  <c r="AG116" i="4"/>
  <c r="AC117" i="4"/>
  <c r="D117" i="4"/>
  <c r="AG117" i="4"/>
  <c r="AC118" i="4"/>
  <c r="D118" i="4"/>
  <c r="AG118" i="4"/>
  <c r="AC119" i="4"/>
  <c r="D119" i="4"/>
  <c r="AG119" i="4"/>
  <c r="AC120" i="4"/>
  <c r="D120" i="4"/>
  <c r="AG120" i="4"/>
  <c r="AC121" i="4"/>
  <c r="D121" i="4"/>
  <c r="AG121" i="4"/>
  <c r="AC122" i="4"/>
  <c r="D122" i="4"/>
  <c r="AG122" i="4"/>
  <c r="AC123" i="4"/>
  <c r="D123" i="4"/>
  <c r="AG123" i="4"/>
  <c r="AC124" i="4"/>
  <c r="D124" i="4"/>
  <c r="AG124" i="4"/>
  <c r="AC125" i="4"/>
  <c r="D125" i="4"/>
  <c r="AG125" i="4"/>
  <c r="AC126" i="4"/>
  <c r="D126" i="4"/>
  <c r="AG126" i="4"/>
  <c r="AC127" i="4"/>
  <c r="D127" i="4"/>
  <c r="AG127" i="4"/>
  <c r="AC128" i="4"/>
  <c r="D128" i="4"/>
  <c r="AG128" i="4"/>
  <c r="AC129" i="4"/>
  <c r="D129" i="4"/>
  <c r="AG129" i="4"/>
  <c r="AC130" i="4"/>
  <c r="D130" i="4"/>
  <c r="AG130" i="4"/>
  <c r="AC131" i="4"/>
  <c r="D131" i="4"/>
  <c r="AG131" i="4"/>
  <c r="AC132" i="4"/>
  <c r="D132" i="4"/>
  <c r="AG132" i="4"/>
  <c r="AC133" i="4"/>
  <c r="D133" i="4"/>
  <c r="AG133" i="4"/>
  <c r="AC134" i="4"/>
  <c r="D134" i="4"/>
  <c r="AG134" i="4"/>
  <c r="AC135" i="4"/>
  <c r="D135" i="4"/>
  <c r="AG135" i="4"/>
  <c r="AC136" i="4"/>
  <c r="D136" i="4"/>
  <c r="AG136" i="4"/>
  <c r="AC137" i="4"/>
  <c r="D137" i="4"/>
  <c r="AG137" i="4"/>
  <c r="AC138" i="4"/>
  <c r="D138" i="4"/>
  <c r="AG138" i="4"/>
  <c r="AC139" i="4"/>
  <c r="D139" i="4"/>
  <c r="AG139" i="4"/>
  <c r="AC140" i="4"/>
  <c r="D140" i="4"/>
  <c r="AG140" i="4"/>
  <c r="AC141" i="4"/>
  <c r="D141" i="4"/>
  <c r="AG141" i="4"/>
  <c r="AC142" i="4"/>
  <c r="D142" i="4"/>
  <c r="AG142" i="4"/>
  <c r="AC143" i="4"/>
  <c r="D143" i="4"/>
  <c r="AG143" i="4"/>
  <c r="AC144" i="4"/>
  <c r="D144" i="4"/>
  <c r="AG144" i="4"/>
  <c r="AC145" i="4"/>
  <c r="D145" i="4"/>
  <c r="AG145" i="4"/>
  <c r="AC146" i="4"/>
  <c r="D146" i="4"/>
  <c r="AG146" i="4"/>
  <c r="AC147" i="4"/>
  <c r="D147" i="4"/>
  <c r="AG147" i="4"/>
  <c r="AC148" i="4"/>
  <c r="D148" i="4"/>
  <c r="AG148" i="4"/>
  <c r="AC149" i="4"/>
  <c r="D149" i="4"/>
  <c r="AG149" i="4"/>
  <c r="AC150" i="4"/>
  <c r="D150" i="4"/>
  <c r="AG150" i="4"/>
  <c r="AC151" i="4"/>
  <c r="D151" i="4"/>
  <c r="AG151" i="4"/>
  <c r="AC152" i="4"/>
  <c r="D152" i="4"/>
  <c r="AG152" i="4"/>
  <c r="AC153" i="4"/>
  <c r="D153" i="4"/>
  <c r="AG153" i="4"/>
  <c r="AC154" i="4"/>
  <c r="D154" i="4"/>
  <c r="AG154" i="4"/>
  <c r="AC155" i="4"/>
  <c r="D155" i="4"/>
  <c r="AG155" i="4"/>
  <c r="AC156" i="4"/>
  <c r="D156" i="4"/>
  <c r="AG156" i="4"/>
  <c r="AC157" i="4"/>
  <c r="D157" i="4"/>
  <c r="AG157" i="4"/>
  <c r="AC158" i="4"/>
  <c r="D158" i="4"/>
  <c r="AG158" i="4"/>
  <c r="AC159" i="4"/>
  <c r="D159" i="4"/>
  <c r="AG159" i="4"/>
  <c r="AC160" i="4"/>
  <c r="D160" i="4"/>
  <c r="AG160" i="4"/>
  <c r="AC161" i="4"/>
  <c r="D161" i="4"/>
  <c r="AG161" i="4"/>
  <c r="AC162" i="4"/>
  <c r="D162" i="4"/>
  <c r="AG162" i="4"/>
  <c r="AC163" i="4"/>
  <c r="D163" i="4"/>
  <c r="AG163" i="4"/>
  <c r="AC164" i="4"/>
  <c r="D164" i="4"/>
  <c r="AG164" i="4"/>
  <c r="AC165" i="4"/>
  <c r="D165" i="4"/>
  <c r="AG165" i="4"/>
  <c r="AC166" i="4"/>
  <c r="D166" i="4"/>
  <c r="AG166" i="4"/>
  <c r="AC167" i="4"/>
  <c r="D167" i="4"/>
  <c r="AG167" i="4"/>
  <c r="AC168" i="4"/>
  <c r="D168" i="4"/>
  <c r="AG168" i="4"/>
  <c r="AC169" i="4"/>
  <c r="D169" i="4"/>
  <c r="AG169" i="4"/>
  <c r="AC170" i="4"/>
  <c r="D170" i="4"/>
  <c r="AG170" i="4"/>
  <c r="AC171" i="4"/>
  <c r="D171" i="4"/>
  <c r="AG171" i="4"/>
  <c r="AC172" i="4"/>
  <c r="D172" i="4"/>
  <c r="AG172" i="4"/>
  <c r="AC173" i="4"/>
  <c r="D173" i="4"/>
  <c r="AG173" i="4"/>
  <c r="AC174" i="4"/>
  <c r="D174" i="4"/>
  <c r="AG174" i="4"/>
  <c r="AC175" i="4"/>
  <c r="D175" i="4"/>
  <c r="AG175" i="4"/>
  <c r="AC176" i="4"/>
  <c r="D176" i="4"/>
  <c r="AG176" i="4"/>
  <c r="AC177" i="4"/>
  <c r="D177" i="4"/>
  <c r="AG177" i="4"/>
  <c r="AC178" i="4"/>
  <c r="D178" i="4"/>
  <c r="AG178" i="4"/>
  <c r="AC179" i="4"/>
  <c r="D179" i="4"/>
  <c r="AG179" i="4"/>
  <c r="AC180" i="4"/>
  <c r="D180" i="4"/>
  <c r="AG180" i="4"/>
  <c r="AC181" i="4"/>
  <c r="D181" i="4"/>
  <c r="AG181" i="4"/>
  <c r="AC182" i="4"/>
  <c r="D182" i="4"/>
  <c r="AG182" i="4"/>
  <c r="AC183" i="4"/>
  <c r="D183" i="4"/>
  <c r="AG183" i="4"/>
  <c r="AC184" i="4"/>
  <c r="D184" i="4"/>
  <c r="AG184" i="4"/>
  <c r="AC185" i="4"/>
  <c r="D185" i="4"/>
  <c r="AG185" i="4"/>
  <c r="AC186" i="4"/>
  <c r="D186" i="4"/>
  <c r="AG186" i="4"/>
  <c r="AC187" i="4"/>
  <c r="D187" i="4"/>
  <c r="AG187" i="4"/>
  <c r="D188" i="4"/>
  <c r="AG188" i="4"/>
  <c r="AC189" i="4"/>
  <c r="D189" i="4"/>
  <c r="AG189" i="4"/>
  <c r="AC190" i="4"/>
  <c r="D190" i="4"/>
  <c r="AG190" i="4"/>
  <c r="AC191" i="4"/>
  <c r="D191" i="4"/>
  <c r="AG191" i="4"/>
  <c r="AC192" i="4"/>
  <c r="D192" i="4"/>
  <c r="AG192" i="4"/>
  <c r="AC193" i="4"/>
  <c r="D193" i="4"/>
  <c r="AG193" i="4"/>
  <c r="AC194" i="4"/>
  <c r="D194" i="4"/>
  <c r="AG194" i="4"/>
  <c r="AC195" i="4"/>
  <c r="D195" i="4"/>
  <c r="AG195" i="4"/>
  <c r="AC196" i="4"/>
  <c r="D196" i="4"/>
  <c r="AG196" i="4"/>
  <c r="AC197" i="4"/>
  <c r="D197" i="4"/>
  <c r="AG197" i="4"/>
  <c r="AC198" i="4"/>
  <c r="D198" i="4"/>
  <c r="AG198" i="4"/>
  <c r="AC199" i="4"/>
  <c r="D199" i="4"/>
  <c r="AG199" i="4"/>
  <c r="AC200" i="4"/>
  <c r="D200" i="4"/>
  <c r="AG200" i="4"/>
  <c r="AC201" i="4"/>
  <c r="D201" i="4"/>
  <c r="AG201" i="4"/>
  <c r="AC202" i="4"/>
  <c r="D202" i="4"/>
  <c r="AG202" i="4"/>
  <c r="AC204" i="4"/>
  <c r="D204" i="4"/>
  <c r="AG204" i="4"/>
  <c r="AC205" i="4"/>
  <c r="D205" i="4"/>
  <c r="AG205" i="4"/>
  <c r="AC206" i="4"/>
  <c r="D206" i="4"/>
  <c r="AG206" i="4"/>
  <c r="AC207" i="4"/>
  <c r="D207" i="4"/>
  <c r="AG207" i="4"/>
  <c r="D208" i="4"/>
  <c r="AG208" i="4"/>
  <c r="AC209" i="4"/>
  <c r="AG209" i="4"/>
  <c r="AA190"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59" i="4"/>
  <c r="AA60" i="4"/>
  <c r="AA61" i="4"/>
  <c r="AA62" i="4"/>
  <c r="AA63" i="4"/>
  <c r="AA64" i="4"/>
  <c r="AA65" i="4"/>
  <c r="AA66" i="4"/>
  <c r="AA67" i="4"/>
  <c r="AA68" i="4"/>
  <c r="AA69" i="4"/>
  <c r="AA70" i="4"/>
  <c r="AA71" i="4"/>
  <c r="AA72" i="4"/>
  <c r="AA73" i="4"/>
  <c r="AA74" i="4"/>
  <c r="AA75" i="4"/>
  <c r="AA76" i="4"/>
  <c r="AA77" i="4"/>
  <c r="AA78" i="4"/>
  <c r="AA79" i="4"/>
  <c r="AA80" i="4"/>
  <c r="AA81" i="4"/>
  <c r="AA82" i="4"/>
  <c r="AA83" i="4"/>
  <c r="AA84" i="4"/>
  <c r="AA85" i="4"/>
  <c r="AA86" i="4"/>
  <c r="AA87" i="4"/>
  <c r="AA88" i="4"/>
  <c r="AA89" i="4"/>
  <c r="AA90" i="4"/>
  <c r="AA91" i="4"/>
  <c r="AA92" i="4"/>
  <c r="AA93" i="4"/>
  <c r="AA94" i="4"/>
  <c r="AA95" i="4"/>
  <c r="AA96" i="4"/>
  <c r="AA97" i="4"/>
  <c r="AA98" i="4"/>
  <c r="AA99" i="4"/>
  <c r="AA100" i="4"/>
  <c r="AA101" i="4"/>
  <c r="AA102" i="4"/>
  <c r="AA103" i="4"/>
  <c r="AA104" i="4"/>
  <c r="AA105" i="4"/>
  <c r="AA106" i="4"/>
  <c r="AA107" i="4"/>
  <c r="AA108" i="4"/>
  <c r="AA110" i="4"/>
  <c r="AA111" i="4"/>
  <c r="AA112" i="4"/>
  <c r="AA113" i="4"/>
  <c r="AA114" i="4"/>
  <c r="AA115" i="4"/>
  <c r="AA116" i="4"/>
  <c r="AA117" i="4"/>
  <c r="AA118" i="4"/>
  <c r="AA119" i="4"/>
  <c r="AA120" i="4"/>
  <c r="AA121" i="4"/>
  <c r="AA122" i="4"/>
  <c r="AA123" i="4"/>
  <c r="AA124" i="4"/>
  <c r="AA125" i="4"/>
  <c r="AA126" i="4"/>
  <c r="AA127" i="4"/>
  <c r="AA128" i="4"/>
  <c r="AA129" i="4"/>
  <c r="AA130" i="4"/>
  <c r="AA131" i="4"/>
  <c r="AA132" i="4"/>
  <c r="AA133" i="4"/>
  <c r="AA134" i="4"/>
  <c r="AA135" i="4"/>
  <c r="AA136" i="4"/>
  <c r="AA137" i="4"/>
  <c r="AA138" i="4"/>
  <c r="AA139" i="4"/>
  <c r="AA140" i="4"/>
  <c r="AA141" i="4"/>
  <c r="AA142" i="4"/>
  <c r="AA143" i="4"/>
  <c r="AA144" i="4"/>
  <c r="AA145" i="4"/>
  <c r="AA146" i="4"/>
  <c r="AA147" i="4"/>
  <c r="AA148" i="4"/>
  <c r="AA149" i="4"/>
  <c r="AA150" i="4"/>
  <c r="AA151" i="4"/>
  <c r="AA152" i="4"/>
  <c r="AA153" i="4"/>
  <c r="AA154" i="4"/>
  <c r="AA155" i="4"/>
  <c r="AA156" i="4"/>
  <c r="AA157" i="4"/>
  <c r="AA158" i="4"/>
  <c r="AA159" i="4"/>
  <c r="AA160" i="4"/>
  <c r="AA161" i="4"/>
  <c r="AA162" i="4"/>
  <c r="AA163" i="4"/>
  <c r="AA164" i="4"/>
  <c r="AA165" i="4"/>
  <c r="AA166" i="4"/>
  <c r="AA167" i="4"/>
  <c r="AA168" i="4"/>
  <c r="AA169" i="4"/>
  <c r="AA170" i="4"/>
  <c r="AA171" i="4"/>
  <c r="AA172" i="4"/>
  <c r="AA173" i="4"/>
  <c r="AA174" i="4"/>
  <c r="AA175" i="4"/>
  <c r="AA176" i="4"/>
  <c r="AA177" i="4"/>
  <c r="AA178" i="4"/>
  <c r="AA179" i="4"/>
  <c r="AA180" i="4"/>
  <c r="AA181" i="4"/>
  <c r="AA182" i="4"/>
  <c r="AA183" i="4"/>
  <c r="AA184" i="4"/>
  <c r="AA185" i="4"/>
  <c r="AA186" i="4"/>
  <c r="AA187" i="4"/>
  <c r="AA188" i="4"/>
  <c r="AA189" i="4"/>
  <c r="AA191" i="4"/>
  <c r="AA192" i="4"/>
  <c r="AA193" i="4"/>
  <c r="AA194" i="4"/>
  <c r="AA195" i="4"/>
  <c r="AA196" i="4"/>
  <c r="AA197" i="4"/>
  <c r="AA198" i="4"/>
  <c r="AA199" i="4"/>
  <c r="AA200" i="4"/>
  <c r="AA201" i="4"/>
  <c r="AA202" i="4"/>
  <c r="AA203" i="4"/>
  <c r="AA204" i="4"/>
  <c r="AA205" i="4"/>
  <c r="AA206" i="4"/>
  <c r="AA207" i="4"/>
  <c r="AA208" i="4"/>
  <c r="AA20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5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9" i="4"/>
</calcChain>
</file>

<file path=xl/sharedStrings.xml><?xml version="1.0" encoding="utf-8"?>
<sst xmlns="http://schemas.openxmlformats.org/spreadsheetml/2006/main" count="2011" uniqueCount="603">
  <si>
    <t>Reproductive activities/services: In Edvinsson, 2005, defined as activities directed towards human individuals, human collectives and social relations. This can be contrasted to activities directed towards the non-human world. Within the production boundary of SNA reproductive activities in Edvinsson, 2005, include private reproductive services (code PR) and government services (code GS). Outside the production boundary of SNA, reproductive activities in Edvinsson, 2005, also include activities performed by “housewives” (HW).</t>
  </si>
  <si>
    <t>Self-employed: Person who is the sole owner or joint owner of the enterprise in which he or she works. Especially for earlier times it is difficult to pinpoint who is an employee and who is self-employed, as these two categories are more appropriate for analysing modern capitalist economies. Statistics Sweden includes unpaid working family members of the owners into the self-employed (while paid family members are considered employees), which is also the definition applied in Edvinsson, 2005, while in other sources they are counted as employees.</t>
  </si>
  <si>
    <t>Services: Often defined as outputs produced that cannot be separated from their production, although some services (such as production of information) can indeed be separated from their production. In Edvinsson, 2005, services are subdivided between industrial and reproductive services.</t>
  </si>
  <si>
    <t>Surplus (Sur): In Edvinsson, 2005, operationalised as the (gross or net) value added less labour income. In Edvinsson, 2005, a distinction is made between surplus and profit or surplus value. Surplus refers to the excess that arises from production above the means of subsistence of the direct producers, which is appropriated either by a class of exploiters or by the direct producers themselves, while profit or surplus value is the specific capitalist form of this surplus.</t>
  </si>
  <si>
    <t>Trade margin: The value at which goods are sold less the value that would have to be paid by the distributor to replace the sold goods.</t>
  </si>
  <si>
    <t>Transport margin: Consists of the transport charges paid separately by the purchaser to transport the purchased goods.</t>
  </si>
  <si>
    <t>Type of activities: In Edvinsson, 2005, used to describe a group of activities. A similar term used in the SNA is “industry”, but in Edvinsson, 2005, “type of activities” is preferred because of the different meanings of the term “industry” in other contexts.</t>
  </si>
  <si>
    <t>Utilised stock: The stock of fixed assets that are actually used in production. In Edvinsson, 2005, only the capacity stock is estimated.</t>
  </si>
  <si>
    <t>Value: Is used differently in various contexts. In the Classical and Marxist tradition a distinction is made between use value and exchange value, in national accounts a distinction is made between volume value and current value. See also price.</t>
  </si>
  <si>
    <t>Value added (VA): The contribution made by producers to increase the value of goods and services after deducting the value of the goods and services used up in production. Can be measured both gross and net.</t>
  </si>
  <si>
    <t>Wage rate: In Edvinsson, 2005, wages and salaries (including social benefits) per employed or per hour worked.</t>
  </si>
  <si>
    <t>Volume index (V): Mostly presented as a weighted average of the proportionate changes in the quantities of specific goods or services between two periods of time. The weights are often given by the relative prices of a time period, but it is entirely possible to construct weights that are not based on prices.</t>
  </si>
  <si>
    <t>Volume relative (VR): The ratio of the volume value in one period to the volume value in an earlier period.</t>
  </si>
  <si>
    <t>Volume value: The value expressed in the same price level over time, connected to the construction of a volume index.</t>
  </si>
  <si>
    <t>Glossary:</t>
  </si>
  <si>
    <t>Activity: In the SNA, described to take place when resources are combined leading to the creation of particular goods or services. Not all activities are defined as being productive in an economic sense and counted into aggregate production.</t>
  </si>
  <si>
    <t>Asset: In the 1993 SNA, defined as an entity over which an institutional unit exercises ownership rights, that functions as a store of value, and from which economic benefits can be derived by their owner through holding it. There are two main types of assets, financial and non-financial. Non-financial assets are either produced or non-produced.</t>
  </si>
  <si>
    <t>Base period: The period that provides the weights for a volume or price index. The base period is mostly situated earlier than the compared period.</t>
  </si>
  <si>
    <t>Basic prices: A type of price of a unit of good or services produced as output, which includes the excess of non-commodity related indirect taxes over non-commodity-related subsidies, but excludes the excess of commodity related indirect taxes over commodity-related subsidies. It also excludes transport charges invoiced separately by the producer.</t>
  </si>
  <si>
    <t>Benchmark series: In Edvinsson, 2005, defined as the data series for a time period which is kept unchanged when linking consecutive series for the same variable(s) to each other, and to which the other data series are adjusted.</t>
  </si>
  <si>
    <t>Buildings and structures: A type of fixed assets estimated in Edvinsson, 2005. Are subdivided between dwellings (residential buildings), and non-residential buildings and structures.</t>
  </si>
  <si>
    <t>Capacity stock: The stock of fixed assets that are believed to have been installed at a given point in time and that still have not been scrapped. Some of these objects may be temporarily idle or even be withdrawn from production for an indefinite period and held in reserve to meet unexpected rise in demand. See also utilised stock.</t>
  </si>
  <si>
    <t>Chain index: Is obtained by linking a price or volume index for consecutive periods. The short-term movements are calculated on the basis of weights pertaining to the relevant period. An annual chain index changes weights for every year.</t>
  </si>
  <si>
    <t>Changes in fixed livestock: The fixed livestock acquired less the fixed livestock disposed of, in the course of the accounting period. There is no difference between net and gross changes in fixed livestock.</t>
  </si>
  <si>
    <t>Changes in (the stock of) inventories: Is set equal to the inventories acquired less the inventories disposed of, in the course of the accounting period. Some of these transactions reflect actual purchases and sales, while other are internal to the enterprise. There is no difference between net and gross changes in inventories.</t>
  </si>
  <si>
    <t>C.i.f. (costs, insurance, freight) price: The c.i.f. prices of imported goods can be regarded as the purchasers’ prices that would be paid by importers if taking delivery of goods at their own frontier. The c.i.f. price is equal to the f.o.b. price plus the costs of transports and insurances between the customs frontier of the exporting and importing country. Exported goods are normally not expressed in c.i.f. prices.</t>
  </si>
  <si>
    <t>Circulation: The sphere of exchange in which commodities and services are bought and sold and finance is organised. In Edvinsson, 2005, circulation (code CC) includes wholesale and retail trade, banking, insurance and business services. Real estate (code RE) is in Edvinsson, 2005, presented separately, although renting of real estate on the open market could be seen as a circulation activity.</t>
  </si>
  <si>
    <t>Constant prices: Express values of goods and services over time in the same prices, often of a base period.</t>
  </si>
  <si>
    <t>Consumption of fixed assets: The reduction in the value of fixed assets used in production.</t>
  </si>
  <si>
    <t>Current value: The value of items in the prices at the time of measurement.</t>
  </si>
  <si>
    <t>Deflator: The deflator is used to eliminate the inflation component of a data series, i.e. to transform current values into a volume values. The volume index is derived by dividing the ratio between nominal values in two different periods (for example, years) with the deflator, a procedure termed “deflation”. The deflator equals the price index.</t>
  </si>
  <si>
    <t>Dwellings/residential buildings: Buildings that are entirely or primarily used as residences.</t>
  </si>
  <si>
    <t>Dwelling services: A type of activities; consisting of letting of dwellings and use of owner-occupied dwellings, i.e. of all real estate services except letting of other premises.</t>
  </si>
  <si>
    <t>Employee: A person who enters an agreement to work in return for remuneration in cash or in kind.</t>
  </si>
  <si>
    <t>Employment: The definition of employment varies with different sources. Statistics Sweden defines an employed as a person who works at least one hour during the period of measurement. This is a broader definition than the one applied by, for example, population censuses. Edvinsson, 2005, also divides up the employed in employees and self-employed.</t>
  </si>
  <si>
    <t>Export: Consists of goods and services that are sold, bartered or given from residents to non-residents.</t>
  </si>
  <si>
    <t>Factor price: A type of price on a unit of good or services produced as output, which excludes the excess of indirect taxes over subsidies. It also excludes transport charges invoiced separately by the producer.</t>
  </si>
  <si>
    <t>Final consumption: Consists of goods and services used up by households, government or other communities for their individual or collective needs or wants. In Edvinsson, 2005, divided between private and government final consumption.</t>
  </si>
  <si>
    <t>Fisher price index: The geometric average of the Laspeyre and Paasche price indices.</t>
  </si>
  <si>
    <t>Fisher volume index: The geometric average of the Laspeyre and Paasche volume indices.</t>
  </si>
  <si>
    <t>Avskrivningar av fasta tillgångar, totalt</t>
  </si>
  <si>
    <t>Fixed assets: Consist of produced assets that are used in the production process for a longer time period, in the 1993 SNA for more than one year, which is also the definition presently applied by Statistics Sweden. However, before adopting 1993 SNA Statistics Sweden sets the time limit to three or more years, which is also the definition applied in Edvinsson, 2005. There are two types of fixed assets: tangible and intangible fixed assets. In Edvinsson, 2005, only tangible assets are considered. Three types of fixed assets are estimated in Edvinsson, 2005,: buildings and structures, machinery and equipment (including transport equipment) and fixed livestock.</t>
  </si>
  <si>
    <t>Fixed livestock: Livestock that yield products year after year (dairy cattle, draught animals, etc). Animals raised for slaughter are not included and are classified as belonging to inventories.</t>
  </si>
  <si>
    <t>F.o.b. (free on board prices) price: The f.o.b. prices of exported and imported goods can be regarded as the purchasers’ prices that would be paid by importers if loaded on their own carrier at the exporter’s frontier. The f.o.b. price is equal to the c.i.f. price less the costs of transports and insurances between the customs frontier of the exporting and importing country.</t>
  </si>
  <si>
    <t>Government final consumption: Consists of expenditures, including imputed expenditures, incurred by general government to satisfy individual or collective needs or wants.</t>
  </si>
  <si>
    <t>Gross Domestic Output (GDO): The sum of all gross outputs of an economy. Equals the sum of GDP and total intermediate consumption.</t>
  </si>
  <si>
    <t>Gross Domestic Product (GDP): Can be calculated in three different ways, by activity, by expenditure and by income.</t>
  </si>
  <si>
    <t>Gross Domestic Product by activity (or from the production side): A method to compute GDP directly, as the sum of gross values added of all economic activities. Is normally estimated in basic prices.</t>
  </si>
  <si>
    <t>Gross Domestic Product by expenditure: A method to compute GDP as the sum of different uses: private final consumption, government final consumption, investment and net export. Is normally estimated in purchasers’ or market prices.</t>
  </si>
  <si>
    <t>Gross Domestic Product by income: A method to compute GDP, as the sum of wages and salaries (including social benefits), operating surplus, mixed income, and consumption of fixed assets of the aggregate economy. In Edvinsson, 2005, GDP in basic values is decomposed into wages and salaries (including social benefits), imputed labour income of self-employed and gross surplus (the gross surplus here includes non-commodity-related indirect taxes less non-commodity-related subsidies).</t>
  </si>
  <si>
    <t>Gross fixed investment: The term used in Edvinsson, 2005, instead of the SNA-term “gross fixed capital formation”. In the 1993 SNA, defined as the value of acquired fixed assets less the value of disposed fixed assets, plus certain additions to the value of non-produced assets realised by the productive activity of institutional units.</t>
  </si>
  <si>
    <t>Gross investment: The term used in Edvinsson, 2005, instead of the SNA-term “gross capital formation”. In the 1993 SNA, defined as the total value of gross fixed capital formation, changes in inventories and acquisitions less disposals of valuables. In the SCB-series after the change to the 1993 SNA acquisitions less disposals of valuables are included in “gross capital formation”, but seem to be excluded in the earlier series, and are, henceforth, not calculated in Edvinsson, 2005.</t>
  </si>
  <si>
    <t>Gross output (GO): The total value of goods and services produced. Equals the sum of gross value added and intermediate consumption. For trade the gross output is set equal to the trade margin.</t>
  </si>
  <si>
    <t>Gross stock of fixed assets: Is valued at the replacement costs of existing fixed assets, which does not take into account that the existing stock of fixed assets is also depreciated.</t>
  </si>
  <si>
    <t>Gross surplus (GS): In Edvinsson, 2005, defined as gross value added less labour income (of both employees and self-employed). The gross surplus includes consumption of fixed assets.</t>
  </si>
  <si>
    <t>Gross value added (GVA): The gross output less intermediate consumption. Gross value added includes consumption of fixed capital. When the latter is deducted we are left with the net value added.</t>
  </si>
  <si>
    <t>Gross value added at basic prices: Equals the gross output valued at basic prices less intermediate consumption valued at purchasers’ prices.</t>
  </si>
  <si>
    <t xml:space="preserve"> “Housewives” (code HW): A kind of dummy category applied in Edvinsson, 2005, to take into account the difference in the rate of participation of men and women in employment and the fact that this difference mostly can be explained by the existence of so-called “housewives”. For the period 1850-1950, data on the number of ”housewives” working at home is used in Edvinsson, 2005, which roughly corresponded to the difference between the number of employed men and women. For the period 1950-2000, the number of “housewives” is assumed to be equivalent to the difference between men and women in employment.</t>
  </si>
  <si>
    <t>Import: Consists of goods and services that are sold, bartered or given from non-residents to residents.</t>
  </si>
  <si>
    <t>Imputed labour income of self-employed: In Edvinsson, 2005, defined as the part of income of self-employed that could be seen as remuneration for worked performed (including social benefits).</t>
  </si>
  <si>
    <t>Industry-related services: A type of activities. In Edvinsson, 2005, include transport and communication (code TC), circulation (code CC), and real estate (code RE).</t>
  </si>
  <si>
    <t>Intermediate consumption: Consists of the goods and services used up in the production process, except for consumption of fixed assets.</t>
  </si>
  <si>
    <t>Inventories: Consist of materials and supplies (goods destined for intermediate consumption), work in progress, finished goods and goods for resale. They are not part of fixed assets.</t>
  </si>
  <si>
    <t>Investment: The term used in Edvinsson, 2005, instead of the SNA term “capital formation”. See gross and net investment.</t>
  </si>
  <si>
    <t>Labourers: In Edvinsson, 2005, defined as the employed and the “housewives”.</t>
  </si>
  <si>
    <t>Labour income: In Edvinsson, 2005, consists of wages and salaries (including social benefits) of employees and imputed labour income of self-employed.</t>
  </si>
  <si>
    <t>Laspeyre price index: A measure of the level of prices in the compared period in relation to the base period expressed in the quantities of the base period (the latter is mostly located earlier in time). Mathematically, a Laspeyre price index is the weighted arithmetic average of price relatives using the values of the base period as weights.</t>
  </si>
  <si>
    <t>Laspeyre volume index: Expresses the change in the quantities of a bunch of items in the prices of a base period (mostly located earlier in time). Mathematically, a Laspeyre volume index is the weighted arithmetic average of volume relatives using the values of the base period as weights.</t>
  </si>
  <si>
    <t>Machinery and equipment: Part of fixed assets. Consists of machinery and equipment, including transport equipment, that are not acquired by households for final consumption.</t>
  </si>
  <si>
    <t xml:space="preserve">Circulation includes wholesale and retail trade, banking, insurance and business services. </t>
  </si>
  <si>
    <t>Private reproductive services include restaurants, hotels, sanitary services, sewage plants, education, R&amp;D,</t>
  </si>
  <si>
    <t>health services, community services, recreation, other personal services, non-government associations,</t>
  </si>
  <si>
    <t>and paid household services.</t>
  </si>
  <si>
    <t>Comments:</t>
  </si>
  <si>
    <t>The per capita and population figures are based on estimates of population during the whole year.</t>
  </si>
  <si>
    <t>For this purpose a geometric average is computed of the population at the end of the year and</t>
  </si>
  <si>
    <t>at the end of the preceding year. Population figures (at the end of the year) are obtained from</t>
  </si>
  <si>
    <t>Statistiska databaser, online at http://www.scb.se (030601).</t>
  </si>
  <si>
    <t>Comments have been inserted below the tables</t>
  </si>
  <si>
    <t>Import and export are recorded on the c.i.f./f.o.b.-basis.</t>
  </si>
  <si>
    <t>Comment:</t>
  </si>
  <si>
    <t>Investment in services of dwellings only consists of investment in residential buildings.</t>
  </si>
  <si>
    <t>Investment includes fixed investment and changes in inventories.</t>
  </si>
  <si>
    <t>Net investment can be obtained by deducting consumption of fixed assets from gross investment.</t>
  </si>
  <si>
    <t>The gross and net stocks are equal for fixed livestock and the inventory stock.</t>
  </si>
  <si>
    <t>Comment</t>
  </si>
  <si>
    <t>The volume change during the year is measured from 1st of January at the beginning of the year</t>
  </si>
  <si>
    <t>to the 1st of January the next year.</t>
  </si>
  <si>
    <t xml:space="preserve">The calculated figures for the period 1850-1950 of employment in trade (which is included in circulation) and in </t>
  </si>
  <si>
    <t xml:space="preserve">building and construction are not comparable with the estimate of the total value added of these activities </t>
  </si>
  <si>
    <t xml:space="preserve">(for example, if productivity is computed). This partly also pertains to other types of activities, but on the aggregate level </t>
  </si>
  <si>
    <t xml:space="preserve">employment should be comparable with value added. Employment excludes “housewives”. The aggregate employment </t>
  </si>
  <si>
    <t>figures also involve certain double counting, as individuals working in two different activities tend to be counted twice</t>
  </si>
  <si>
    <t>by Statistics Sweden.</t>
  </si>
  <si>
    <t>Comments</t>
  </si>
  <si>
    <t xml:space="preserve">The ratio of net surplus to labour income is the same expressed in purchasers’ proxy values </t>
  </si>
  <si>
    <t>as in basic values. However, this equality does not hold for the ratio of gross surplus to labour income.</t>
  </si>
  <si>
    <t xml:space="preserve">The real wage rate is calculated as wages and salaries (including social benefits) at factor costs </t>
  </si>
  <si>
    <t>per employed deflated by the price index of private final consumption.</t>
  </si>
  <si>
    <t>Population growth</t>
  </si>
  <si>
    <t>1800-1801</t>
  </si>
  <si>
    <t>1801-1802</t>
  </si>
  <si>
    <t>1802-1803</t>
  </si>
  <si>
    <t>1803-1804</t>
  </si>
  <si>
    <t>1804-1805</t>
  </si>
  <si>
    <t>1805-1806</t>
  </si>
  <si>
    <t>1806-1807</t>
  </si>
  <si>
    <t>1807-1808</t>
  </si>
  <si>
    <t>1808-1809</t>
  </si>
  <si>
    <t>1809-1810</t>
  </si>
  <si>
    <t>1810-1811</t>
  </si>
  <si>
    <t>1811-1812</t>
  </si>
  <si>
    <t>1812-1813</t>
  </si>
  <si>
    <t>1813-1814</t>
  </si>
  <si>
    <t>1814-1815</t>
  </si>
  <si>
    <t>1815-1816</t>
  </si>
  <si>
    <t>1816-1817</t>
  </si>
  <si>
    <t>1817-1818</t>
  </si>
  <si>
    <t>1818-1819</t>
  </si>
  <si>
    <t>1819-1820</t>
  </si>
  <si>
    <t>1820-1821</t>
  </si>
  <si>
    <t>1821-1822</t>
  </si>
  <si>
    <t>1822-1823</t>
  </si>
  <si>
    <t>1823-1824</t>
  </si>
  <si>
    <t>1824-1825</t>
  </si>
  <si>
    <t>1825-1826</t>
  </si>
  <si>
    <t>1826-1827</t>
  </si>
  <si>
    <t>1827-1828</t>
  </si>
  <si>
    <t>1828-1829</t>
  </si>
  <si>
    <t>1829-1830</t>
  </si>
  <si>
    <t>1830-1831</t>
  </si>
  <si>
    <t>1831-1832</t>
  </si>
  <si>
    <t>1832-1833</t>
  </si>
  <si>
    <t>1833-1834</t>
  </si>
  <si>
    <t>1834-1835</t>
  </si>
  <si>
    <t>1835-1836</t>
  </si>
  <si>
    <t>1836-1837</t>
  </si>
  <si>
    <t>1837-1838</t>
  </si>
  <si>
    <t>1838-1839</t>
  </si>
  <si>
    <t>1839-1840</t>
  </si>
  <si>
    <t>1840-1841</t>
  </si>
  <si>
    <t>1841-1842</t>
  </si>
  <si>
    <t>1842-1843</t>
  </si>
  <si>
    <t>1843-1844</t>
  </si>
  <si>
    <t>1844-1845</t>
  </si>
  <si>
    <t>1845-1846</t>
  </si>
  <si>
    <t>1846-1847</t>
  </si>
  <si>
    <t>1847-1848</t>
  </si>
  <si>
    <t>1848-1849</t>
  </si>
  <si>
    <t>1849-1850</t>
  </si>
  <si>
    <t>1850-1851</t>
  </si>
  <si>
    <t>1851-1852</t>
  </si>
  <si>
    <t>1852-1853</t>
  </si>
  <si>
    <t>1853-1854</t>
  </si>
  <si>
    <t>1854-1855</t>
  </si>
  <si>
    <t>1855-1856</t>
  </si>
  <si>
    <t>1856-1857</t>
  </si>
  <si>
    <t>1857-1858</t>
  </si>
  <si>
    <t>1858-1859</t>
  </si>
  <si>
    <t>1859-1860</t>
  </si>
  <si>
    <t>1860-1861</t>
  </si>
  <si>
    <t>1861-1862</t>
  </si>
  <si>
    <t>1862-1863</t>
  </si>
  <si>
    <t>1863-1864</t>
  </si>
  <si>
    <t>1864-1865</t>
  </si>
  <si>
    <t>1865-1866</t>
  </si>
  <si>
    <t>1866-1867</t>
  </si>
  <si>
    <t>1867-1868</t>
  </si>
  <si>
    <t>1868-1869</t>
  </si>
  <si>
    <t>1869-1870</t>
  </si>
  <si>
    <t>1870-1871</t>
  </si>
  <si>
    <t>1871-1872</t>
  </si>
  <si>
    <t>1872-1873</t>
  </si>
  <si>
    <t>1873-1874</t>
  </si>
  <si>
    <t>1874-1875</t>
  </si>
  <si>
    <t>1875-1876</t>
  </si>
  <si>
    <t>1876-1877</t>
  </si>
  <si>
    <t>1877-1878</t>
  </si>
  <si>
    <t>1878-1879</t>
  </si>
  <si>
    <t>1879-1880</t>
  </si>
  <si>
    <t>1880-1881</t>
  </si>
  <si>
    <t>1881-1882</t>
  </si>
  <si>
    <t>1882-1883</t>
  </si>
  <si>
    <t>1883-1884</t>
  </si>
  <si>
    <t>1884-1885</t>
  </si>
  <si>
    <t>1885-1886</t>
  </si>
  <si>
    <t>1886-1887</t>
  </si>
  <si>
    <t>1887-1888</t>
  </si>
  <si>
    <t>1888-1889</t>
  </si>
  <si>
    <t>1889-1890</t>
  </si>
  <si>
    <t>1890-1891</t>
  </si>
  <si>
    <t>1891-1892</t>
  </si>
  <si>
    <t>1892-1893</t>
  </si>
  <si>
    <t>1893-1894</t>
  </si>
  <si>
    <t>1894-1895</t>
  </si>
  <si>
    <t>1895-1896</t>
  </si>
  <si>
    <t>1896-1897</t>
  </si>
  <si>
    <t>1897-1898</t>
  </si>
  <si>
    <t>1898-1899</t>
  </si>
  <si>
    <t>1899-1900</t>
  </si>
  <si>
    <t>1900-1901</t>
  </si>
  <si>
    <t>1901-1902</t>
  </si>
  <si>
    <t>1902-1903</t>
  </si>
  <si>
    <t>1903-1904</t>
  </si>
  <si>
    <t>1904-1905</t>
  </si>
  <si>
    <t>1905-1906</t>
  </si>
  <si>
    <t>1906-1907</t>
  </si>
  <si>
    <t>1907-1908</t>
  </si>
  <si>
    <t>1908-1909</t>
  </si>
  <si>
    <t>1909-1910</t>
  </si>
  <si>
    <t>1910-1911</t>
  </si>
  <si>
    <t>1911-1912</t>
  </si>
  <si>
    <t>1912-1913</t>
  </si>
  <si>
    <t>1913-1914</t>
  </si>
  <si>
    <t>1914-1915</t>
  </si>
  <si>
    <t>1915-1916</t>
  </si>
  <si>
    <t>1916-1917</t>
  </si>
  <si>
    <t>1917-1918</t>
  </si>
  <si>
    <t>1918-1919</t>
  </si>
  <si>
    <t>1919-1920</t>
  </si>
  <si>
    <t>1920-1921</t>
  </si>
  <si>
    <t>1921-1922</t>
  </si>
  <si>
    <t>1922-1923</t>
  </si>
  <si>
    <t>1923-1924</t>
  </si>
  <si>
    <t>1924-1925</t>
  </si>
  <si>
    <t>1925-1926</t>
  </si>
  <si>
    <t>1926-1927</t>
  </si>
  <si>
    <t>1927-1928</t>
  </si>
  <si>
    <t>1928-1929</t>
  </si>
  <si>
    <t>1929-1930</t>
  </si>
  <si>
    <t>1930-1931</t>
  </si>
  <si>
    <t>1931-1932</t>
  </si>
  <si>
    <t>1932-1933</t>
  </si>
  <si>
    <t>1933-1934</t>
  </si>
  <si>
    <t>1934-1935</t>
  </si>
  <si>
    <t>1935-1936</t>
  </si>
  <si>
    <t>1936-1937</t>
  </si>
  <si>
    <t>1937-1938</t>
  </si>
  <si>
    <t>1938-1939</t>
  </si>
  <si>
    <t>1939-1940</t>
  </si>
  <si>
    <t>1940-1941</t>
  </si>
  <si>
    <t>1941-1942</t>
  </si>
  <si>
    <t>1942-1943</t>
  </si>
  <si>
    <t>1943-1944</t>
  </si>
  <si>
    <t>1944-1945</t>
  </si>
  <si>
    <t>1945-1946</t>
  </si>
  <si>
    <t>1946-1947</t>
  </si>
  <si>
    <t>1947-1948</t>
  </si>
  <si>
    <t>1948-1949</t>
  </si>
  <si>
    <t>1949-1950</t>
  </si>
  <si>
    <t>1950-1951</t>
  </si>
  <si>
    <t>1951-1952</t>
  </si>
  <si>
    <t>1952-1953</t>
  </si>
  <si>
    <t>1953-1954</t>
  </si>
  <si>
    <t>1954-1955</t>
  </si>
  <si>
    <t>1955-1956</t>
  </si>
  <si>
    <t>1956-1957</t>
  </si>
  <si>
    <t>1957-1958</t>
  </si>
  <si>
    <t>1958-1959</t>
  </si>
  <si>
    <t>1959-1960</t>
  </si>
  <si>
    <t>1960-1961</t>
  </si>
  <si>
    <t>1961-1962</t>
  </si>
  <si>
    <t>1962-1963</t>
  </si>
  <si>
    <t>1963-1964</t>
  </si>
  <si>
    <t>1964-1965</t>
  </si>
  <si>
    <t>1965-1966</t>
  </si>
  <si>
    <t>1966-1967</t>
  </si>
  <si>
    <t>1967-1968</t>
  </si>
  <si>
    <t>1968-1969</t>
  </si>
  <si>
    <t>1969-1970</t>
  </si>
  <si>
    <t>1970-1971</t>
  </si>
  <si>
    <t>1971-1972</t>
  </si>
  <si>
    <t>1972-1973</t>
  </si>
  <si>
    <t>1973-1974</t>
  </si>
  <si>
    <t>1974-1975</t>
  </si>
  <si>
    <t>1975-1976</t>
  </si>
  <si>
    <t>1976-1977</t>
  </si>
  <si>
    <t>1977-1978</t>
  </si>
  <si>
    <t>1978-1979</t>
  </si>
  <si>
    <t>1979-1980</t>
  </si>
  <si>
    <t>1980-1981</t>
  </si>
  <si>
    <t>1981-1982</t>
  </si>
  <si>
    <t>1982-1983</t>
  </si>
  <si>
    <t>1983-1984</t>
  </si>
  <si>
    <t>1984-1985</t>
  </si>
  <si>
    <t>1985-1986</t>
  </si>
  <si>
    <t>1986-1987</t>
  </si>
  <si>
    <t>1987-1988</t>
  </si>
  <si>
    <t>1988-1989</t>
  </si>
  <si>
    <t>1989-1990</t>
  </si>
  <si>
    <t>1990-1991</t>
  </si>
  <si>
    <t>1991-1992</t>
  </si>
  <si>
    <t>1992-1993</t>
  </si>
  <si>
    <t>1993-1994</t>
  </si>
  <si>
    <t>1994-1995</t>
  </si>
  <si>
    <t>1995-1996</t>
  </si>
  <si>
    <t>1996-1997</t>
  </si>
  <si>
    <t>1997-1998</t>
  </si>
  <si>
    <t>1998-1999</t>
  </si>
  <si>
    <t>1999-2000</t>
  </si>
  <si>
    <t>GDP by activity</t>
  </si>
  <si>
    <t>Gross Domestic Output, basic prices</t>
  </si>
  <si>
    <t>Year</t>
  </si>
  <si>
    <t>GDP by activity, basic prices</t>
  </si>
  <si>
    <t>NDP by activity, basic prices</t>
  </si>
  <si>
    <t>GDP by expenditure, purchasers' prices</t>
  </si>
  <si>
    <t>NDP by expenditure, purchasers' prices</t>
  </si>
  <si>
    <t>Consumption of fixed assets, purchasers' prices</t>
  </si>
  <si>
    <t>Purchasers' value less basic value of GDP</t>
  </si>
  <si>
    <t>Intermediate consumption, purchasers' prices</t>
  </si>
  <si>
    <t>Gross Domestic Output, purchasers' prices</t>
  </si>
  <si>
    <t>GDP</t>
  </si>
  <si>
    <t>Agriculture and ancillaries</t>
  </si>
  <si>
    <t>Manufacturing and handicrafts</t>
  </si>
  <si>
    <t>Building and construction</t>
  </si>
  <si>
    <t>Transport and communication</t>
  </si>
  <si>
    <t xml:space="preserve">Circulation* </t>
  </si>
  <si>
    <t>Private reproductive services*</t>
  </si>
  <si>
    <t>Government services</t>
  </si>
  <si>
    <t>Real estate</t>
  </si>
  <si>
    <t>Export</t>
  </si>
  <si>
    <t>Import</t>
  </si>
  <si>
    <t>Investment</t>
  </si>
  <si>
    <t>Residential buildings</t>
  </si>
  <si>
    <t>Fixed livestock</t>
  </si>
  <si>
    <t>Inventory stock</t>
  </si>
  <si>
    <t>Buildings and structures</t>
  </si>
  <si>
    <t>Net stock of produced assets/Gross value added</t>
  </si>
  <si>
    <t>Gross surplus/Labour income*</t>
  </si>
  <si>
    <t>Gross surplus/Net stock of produced assets</t>
  </si>
  <si>
    <t>Net stock of produced assets/Net value added</t>
  </si>
  <si>
    <t>Net surplus/Labour income*</t>
  </si>
  <si>
    <t>Net surplus/Net stock of produced assets</t>
  </si>
  <si>
    <t>Private final consumption</t>
  </si>
  <si>
    <t>Government final consumption</t>
  </si>
  <si>
    <t>Changes in fixed livestock</t>
  </si>
  <si>
    <t>Changes in inventory stock</t>
  </si>
  <si>
    <t>Annual change</t>
  </si>
  <si>
    <t>Total gross investment</t>
  </si>
  <si>
    <t>Services of dwellings</t>
  </si>
  <si>
    <t>Other private services, here include circulation (code CC), private reproductive services (code PR) and letting of other premises</t>
  </si>
  <si>
    <t>Total consumption of fixed assets</t>
  </si>
  <si>
    <t>Non-residential structures et al.</t>
  </si>
  <si>
    <t>Machinery and equipment</t>
  </si>
  <si>
    <t>Total, aggregate economy</t>
  </si>
  <si>
    <t>Total, private sector</t>
  </si>
  <si>
    <t>Total, manufacturing and handicrafts</t>
  </si>
  <si>
    <t>During year</t>
  </si>
  <si>
    <t xml:space="preserve">Circulation </t>
  </si>
  <si>
    <t>Private reproductive services</t>
  </si>
  <si>
    <t>Total number of self-employed</t>
  </si>
  <si>
    <t>Number of “housewives”</t>
  </si>
  <si>
    <t>Other private services, here include circulation (code CC) and private reproductive services (code PR).</t>
  </si>
  <si>
    <t>Change in annual real wage rate from previous year</t>
  </si>
  <si>
    <t>Total private sector</t>
  </si>
  <si>
    <t>Total aggregate economy</t>
  </si>
  <si>
    <t>Private sector</t>
  </si>
  <si>
    <t>A. Annual volume growth (in percent) of aggregate production according to different estimates.</t>
  </si>
  <si>
    <t>B. Current values (in million SEK) of some aggregate variables.</t>
  </si>
  <si>
    <t>D. Nominal gross value added (in basic prices, million SEK) of different types of activities and of GDP.</t>
  </si>
  <si>
    <t>Author (författare): Rodney Edvinsson</t>
  </si>
  <si>
    <t>E. Annual growth rates (in percent) of the volume gross value added (in basic prices and corrected for changes in the value added share in gross output) of different types of activities.</t>
  </si>
  <si>
    <t>F. Nominal values (in purchasers’ prices, million SEK) of different expenditures and of GDP by expenditure.</t>
  </si>
  <si>
    <t>G. Annual volume growth rates (in percent) of various expenditures and of GDP by expenditure (based on purchasers’ prices).</t>
  </si>
  <si>
    <t>H. Annual changes (in percent) in the prices indices (purchasers’ prices) of various expenditures and of GDP by expenditure.</t>
  </si>
  <si>
    <t>I. Nominal value of gross investment (in purchasers’ prices, million SEK) of various types of activities and total gross investment.</t>
  </si>
  <si>
    <t>J. Consumption of fixed assets (in current, purchasers’ prices, million SEK) of various types of activities and total consumption of fixed assets</t>
  </si>
  <si>
    <t>N. Annual volume growth rates (in percent) of the gross (capacity) stock of various types of produced assets (purchasers’ prices, million SEK), aggregate economy, and of the total gross stock of produced assets of the aggregate economy, of the private sector and of manufacturing and handicrafts</t>
  </si>
  <si>
    <t>O. Number of employed (employees and self-employed) of various types of activities</t>
  </si>
  <si>
    <t>P. Number of employees of various types of activities</t>
  </si>
  <si>
    <t>Q. Number of self-employed of various types of activities, and the number of “housewives”</t>
  </si>
  <si>
    <t>R. Total hours worked (in tens of thousands) of employed (employees and self-employed) of different types of activities</t>
  </si>
  <si>
    <t>S. Total hours worked (in tens of thousands) of employees of different types of activities</t>
  </si>
  <si>
    <t>T. Total hours worked (in tens of thousands) of self-employed of different types of activities</t>
  </si>
  <si>
    <t>U. Wages and salaries (including social benefits) of employees (current factor values, million SEK) of various types of activities.</t>
  </si>
  <si>
    <t>V. Imputed labour income of self-employed (including social benefits, current factor values, million SEK) of various types of activities.</t>
  </si>
  <si>
    <t>W. Gross surplus (current, basic values, million SEK) of various types of activities.</t>
  </si>
  <si>
    <t>Gross Domestic Product (GDP) by activity, Fisher index, corrected for changes in the share of value added in gross output, based on basic prices</t>
  </si>
  <si>
    <t>Net Domestic Product (NDP) by activity, corrected for changes in the share of value added in gross output, based on basic prices</t>
  </si>
  <si>
    <t>Benchmark period: 1980-94</t>
  </si>
  <si>
    <t>Bruttonationalprodukt (BNP) från produktionssidan, Fischerindex, korrigerad för förändringar i förädlingsvärdets andel av bruttoprodukten, baserat på baspriser</t>
  </si>
  <si>
    <t>Gross Domestic Product (GDP) by activity, Laspeyre volume index, corrected for changes in the share of value added in gross output, based on basic prices</t>
  </si>
  <si>
    <t>Gross Domestic Product (GDP) by activity, Paasche volume index, corrected for changes in the share of value added in gross output, based on basic prices</t>
  </si>
  <si>
    <t>Gross Domestic Product (GDP) by activity, Fisher, uncorrected for changes in the share of value added in gross output, based on basic prices</t>
  </si>
  <si>
    <t>Gross Domestic Product (GDP) by expenditure, Fisher index, based on purchasers' prices</t>
  </si>
  <si>
    <t>Net National Product (NDP) by expenditure, Fisher index, based on purchasers' prices</t>
  </si>
  <si>
    <t>Bruttonationalprodukt (BNP) från produktionssidan, Laspeyres volymindex, korrigerad för förändringar i förädlingsvärdets andel av bruttoprodukten, baserat på baspriser</t>
  </si>
  <si>
    <t>Bruttonationalprodukt (BNP) från produktionssidan, Paasches volymindex, korrigerad för förändringar i förädlingsvärdets andel av bruttoprodukten, baserat på baspriser</t>
  </si>
  <si>
    <t>Nettonationalprodukt (NNP) från produktionssidan, Fisherindex, korrigerad för förändringar i förädlingsvärdets andel av bruttoprodukten, baserat på baspriser</t>
  </si>
  <si>
    <t>Bruttonationalprodukt (BNP) från produktionssidan, Fisherindex, okorrigerad för förändringar i förädlingsvärdets andel av bruttoprodukten, baserat på baspriser</t>
  </si>
  <si>
    <t>Bruttonationalprodukt (BNP) från användningssidan, Fisherindex, baserat på mottagarpriser</t>
  </si>
  <si>
    <t>Nettonationalprodukten (NNP) från användningssidan, Fisherindex, baserat på mottagarpriser</t>
  </si>
  <si>
    <t>År</t>
  </si>
  <si>
    <t>Årlig förändring</t>
  </si>
  <si>
    <t>BNP från användningssidan, mottagarpris</t>
  </si>
  <si>
    <t>BNP från produktionssidan, mottagarpris</t>
  </si>
  <si>
    <t>Avskrivningar av fasta tillgångar, mottagarpris</t>
  </si>
  <si>
    <t>NNP från produktionssidan, baspris</t>
  </si>
  <si>
    <t>NNP från användningssidan, mottagarpris</t>
  </si>
  <si>
    <t>A. Årliga volymtillväxt (i procent) av den aggregerade produktion enligt olika mått</t>
  </si>
  <si>
    <r>
      <t>K. Net (capacity) stock of various types of produced assets (in current, purchasers’ prices, million SEK), aggregate economy, and the total net stock of produced assets of the aggregate economy, of the private sector and of manufacturing and handicrafts (1</t>
    </r>
    <r>
      <rPr>
        <vertAlign val="superscript"/>
        <sz val="10"/>
        <rFont val="Arial"/>
        <family val="2"/>
      </rPr>
      <t>st</t>
    </r>
    <r>
      <rPr>
        <sz val="10"/>
        <rFont val="Arial"/>
        <family val="2"/>
      </rPr>
      <t xml:space="preserve"> of January each year)</t>
    </r>
  </si>
  <si>
    <r>
      <t>M. Gross (capacity) stock of various types of produced assets (current, purchasers’ prices, million SEK), aggregate economy, and the total gross stock of produced assets of the aggregate economy, of the private sector and of manufacturing and handicrafts (1</t>
    </r>
    <r>
      <rPr>
        <vertAlign val="superscript"/>
        <sz val="10"/>
        <rFont val="Arial"/>
        <family val="2"/>
      </rPr>
      <t>st</t>
    </r>
    <r>
      <rPr>
        <sz val="10"/>
        <rFont val="Arial"/>
        <family val="2"/>
      </rPr>
      <t xml:space="preserve"> of January each year)</t>
    </r>
  </si>
  <si>
    <t>B. Olika aggregerade variabler till löpande pris (i miljoner kronor)</t>
  </si>
  <si>
    <t>BNP till mottagarpris minus BNP till baspris</t>
  </si>
  <si>
    <t>C. Estimates of GDP per capita and population</t>
  </si>
  <si>
    <t>Befolkningstillväxt</t>
  </si>
  <si>
    <t>C. Skattningar av BNP per capita och befolkning</t>
  </si>
  <si>
    <t>Jordbruk med binäringar</t>
  </si>
  <si>
    <t>Industri och hantverk</t>
  </si>
  <si>
    <t>Bruttonationalproduktionsvärde, mottagarpris</t>
  </si>
  <si>
    <t>Bruttonationalproduktionsvärde, baspris</t>
  </si>
  <si>
    <t>Byggnadsindustri</t>
  </si>
  <si>
    <t>Transporter och kommunikationer</t>
  </si>
  <si>
    <t>Cirkulation</t>
  </si>
  <si>
    <t>Circulation</t>
  </si>
  <si>
    <t>Privata reproduktiva tjänster</t>
  </si>
  <si>
    <t>Offentliga tjänster</t>
  </si>
  <si>
    <t>Fastighetsförvaltning</t>
  </si>
  <si>
    <t>BNP från produktionssidan</t>
  </si>
  <si>
    <t>Bostadsförvaltning</t>
  </si>
  <si>
    <t>Övriga privata tjänster, här inkluderat cirkulation, privata reproduktiva tjänster och annan förvaltningsförvaltning</t>
  </si>
  <si>
    <t>Other private services, here include circulation (code CC) and private reproductive services</t>
  </si>
  <si>
    <t>Övriga privata tjänster, här inkluderat cirkulation och privata reproduktiva tjänster</t>
  </si>
  <si>
    <t>Insatsförbrukning, mottagarpris</t>
  </si>
  <si>
    <t>Under loppet av år</t>
  </si>
  <si>
    <t>BNP</t>
  </si>
  <si>
    <t>Mean population</t>
  </si>
  <si>
    <t>Medelfolkmängd</t>
  </si>
  <si>
    <t>Privat konsumtion</t>
  </si>
  <si>
    <t>Offentlig konsumtion</t>
  </si>
  <si>
    <t>Investingar i byggnader och anläggningar</t>
  </si>
  <si>
    <t>Investment in buildings and structures</t>
  </si>
  <si>
    <t>Investment in machinery and equipment</t>
  </si>
  <si>
    <t>Investeringar i maskiner, transportmedel och inventarier</t>
  </si>
  <si>
    <t>Förändring i fast djurstock</t>
  </si>
  <si>
    <t>Lagerförändring</t>
  </si>
  <si>
    <t>D. Bruttoförädlingsvärdet (till löpande baspris, miljoner kronor) för olika branscher och för BNP</t>
  </si>
  <si>
    <t>E. Årlig tillväxt (i procent) av volymvärdet för bruttoförädlingsvärdet (till baspris och korrigerad för förändringar i förädlingsvärdets andel av bruttoprodukten) för olika branscher</t>
  </si>
  <si>
    <t>Investeringar</t>
  </si>
  <si>
    <t>F. Löpande värde (till mottagarpriser, miljoner kronor) av olika användningar och BNP från användningssidan</t>
  </si>
  <si>
    <t>G. Årliga volymtillväxt (i procent) för olika användningar och BNP från användningssidan (baserat på mottagarpriser)</t>
  </si>
  <si>
    <t>Totala bruttoinvesteringar</t>
  </si>
  <si>
    <t>I. Löpande värde av bruttoinvesteringar (till mottagarpris, miljoner kronor) inom olika branscher och totala bruttoinvesteringar</t>
  </si>
  <si>
    <t>J. Avskrivningar av fasta tillgångar (i löpander mottagarpriser, miljoner kronor) för olika branscher och totala avskrivningar av fasta tillgångar</t>
  </si>
  <si>
    <t>L. Annual volume growth rates (in percent) of the net (capacity) stock of various types of produced assets (based on purchasers’ prices), aggregate economy, and of the total net stock of produced assets of the aggregate economy, of the private sector and of manufacturing and handicrafts</t>
  </si>
  <si>
    <t>Some of the headlines in English were inaccurate and therefore corrected</t>
  </si>
  <si>
    <t>New headlines were written in Swedish</t>
  </si>
  <si>
    <t>Version 1.0</t>
  </si>
  <si>
    <t>Bostäder</t>
  </si>
  <si>
    <t>Byggnader och anläggningar utom bostäder</t>
  </si>
  <si>
    <t>Maskiner, transportmedel och inventarier</t>
  </si>
  <si>
    <t>Fast djurstock</t>
  </si>
  <si>
    <t>Lagerstock</t>
  </si>
  <si>
    <t>Totalt, hela ekonomin</t>
  </si>
  <si>
    <t>Totalt, privat sektor</t>
  </si>
  <si>
    <t>Totalt, industri och hantverk</t>
  </si>
  <si>
    <t>Byggnader och anläggningar</t>
  </si>
  <si>
    <t>K. Netto(kapacitets)stocken av olika typer av producerade tillgångar (till löpande mottagarpriser, miljoner kronor), hela ekonomin, och den totala nettostocken av producerade tillgångar för hela ekonomin, för privata sektorn och för industri och hantverk (första januari varje år)</t>
  </si>
  <si>
    <t>M. Brutto(kapacitets)stocken av olika typer av producerade tillgångar (till löpande mottagarpriser, miljoner kronor), hela ekonomin, och den totala bruttostocken av producerade tillgångar för hela ekonomin, för privata sektorn och för industri och hantverk (första januari varje år)</t>
  </si>
  <si>
    <t>N. Årlig volymtillväxt för brutto(kapacitets)stocken av olika typer av producerade tillgångar (till löpande mottagarpriser, miljoner kronor), hela ekonomin, och för den totala bruttostocken av producerade tillgångar för hela ekonomin, för privata sektorn och för industri och hantverk (första januari varje år)</t>
  </si>
  <si>
    <t>L. Årliga volymtillväxt (i procent) för netto(kapacitets)stocken av olika typer av producerade tillgångar (baserat på mottagarpriser), hela ekonomin, och för den totala nettostocken av producerade tillgångar för hela ekonomin, för privata sektorn och för industri och hantverk (första januari varje år)</t>
  </si>
  <si>
    <t>O. Antal sysselsatta (anställda och företagare) inom olika branscher</t>
  </si>
  <si>
    <t>Totalt privat sektor</t>
  </si>
  <si>
    <t>P. Antal anställda inom olika branscher</t>
  </si>
  <si>
    <t>Q. Antal företagare inom olika branscher, och antalet "hemmafruar"</t>
  </si>
  <si>
    <t>Totalt antal företagare</t>
  </si>
  <si>
    <t>Antal "hemmafruar"</t>
  </si>
  <si>
    <t>Totalt hela ekonomin</t>
  </si>
  <si>
    <t>R. Totala antalet arbetade timmar (i 10000-tals) för sysselsatta (anställda och företagare) inom olika branscher</t>
  </si>
  <si>
    <t>S. Totala antalet arbetade timmar (i 10000-tals) för anställda inom olika branscher</t>
  </si>
  <si>
    <t>T. Totala antalet arbetade timmar (i 10000-tals) för företagare inom olika branscher</t>
  </si>
  <si>
    <t>U. Löner (inklusive sociala avgifter) för anställda (till löpande faktorvärden, miljoner kronor) inom olika branscher</t>
  </si>
  <si>
    <t>V. Tillskriven arbetsinkomst för företagare (inklusive sociala avgifter, till löpande faktorvärden, miljoner kronor) inom olika branscher</t>
  </si>
  <si>
    <t>W. Bruttoöverskott (löpande basvärden, miljoner kronor) inom olika branscher</t>
  </si>
  <si>
    <t>X. Various ratios (in percent, based on current purchasers’ and purchasers’ proxy prices) and annual change in real wage rate (in percent) for manufacturing and handicrafts.</t>
  </si>
  <si>
    <t>Förändring av reallöne från föregående år</t>
  </si>
  <si>
    <t>Nettoöverskott/Nettostock av producerad tillgångar</t>
  </si>
  <si>
    <t>X. Olika kvoter (i procent, baserat på löpande mottagarpriser och tillskrivna mottagarpriser) och årlig förändring i reallön (i procent) inom industri och hantverk.</t>
  </si>
  <si>
    <t>Nettöverskott/Arbetsinkomst</t>
  </si>
  <si>
    <t>Nettostock av producerade tillgångar/nettoförädlingsvärde</t>
  </si>
  <si>
    <t>Bruttoöverskott/Nettostock av producerade tillgångar</t>
  </si>
  <si>
    <t>Bruttoöverskott/Arbetsinkomst</t>
  </si>
  <si>
    <t>Nettostock av producerade tillgångar/Bruttoförädlingsvärde</t>
  </si>
  <si>
    <r>
      <t xml:space="preserve">File name (filnamn): </t>
    </r>
    <r>
      <rPr>
        <i/>
        <sz val="10"/>
        <rFont val="Arial"/>
        <family val="2"/>
      </rPr>
      <t>Historical national accounts for Sweden 1800-2000</t>
    </r>
    <r>
      <rPr>
        <sz val="10"/>
        <rFont val="Arial"/>
        <family val="2"/>
      </rPr>
      <t xml:space="preserve"> (</t>
    </r>
    <r>
      <rPr>
        <i/>
        <sz val="10"/>
        <rFont val="Arial"/>
        <family val="2"/>
      </rPr>
      <t>Historiska nationalräkenskaper för Sverige 1800-2000</t>
    </r>
    <r>
      <rPr>
        <sz val="10"/>
        <rFont val="Arial"/>
        <family val="2"/>
      </rPr>
      <t>)</t>
    </r>
  </si>
  <si>
    <t>GDP per capita by expenditure in purchasers' prices (SEK), nominal value</t>
  </si>
  <si>
    <t>GDP per capita by activity in basic prices (SEK), volume value (reference year 2000)</t>
  </si>
  <si>
    <t>GDP per capita by expenditure in purchasers' prices (SEK), volume value (reference year 2000)</t>
  </si>
  <si>
    <t>Volume growth from preceding year (%) of GDP per capita by expenditure in purchasers' prices (SEK)</t>
  </si>
  <si>
    <t>Updates:</t>
  </si>
  <si>
    <t>BNP per capita från användningssidan till mottagarpris (kronor), löpande värden</t>
  </si>
  <si>
    <t>BNP per capita från användningssidan till mottagarpris (kronor), volymvärde (referensår 2000)</t>
  </si>
  <si>
    <t>Volymtillväxt från föregående år (%) för BNP per capita från användningssidan till mottagarpris (kronor)</t>
  </si>
  <si>
    <t>Volymtillväxt från föregående år (%) för BNP per capita från produktionssidan till baspris (kronor)</t>
  </si>
  <si>
    <t>BNP per capita från produktionssidan till baspris (kronor), volymvärde (referensår 2000)</t>
  </si>
  <si>
    <t>GDP per capita by activity in basic prices (SEK), löpande värden</t>
  </si>
  <si>
    <t>Volume growth from preceding year (%) of GDP per capita by activity in basic prices (SEK), volume value (reference year 2000)</t>
  </si>
  <si>
    <t>BNP per capita från produktionssidan till baspris (kronor), löpande värden</t>
  </si>
  <si>
    <r>
      <t xml:space="preserve">Is based on methods and data presented in Edvinsson, R., 2005: </t>
    </r>
    <r>
      <rPr>
        <i/>
        <sz val="10"/>
        <rFont val="Arial"/>
        <family val="2"/>
      </rPr>
      <t>Growth, Accumulation, Crisis: With New Macroeconomic Data for Sweden</t>
    </r>
    <r>
      <rPr>
        <sz val="10"/>
        <rFont val="Arial"/>
        <family val="2"/>
      </rPr>
      <t>. Almqvist &amp; Wiksell International; Stockholm. Online at: http://www.diva-portal.org/su/theses/abstract.xsql?dbid=378 (050320).</t>
    </r>
  </si>
  <si>
    <t>Market producer: Producers that sell most of their output at prices that are economically significant. In the SNA, consists of all activities within the production boundary, except for government services and Non-Profit Institutions Serving Households.</t>
  </si>
  <si>
    <t>Mixed income (MI): In the 1993 SNA, defined as the net value added less wages and salaries (including social benefits) for all unincorporated enterprises owned by households. It contains an element of remuneration for worked performed by the owner or other members of the household, which cannot be separated from the remuneration of invested assets. Operating surplus is a similar measure but for all enterprises except unincorporated enterprises. In Edvinsson, 2005, an attempt is made to calculate the part of income of self-employed that could be seen as remuneration for worked performed.</t>
  </si>
  <si>
    <t>Net Domestic Product (NDP): Defined as the Gross Domestic Product less aggregate consumption of fixed assets.</t>
  </si>
  <si>
    <t>Net export (NX): Defined as export less import. A negative net export can also be described as a positive net import.</t>
  </si>
  <si>
    <t>Net fixed investment: Defined as gross fixed investment less consumption of fixed assets.</t>
  </si>
  <si>
    <t>Net import: Defined as import less export. A negative net import can also be described as a positive net export.</t>
  </si>
  <si>
    <t>Net investment: Defined as gross investment less consumption of fixed assets.</t>
  </si>
  <si>
    <t>Net surplus (NS): In Edvinsson, 2005, defined as the net value added less the labour income (of both employees and self-employed).</t>
  </si>
  <si>
    <t>Net stock of fixed assets: Is defined as the value of the stock of fixed assets at written down replacement costs, i.e. after the cumulative consumption of fixed assets of the existing stock is deducted.</t>
  </si>
  <si>
    <t>Net surplus: In Edvinsson, 2005, defined as the gross surplus less consumption of fixed assets, or as the net value added less labour income.</t>
  </si>
  <si>
    <t>Net value added (NVA): Defined as the gross value added less consumption of fixed assets, or as gross output less intermediate consumption and consumption of fixed assets.</t>
  </si>
  <si>
    <t>Nominal value: The value of items in current prices.</t>
  </si>
  <si>
    <t>Non-Profit Institutions Serving Households (NPISHs): Consists of non-profit institutions that are not predominantly financed or controlled by government and that provide goods and services to households free or at prices that are economically insignificant.</t>
  </si>
  <si>
    <t>Paasche price index: Measures the level of prices in the compared period (mostly located later in time) in relation to a based period expressed in the quantities of the compared period. Mathematically a Paasche price index is the weighted harmonic average of price relatives using the values of the compared period as weights.</t>
  </si>
  <si>
    <t>Paasche volume index: Expresses the change in the quantities of a bunch of items in the prices of the compared period (mostly located later in time) and not the base period. Mathematically, a Paasche volume index is the weighted harmonic average of volume relatives using the values of the compared period as weights.</t>
  </si>
  <si>
    <t>Perpetual Inventory Method (PIM): A method to calculate the stock of produced assets (and consumption of fixed assets) implying that its value is estimated indirectly from investments in preceding years.</t>
  </si>
  <si>
    <t>Price (p): In the SNA, refers to the value of one unit of a good or service. In this sense, price can be distinguished from value; in that value does not depend on how many units it refers to.</t>
  </si>
  <si>
    <t>Price index (P): A measure of the level of prices in one period in relation to an earlier period. Price indices can also be constructed in different ways, depending on how the individual prices are weighted.</t>
  </si>
  <si>
    <t>Price relative: The ratio of the price of an item in one period to the price of the same item in an earlier period. It can also refer to the ratio of the price of an item in one country to the price of the same item in another country.</t>
  </si>
  <si>
    <t>Private final consumption (C): Consists of the final consumption of households and NPISHs. The term is no longer used in the 1993 SNA, but is used in Edvinsson, 2005.</t>
  </si>
  <si>
    <r>
      <t xml:space="preserve">File name (filnamn): </t>
    </r>
    <r>
      <rPr>
        <i/>
        <sz val="10"/>
        <rFont val="Arial"/>
        <family val="2"/>
      </rPr>
      <t>Historical national accounts for Sweden 1800-2000</t>
    </r>
    <r>
      <rPr>
        <sz val="10"/>
        <rFont val="Arial"/>
        <family val="2"/>
      </rPr>
      <t xml:space="preserve"> (</t>
    </r>
    <r>
      <rPr>
        <i/>
        <sz val="10"/>
        <rFont val="Arial"/>
        <family val="2"/>
      </rPr>
      <t>Historiska nationalräkenskaper för Sverige 1800-2000</t>
    </r>
    <r>
      <rPr>
        <sz val="10"/>
        <rFont val="Arial"/>
        <family val="2"/>
      </rPr>
      <t>) Version 1.0 Last updated (senast uppdaterad): 050404</t>
    </r>
  </si>
  <si>
    <t>H. Årliga förändring (i procent) i  prisindex (mottagarpriser) för olika användingar och BNP från användningssidan</t>
  </si>
  <si>
    <t>update: 050404</t>
  </si>
  <si>
    <t>Private sector: In the 1993 SNA, covers private corporations, households and NPISHs. In Edvinsson, 2005, consists of all types of activities within the production boundary of official national accounts except for government services.</t>
  </si>
  <si>
    <t>Produced assets: Non-financial assets that have come to existence from processes that fall within the production boundary. In the 1993 SNA, consist of fixed assets, inventories and valuables. In Edvinsson, 2005, produced assets only encompass fixed assets and inventories.</t>
  </si>
  <si>
    <t>Production boundary: Distinguishes between activities counted as production and those not included in production.</t>
  </si>
  <si>
    <t>Productivity: Output per unit of factor input. Can be measured in different ways. In Edvinsson, 2005, mostly refers to labour productivity, or the volume value added per employed or per hour worked.</t>
  </si>
  <si>
    <t>Purchasers’ prices: A type of price on a unit of good or services produced as output, which includes the excess of indirect taxes over subsidies and transport charges invoiced separately by the producer.</t>
  </si>
  <si>
    <t>Purchasers’ proxy prices: Used in Edvinsson, 2005, in order to make comparisons of different variables, of which some variables are only given in basic prices by the sources.</t>
  </si>
  <si>
    <t>Real estate: A type of activities. Consists of letting of dwellings and other premises, but also of the use of owner-occupied dwellings. In the SNA, real estate is considered a productive activity, but it could also be seen as a consumption activity (like the consumption of other durable goods that is viewed as unproductive).</t>
  </si>
  <si>
    <t>Real value: The current value deflated by a price index.</t>
  </si>
  <si>
    <t>Real wage rate: In Edvinsson, 2005, wages and salaries (including social benefits) per employed or per hour worked deflated by the price index of private final consumption.</t>
  </si>
  <si>
    <t>Recording on c.i.f./f.o.b. basis: The recording of imported goods in c.i.f. prices and exporting goods in f.o.b. prices. When imported goods are valued in c.i.f. prices, the costs of both domestic and foreign firms for transporting and insuring those goods between the custom frontier of the exporting and importing country are included. Export of goods are, however, always valued in f.o.b prices, and to keep the balance between total export and import, transport and insurance costs of domestic firms for importing and exporting goods are included in the export of services.</t>
  </si>
  <si>
    <t>Recording on f.o.b./f.o.b. basis: The recording of both imported and exported goods in f.o.b. prices. When imported goods are valued in f.o.b. prices the costs of foreign firms for transporting and insuring imported goods are reclassified into import of services, which does not change the amount of overall import. The costs of domestic firms for transporting and insuring imported goods must then be deducted from both import and export as recorded on c.i.f./f.o.b. basis.</t>
  </si>
  <si>
    <t>Reference year/period: The year/period to which a volume or price index relates. It does not necessarily correspond to the base period that provides the weights for the index.</t>
  </si>
  <si>
    <t>Reflator: A reflator is used to transform volume values into current values, by multiplying the volume value with the reflator. The reflator equals the deflator and the price index.</t>
  </si>
  <si>
    <t>Relative price: The price of items in relation to the price of other items, irrespectively of the general level of prices.</t>
  </si>
  <si>
    <t>comhn</t>
  </si>
  <si>
    <t>nmxhn</t>
  </si>
  <si>
    <t>Mixed income = imputed self-employed labour income / 0.7</t>
  </si>
  <si>
    <t>iso</t>
  </si>
  <si>
    <t>year</t>
  </si>
  <si>
    <t>confc</t>
  </si>
  <si>
    <t>cfcgo</t>
  </si>
  <si>
    <t>nsrgo</t>
  </si>
  <si>
    <t>ceugo</t>
  </si>
  <si>
    <t>cfcco</t>
  </si>
  <si>
    <t>nsrco</t>
  </si>
  <si>
    <t>gsrco</t>
  </si>
  <si>
    <t>ceuco</t>
  </si>
  <si>
    <t>ceuhn</t>
  </si>
  <si>
    <t>cfchn</t>
  </si>
  <si>
    <t>gmxhn</t>
  </si>
  <si>
    <t>ccmhn</t>
  </si>
  <si>
    <t>nsrhn</t>
  </si>
  <si>
    <t>ccshn</t>
  </si>
  <si>
    <t>ptxgo</t>
  </si>
  <si>
    <t>source</t>
  </si>
  <si>
    <t>SE</t>
  </si>
  <si>
    <t>Wages and Saleries of Goverment services</t>
  </si>
  <si>
    <t>gsrhn</t>
  </si>
  <si>
    <t>mios</t>
  </si>
  <si>
    <t>Real Estate Gros Surplus</t>
  </si>
  <si>
    <t>check</t>
  </si>
  <si>
    <t>gross value added less labour income (of both employees and self-employed). The gross surplus includes consumption of fixed assets.</t>
  </si>
  <si>
    <t>NET</t>
  </si>
  <si>
    <t>Gross</t>
  </si>
  <si>
    <t>cshare_net</t>
  </si>
  <si>
    <t>cshare_gross</t>
  </si>
  <si>
    <t>check shares</t>
  </si>
  <si>
    <t>Capital Shares</t>
  </si>
  <si>
    <t>Total economy</t>
  </si>
  <si>
    <t>In Corporations</t>
  </si>
  <si>
    <t>gsrgo</t>
  </si>
  <si>
    <t>Goverment Sector</t>
  </si>
  <si>
    <t>gvago</t>
  </si>
  <si>
    <t>Components Goverment Sector</t>
  </si>
  <si>
    <t>gvaco</t>
  </si>
  <si>
    <t>Corporate Sector</t>
  </si>
  <si>
    <t>Housing</t>
  </si>
  <si>
    <t>Household Sector</t>
  </si>
  <si>
    <t>Components Corporate Sector</t>
  </si>
  <si>
    <t>Components Household Sector</t>
  </si>
  <si>
    <t>Self-employment</t>
  </si>
  <si>
    <t>gvahn</t>
  </si>
  <si>
    <t>gvmhn</t>
  </si>
  <si>
    <t>Total Economy</t>
  </si>
  <si>
    <t>check_total</t>
  </si>
  <si>
    <t>check_chares</t>
  </si>
  <si>
    <t>check_sector</t>
  </si>
  <si>
    <t>Checks</t>
  </si>
  <si>
    <t>cshare</t>
  </si>
  <si>
    <t>cshare_corp</t>
  </si>
  <si>
    <t>chare_corp_gross</t>
  </si>
  <si>
    <t>Notes</t>
  </si>
  <si>
    <t>self-employed Imputed labour income</t>
  </si>
  <si>
    <t>Imputed labour Income / 0.7</t>
  </si>
  <si>
    <t>imputed as share of total compensations of employees. 2/3 of gmxhn / (gmxhn+gsrco)</t>
  </si>
  <si>
    <t>residual of imputed wages paied by households</t>
  </si>
  <si>
    <t>compen-sation of employees</t>
  </si>
  <si>
    <t>Mixed Income</t>
  </si>
  <si>
    <t>Gross
Operating
Surplus</t>
  </si>
  <si>
    <t>Mixed-
income and OS</t>
  </si>
  <si>
    <t>Total profits (including selfemployment less30% of mixed income)</t>
  </si>
  <si>
    <t>Assume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</si>
</sst>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0"/>
      <name val="Arial"/>
    </font>
    <font>
      <sz val="10"/>
      <name val="Arial"/>
      <family val="2"/>
    </font>
    <font>
      <sz val="10"/>
      <name val="Arial"/>
      <family val="2"/>
    </font>
    <font>
      <i/>
      <sz val="10"/>
      <name val="Arial"/>
      <family val="2"/>
    </font>
    <font>
      <vertAlign val="superscript"/>
      <sz val="10"/>
      <name val="Arial"/>
      <family val="2"/>
    </font>
    <font>
      <b/>
      <sz val="10"/>
      <name val="Arial"/>
      <family val="2"/>
    </font>
    <font>
      <sz val="11"/>
      <color indexed="8"/>
      <name val="Aptos Narrow"/>
      <family val="2"/>
      <scheme val="minor"/>
    </font>
    <font>
      <sz val="10"/>
      <color theme="1"/>
      <name val="Arial"/>
      <family val="2"/>
    </font>
  </fonts>
  <fills count="4">
    <fill>
      <patternFill patternType="none"/>
    </fill>
    <fill>
      <patternFill patternType="gray125"/>
    </fill>
    <fill>
      <patternFill patternType="solid">
        <fgColor theme="0" tint="-0.249977111117893"/>
        <bgColor indexed="64"/>
      </patternFill>
    </fill>
    <fill>
      <patternFill patternType="solid">
        <fgColor rgb="FFFFFF00"/>
        <bgColor indexed="64"/>
      </patternFill>
    </fill>
  </fills>
  <borders count="2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s>
  <cellStyleXfs count="4">
    <xf numFmtId="0" fontId="0" fillId="0" borderId="0"/>
    <xf numFmtId="0" fontId="6" fillId="0" borderId="0"/>
    <xf numFmtId="0" fontId="7" fillId="0" borderId="0"/>
    <xf numFmtId="9" fontId="1" fillId="0" borderId="0" applyFont="0" applyFill="0" applyBorder="0" applyAlignment="0" applyProtection="0"/>
  </cellStyleXfs>
  <cellXfs count="89">
    <xf numFmtId="0" fontId="0" fillId="0" borderId="0" xfId="0"/>
    <xf numFmtId="0" fontId="2" fillId="0" borderId="0" xfId="0" applyFont="1"/>
    <xf numFmtId="0" fontId="5" fillId="0" borderId="0" xfId="0" applyFont="1"/>
    <xf numFmtId="9" fontId="0" fillId="0" borderId="0" xfId="3" applyFont="1"/>
    <xf numFmtId="0" fontId="2" fillId="0" borderId="0" xfId="0" applyFont="1" applyAlignment="1">
      <alignment wrapText="1"/>
    </xf>
    <xf numFmtId="9" fontId="0" fillId="0" borderId="0" xfId="0" applyNumberFormat="1"/>
    <xf numFmtId="9" fontId="7" fillId="0" borderId="0" xfId="3" applyFont="1" applyAlignment="1">
      <alignment horizontal="center" vertical="center"/>
    </xf>
    <xf numFmtId="9" fontId="0" fillId="0" borderId="0" xfId="3" applyFont="1" applyBorder="1"/>
    <xf numFmtId="0" fontId="0" fillId="0" borderId="2" xfId="0" applyBorder="1"/>
    <xf numFmtId="0" fontId="0" fillId="0" borderId="3" xfId="0" applyBorder="1"/>
    <xf numFmtId="9" fontId="0" fillId="0" borderId="4" xfId="3" applyFont="1" applyBorder="1"/>
    <xf numFmtId="0" fontId="0" fillId="0" borderId="5" xfId="0" applyBorder="1"/>
    <xf numFmtId="9" fontId="0" fillId="0" borderId="6" xfId="3" applyFont="1" applyBorder="1"/>
    <xf numFmtId="0" fontId="2" fillId="0" borderId="5" xfId="0" applyFont="1" applyBorder="1"/>
    <xf numFmtId="9" fontId="0" fillId="0" borderId="5" xfId="0" applyNumberFormat="1" applyBorder="1"/>
    <xf numFmtId="9" fontId="7" fillId="0" borderId="6" xfId="3" applyFont="1" applyBorder="1" applyAlignment="1">
      <alignment horizontal="center" vertical="center"/>
    </xf>
    <xf numFmtId="9" fontId="0" fillId="0" borderId="7" xfId="0" applyNumberFormat="1" applyBorder="1"/>
    <xf numFmtId="9" fontId="0" fillId="0" borderId="8" xfId="0" applyNumberFormat="1" applyBorder="1"/>
    <xf numFmtId="9" fontId="7" fillId="0" borderId="9" xfId="3" applyFont="1" applyBorder="1" applyAlignment="1">
      <alignment horizontal="center" vertical="center"/>
    </xf>
    <xf numFmtId="0" fontId="2" fillId="2" borderId="0" xfId="0" applyFont="1" applyFill="1"/>
    <xf numFmtId="0" fontId="0" fillId="2" borderId="0" xfId="0" applyFill="1"/>
    <xf numFmtId="9" fontId="0" fillId="2" borderId="0" xfId="3" applyFont="1" applyFill="1"/>
    <xf numFmtId="9" fontId="0" fillId="2" borderId="0" xfId="0" applyNumberFormat="1" applyFill="1"/>
    <xf numFmtId="9" fontId="0" fillId="2" borderId="5" xfId="0" applyNumberFormat="1" applyFill="1" applyBorder="1"/>
    <xf numFmtId="9" fontId="7" fillId="2" borderId="6" xfId="3" applyFont="1" applyFill="1" applyBorder="1" applyAlignment="1">
      <alignment horizontal="center" vertical="center"/>
    </xf>
    <xf numFmtId="0" fontId="0" fillId="0" borderId="8" xfId="0" applyBorder="1"/>
    <xf numFmtId="0" fontId="0" fillId="0" borderId="6" xfId="0" applyBorder="1"/>
    <xf numFmtId="0" fontId="0" fillId="0" borderId="13" xfId="0" applyBorder="1"/>
    <xf numFmtId="0" fontId="0" fillId="0" borderId="14" xfId="0" applyBorder="1"/>
    <xf numFmtId="0" fontId="2" fillId="0" borderId="1" xfId="0" applyFont="1" applyBorder="1" applyAlignment="1">
      <alignment wrapText="1"/>
    </xf>
    <xf numFmtId="0" fontId="2" fillId="0" borderId="1" xfId="0" applyFont="1" applyBorder="1" applyAlignment="1">
      <alignment horizontal="left" vertical="center" wrapText="1"/>
    </xf>
    <xf numFmtId="0" fontId="0" fillId="0" borderId="4" xfId="0" applyBorder="1"/>
    <xf numFmtId="0" fontId="0" fillId="0" borderId="16" xfId="0" applyBorder="1"/>
    <xf numFmtId="0" fontId="2" fillId="0" borderId="14" xfId="0" applyFont="1" applyBorder="1"/>
    <xf numFmtId="0" fontId="2" fillId="0" borderId="6" xfId="0" applyFont="1" applyBorder="1"/>
    <xf numFmtId="0" fontId="2" fillId="0" borderId="16" xfId="0" applyFont="1" applyBorder="1"/>
    <xf numFmtId="9" fontId="0" fillId="2" borderId="0" xfId="3" applyFont="1" applyFill="1" applyBorder="1"/>
    <xf numFmtId="9" fontId="0" fillId="0" borderId="2" xfId="3" applyFont="1" applyBorder="1"/>
    <xf numFmtId="9" fontId="0" fillId="0" borderId="3" xfId="3" applyFont="1" applyBorder="1"/>
    <xf numFmtId="9" fontId="0" fillId="0" borderId="5" xfId="3" applyFont="1" applyBorder="1"/>
    <xf numFmtId="9" fontId="0" fillId="2" borderId="6" xfId="3" applyFont="1" applyFill="1" applyBorder="1"/>
    <xf numFmtId="9" fontId="0" fillId="0" borderId="8" xfId="3" applyFont="1" applyBorder="1"/>
    <xf numFmtId="9" fontId="0" fillId="0" borderId="9" xfId="3" applyFont="1" applyBorder="1"/>
    <xf numFmtId="9" fontId="2" fillId="0" borderId="5" xfId="3" applyFont="1" applyFill="1" applyBorder="1"/>
    <xf numFmtId="9" fontId="0" fillId="0" borderId="0" xfId="3" applyFont="1" applyFill="1" applyBorder="1"/>
    <xf numFmtId="9" fontId="0" fillId="0" borderId="5" xfId="3" applyFont="1" applyFill="1" applyBorder="1"/>
    <xf numFmtId="9" fontId="0" fillId="0" borderId="6" xfId="3" applyFont="1" applyFill="1" applyBorder="1"/>
    <xf numFmtId="0" fontId="2" fillId="3" borderId="0" xfId="0" applyFont="1" applyFill="1"/>
    <xf numFmtId="0" fontId="2" fillId="0" borderId="5" xfId="0" applyFont="1" applyBorder="1" applyAlignment="1">
      <alignment wrapText="1"/>
    </xf>
    <xf numFmtId="9" fontId="2" fillId="0" borderId="0" xfId="3" applyFont="1" applyFill="1" applyBorder="1"/>
    <xf numFmtId="9" fontId="0" fillId="0" borderId="2" xfId="3" applyFont="1" applyFill="1" applyBorder="1"/>
    <xf numFmtId="9" fontId="0" fillId="0" borderId="3" xfId="3" applyFont="1" applyFill="1" applyBorder="1"/>
    <xf numFmtId="9" fontId="0" fillId="0" borderId="4" xfId="3" applyFont="1" applyFill="1" applyBorder="1"/>
    <xf numFmtId="9" fontId="0" fillId="0" borderId="7" xfId="3" applyFont="1" applyFill="1" applyBorder="1"/>
    <xf numFmtId="9" fontId="0" fillId="0" borderId="8" xfId="3" applyFont="1" applyFill="1" applyBorder="1"/>
    <xf numFmtId="9" fontId="0" fillId="0" borderId="9" xfId="3" applyFont="1" applyFill="1" applyBorder="1"/>
    <xf numFmtId="9" fontId="0" fillId="0" borderId="1" xfId="3" applyFont="1" applyBorder="1"/>
    <xf numFmtId="9" fontId="0" fillId="0" borderId="15" xfId="3" applyFont="1" applyBorder="1"/>
    <xf numFmtId="9" fontId="0" fillId="0" borderId="16" xfId="3" applyFont="1" applyBorder="1"/>
    <xf numFmtId="9" fontId="0" fillId="0" borderId="17" xfId="3" applyFont="1" applyBorder="1"/>
    <xf numFmtId="9" fontId="0" fillId="0" borderId="18" xfId="3" applyFont="1" applyFill="1" applyBorder="1"/>
    <xf numFmtId="9" fontId="0" fillId="0" borderId="19" xfId="3" applyFont="1" applyBorder="1"/>
    <xf numFmtId="9" fontId="0" fillId="0" borderId="15" xfId="3" applyFont="1" applyFill="1" applyBorder="1"/>
    <xf numFmtId="9" fontId="0" fillId="0" borderId="16" xfId="3" applyFont="1" applyFill="1" applyBorder="1"/>
    <xf numFmtId="9" fontId="0" fillId="0" borderId="17" xfId="3" applyFont="1" applyFill="1" applyBorder="1"/>
    <xf numFmtId="0" fontId="0" fillId="0" borderId="0" xfId="0" applyAlignment="1">
      <alignment horizontal="center" vertical="center"/>
    </xf>
    <xf numFmtId="0" fontId="2" fillId="0" borderId="15"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2" fillId="0" borderId="12" xfId="0" applyFont="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 fillId="0" borderId="5" xfId="0" applyFont="1" applyBorder="1" applyAlignment="1">
      <alignment horizontal="center"/>
    </xf>
    <xf numFmtId="0" fontId="0" fillId="0" borderId="0" xfId="0" applyAlignment="1">
      <alignment horizontal="center"/>
    </xf>
    <xf numFmtId="0" fontId="2" fillId="0" borderId="0" xfId="0" applyFont="1" applyAlignment="1">
      <alignment horizontal="center"/>
    </xf>
    <xf numFmtId="0" fontId="0" fillId="0" borderId="6" xfId="0" applyBorder="1" applyAlignment="1">
      <alignment horizontal="center"/>
    </xf>
    <xf numFmtId="9" fontId="2" fillId="0" borderId="20" xfId="3" applyFont="1" applyFill="1" applyBorder="1"/>
    <xf numFmtId="9" fontId="2" fillId="0" borderId="21" xfId="3" applyFont="1" applyFill="1" applyBorder="1"/>
    <xf numFmtId="9" fontId="0" fillId="0" borderId="21" xfId="3" applyFont="1" applyFill="1" applyBorder="1"/>
    <xf numFmtId="9" fontId="0" fillId="0" borderId="21" xfId="3" applyFont="1" applyBorder="1"/>
    <xf numFmtId="9" fontId="0" fillId="0" borderId="22" xfId="3" applyFont="1" applyBorder="1"/>
    <xf numFmtId="164" fontId="0" fillId="0" borderId="3" xfId="3" applyNumberFormat="1" applyFont="1" applyBorder="1"/>
    <xf numFmtId="164" fontId="0" fillId="0" borderId="0" xfId="3" applyNumberFormat="1" applyFont="1" applyBorder="1"/>
    <xf numFmtId="0" fontId="1" fillId="3" borderId="0" xfId="0" applyFont="1" applyFill="1"/>
  </cellXfs>
  <cellStyles count="4">
    <cellStyle name="Normal" xfId="0" builtinId="0"/>
    <cellStyle name="Normal 2" xfId="1" xr:uid="{F81ECBF8-E6FA-4660-9F72-39CD712C5232}"/>
    <cellStyle name="Normal 3" xfId="2" xr:uid="{A775FFE2-C653-47C2-9A11-C121DD5E4119}"/>
    <cellStyle name="Per 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772965879265096E-2"/>
          <c:y val="0.19463583815028901"/>
          <c:w val="0.8774470691163605"/>
          <c:h val="0.72158026489463378"/>
        </c:manualLayout>
      </c:layout>
      <c:lineChart>
        <c:grouping val="standard"/>
        <c:varyColors val="0"/>
        <c:ser>
          <c:idx val="0"/>
          <c:order val="0"/>
          <c:tx>
            <c:v>Net</c:v>
          </c:tx>
          <c:spPr>
            <a:ln w="28575" cap="rnd">
              <a:solidFill>
                <a:schemeClr val="accent1"/>
              </a:solidFill>
              <a:round/>
            </a:ln>
            <a:effectLst/>
          </c:spPr>
          <c:marker>
            <c:symbol val="none"/>
          </c:marker>
          <c:cat>
            <c:numRef>
              <c:f>Sweden!$B$59:$B$209</c:f>
              <c:numCache>
                <c:formatCode>General</c:formatCode>
                <c:ptCount val="151"/>
                <c:pt idx="0">
                  <c:v>1850</c:v>
                </c:pt>
                <c:pt idx="1">
                  <c:v>1851</c:v>
                </c:pt>
                <c:pt idx="2">
                  <c:v>1852</c:v>
                </c:pt>
                <c:pt idx="3">
                  <c:v>1853</c:v>
                </c:pt>
                <c:pt idx="4">
                  <c:v>1854</c:v>
                </c:pt>
                <c:pt idx="5">
                  <c:v>1855</c:v>
                </c:pt>
                <c:pt idx="6">
                  <c:v>1856</c:v>
                </c:pt>
                <c:pt idx="7">
                  <c:v>1857</c:v>
                </c:pt>
                <c:pt idx="8">
                  <c:v>1858</c:v>
                </c:pt>
                <c:pt idx="9">
                  <c:v>1859</c:v>
                </c:pt>
                <c:pt idx="10">
                  <c:v>1860</c:v>
                </c:pt>
                <c:pt idx="11">
                  <c:v>1861</c:v>
                </c:pt>
                <c:pt idx="12">
                  <c:v>1862</c:v>
                </c:pt>
                <c:pt idx="13">
                  <c:v>1863</c:v>
                </c:pt>
                <c:pt idx="14">
                  <c:v>1864</c:v>
                </c:pt>
                <c:pt idx="15">
                  <c:v>1865</c:v>
                </c:pt>
                <c:pt idx="16">
                  <c:v>1866</c:v>
                </c:pt>
                <c:pt idx="17">
                  <c:v>1867</c:v>
                </c:pt>
                <c:pt idx="18">
                  <c:v>1868</c:v>
                </c:pt>
                <c:pt idx="19">
                  <c:v>1869</c:v>
                </c:pt>
                <c:pt idx="20">
                  <c:v>1870</c:v>
                </c:pt>
                <c:pt idx="21">
                  <c:v>1871</c:v>
                </c:pt>
                <c:pt idx="22">
                  <c:v>1872</c:v>
                </c:pt>
                <c:pt idx="23">
                  <c:v>1873</c:v>
                </c:pt>
                <c:pt idx="24">
                  <c:v>1874</c:v>
                </c:pt>
                <c:pt idx="25">
                  <c:v>1875</c:v>
                </c:pt>
                <c:pt idx="26">
                  <c:v>1876</c:v>
                </c:pt>
                <c:pt idx="27">
                  <c:v>1877</c:v>
                </c:pt>
                <c:pt idx="28">
                  <c:v>1878</c:v>
                </c:pt>
                <c:pt idx="29">
                  <c:v>1879</c:v>
                </c:pt>
                <c:pt idx="30">
                  <c:v>1880</c:v>
                </c:pt>
                <c:pt idx="31">
                  <c:v>1881</c:v>
                </c:pt>
                <c:pt idx="32">
                  <c:v>1882</c:v>
                </c:pt>
                <c:pt idx="33">
                  <c:v>1883</c:v>
                </c:pt>
                <c:pt idx="34">
                  <c:v>1884</c:v>
                </c:pt>
                <c:pt idx="35">
                  <c:v>1885</c:v>
                </c:pt>
                <c:pt idx="36">
                  <c:v>1886</c:v>
                </c:pt>
                <c:pt idx="37">
                  <c:v>1887</c:v>
                </c:pt>
                <c:pt idx="38">
                  <c:v>1888</c:v>
                </c:pt>
                <c:pt idx="39">
                  <c:v>1889</c:v>
                </c:pt>
                <c:pt idx="40">
                  <c:v>1890</c:v>
                </c:pt>
                <c:pt idx="41">
                  <c:v>1891</c:v>
                </c:pt>
                <c:pt idx="42">
                  <c:v>1892</c:v>
                </c:pt>
                <c:pt idx="43">
                  <c:v>1893</c:v>
                </c:pt>
                <c:pt idx="44">
                  <c:v>1894</c:v>
                </c:pt>
                <c:pt idx="45">
                  <c:v>1895</c:v>
                </c:pt>
                <c:pt idx="46">
                  <c:v>1896</c:v>
                </c:pt>
                <c:pt idx="47">
                  <c:v>1897</c:v>
                </c:pt>
                <c:pt idx="48">
                  <c:v>1898</c:v>
                </c:pt>
                <c:pt idx="49">
                  <c:v>1899</c:v>
                </c:pt>
                <c:pt idx="50">
                  <c:v>1900</c:v>
                </c:pt>
                <c:pt idx="51">
                  <c:v>1901</c:v>
                </c:pt>
                <c:pt idx="52">
                  <c:v>1902</c:v>
                </c:pt>
                <c:pt idx="53">
                  <c:v>1903</c:v>
                </c:pt>
                <c:pt idx="54">
                  <c:v>1904</c:v>
                </c:pt>
                <c:pt idx="55">
                  <c:v>1905</c:v>
                </c:pt>
                <c:pt idx="56">
                  <c:v>1906</c:v>
                </c:pt>
                <c:pt idx="57">
                  <c:v>1907</c:v>
                </c:pt>
                <c:pt idx="58">
                  <c:v>1908</c:v>
                </c:pt>
                <c:pt idx="59">
                  <c:v>1909</c:v>
                </c:pt>
                <c:pt idx="60">
                  <c:v>1910</c:v>
                </c:pt>
                <c:pt idx="61">
                  <c:v>1911</c:v>
                </c:pt>
                <c:pt idx="62">
                  <c:v>1912</c:v>
                </c:pt>
                <c:pt idx="63">
                  <c:v>1913</c:v>
                </c:pt>
                <c:pt idx="64">
                  <c:v>1914</c:v>
                </c:pt>
                <c:pt idx="65">
                  <c:v>1915</c:v>
                </c:pt>
                <c:pt idx="66">
                  <c:v>1916</c:v>
                </c:pt>
                <c:pt idx="67">
                  <c:v>1917</c:v>
                </c:pt>
                <c:pt idx="68">
                  <c:v>1918</c:v>
                </c:pt>
                <c:pt idx="69">
                  <c:v>1919</c:v>
                </c:pt>
                <c:pt idx="70">
                  <c:v>1920</c:v>
                </c:pt>
                <c:pt idx="71">
                  <c:v>1921</c:v>
                </c:pt>
                <c:pt idx="72">
                  <c:v>1922</c:v>
                </c:pt>
                <c:pt idx="73">
                  <c:v>1923</c:v>
                </c:pt>
                <c:pt idx="74">
                  <c:v>1924</c:v>
                </c:pt>
                <c:pt idx="75">
                  <c:v>1925</c:v>
                </c:pt>
                <c:pt idx="76">
                  <c:v>1926</c:v>
                </c:pt>
                <c:pt idx="77">
                  <c:v>1927</c:v>
                </c:pt>
                <c:pt idx="78">
                  <c:v>1928</c:v>
                </c:pt>
                <c:pt idx="79">
                  <c:v>1929</c:v>
                </c:pt>
                <c:pt idx="80">
                  <c:v>1930</c:v>
                </c:pt>
                <c:pt idx="81">
                  <c:v>1931</c:v>
                </c:pt>
                <c:pt idx="82">
                  <c:v>1932</c:v>
                </c:pt>
                <c:pt idx="83">
                  <c:v>1933</c:v>
                </c:pt>
                <c:pt idx="84">
                  <c:v>1934</c:v>
                </c:pt>
                <c:pt idx="85">
                  <c:v>1935</c:v>
                </c:pt>
                <c:pt idx="86">
                  <c:v>1936</c:v>
                </c:pt>
                <c:pt idx="87">
                  <c:v>1937</c:v>
                </c:pt>
                <c:pt idx="88">
                  <c:v>1938</c:v>
                </c:pt>
                <c:pt idx="89">
                  <c:v>1939</c:v>
                </c:pt>
                <c:pt idx="90">
                  <c:v>1940</c:v>
                </c:pt>
                <c:pt idx="91">
                  <c:v>1941</c:v>
                </c:pt>
                <c:pt idx="92">
                  <c:v>1942</c:v>
                </c:pt>
                <c:pt idx="93">
                  <c:v>1943</c:v>
                </c:pt>
                <c:pt idx="94">
                  <c:v>1944</c:v>
                </c:pt>
                <c:pt idx="95">
                  <c:v>1945</c:v>
                </c:pt>
                <c:pt idx="96">
                  <c:v>1946</c:v>
                </c:pt>
                <c:pt idx="97">
                  <c:v>1947</c:v>
                </c:pt>
                <c:pt idx="98">
                  <c:v>1948</c:v>
                </c:pt>
                <c:pt idx="99">
                  <c:v>1949</c:v>
                </c:pt>
                <c:pt idx="100">
                  <c:v>1950</c:v>
                </c:pt>
                <c:pt idx="101">
                  <c:v>1951</c:v>
                </c:pt>
                <c:pt idx="102">
                  <c:v>1952</c:v>
                </c:pt>
                <c:pt idx="103">
                  <c:v>1953</c:v>
                </c:pt>
                <c:pt idx="104">
                  <c:v>1954</c:v>
                </c:pt>
                <c:pt idx="105">
                  <c:v>1955</c:v>
                </c:pt>
                <c:pt idx="106">
                  <c:v>1956</c:v>
                </c:pt>
                <c:pt idx="107">
                  <c:v>1957</c:v>
                </c:pt>
                <c:pt idx="108">
                  <c:v>1958</c:v>
                </c:pt>
                <c:pt idx="109">
                  <c:v>1959</c:v>
                </c:pt>
                <c:pt idx="110">
                  <c:v>1960</c:v>
                </c:pt>
                <c:pt idx="111">
                  <c:v>1961</c:v>
                </c:pt>
                <c:pt idx="112">
                  <c:v>1962</c:v>
                </c:pt>
                <c:pt idx="113">
                  <c:v>1963</c:v>
                </c:pt>
                <c:pt idx="114">
                  <c:v>1964</c:v>
                </c:pt>
                <c:pt idx="115">
                  <c:v>1965</c:v>
                </c:pt>
                <c:pt idx="116">
                  <c:v>1966</c:v>
                </c:pt>
                <c:pt idx="117">
                  <c:v>1967</c:v>
                </c:pt>
                <c:pt idx="118">
                  <c:v>1968</c:v>
                </c:pt>
                <c:pt idx="119">
                  <c:v>1969</c:v>
                </c:pt>
                <c:pt idx="120">
                  <c:v>1970</c:v>
                </c:pt>
                <c:pt idx="121">
                  <c:v>1971</c:v>
                </c:pt>
                <c:pt idx="122">
                  <c:v>1972</c:v>
                </c:pt>
                <c:pt idx="123">
                  <c:v>1973</c:v>
                </c:pt>
                <c:pt idx="124">
                  <c:v>1974</c:v>
                </c:pt>
                <c:pt idx="125">
                  <c:v>1975</c:v>
                </c:pt>
                <c:pt idx="126">
                  <c:v>1976</c:v>
                </c:pt>
                <c:pt idx="127">
                  <c:v>1977</c:v>
                </c:pt>
                <c:pt idx="128">
                  <c:v>1978</c:v>
                </c:pt>
                <c:pt idx="129">
                  <c:v>1979</c:v>
                </c:pt>
                <c:pt idx="130">
                  <c:v>1980</c:v>
                </c:pt>
                <c:pt idx="131">
                  <c:v>1981</c:v>
                </c:pt>
                <c:pt idx="132">
                  <c:v>1982</c:v>
                </c:pt>
                <c:pt idx="133">
                  <c:v>1983</c:v>
                </c:pt>
                <c:pt idx="134">
                  <c:v>1984</c:v>
                </c:pt>
                <c:pt idx="135">
                  <c:v>1985</c:v>
                </c:pt>
                <c:pt idx="136">
                  <c:v>1986</c:v>
                </c:pt>
                <c:pt idx="137">
                  <c:v>1987</c:v>
                </c:pt>
                <c:pt idx="138">
                  <c:v>1988</c:v>
                </c:pt>
                <c:pt idx="139">
                  <c:v>1989</c:v>
                </c:pt>
                <c:pt idx="140">
                  <c:v>1990</c:v>
                </c:pt>
                <c:pt idx="141">
                  <c:v>1991</c:v>
                </c:pt>
                <c:pt idx="142">
                  <c:v>1992</c:v>
                </c:pt>
                <c:pt idx="143">
                  <c:v>1993</c:v>
                </c:pt>
                <c:pt idx="144">
                  <c:v>1994</c:v>
                </c:pt>
                <c:pt idx="145">
                  <c:v>1995</c:v>
                </c:pt>
                <c:pt idx="146">
                  <c:v>1996</c:v>
                </c:pt>
                <c:pt idx="147">
                  <c:v>1997</c:v>
                </c:pt>
                <c:pt idx="148">
                  <c:v>1998</c:v>
                </c:pt>
                <c:pt idx="149">
                  <c:v>1999</c:v>
                </c:pt>
                <c:pt idx="150">
                  <c:v>2000</c:v>
                </c:pt>
              </c:numCache>
            </c:numRef>
          </c:cat>
          <c:val>
            <c:numRef>
              <c:f>Sweden!$AB$59:$AB$209</c:f>
              <c:numCache>
                <c:formatCode>0%</c:formatCode>
                <c:ptCount val="151"/>
                <c:pt idx="0">
                  <c:v>0.2440243092835635</c:v>
                </c:pt>
                <c:pt idx="1">
                  <c:v>0.26080341462699436</c:v>
                </c:pt>
                <c:pt idx="2">
                  <c:v>0.26345809208369442</c:v>
                </c:pt>
                <c:pt idx="3">
                  <c:v>0.26834054130795726</c:v>
                </c:pt>
                <c:pt idx="4">
                  <c:v>0.3137586973382484</c:v>
                </c:pt>
                <c:pt idx="5">
                  <c:v>0.25334002279118034</c:v>
                </c:pt>
                <c:pt idx="6">
                  <c:v>0.2841971701878358</c:v>
                </c:pt>
                <c:pt idx="7">
                  <c:v>0.26543798256943274</c:v>
                </c:pt>
                <c:pt idx="8">
                  <c:v>0.27707803831869188</c:v>
                </c:pt>
                <c:pt idx="9">
                  <c:v>0.26553201326438541</c:v>
                </c:pt>
                <c:pt idx="10">
                  <c:v>0.25417701211151844</c:v>
                </c:pt>
                <c:pt idx="11">
                  <c:v>0.25439780209458224</c:v>
                </c:pt>
                <c:pt idx="12">
                  <c:v>0.25731060475475998</c:v>
                </c:pt>
                <c:pt idx="13">
                  <c:v>0.25300282255778322</c:v>
                </c:pt>
                <c:pt idx="14">
                  <c:v>0.23759034821881711</c:v>
                </c:pt>
                <c:pt idx="15">
                  <c:v>0.23513320542154334</c:v>
                </c:pt>
                <c:pt idx="16">
                  <c:v>0.26690792047416401</c:v>
                </c:pt>
                <c:pt idx="17">
                  <c:v>0.32806174834871488</c:v>
                </c:pt>
                <c:pt idx="18">
                  <c:v>0.33611332930579768</c:v>
                </c:pt>
                <c:pt idx="19">
                  <c:v>0.35571483985387387</c:v>
                </c:pt>
                <c:pt idx="20">
                  <c:v>0.37636835506680921</c:v>
                </c:pt>
                <c:pt idx="21">
                  <c:v>0.37226333852873228</c:v>
                </c:pt>
                <c:pt idx="22">
                  <c:v>0.36814923776998965</c:v>
                </c:pt>
                <c:pt idx="23">
                  <c:v>0.32936522611506697</c:v>
                </c:pt>
                <c:pt idx="24">
                  <c:v>0.28837234904680736</c:v>
                </c:pt>
                <c:pt idx="25">
                  <c:v>0.27043563954157118</c:v>
                </c:pt>
                <c:pt idx="26">
                  <c:v>0.27417908616204523</c:v>
                </c:pt>
                <c:pt idx="27">
                  <c:v>0.24923544127914196</c:v>
                </c:pt>
                <c:pt idx="28">
                  <c:v>0.26229410708129614</c:v>
                </c:pt>
                <c:pt idx="29">
                  <c:v>0.29309425548521317</c:v>
                </c:pt>
                <c:pt idx="30">
                  <c:v>0.31104428243793214</c:v>
                </c:pt>
                <c:pt idx="31">
                  <c:v>0.324478510372121</c:v>
                </c:pt>
                <c:pt idx="32">
                  <c:v>0.32066292092218718</c:v>
                </c:pt>
                <c:pt idx="33">
                  <c:v>0.33246192717249234</c:v>
                </c:pt>
                <c:pt idx="34">
                  <c:v>0.2950066023774337</c:v>
                </c:pt>
                <c:pt idx="35">
                  <c:v>0.29179370360778101</c:v>
                </c:pt>
                <c:pt idx="36">
                  <c:v>0.26884956196222592</c:v>
                </c:pt>
                <c:pt idx="37">
                  <c:v>0.24120702998863564</c:v>
                </c:pt>
                <c:pt idx="38">
                  <c:v>0.26817334424717693</c:v>
                </c:pt>
                <c:pt idx="39">
                  <c:v>0.28459209429640364</c:v>
                </c:pt>
                <c:pt idx="40">
                  <c:v>0.27847823227600538</c:v>
                </c:pt>
                <c:pt idx="41">
                  <c:v>0.27698886630176683</c:v>
                </c:pt>
                <c:pt idx="42">
                  <c:v>0.28328182760358989</c:v>
                </c:pt>
                <c:pt idx="43">
                  <c:v>0.26401725068900511</c:v>
                </c:pt>
                <c:pt idx="44">
                  <c:v>0.25401109687171369</c:v>
                </c:pt>
                <c:pt idx="45">
                  <c:v>0.2695543254208575</c:v>
                </c:pt>
                <c:pt idx="46">
                  <c:v>0.27597837368611744</c:v>
                </c:pt>
                <c:pt idx="47">
                  <c:v>0.30451654726395433</c:v>
                </c:pt>
                <c:pt idx="48">
                  <c:v>0.31041045284891566</c:v>
                </c:pt>
                <c:pt idx="49">
                  <c:v>0.31047341122424138</c:v>
                </c:pt>
                <c:pt idx="50">
                  <c:v>0.28713774468462577</c:v>
                </c:pt>
                <c:pt idx="51">
                  <c:v>0.26937797134428187</c:v>
                </c:pt>
                <c:pt idx="52">
                  <c:v>0.26704474268702494</c:v>
                </c:pt>
                <c:pt idx="53">
                  <c:v>0.30119316272290619</c:v>
                </c:pt>
                <c:pt idx="54">
                  <c:v>0.29071307028069154</c:v>
                </c:pt>
                <c:pt idx="55">
                  <c:v>0.29045601047363118</c:v>
                </c:pt>
                <c:pt idx="56">
                  <c:v>0.32139197481251924</c:v>
                </c:pt>
                <c:pt idx="57">
                  <c:v>0.33214130480214427</c:v>
                </c:pt>
                <c:pt idx="58">
                  <c:v>0.31142968324541476</c:v>
                </c:pt>
                <c:pt idx="59">
                  <c:v>0.31950534410773884</c:v>
                </c:pt>
                <c:pt idx="60">
                  <c:v>0.30314616317807275</c:v>
                </c:pt>
                <c:pt idx="61">
                  <c:v>0.28838998597525461</c:v>
                </c:pt>
                <c:pt idx="62">
                  <c:v>0.30717073369337544</c:v>
                </c:pt>
                <c:pt idx="63">
                  <c:v>0.33146108557990117</c:v>
                </c:pt>
                <c:pt idx="64">
                  <c:v>0.30613605129114996</c:v>
                </c:pt>
                <c:pt idx="65">
                  <c:v>0.3554061212397473</c:v>
                </c:pt>
                <c:pt idx="66">
                  <c:v>0.39434471687146783</c:v>
                </c:pt>
                <c:pt idx="67">
                  <c:v>0.35800218113035681</c:v>
                </c:pt>
                <c:pt idx="68">
                  <c:v>0.32531414832000044</c:v>
                </c:pt>
                <c:pt idx="69">
                  <c:v>0.31787013112089202</c:v>
                </c:pt>
                <c:pt idx="70">
                  <c:v>0.25970748787692766</c:v>
                </c:pt>
                <c:pt idx="71">
                  <c:v>0.18274133869704537</c:v>
                </c:pt>
                <c:pt idx="72">
                  <c:v>0.23131804332722589</c:v>
                </c:pt>
                <c:pt idx="73">
                  <c:v>0.22726358031230584</c:v>
                </c:pt>
                <c:pt idx="74">
                  <c:v>0.25651755317819441</c:v>
                </c:pt>
                <c:pt idx="75">
                  <c:v>0.25125005206891959</c:v>
                </c:pt>
                <c:pt idx="76">
                  <c:v>0.24854462770135302</c:v>
                </c:pt>
                <c:pt idx="77">
                  <c:v>0.23825792744440044</c:v>
                </c:pt>
                <c:pt idx="78">
                  <c:v>0.24356810438613655</c:v>
                </c:pt>
                <c:pt idx="79">
                  <c:v>0.23735092872875468</c:v>
                </c:pt>
                <c:pt idx="80">
                  <c:v>0.21772761569015545</c:v>
                </c:pt>
                <c:pt idx="81">
                  <c:v>0.18634738136618084</c:v>
                </c:pt>
                <c:pt idx="82">
                  <c:v>0.16001046227085461</c:v>
                </c:pt>
                <c:pt idx="83">
                  <c:v>0.19224527547652906</c:v>
                </c:pt>
                <c:pt idx="84">
                  <c:v>0.20214897546272173</c:v>
                </c:pt>
                <c:pt idx="85">
                  <c:v>0.22416338809807443</c:v>
                </c:pt>
                <c:pt idx="86">
                  <c:v>0.24365962240510305</c:v>
                </c:pt>
                <c:pt idx="87">
                  <c:v>0.25261352507820639</c:v>
                </c:pt>
                <c:pt idx="88">
                  <c:v>0.24128054611845032</c:v>
                </c:pt>
                <c:pt idx="89">
                  <c:v>0.25090173998597265</c:v>
                </c:pt>
                <c:pt idx="90">
                  <c:v>0.2208234168060533</c:v>
                </c:pt>
                <c:pt idx="91">
                  <c:v>0.23133954965336759</c:v>
                </c:pt>
                <c:pt idx="92">
                  <c:v>0.21303328476529765</c:v>
                </c:pt>
                <c:pt idx="93">
                  <c:v>0.2146996336785727</c:v>
                </c:pt>
                <c:pt idx="94">
                  <c:v>0.21181128204547389</c:v>
                </c:pt>
                <c:pt idx="95">
                  <c:v>0.18056786397978059</c:v>
                </c:pt>
                <c:pt idx="96">
                  <c:v>0.19946494832412098</c:v>
                </c:pt>
                <c:pt idx="97">
                  <c:v>0.19862555068206356</c:v>
                </c:pt>
                <c:pt idx="98">
                  <c:v>0.18620181862568841</c:v>
                </c:pt>
                <c:pt idx="99">
                  <c:v>0.16499741176965721</c:v>
                </c:pt>
                <c:pt idx="100">
                  <c:v>0.20823498556482864</c:v>
                </c:pt>
                <c:pt idx="101">
                  <c:v>0.23830903341089868</c:v>
                </c:pt>
                <c:pt idx="102">
                  <c:v>0.18414800191903041</c:v>
                </c:pt>
                <c:pt idx="103">
                  <c:v>0.16025300484609839</c:v>
                </c:pt>
                <c:pt idx="104">
                  <c:v>0.17071947097486181</c:v>
                </c:pt>
                <c:pt idx="105">
                  <c:v>0.1485907940809254</c:v>
                </c:pt>
                <c:pt idx="106">
                  <c:v>0.16334891352104985</c:v>
                </c:pt>
                <c:pt idx="107">
                  <c:v>0.15662456525996085</c:v>
                </c:pt>
                <c:pt idx="108">
                  <c:v>0.14831212192123527</c:v>
                </c:pt>
                <c:pt idx="109">
                  <c:v>0.16455244687111814</c:v>
                </c:pt>
                <c:pt idx="110">
                  <c:v>0.14699293132446092</c:v>
                </c:pt>
                <c:pt idx="111">
                  <c:v>0.14268253288126734</c:v>
                </c:pt>
                <c:pt idx="112">
                  <c:v>0.11745621446145282</c:v>
                </c:pt>
                <c:pt idx="113">
                  <c:v>0.10385205720121009</c:v>
                </c:pt>
                <c:pt idx="114">
                  <c:v>0.1202498709419018</c:v>
                </c:pt>
                <c:pt idx="115">
                  <c:v>0.12247254879799616</c:v>
                </c:pt>
                <c:pt idx="116">
                  <c:v>0.10746524480175945</c:v>
                </c:pt>
                <c:pt idx="117">
                  <c:v>0.11163694814393808</c:v>
                </c:pt>
                <c:pt idx="118">
                  <c:v>0.11118884965447628</c:v>
                </c:pt>
                <c:pt idx="119">
                  <c:v>0.11955491387531549</c:v>
                </c:pt>
                <c:pt idx="120">
                  <c:v>0.11561367204894675</c:v>
                </c:pt>
                <c:pt idx="121">
                  <c:v>0.10931061927796121</c:v>
                </c:pt>
                <c:pt idx="122">
                  <c:v>9.7695441042454881E-2</c:v>
                </c:pt>
                <c:pt idx="123">
                  <c:v>0.12813417975230357</c:v>
                </c:pt>
                <c:pt idx="124">
                  <c:v>0.13548431900347405</c:v>
                </c:pt>
                <c:pt idx="125">
                  <c:v>0.11772615188302911</c:v>
                </c:pt>
                <c:pt idx="126">
                  <c:v>7.2668211224317214E-2</c:v>
                </c:pt>
                <c:pt idx="127">
                  <c:v>3.741635969518594E-2</c:v>
                </c:pt>
                <c:pt idx="128">
                  <c:v>2.9683991169250811E-2</c:v>
                </c:pt>
                <c:pt idx="129">
                  <c:v>6.0987882558094009E-2</c:v>
                </c:pt>
                <c:pt idx="130">
                  <c:v>6.4604253871463596E-2</c:v>
                </c:pt>
                <c:pt idx="131">
                  <c:v>5.9737169223496721E-2</c:v>
                </c:pt>
                <c:pt idx="132">
                  <c:v>9.1137328832775102E-2</c:v>
                </c:pt>
                <c:pt idx="133">
                  <c:v>0.11604022908767228</c:v>
                </c:pt>
                <c:pt idx="134">
                  <c:v>0.13257997767614554</c:v>
                </c:pt>
                <c:pt idx="135">
                  <c:v>0.12227462654414184</c:v>
                </c:pt>
                <c:pt idx="136">
                  <c:v>0.13629176288069533</c:v>
                </c:pt>
                <c:pt idx="137">
                  <c:v>0.13028413366944311</c:v>
                </c:pt>
                <c:pt idx="138">
                  <c:v>0.12809193345893252</c:v>
                </c:pt>
                <c:pt idx="139">
                  <c:v>0.11398289534577938</c:v>
                </c:pt>
                <c:pt idx="140">
                  <c:v>9.1507145606103318E-2</c:v>
                </c:pt>
                <c:pt idx="141">
                  <c:v>9.1272906795529282E-2</c:v>
                </c:pt>
                <c:pt idx="142">
                  <c:v>0.11559021977351114</c:v>
                </c:pt>
                <c:pt idx="143">
                  <c:v>0.13903261541999104</c:v>
                </c:pt>
                <c:pt idx="144">
                  <c:v>0.16172455460932514</c:v>
                </c:pt>
                <c:pt idx="145">
                  <c:v>0.1934788379935812</c:v>
                </c:pt>
                <c:pt idx="146">
                  <c:v>0.17437661392366618</c:v>
                </c:pt>
                <c:pt idx="147">
                  <c:v>0.18298748098638964</c:v>
                </c:pt>
                <c:pt idx="148">
                  <c:v>0.18238063106547181</c:v>
                </c:pt>
                <c:pt idx="149">
                  <c:v>0.19073296160207504</c:v>
                </c:pt>
                <c:pt idx="150">
                  <c:v>0.17136441122253046</c:v>
                </c:pt>
              </c:numCache>
            </c:numRef>
          </c:val>
          <c:smooth val="0"/>
          <c:extLst>
            <c:ext xmlns:c16="http://schemas.microsoft.com/office/drawing/2014/chart" uri="{C3380CC4-5D6E-409C-BE32-E72D297353CC}">
              <c16:uniqueId val="{00000000-942F-4C1F-B181-0DAC80BD77D7}"/>
            </c:ext>
          </c:extLst>
        </c:ser>
        <c:ser>
          <c:idx val="1"/>
          <c:order val="1"/>
          <c:tx>
            <c:v>Gross</c:v>
          </c:tx>
          <c:spPr>
            <a:ln w="28575" cap="rnd">
              <a:solidFill>
                <a:schemeClr val="accent2"/>
              </a:solidFill>
              <a:round/>
            </a:ln>
            <a:effectLst/>
          </c:spPr>
          <c:marker>
            <c:symbol val="none"/>
          </c:marker>
          <c:val>
            <c:numRef>
              <c:f>Sweden!$AC$59:$AC$209</c:f>
              <c:numCache>
                <c:formatCode>0%</c:formatCode>
                <c:ptCount val="151"/>
                <c:pt idx="0">
                  <c:v>0.27645198151555594</c:v>
                </c:pt>
                <c:pt idx="1">
                  <c:v>0.29219149174353298</c:v>
                </c:pt>
                <c:pt idx="2">
                  <c:v>0.29522101841982268</c:v>
                </c:pt>
                <c:pt idx="3">
                  <c:v>0.30093092578404351</c:v>
                </c:pt>
                <c:pt idx="4">
                  <c:v>0.34398464146190771</c:v>
                </c:pt>
                <c:pt idx="5">
                  <c:v>0.28985884883533658</c:v>
                </c:pt>
                <c:pt idx="6">
                  <c:v>0.31942812739263154</c:v>
                </c:pt>
                <c:pt idx="7">
                  <c:v>0.30475525941215753</c:v>
                </c:pt>
                <c:pt idx="8">
                  <c:v>0.31441065698111564</c:v>
                </c:pt>
                <c:pt idx="9">
                  <c:v>0.30439650131271995</c:v>
                </c:pt>
                <c:pt idx="10">
                  <c:v>0.29361648518956174</c:v>
                </c:pt>
                <c:pt idx="11">
                  <c:v>0.29376279199843447</c:v>
                </c:pt>
                <c:pt idx="12">
                  <c:v>0.29963860883026183</c:v>
                </c:pt>
                <c:pt idx="13">
                  <c:v>0.29507229651979877</c:v>
                </c:pt>
                <c:pt idx="14">
                  <c:v>0.28115588067198022</c:v>
                </c:pt>
                <c:pt idx="15">
                  <c:v>0.2795361451809712</c:v>
                </c:pt>
                <c:pt idx="16">
                  <c:v>0.31083017824296988</c:v>
                </c:pt>
                <c:pt idx="17">
                  <c:v>0.3667815442402883</c:v>
                </c:pt>
                <c:pt idx="18">
                  <c:v>0.37578423253988885</c:v>
                </c:pt>
                <c:pt idx="19">
                  <c:v>0.39170746734542672</c:v>
                </c:pt>
                <c:pt idx="20">
                  <c:v>0.40967577646079739</c:v>
                </c:pt>
                <c:pt idx="21">
                  <c:v>0.40633570201901736</c:v>
                </c:pt>
                <c:pt idx="22">
                  <c:v>0.40206714574284347</c:v>
                </c:pt>
                <c:pt idx="23">
                  <c:v>0.3686292494732093</c:v>
                </c:pt>
                <c:pt idx="24">
                  <c:v>0.33591416381259459</c:v>
                </c:pt>
                <c:pt idx="25">
                  <c:v>0.32063810237906643</c:v>
                </c:pt>
                <c:pt idx="26">
                  <c:v>0.32974772770657218</c:v>
                </c:pt>
                <c:pt idx="27">
                  <c:v>0.31104764864624429</c:v>
                </c:pt>
                <c:pt idx="28">
                  <c:v>0.32382913765318788</c:v>
                </c:pt>
                <c:pt idx="29">
                  <c:v>0.35170244342797324</c:v>
                </c:pt>
                <c:pt idx="30">
                  <c:v>0.36849141497023807</c:v>
                </c:pt>
                <c:pt idx="31">
                  <c:v>0.37909533556299801</c:v>
                </c:pt>
                <c:pt idx="32">
                  <c:v>0.37561887005520689</c:v>
                </c:pt>
                <c:pt idx="33">
                  <c:v>0.38585748889102423</c:v>
                </c:pt>
                <c:pt idx="34">
                  <c:v>0.35227533154931767</c:v>
                </c:pt>
                <c:pt idx="35">
                  <c:v>0.34952438933226115</c:v>
                </c:pt>
                <c:pt idx="36">
                  <c:v>0.33103679795267232</c:v>
                </c:pt>
                <c:pt idx="37">
                  <c:v>0.30778842696782116</c:v>
                </c:pt>
                <c:pt idx="38">
                  <c:v>0.33124369796549874</c:v>
                </c:pt>
                <c:pt idx="39">
                  <c:v>0.34671508306423698</c:v>
                </c:pt>
                <c:pt idx="40">
                  <c:v>0.34064597455688617</c:v>
                </c:pt>
                <c:pt idx="41">
                  <c:v>0.33643363459183684</c:v>
                </c:pt>
                <c:pt idx="42">
                  <c:v>0.34139381191499724</c:v>
                </c:pt>
                <c:pt idx="43">
                  <c:v>0.32320560980012786</c:v>
                </c:pt>
                <c:pt idx="44">
                  <c:v>0.31559719366698186</c:v>
                </c:pt>
                <c:pt idx="45">
                  <c:v>0.3281534025671165</c:v>
                </c:pt>
                <c:pt idx="46">
                  <c:v>0.33516842314676076</c:v>
                </c:pt>
                <c:pt idx="47">
                  <c:v>0.36183437120364192</c:v>
                </c:pt>
                <c:pt idx="48">
                  <c:v>0.3675956814837642</c:v>
                </c:pt>
                <c:pt idx="49">
                  <c:v>0.36640674688701441</c:v>
                </c:pt>
                <c:pt idx="50">
                  <c:v>0.34813576877105074</c:v>
                </c:pt>
                <c:pt idx="51">
                  <c:v>0.33415290051165536</c:v>
                </c:pt>
                <c:pt idx="52">
                  <c:v>0.33168434800068108</c:v>
                </c:pt>
                <c:pt idx="53">
                  <c:v>0.36194739732913261</c:v>
                </c:pt>
                <c:pt idx="54">
                  <c:v>0.35133597708862196</c:v>
                </c:pt>
                <c:pt idx="55">
                  <c:v>0.35154664554098719</c:v>
                </c:pt>
                <c:pt idx="56">
                  <c:v>0.37687030212943606</c:v>
                </c:pt>
                <c:pt idx="57">
                  <c:v>0.38428002344262313</c:v>
                </c:pt>
                <c:pt idx="58">
                  <c:v>0.36691631176563982</c:v>
                </c:pt>
                <c:pt idx="59">
                  <c:v>0.37599564063877289</c:v>
                </c:pt>
                <c:pt idx="60">
                  <c:v>0.3590954893861939</c:v>
                </c:pt>
                <c:pt idx="61">
                  <c:v>0.34639495037977974</c:v>
                </c:pt>
                <c:pt idx="62">
                  <c:v>0.36174207143324516</c:v>
                </c:pt>
                <c:pt idx="63">
                  <c:v>0.38301463213410208</c:v>
                </c:pt>
                <c:pt idx="64">
                  <c:v>0.36301651081892555</c:v>
                </c:pt>
                <c:pt idx="65">
                  <c:v>0.40872906681759863</c:v>
                </c:pt>
                <c:pt idx="66">
                  <c:v>0.44406540969353425</c:v>
                </c:pt>
                <c:pt idx="67">
                  <c:v>0.41546722529426916</c:v>
                </c:pt>
                <c:pt idx="68">
                  <c:v>0.39061050795416374</c:v>
                </c:pt>
                <c:pt idx="69">
                  <c:v>0.38319158940859721</c:v>
                </c:pt>
                <c:pt idx="70">
                  <c:v>0.33211991606823671</c:v>
                </c:pt>
                <c:pt idx="71">
                  <c:v>0.27397794853656271</c:v>
                </c:pt>
                <c:pt idx="72">
                  <c:v>0.30529921725196701</c:v>
                </c:pt>
                <c:pt idx="73">
                  <c:v>0.30268689645907404</c:v>
                </c:pt>
                <c:pt idx="74">
                  <c:v>0.33140007302324093</c:v>
                </c:pt>
                <c:pt idx="75">
                  <c:v>0.32663121373509713</c:v>
                </c:pt>
                <c:pt idx="76">
                  <c:v>0.32377616215749888</c:v>
                </c:pt>
                <c:pt idx="77">
                  <c:v>0.31519408022202922</c:v>
                </c:pt>
                <c:pt idx="78">
                  <c:v>0.31873164326699327</c:v>
                </c:pt>
                <c:pt idx="79">
                  <c:v>0.31193387334458111</c:v>
                </c:pt>
                <c:pt idx="80">
                  <c:v>0.29615856442776795</c:v>
                </c:pt>
                <c:pt idx="81">
                  <c:v>0.27466771352279012</c:v>
                </c:pt>
                <c:pt idx="82">
                  <c:v>0.25606561836358116</c:v>
                </c:pt>
                <c:pt idx="83">
                  <c:v>0.27832796268716647</c:v>
                </c:pt>
                <c:pt idx="84">
                  <c:v>0.28244701808166395</c:v>
                </c:pt>
                <c:pt idx="85">
                  <c:v>0.29926638007139955</c:v>
                </c:pt>
                <c:pt idx="86">
                  <c:v>0.31455043254422749</c:v>
                </c:pt>
                <c:pt idx="87">
                  <c:v>0.32639590496107729</c:v>
                </c:pt>
                <c:pt idx="88">
                  <c:v>0.31725223529906132</c:v>
                </c:pt>
                <c:pt idx="89">
                  <c:v>0.32422119432759938</c:v>
                </c:pt>
                <c:pt idx="90">
                  <c:v>0.30900706135695005</c:v>
                </c:pt>
                <c:pt idx="91">
                  <c:v>0.31702751713358635</c:v>
                </c:pt>
                <c:pt idx="92">
                  <c:v>0.30254356159969192</c:v>
                </c:pt>
                <c:pt idx="93">
                  <c:v>0.30503102974466717</c:v>
                </c:pt>
                <c:pt idx="94">
                  <c:v>0.30338457416297732</c:v>
                </c:pt>
                <c:pt idx="95">
                  <c:v>0.27668955515983762</c:v>
                </c:pt>
                <c:pt idx="96">
                  <c:v>0.28805050925015707</c:v>
                </c:pt>
                <c:pt idx="97">
                  <c:v>0.28521945318376907</c:v>
                </c:pt>
                <c:pt idx="98">
                  <c:v>0.27385319834543947</c:v>
                </c:pt>
                <c:pt idx="99">
                  <c:v>0.25761794442542568</c:v>
                </c:pt>
                <c:pt idx="100">
                  <c:v>0.29471352995647931</c:v>
                </c:pt>
                <c:pt idx="101">
                  <c:v>0.32468214276481067</c:v>
                </c:pt>
                <c:pt idx="102">
                  <c:v>0.283301145081852</c:v>
                </c:pt>
                <c:pt idx="103">
                  <c:v>0.26520514811775991</c:v>
                </c:pt>
                <c:pt idx="104">
                  <c:v>0.27039704004225212</c:v>
                </c:pt>
                <c:pt idx="105">
                  <c:v>0.25259934588529992</c:v>
                </c:pt>
                <c:pt idx="106">
                  <c:v>0.26667038841454549</c:v>
                </c:pt>
                <c:pt idx="107">
                  <c:v>0.26241164610752787</c:v>
                </c:pt>
                <c:pt idx="108">
                  <c:v>0.25652275438462652</c:v>
                </c:pt>
                <c:pt idx="109">
                  <c:v>0.27037150383062553</c:v>
                </c:pt>
                <c:pt idx="110">
                  <c:v>0.25765794997545854</c:v>
                </c:pt>
                <c:pt idx="111">
                  <c:v>0.25339430642684851</c:v>
                </c:pt>
                <c:pt idx="112">
                  <c:v>0.23302334341527811</c:v>
                </c:pt>
                <c:pt idx="113">
                  <c:v>0.2232232027256317</c:v>
                </c:pt>
                <c:pt idx="114">
                  <c:v>0.23567899490749286</c:v>
                </c:pt>
                <c:pt idx="115">
                  <c:v>0.23837777516689146</c:v>
                </c:pt>
                <c:pt idx="116">
                  <c:v>0.22800270371951084</c:v>
                </c:pt>
                <c:pt idx="117">
                  <c:v>0.23175187007832404</c:v>
                </c:pt>
                <c:pt idx="118">
                  <c:v>0.23131643176206101</c:v>
                </c:pt>
                <c:pt idx="119">
                  <c:v>0.23581451352133981</c:v>
                </c:pt>
                <c:pt idx="120">
                  <c:v>0.23199447050218683</c:v>
                </c:pt>
                <c:pt idx="121">
                  <c:v>0.2296099104086822</c:v>
                </c:pt>
                <c:pt idx="122">
                  <c:v>0.22320486984898835</c:v>
                </c:pt>
                <c:pt idx="123">
                  <c:v>0.24895705065902238</c:v>
                </c:pt>
                <c:pt idx="124">
                  <c:v>0.25625558335360099</c:v>
                </c:pt>
                <c:pt idx="125">
                  <c:v>0.24060698895114047</c:v>
                </c:pt>
                <c:pt idx="126">
                  <c:v>0.20612083730726619</c:v>
                </c:pt>
                <c:pt idx="127">
                  <c:v>0.18351005762597031</c:v>
                </c:pt>
                <c:pt idx="128">
                  <c:v>0.18149108375784634</c:v>
                </c:pt>
                <c:pt idx="129">
                  <c:v>0.20328362492260571</c:v>
                </c:pt>
                <c:pt idx="130">
                  <c:v>0.20722274099538743</c:v>
                </c:pt>
                <c:pt idx="131">
                  <c:v>0.20628938652925297</c:v>
                </c:pt>
                <c:pt idx="132">
                  <c:v>0.23338971242928139</c:v>
                </c:pt>
                <c:pt idx="133">
                  <c:v>0.25539532110749907</c:v>
                </c:pt>
                <c:pt idx="134">
                  <c:v>0.26412025191102567</c:v>
                </c:pt>
                <c:pt idx="135">
                  <c:v>0.25680244141496861</c:v>
                </c:pt>
                <c:pt idx="136">
                  <c:v>0.26558809095938257</c:v>
                </c:pt>
                <c:pt idx="137">
                  <c:v>0.26111413334531386</c:v>
                </c:pt>
                <c:pt idx="138">
                  <c:v>0.26175001274312365</c:v>
                </c:pt>
                <c:pt idx="139">
                  <c:v>0.25198794291757193</c:v>
                </c:pt>
                <c:pt idx="140">
                  <c:v>0.2358901083302854</c:v>
                </c:pt>
                <c:pt idx="141">
                  <c:v>0.23788914080954424</c:v>
                </c:pt>
                <c:pt idx="142">
                  <c:v>0.25585048970999724</c:v>
                </c:pt>
                <c:pt idx="143">
                  <c:v>0.27781096513782627</c:v>
                </c:pt>
                <c:pt idx="144">
                  <c:v>0.28902096156220952</c:v>
                </c:pt>
                <c:pt idx="145">
                  <c:v>0.30952545413542226</c:v>
                </c:pt>
                <c:pt idx="146">
                  <c:v>0.29084817880914193</c:v>
                </c:pt>
                <c:pt idx="147">
                  <c:v>0.2975536699517522</c:v>
                </c:pt>
                <c:pt idx="148">
                  <c:v>0.29701275016912332</c:v>
                </c:pt>
                <c:pt idx="149">
                  <c:v>0.30408812509031791</c:v>
                </c:pt>
                <c:pt idx="150">
                  <c:v>0.28650927095216283</c:v>
                </c:pt>
              </c:numCache>
            </c:numRef>
          </c:val>
          <c:smooth val="0"/>
          <c:extLst>
            <c:ext xmlns:c16="http://schemas.microsoft.com/office/drawing/2014/chart" uri="{C3380CC4-5D6E-409C-BE32-E72D297353CC}">
              <c16:uniqueId val="{00000001-942F-4C1F-B181-0DAC80BD77D7}"/>
            </c:ext>
          </c:extLst>
        </c:ser>
        <c:ser>
          <c:idx val="2"/>
          <c:order val="2"/>
          <c:tx>
            <c:v>gross2</c:v>
          </c:tx>
          <c:marker>
            <c:symbol val="none"/>
          </c:marker>
          <c:val>
            <c:numRef>
              <c:f>Sweden!$AE$59:$AE$209</c:f>
              <c:numCache>
                <c:formatCode>0%</c:formatCode>
                <c:ptCount val="151"/>
              </c:numCache>
            </c:numRef>
          </c:val>
          <c:smooth val="0"/>
          <c:extLst>
            <c:ext xmlns:c16="http://schemas.microsoft.com/office/drawing/2014/chart" uri="{C3380CC4-5D6E-409C-BE32-E72D297353CC}">
              <c16:uniqueId val="{00000002-942F-4C1F-B181-0DAC80BD77D7}"/>
            </c:ext>
          </c:extLst>
        </c:ser>
        <c:dLbls>
          <c:showLegendKey val="0"/>
          <c:showVal val="0"/>
          <c:showCatName val="0"/>
          <c:showSerName val="0"/>
          <c:showPercent val="0"/>
          <c:showBubbleSize val="0"/>
        </c:dLbls>
        <c:smooth val="0"/>
        <c:axId val="618761423"/>
        <c:axId val="1"/>
      </c:lineChart>
      <c:catAx>
        <c:axId val="61876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ln w="1270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761423"/>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21</xdr:col>
      <xdr:colOff>482600</xdr:colOff>
      <xdr:row>36</xdr:row>
      <xdr:rowOff>31750</xdr:rowOff>
    </xdr:from>
    <xdr:to>
      <xdr:col>30</xdr:col>
      <xdr:colOff>158750</xdr:colOff>
      <xdr:row>52</xdr:row>
      <xdr:rowOff>146050</xdr:rowOff>
    </xdr:to>
    <xdr:graphicFrame macro="">
      <xdr:nvGraphicFramePr>
        <xdr:cNvPr id="1035" name="Chart 1">
          <a:extLst>
            <a:ext uri="{FF2B5EF4-FFF2-40B4-BE49-F238E27FC236}">
              <a16:creationId xmlns:a16="http://schemas.microsoft.com/office/drawing/2014/main" id="{B5C8D7F9-898E-0627-4EA2-851E7124E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3B351-8C37-4D15-B049-CCC8D6233A0E}">
  <dimension ref="A4:AH234"/>
  <sheetViews>
    <sheetView tabSelected="1" topLeftCell="A2" zoomScale="70" zoomScaleNormal="70" workbookViewId="0">
      <pane xSplit="2" ySplit="7" topLeftCell="C59" activePane="bottomRight" state="frozen"/>
      <selection activeCell="A2" sqref="A2"/>
      <selection pane="topRight" activeCell="C2" sqref="C2"/>
      <selection pane="bottomLeft" activeCell="A9" sqref="A9"/>
      <selection pane="bottomRight" activeCell="S118" sqref="S118"/>
    </sheetView>
  </sheetViews>
  <sheetFormatPr defaultRowHeight="13.2" x14ac:dyDescent="0.25"/>
  <cols>
    <col min="3" max="3" width="10.109375" customWidth="1"/>
    <col min="4" max="4" width="9" bestFit="1" customWidth="1"/>
    <col min="13" max="13" width="10.21875" customWidth="1"/>
    <col min="18" max="18" width="8.88671875" customWidth="1"/>
    <col min="22" max="23" width="10.5546875" customWidth="1"/>
    <col min="24" max="24" width="9.77734375" customWidth="1"/>
    <col min="29" max="29" width="12.21875" customWidth="1"/>
    <col min="30" max="30" width="10.77734375" customWidth="1"/>
    <col min="31" max="31" width="15.44140625" customWidth="1"/>
  </cols>
  <sheetData>
    <row r="4" spans="1:34" ht="13.8" thickBot="1" x14ac:dyDescent="0.3"/>
    <row r="5" spans="1:34" ht="29.55" customHeight="1" thickBot="1" x14ac:dyDescent="0.3">
      <c r="C5" s="29" t="s">
        <v>572</v>
      </c>
      <c r="D5" s="70" t="s">
        <v>574</v>
      </c>
      <c r="E5" s="70"/>
      <c r="F5" s="70"/>
      <c r="G5" s="73"/>
      <c r="H5" s="29" t="s">
        <v>576</v>
      </c>
      <c r="I5" s="70" t="s">
        <v>579</v>
      </c>
      <c r="J5" s="70"/>
      <c r="K5" s="70"/>
      <c r="L5" s="70"/>
      <c r="M5" s="30" t="s">
        <v>578</v>
      </c>
      <c r="N5" s="70" t="s">
        <v>580</v>
      </c>
      <c r="O5" s="70"/>
      <c r="P5" s="70"/>
      <c r="Q5" s="70"/>
      <c r="R5" s="70"/>
      <c r="S5" s="70"/>
      <c r="T5" s="70"/>
      <c r="U5" s="73"/>
      <c r="V5" s="69" t="s">
        <v>584</v>
      </c>
      <c r="W5" s="70"/>
      <c r="X5" s="71"/>
      <c r="Y5" s="71"/>
      <c r="Z5" s="71"/>
      <c r="AA5" s="72"/>
      <c r="AB5" s="69" t="s">
        <v>568</v>
      </c>
      <c r="AC5" s="71"/>
      <c r="AD5" s="71"/>
      <c r="AE5" s="72"/>
    </row>
    <row r="6" spans="1:34" ht="55.5" customHeight="1" x14ac:dyDescent="0.25">
      <c r="C6" s="27"/>
      <c r="G6" s="26"/>
      <c r="H6" s="27"/>
      <c r="M6" s="28"/>
      <c r="N6" s="65" t="s">
        <v>577</v>
      </c>
      <c r="O6" s="65"/>
      <c r="P6" s="65"/>
      <c r="Q6" s="66" t="s">
        <v>581</v>
      </c>
      <c r="R6" s="67"/>
      <c r="S6" s="67"/>
      <c r="T6" s="67"/>
      <c r="U6" s="68"/>
      <c r="V6" s="48" t="s">
        <v>597</v>
      </c>
      <c r="W6" s="4" t="s">
        <v>600</v>
      </c>
      <c r="X6" s="4" t="s">
        <v>599</v>
      </c>
      <c r="Y6" s="4" t="s">
        <v>598</v>
      </c>
      <c r="AA6" s="26"/>
      <c r="AB6" s="8"/>
      <c r="AC6" s="9"/>
      <c r="AD6" s="9"/>
      <c r="AE6" s="31"/>
      <c r="AG6" s="1" t="s">
        <v>588</v>
      </c>
    </row>
    <row r="7" spans="1:34" ht="13.95" customHeight="1" x14ac:dyDescent="0.25">
      <c r="A7" s="1" t="s">
        <v>592</v>
      </c>
      <c r="C7" s="28"/>
      <c r="G7" s="26"/>
      <c r="H7" s="28"/>
      <c r="I7" s="47" t="s">
        <v>596</v>
      </c>
      <c r="M7" s="28"/>
      <c r="N7" t="s">
        <v>560</v>
      </c>
      <c r="P7" s="88" t="s">
        <v>602</v>
      </c>
      <c r="Q7" s="32"/>
      <c r="R7" s="47" t="s">
        <v>595</v>
      </c>
      <c r="S7" s="47" t="s">
        <v>594</v>
      </c>
      <c r="U7" s="26"/>
      <c r="V7" s="11"/>
      <c r="X7" t="s">
        <v>601</v>
      </c>
      <c r="AA7" s="26"/>
      <c r="AB7" s="11"/>
      <c r="AC7" s="1"/>
      <c r="AE7" s="26"/>
    </row>
    <row r="8" spans="1:34" ht="16.5" customHeight="1" thickBot="1" x14ac:dyDescent="0.3">
      <c r="A8" s="1" t="s">
        <v>538</v>
      </c>
      <c r="B8" t="s">
        <v>539</v>
      </c>
      <c r="C8" s="33" t="s">
        <v>573</v>
      </c>
      <c r="D8" s="1" t="s">
        <v>543</v>
      </c>
      <c r="E8" s="1" t="s">
        <v>571</v>
      </c>
      <c r="F8" s="1" t="s">
        <v>542</v>
      </c>
      <c r="G8" s="34" t="s">
        <v>541</v>
      </c>
      <c r="H8" s="33" t="s">
        <v>575</v>
      </c>
      <c r="I8" s="1" t="s">
        <v>547</v>
      </c>
      <c r="J8" s="1" t="s">
        <v>546</v>
      </c>
      <c r="K8" s="1" t="s">
        <v>545</v>
      </c>
      <c r="L8" s="1" t="s">
        <v>544</v>
      </c>
      <c r="M8" s="33" t="s">
        <v>582</v>
      </c>
      <c r="N8" s="1" t="s">
        <v>558</v>
      </c>
      <c r="O8" s="1" t="s">
        <v>552</v>
      </c>
      <c r="P8" s="1" t="s">
        <v>553</v>
      </c>
      <c r="Q8" s="35" t="s">
        <v>583</v>
      </c>
      <c r="R8" s="1" t="s">
        <v>548</v>
      </c>
      <c r="S8" s="1" t="s">
        <v>550</v>
      </c>
      <c r="T8" s="1" t="s">
        <v>536</v>
      </c>
      <c r="U8" s="34" t="s">
        <v>551</v>
      </c>
      <c r="V8" s="13" t="s">
        <v>535</v>
      </c>
      <c r="W8" s="1"/>
      <c r="X8" s="2"/>
      <c r="Y8" s="1" t="s">
        <v>550</v>
      </c>
      <c r="Z8" s="1" t="s">
        <v>540</v>
      </c>
      <c r="AA8" s="34" t="s">
        <v>554</v>
      </c>
      <c r="AB8" s="13" t="s">
        <v>589</v>
      </c>
      <c r="AC8" s="1" t="s">
        <v>566</v>
      </c>
      <c r="AD8" s="1" t="s">
        <v>590</v>
      </c>
      <c r="AE8" s="34" t="s">
        <v>591</v>
      </c>
      <c r="AF8" s="1" t="s">
        <v>587</v>
      </c>
      <c r="AG8" s="1" t="s">
        <v>585</v>
      </c>
      <c r="AH8" s="1" t="s">
        <v>586</v>
      </c>
    </row>
    <row r="9" spans="1:34" x14ac:dyDescent="0.25">
      <c r="A9" s="1" t="s">
        <v>556</v>
      </c>
      <c r="B9">
        <v>1800</v>
      </c>
      <c r="C9" s="37"/>
      <c r="D9" s="38"/>
      <c r="E9" s="38"/>
      <c r="F9" s="38">
        <v>0</v>
      </c>
      <c r="G9" s="38"/>
      <c r="H9" s="38"/>
      <c r="I9" s="38"/>
      <c r="J9" s="38"/>
      <c r="K9" s="38"/>
      <c r="L9" s="38"/>
      <c r="M9" s="38"/>
      <c r="N9" s="38"/>
      <c r="O9" s="38"/>
      <c r="P9" s="38"/>
      <c r="Q9" s="38"/>
      <c r="R9" s="38"/>
      <c r="S9" s="38"/>
      <c r="T9" s="38"/>
      <c r="U9" s="38"/>
      <c r="V9" s="37"/>
      <c r="W9" s="38"/>
      <c r="X9" s="38"/>
      <c r="Y9" s="38"/>
      <c r="Z9" s="86">
        <f>Data!CT8/Data!K8</f>
        <v>3.5728484211621114E-2</v>
      </c>
      <c r="AA9" s="10">
        <f>(Data!K8-Data!AN8)/Data!K8</f>
        <v>4.5805909085279137E-2</v>
      </c>
      <c r="AB9" s="38"/>
      <c r="AC9" s="38"/>
      <c r="AD9" s="38"/>
      <c r="AE9" s="10"/>
      <c r="AG9" s="5"/>
    </row>
    <row r="10" spans="1:34" x14ac:dyDescent="0.25">
      <c r="A10" s="1" t="s">
        <v>556</v>
      </c>
      <c r="B10">
        <v>1801</v>
      </c>
      <c r="C10" s="39"/>
      <c r="D10" s="7"/>
      <c r="E10" s="7"/>
      <c r="F10" s="7">
        <v>0</v>
      </c>
      <c r="G10" s="7"/>
      <c r="H10" s="7"/>
      <c r="I10" s="7"/>
      <c r="J10" s="7"/>
      <c r="K10" s="7"/>
      <c r="L10" s="7"/>
      <c r="M10" s="7"/>
      <c r="N10" s="7"/>
      <c r="O10" s="7"/>
      <c r="P10" s="7"/>
      <c r="Q10" s="7"/>
      <c r="R10" s="7"/>
      <c r="S10" s="7"/>
      <c r="T10" s="7"/>
      <c r="U10" s="7"/>
      <c r="V10" s="39"/>
      <c r="W10" s="7"/>
      <c r="X10" s="7"/>
      <c r="Y10" s="7"/>
      <c r="Z10" s="87">
        <f>Data!CT9/Data!K9</f>
        <v>3.4969840271418175E-2</v>
      </c>
      <c r="AA10" s="12">
        <f>(Data!K9-Data!AN9)/Data!K9</f>
        <v>4.6004731518680418E-2</v>
      </c>
      <c r="AB10" s="7"/>
      <c r="AC10" s="7"/>
      <c r="AD10" s="7"/>
      <c r="AE10" s="12"/>
      <c r="AG10" s="5"/>
    </row>
    <row r="11" spans="1:34" x14ac:dyDescent="0.25">
      <c r="A11" s="1" t="s">
        <v>556</v>
      </c>
      <c r="B11">
        <v>1802</v>
      </c>
      <c r="C11" s="39"/>
      <c r="D11" s="7"/>
      <c r="E11" s="7"/>
      <c r="F11" s="7">
        <v>0</v>
      </c>
      <c r="G11" s="7"/>
      <c r="H11" s="7"/>
      <c r="I11" s="7"/>
      <c r="J11" s="7"/>
      <c r="K11" s="7"/>
      <c r="L11" s="7"/>
      <c r="M11" s="7"/>
      <c r="N11" s="7"/>
      <c r="O11" s="7"/>
      <c r="P11" s="7"/>
      <c r="Q11" s="7"/>
      <c r="R11" s="7"/>
      <c r="S11" s="7"/>
      <c r="T11" s="7"/>
      <c r="U11" s="7"/>
      <c r="V11" s="39"/>
      <c r="W11" s="7"/>
      <c r="X11" s="7"/>
      <c r="Y11" s="7"/>
      <c r="Z11" s="87">
        <f>Data!CT10/Data!K10</f>
        <v>3.4302730976799437E-2</v>
      </c>
      <c r="AA11" s="12">
        <f>(Data!K10-Data!AN10)/Data!K10</f>
        <v>4.6199732879651893E-2</v>
      </c>
      <c r="AB11" s="7"/>
      <c r="AC11" s="7"/>
      <c r="AD11" s="7"/>
      <c r="AE11" s="12"/>
      <c r="AG11" s="5"/>
    </row>
    <row r="12" spans="1:34" x14ac:dyDescent="0.25">
      <c r="A12" s="1" t="s">
        <v>556</v>
      </c>
      <c r="B12">
        <v>1803</v>
      </c>
      <c r="C12" s="39"/>
      <c r="D12" s="7"/>
      <c r="E12" s="7"/>
      <c r="F12" s="7">
        <v>0</v>
      </c>
      <c r="G12" s="7"/>
      <c r="H12" s="7"/>
      <c r="I12" s="7"/>
      <c r="J12" s="7"/>
      <c r="K12" s="7"/>
      <c r="L12" s="7"/>
      <c r="M12" s="7"/>
      <c r="N12" s="7"/>
      <c r="O12" s="7"/>
      <c r="P12" s="7"/>
      <c r="Q12" s="7"/>
      <c r="R12" s="7"/>
      <c r="S12" s="7"/>
      <c r="T12" s="7"/>
      <c r="U12" s="7"/>
      <c r="V12" s="39"/>
      <c r="W12" s="7"/>
      <c r="X12" s="7"/>
      <c r="Y12" s="7"/>
      <c r="Z12" s="87">
        <f>Data!CT11/Data!K11</f>
        <v>3.5350973601625812E-2</v>
      </c>
      <c r="AA12" s="12">
        <f>(Data!K11-Data!AN11)/Data!K11</f>
        <v>4.5993513836417657E-2</v>
      </c>
      <c r="AB12" s="7"/>
      <c r="AC12" s="7"/>
      <c r="AD12" s="7"/>
      <c r="AE12" s="12"/>
      <c r="AG12" s="5"/>
    </row>
    <row r="13" spans="1:34" x14ac:dyDescent="0.25">
      <c r="A13" s="1" t="s">
        <v>556</v>
      </c>
      <c r="B13">
        <v>1804</v>
      </c>
      <c r="C13" s="39"/>
      <c r="D13" s="7"/>
      <c r="E13" s="7"/>
      <c r="F13" s="7">
        <v>0</v>
      </c>
      <c r="G13" s="7"/>
      <c r="H13" s="7"/>
      <c r="I13" s="7"/>
      <c r="J13" s="7"/>
      <c r="K13" s="7"/>
      <c r="L13" s="7"/>
      <c r="M13" s="7"/>
      <c r="N13" s="7"/>
      <c r="O13" s="7"/>
      <c r="P13" s="7"/>
      <c r="Q13" s="7"/>
      <c r="R13" s="7"/>
      <c r="S13" s="7"/>
      <c r="T13" s="7"/>
      <c r="U13" s="7"/>
      <c r="V13" s="39"/>
      <c r="W13" s="7"/>
      <c r="X13" s="7"/>
      <c r="Y13" s="7"/>
      <c r="Z13" s="87">
        <f>Data!CT12/Data!K12</f>
        <v>3.8335989923694823E-2</v>
      </c>
      <c r="AA13" s="12">
        <f>(Data!K12-Data!AN12)/Data!K12</f>
        <v>4.6011788046446789E-2</v>
      </c>
      <c r="AB13" s="7"/>
      <c r="AC13" s="7"/>
      <c r="AD13" s="7"/>
      <c r="AE13" s="12"/>
      <c r="AG13" s="5"/>
    </row>
    <row r="14" spans="1:34" x14ac:dyDescent="0.25">
      <c r="A14" s="1" t="s">
        <v>556</v>
      </c>
      <c r="B14">
        <v>1805</v>
      </c>
      <c r="C14" s="39"/>
      <c r="D14" s="7"/>
      <c r="E14" s="7"/>
      <c r="F14" s="7">
        <v>0</v>
      </c>
      <c r="G14" s="7"/>
      <c r="H14" s="7"/>
      <c r="I14" s="7"/>
      <c r="J14" s="7"/>
      <c r="K14" s="7"/>
      <c r="L14" s="7"/>
      <c r="M14" s="7"/>
      <c r="N14" s="7"/>
      <c r="O14" s="7"/>
      <c r="P14" s="7"/>
      <c r="Q14" s="7"/>
      <c r="R14" s="7"/>
      <c r="S14" s="7"/>
      <c r="T14" s="7"/>
      <c r="U14" s="7"/>
      <c r="V14" s="39"/>
      <c r="W14" s="7"/>
      <c r="X14" s="7"/>
      <c r="Y14" s="7"/>
      <c r="Z14" s="87">
        <f>Data!CT13/Data!K13</f>
        <v>3.7317483143580667E-2</v>
      </c>
      <c r="AA14" s="12">
        <f>(Data!K13-Data!AN13)/Data!K13</f>
        <v>4.6253893441748642E-2</v>
      </c>
      <c r="AB14" s="7"/>
      <c r="AC14" s="7"/>
      <c r="AD14" s="7"/>
      <c r="AE14" s="12"/>
      <c r="AG14" s="5"/>
    </row>
    <row r="15" spans="1:34" x14ac:dyDescent="0.25">
      <c r="A15" s="1" t="s">
        <v>556</v>
      </c>
      <c r="B15">
        <v>1806</v>
      </c>
      <c r="C15" s="39"/>
      <c r="D15" s="7"/>
      <c r="E15" s="7"/>
      <c r="F15" s="7">
        <v>0</v>
      </c>
      <c r="G15" s="7"/>
      <c r="H15" s="7"/>
      <c r="I15" s="7"/>
      <c r="J15" s="7"/>
      <c r="K15" s="7"/>
      <c r="L15" s="7"/>
      <c r="M15" s="7"/>
      <c r="N15" s="7"/>
      <c r="O15" s="7"/>
      <c r="P15" s="7"/>
      <c r="Q15" s="7"/>
      <c r="R15" s="7"/>
      <c r="S15" s="7"/>
      <c r="T15" s="7"/>
      <c r="U15" s="7"/>
      <c r="V15" s="39"/>
      <c r="W15" s="7"/>
      <c r="X15" s="7"/>
      <c r="Y15" s="7"/>
      <c r="Z15" s="87">
        <f>Data!CT14/Data!K14</f>
        <v>3.5959415920689082E-2</v>
      </c>
      <c r="AA15" s="12">
        <f>(Data!K14-Data!AN14)/Data!K14</f>
        <v>4.6085832280269044E-2</v>
      </c>
      <c r="AB15" s="7"/>
      <c r="AC15" s="7"/>
      <c r="AD15" s="7"/>
      <c r="AE15" s="12"/>
      <c r="AG15" s="5"/>
    </row>
    <row r="16" spans="1:34" x14ac:dyDescent="0.25">
      <c r="A16" s="1" t="s">
        <v>556</v>
      </c>
      <c r="B16">
        <v>1807</v>
      </c>
      <c r="C16" s="39"/>
      <c r="D16" s="7"/>
      <c r="E16" s="7"/>
      <c r="F16" s="7">
        <v>0</v>
      </c>
      <c r="G16" s="7"/>
      <c r="H16" s="7"/>
      <c r="I16" s="7"/>
      <c r="J16" s="7"/>
      <c r="K16" s="7"/>
      <c r="L16" s="7"/>
      <c r="M16" s="7"/>
      <c r="N16" s="7"/>
      <c r="O16" s="7"/>
      <c r="P16" s="7"/>
      <c r="Q16" s="7"/>
      <c r="R16" s="7"/>
      <c r="S16" s="7"/>
      <c r="T16" s="7"/>
      <c r="U16" s="7"/>
      <c r="V16" s="39"/>
      <c r="W16" s="7"/>
      <c r="X16" s="7"/>
      <c r="Y16" s="7"/>
      <c r="Z16" s="87">
        <f>Data!CT15/Data!K15</f>
        <v>3.4426120873383106E-2</v>
      </c>
      <c r="AA16" s="12">
        <f>(Data!K15-Data!AN15)/Data!K15</f>
        <v>4.6297559007603989E-2</v>
      </c>
      <c r="AB16" s="7"/>
      <c r="AC16" s="7"/>
      <c r="AD16" s="7"/>
      <c r="AE16" s="12"/>
      <c r="AG16" s="5"/>
    </row>
    <row r="17" spans="1:33" x14ac:dyDescent="0.25">
      <c r="A17" s="1" t="s">
        <v>556</v>
      </c>
      <c r="B17">
        <v>1808</v>
      </c>
      <c r="C17" s="39"/>
      <c r="D17" s="7"/>
      <c r="E17" s="7"/>
      <c r="F17" s="7">
        <v>0</v>
      </c>
      <c r="G17" s="7"/>
      <c r="H17" s="7"/>
      <c r="I17" s="7"/>
      <c r="J17" s="7"/>
      <c r="K17" s="7"/>
      <c r="L17" s="7"/>
      <c r="M17" s="7"/>
      <c r="N17" s="7"/>
      <c r="O17" s="7"/>
      <c r="P17" s="7"/>
      <c r="Q17" s="7"/>
      <c r="R17" s="7"/>
      <c r="S17" s="7"/>
      <c r="T17" s="7"/>
      <c r="U17" s="7"/>
      <c r="V17" s="39"/>
      <c r="W17" s="7"/>
      <c r="X17" s="7"/>
      <c r="Y17" s="7"/>
      <c r="Z17" s="87">
        <f>Data!CT16/Data!K16</f>
        <v>3.6619401221561848E-2</v>
      </c>
      <c r="AA17" s="12">
        <f>(Data!K16-Data!AN16)/Data!K16</f>
        <v>4.57998779758194E-2</v>
      </c>
      <c r="AB17" s="7"/>
      <c r="AC17" s="7"/>
      <c r="AD17" s="7"/>
      <c r="AE17" s="12"/>
      <c r="AG17" s="5"/>
    </row>
    <row r="18" spans="1:33" x14ac:dyDescent="0.25">
      <c r="A18" s="1" t="s">
        <v>556</v>
      </c>
      <c r="B18">
        <v>1809</v>
      </c>
      <c r="C18" s="39"/>
      <c r="D18" s="7"/>
      <c r="E18" s="7"/>
      <c r="F18" s="7">
        <v>0</v>
      </c>
      <c r="G18" s="7"/>
      <c r="H18" s="7"/>
      <c r="I18" s="7"/>
      <c r="J18" s="7"/>
      <c r="K18" s="7"/>
      <c r="L18" s="7"/>
      <c r="M18" s="7"/>
      <c r="N18" s="7"/>
      <c r="O18" s="7"/>
      <c r="P18" s="7"/>
      <c r="Q18" s="7"/>
      <c r="R18" s="7"/>
      <c r="S18" s="7"/>
      <c r="T18" s="7"/>
      <c r="U18" s="7"/>
      <c r="V18" s="39"/>
      <c r="W18" s="7"/>
      <c r="X18" s="7"/>
      <c r="Y18" s="7"/>
      <c r="Z18" s="87">
        <f>Data!CT17/Data!K17</f>
        <v>3.798120104767503E-2</v>
      </c>
      <c r="AA18" s="12">
        <f>(Data!K17-Data!AN17)/Data!K17</f>
        <v>4.724264670930256E-2</v>
      </c>
      <c r="AB18" s="7"/>
      <c r="AC18" s="7"/>
      <c r="AD18" s="7"/>
      <c r="AE18" s="12"/>
      <c r="AG18" s="5"/>
    </row>
    <row r="19" spans="1:33" x14ac:dyDescent="0.25">
      <c r="A19" s="1" t="s">
        <v>556</v>
      </c>
      <c r="B19">
        <v>1810</v>
      </c>
      <c r="C19" s="39"/>
      <c r="D19" s="7"/>
      <c r="E19" s="7"/>
      <c r="F19" s="7">
        <v>0</v>
      </c>
      <c r="G19" s="7"/>
      <c r="H19" s="7"/>
      <c r="I19" s="7"/>
      <c r="J19" s="7"/>
      <c r="K19" s="7"/>
      <c r="L19" s="7"/>
      <c r="M19" s="7"/>
      <c r="N19" s="7"/>
      <c r="O19" s="7"/>
      <c r="P19" s="7"/>
      <c r="Q19" s="7"/>
      <c r="R19" s="7"/>
      <c r="S19" s="7"/>
      <c r="T19" s="7"/>
      <c r="U19" s="7"/>
      <c r="V19" s="39"/>
      <c r="W19" s="7"/>
      <c r="X19" s="7"/>
      <c r="Y19" s="7"/>
      <c r="Z19" s="87">
        <f>Data!CT18/Data!K18</f>
        <v>4.1272627859758465E-2</v>
      </c>
      <c r="AA19" s="12">
        <f>(Data!K18-Data!AN18)/Data!K18</f>
        <v>4.7619041919073429E-2</v>
      </c>
      <c r="AB19" s="7"/>
      <c r="AC19" s="7"/>
      <c r="AD19" s="7"/>
      <c r="AE19" s="12"/>
      <c r="AG19" s="5"/>
    </row>
    <row r="20" spans="1:33" x14ac:dyDescent="0.25">
      <c r="A20" s="1" t="s">
        <v>556</v>
      </c>
      <c r="B20">
        <v>1811</v>
      </c>
      <c r="C20" s="39"/>
      <c r="D20" s="7"/>
      <c r="E20" s="7"/>
      <c r="F20" s="7">
        <v>0</v>
      </c>
      <c r="G20" s="7"/>
      <c r="H20" s="7"/>
      <c r="I20" s="7"/>
      <c r="J20" s="7"/>
      <c r="K20" s="7"/>
      <c r="L20" s="7"/>
      <c r="M20" s="7"/>
      <c r="N20" s="7"/>
      <c r="O20" s="7"/>
      <c r="P20" s="7"/>
      <c r="Q20" s="7"/>
      <c r="R20" s="7"/>
      <c r="S20" s="7"/>
      <c r="T20" s="7"/>
      <c r="U20" s="7"/>
      <c r="V20" s="39"/>
      <c r="W20" s="7"/>
      <c r="X20" s="7"/>
      <c r="Y20" s="7"/>
      <c r="Z20" s="87">
        <f>Data!CT19/Data!K19</f>
        <v>4.2842097926553309E-2</v>
      </c>
      <c r="AA20" s="12">
        <f>(Data!K19-Data!AN19)/Data!K19</f>
        <v>4.7371775637833687E-2</v>
      </c>
      <c r="AB20" s="7"/>
      <c r="AC20" s="7"/>
      <c r="AD20" s="7"/>
      <c r="AE20" s="12"/>
      <c r="AG20" s="5"/>
    </row>
    <row r="21" spans="1:33" x14ac:dyDescent="0.25">
      <c r="A21" s="1" t="s">
        <v>556</v>
      </c>
      <c r="B21">
        <v>1812</v>
      </c>
      <c r="C21" s="39"/>
      <c r="D21" s="7"/>
      <c r="E21" s="7"/>
      <c r="F21" s="7">
        <v>0</v>
      </c>
      <c r="G21" s="7"/>
      <c r="H21" s="7"/>
      <c r="I21" s="7"/>
      <c r="J21" s="7"/>
      <c r="K21" s="7"/>
      <c r="L21" s="7"/>
      <c r="M21" s="7"/>
      <c r="N21" s="7"/>
      <c r="O21" s="7"/>
      <c r="P21" s="7"/>
      <c r="Q21" s="7"/>
      <c r="R21" s="7"/>
      <c r="S21" s="7"/>
      <c r="T21" s="7"/>
      <c r="U21" s="7"/>
      <c r="V21" s="39"/>
      <c r="W21" s="7"/>
      <c r="X21" s="7"/>
      <c r="Y21" s="7"/>
      <c r="Z21" s="87">
        <f>Data!CT20/Data!K20</f>
        <v>4.2910000546817553E-2</v>
      </c>
      <c r="AA21" s="12">
        <f>(Data!K20-Data!AN20)/Data!K20</f>
        <v>4.717438300902501E-2</v>
      </c>
      <c r="AB21" s="7"/>
      <c r="AC21" s="7"/>
      <c r="AD21" s="7"/>
      <c r="AE21" s="12"/>
      <c r="AG21" s="5"/>
    </row>
    <row r="22" spans="1:33" x14ac:dyDescent="0.25">
      <c r="A22" s="1" t="s">
        <v>556</v>
      </c>
      <c r="B22">
        <v>1813</v>
      </c>
      <c r="C22" s="39"/>
      <c r="D22" s="7"/>
      <c r="E22" s="7"/>
      <c r="F22" s="7">
        <v>0</v>
      </c>
      <c r="G22" s="7"/>
      <c r="H22" s="7"/>
      <c r="I22" s="7"/>
      <c r="J22" s="7"/>
      <c r="K22" s="7"/>
      <c r="L22" s="7"/>
      <c r="M22" s="7"/>
      <c r="N22" s="7"/>
      <c r="O22" s="7"/>
      <c r="P22" s="7"/>
      <c r="Q22" s="7"/>
      <c r="R22" s="7"/>
      <c r="S22" s="7"/>
      <c r="T22" s="7"/>
      <c r="U22" s="7"/>
      <c r="V22" s="39"/>
      <c r="W22" s="7"/>
      <c r="X22" s="7"/>
      <c r="Y22" s="7"/>
      <c r="Z22" s="87">
        <f>Data!CT21/Data!K21</f>
        <v>4.5312694706435681E-2</v>
      </c>
      <c r="AA22" s="12">
        <f>(Data!K21-Data!AN21)/Data!K21</f>
        <v>4.7220921111262699E-2</v>
      </c>
      <c r="AB22" s="7"/>
      <c r="AC22" s="7"/>
      <c r="AD22" s="7"/>
      <c r="AE22" s="12"/>
      <c r="AG22" s="5"/>
    </row>
    <row r="23" spans="1:33" x14ac:dyDescent="0.25">
      <c r="A23" s="1" t="s">
        <v>556</v>
      </c>
      <c r="B23">
        <v>1814</v>
      </c>
      <c r="C23" s="39"/>
      <c r="D23" s="7"/>
      <c r="E23" s="7"/>
      <c r="F23" s="7">
        <v>0</v>
      </c>
      <c r="G23" s="7"/>
      <c r="H23" s="7"/>
      <c r="I23" s="7"/>
      <c r="J23" s="7"/>
      <c r="K23" s="7"/>
      <c r="L23" s="7"/>
      <c r="M23" s="7"/>
      <c r="N23" s="7"/>
      <c r="O23" s="7"/>
      <c r="P23" s="7"/>
      <c r="Q23" s="7"/>
      <c r="R23" s="7"/>
      <c r="S23" s="7"/>
      <c r="T23" s="7"/>
      <c r="U23" s="7"/>
      <c r="V23" s="39"/>
      <c r="W23" s="7"/>
      <c r="X23" s="7"/>
      <c r="Y23" s="7"/>
      <c r="Z23" s="87">
        <f>Data!CT22/Data!K22</f>
        <v>4.3590749382580875E-2</v>
      </c>
      <c r="AA23" s="12">
        <f>(Data!K22-Data!AN22)/Data!K22</f>
        <v>4.7612406379584339E-2</v>
      </c>
      <c r="AB23" s="7"/>
      <c r="AC23" s="7"/>
      <c r="AD23" s="7"/>
      <c r="AE23" s="12"/>
      <c r="AG23" s="5"/>
    </row>
    <row r="24" spans="1:33" x14ac:dyDescent="0.25">
      <c r="A24" s="1" t="s">
        <v>556</v>
      </c>
      <c r="B24">
        <v>1815</v>
      </c>
      <c r="C24" s="39"/>
      <c r="D24" s="7"/>
      <c r="E24" s="7"/>
      <c r="F24" s="7">
        <v>0</v>
      </c>
      <c r="G24" s="7"/>
      <c r="H24" s="7"/>
      <c r="I24" s="7"/>
      <c r="J24" s="7"/>
      <c r="K24" s="7"/>
      <c r="L24" s="7"/>
      <c r="M24" s="7"/>
      <c r="N24" s="7"/>
      <c r="O24" s="7"/>
      <c r="P24" s="7"/>
      <c r="Q24" s="7"/>
      <c r="R24" s="7"/>
      <c r="S24" s="7"/>
      <c r="T24" s="7"/>
      <c r="U24" s="7"/>
      <c r="V24" s="39"/>
      <c r="W24" s="7"/>
      <c r="X24" s="7"/>
      <c r="Y24" s="7"/>
      <c r="Z24" s="87">
        <f>Data!CT23/Data!K23</f>
        <v>4.2723048788875145E-2</v>
      </c>
      <c r="AA24" s="12">
        <f>(Data!K23-Data!AN23)/Data!K23</f>
        <v>4.7733791677398087E-2</v>
      </c>
      <c r="AB24" s="7"/>
      <c r="AC24" s="7"/>
      <c r="AD24" s="7"/>
      <c r="AE24" s="12"/>
      <c r="AG24" s="5"/>
    </row>
    <row r="25" spans="1:33" x14ac:dyDescent="0.25">
      <c r="A25" s="1" t="s">
        <v>556</v>
      </c>
      <c r="B25">
        <v>1816</v>
      </c>
      <c r="C25" s="39"/>
      <c r="D25" s="7"/>
      <c r="E25" s="7"/>
      <c r="F25" s="7">
        <v>0</v>
      </c>
      <c r="G25" s="7"/>
      <c r="H25" s="7"/>
      <c r="I25" s="7"/>
      <c r="J25" s="7"/>
      <c r="K25" s="7"/>
      <c r="L25" s="7"/>
      <c r="M25" s="7"/>
      <c r="N25" s="7"/>
      <c r="O25" s="7"/>
      <c r="P25" s="7"/>
      <c r="Q25" s="7"/>
      <c r="R25" s="7"/>
      <c r="S25" s="7"/>
      <c r="T25" s="7"/>
      <c r="U25" s="7"/>
      <c r="V25" s="39"/>
      <c r="W25" s="7"/>
      <c r="X25" s="7"/>
      <c r="Y25" s="7"/>
      <c r="Z25" s="87">
        <f>Data!CT24/Data!K24</f>
        <v>4.426277461489584E-2</v>
      </c>
      <c r="AA25" s="12">
        <f>(Data!K24-Data!AN24)/Data!K24</f>
        <v>4.7234448104438796E-2</v>
      </c>
      <c r="AB25" s="7"/>
      <c r="AC25" s="7"/>
      <c r="AD25" s="7"/>
      <c r="AE25" s="12"/>
      <c r="AG25" s="5"/>
    </row>
    <row r="26" spans="1:33" x14ac:dyDescent="0.25">
      <c r="A26" s="1" t="s">
        <v>556</v>
      </c>
      <c r="B26">
        <v>1817</v>
      </c>
      <c r="C26" s="39"/>
      <c r="D26" s="7"/>
      <c r="E26" s="7"/>
      <c r="F26" s="7">
        <v>0</v>
      </c>
      <c r="G26" s="7"/>
      <c r="H26" s="7"/>
      <c r="I26" s="7"/>
      <c r="J26" s="7"/>
      <c r="K26" s="7"/>
      <c r="L26" s="7"/>
      <c r="M26" s="7"/>
      <c r="N26" s="7"/>
      <c r="O26" s="7"/>
      <c r="P26" s="7"/>
      <c r="Q26" s="7"/>
      <c r="R26" s="7"/>
      <c r="S26" s="7"/>
      <c r="T26" s="7"/>
      <c r="U26" s="7"/>
      <c r="V26" s="39"/>
      <c r="W26" s="7"/>
      <c r="X26" s="7"/>
      <c r="Y26" s="7"/>
      <c r="Z26" s="87">
        <f>Data!CT25/Data!K25</f>
        <v>4.2573981108993894E-2</v>
      </c>
      <c r="AA26" s="12">
        <f>(Data!K25-Data!AN25)/Data!K25</f>
        <v>4.7228602295208706E-2</v>
      </c>
      <c r="AB26" s="7"/>
      <c r="AC26" s="7"/>
      <c r="AD26" s="7"/>
      <c r="AE26" s="12"/>
      <c r="AG26" s="5"/>
    </row>
    <row r="27" spans="1:33" x14ac:dyDescent="0.25">
      <c r="A27" s="1" t="s">
        <v>556</v>
      </c>
      <c r="B27">
        <v>1818</v>
      </c>
      <c r="C27" s="39"/>
      <c r="D27" s="7"/>
      <c r="E27" s="7"/>
      <c r="F27" s="7">
        <v>0</v>
      </c>
      <c r="G27" s="7"/>
      <c r="H27" s="7"/>
      <c r="I27" s="7"/>
      <c r="J27" s="7"/>
      <c r="K27" s="7"/>
      <c r="L27" s="7"/>
      <c r="M27" s="7"/>
      <c r="N27" s="7"/>
      <c r="O27" s="7"/>
      <c r="P27" s="7"/>
      <c r="Q27" s="7"/>
      <c r="R27" s="7"/>
      <c r="S27" s="7"/>
      <c r="T27" s="7"/>
      <c r="U27" s="7"/>
      <c r="V27" s="39"/>
      <c r="W27" s="7"/>
      <c r="X27" s="7"/>
      <c r="Y27" s="7"/>
      <c r="Z27" s="87">
        <f>Data!CT26/Data!K26</f>
        <v>4.2835314465208607E-2</v>
      </c>
      <c r="AA27" s="12">
        <f>(Data!K26-Data!AN26)/Data!K26</f>
        <v>4.6892375401857429E-2</v>
      </c>
      <c r="AB27" s="7"/>
      <c r="AC27" s="7"/>
      <c r="AD27" s="7"/>
      <c r="AE27" s="12"/>
      <c r="AG27" s="5"/>
    </row>
    <row r="28" spans="1:33" x14ac:dyDescent="0.25">
      <c r="A28" s="1" t="s">
        <v>556</v>
      </c>
      <c r="B28">
        <v>1819</v>
      </c>
      <c r="C28" s="39"/>
      <c r="D28" s="7"/>
      <c r="E28" s="7"/>
      <c r="F28" s="7">
        <v>0</v>
      </c>
      <c r="G28" s="7"/>
      <c r="H28" s="7"/>
      <c r="I28" s="7"/>
      <c r="J28" s="7"/>
      <c r="K28" s="7"/>
      <c r="L28" s="7"/>
      <c r="M28" s="7"/>
      <c r="N28" s="7"/>
      <c r="O28" s="7"/>
      <c r="P28" s="7"/>
      <c r="Q28" s="7"/>
      <c r="R28" s="7"/>
      <c r="S28" s="7"/>
      <c r="T28" s="7"/>
      <c r="U28" s="7"/>
      <c r="V28" s="39"/>
      <c r="W28" s="7"/>
      <c r="X28" s="7"/>
      <c r="Y28" s="7"/>
      <c r="Z28" s="87">
        <f>Data!CT27/Data!K27</f>
        <v>4.128109040182891E-2</v>
      </c>
      <c r="AA28" s="12">
        <f>(Data!K27-Data!AN27)/Data!K27</f>
        <v>4.6943596619971745E-2</v>
      </c>
      <c r="AB28" s="7"/>
      <c r="AC28" s="7"/>
      <c r="AD28" s="7"/>
      <c r="AE28" s="12"/>
      <c r="AG28" s="5"/>
    </row>
    <row r="29" spans="1:33" x14ac:dyDescent="0.25">
      <c r="A29" s="1" t="s">
        <v>556</v>
      </c>
      <c r="B29">
        <v>1820</v>
      </c>
      <c r="C29" s="39"/>
      <c r="D29" s="7"/>
      <c r="E29" s="7"/>
      <c r="F29" s="7">
        <v>0</v>
      </c>
      <c r="G29" s="7"/>
      <c r="H29" s="7"/>
      <c r="I29" s="7"/>
      <c r="J29" s="7"/>
      <c r="K29" s="7"/>
      <c r="L29" s="7"/>
      <c r="M29" s="7"/>
      <c r="N29" s="7"/>
      <c r="O29" s="7"/>
      <c r="P29" s="7"/>
      <c r="Q29" s="7"/>
      <c r="R29" s="7"/>
      <c r="S29" s="7"/>
      <c r="T29" s="7"/>
      <c r="U29" s="7"/>
      <c r="V29" s="39"/>
      <c r="W29" s="7"/>
      <c r="X29" s="7"/>
      <c r="Y29" s="7"/>
      <c r="Z29" s="87">
        <f>Data!CT28/Data!K28</f>
        <v>4.0584354975518822E-2</v>
      </c>
      <c r="AA29" s="12">
        <f>(Data!K28-Data!AN28)/Data!K28</f>
        <v>4.7442591961820213E-2</v>
      </c>
      <c r="AB29" s="7"/>
      <c r="AC29" s="7"/>
      <c r="AD29" s="7"/>
      <c r="AE29" s="12"/>
      <c r="AG29" s="5"/>
    </row>
    <row r="30" spans="1:33" x14ac:dyDescent="0.25">
      <c r="A30" s="1" t="s">
        <v>556</v>
      </c>
      <c r="B30">
        <v>1821</v>
      </c>
      <c r="C30" s="39"/>
      <c r="D30" s="7"/>
      <c r="E30" s="7"/>
      <c r="F30" s="7">
        <v>0</v>
      </c>
      <c r="G30" s="7"/>
      <c r="H30" s="7"/>
      <c r="I30" s="7"/>
      <c r="J30" s="7"/>
      <c r="K30" s="7"/>
      <c r="L30" s="7"/>
      <c r="M30" s="7"/>
      <c r="N30" s="7"/>
      <c r="O30" s="7"/>
      <c r="P30" s="7"/>
      <c r="Q30" s="7"/>
      <c r="R30" s="7"/>
      <c r="S30" s="7"/>
      <c r="T30" s="7"/>
      <c r="U30" s="7"/>
      <c r="V30" s="39"/>
      <c r="W30" s="7"/>
      <c r="X30" s="7"/>
      <c r="Y30" s="7"/>
      <c r="Z30" s="87">
        <f>Data!CT29/Data!K29</f>
        <v>4.415568965554837E-2</v>
      </c>
      <c r="AA30" s="12">
        <f>(Data!K29-Data!AN29)/Data!K29</f>
        <v>4.7228950952528832E-2</v>
      </c>
      <c r="AB30" s="7"/>
      <c r="AC30" s="7"/>
      <c r="AD30" s="7"/>
      <c r="AE30" s="12"/>
      <c r="AG30" s="5"/>
    </row>
    <row r="31" spans="1:33" x14ac:dyDescent="0.25">
      <c r="A31" s="1" t="s">
        <v>556</v>
      </c>
      <c r="B31">
        <v>1822</v>
      </c>
      <c r="C31" s="39"/>
      <c r="D31" s="7"/>
      <c r="E31" s="7"/>
      <c r="F31" s="7">
        <v>0</v>
      </c>
      <c r="G31" s="7"/>
      <c r="H31" s="7"/>
      <c r="I31" s="7"/>
      <c r="J31" s="7"/>
      <c r="K31" s="7"/>
      <c r="L31" s="7"/>
      <c r="M31" s="7"/>
      <c r="N31" s="7"/>
      <c r="O31" s="7"/>
      <c r="P31" s="7"/>
      <c r="Q31" s="7"/>
      <c r="R31" s="7"/>
      <c r="S31" s="7"/>
      <c r="T31" s="7"/>
      <c r="U31" s="7"/>
      <c r="V31" s="39"/>
      <c r="W31" s="7"/>
      <c r="X31" s="7"/>
      <c r="Y31" s="7"/>
      <c r="Z31" s="7">
        <f>Data!CT30/Data!K30</f>
        <v>4.3067109186824E-2</v>
      </c>
      <c r="AA31" s="12">
        <f>(Data!K30-Data!AN30)/Data!K30</f>
        <v>4.7215699991147497E-2</v>
      </c>
      <c r="AB31" s="7"/>
      <c r="AC31" s="7"/>
      <c r="AD31" s="7"/>
      <c r="AE31" s="12"/>
      <c r="AG31" s="5"/>
    </row>
    <row r="32" spans="1:33" x14ac:dyDescent="0.25">
      <c r="A32" s="1" t="s">
        <v>556</v>
      </c>
      <c r="B32">
        <v>1823</v>
      </c>
      <c r="C32" s="39"/>
      <c r="D32" s="7"/>
      <c r="E32" s="7"/>
      <c r="F32" s="7">
        <v>0</v>
      </c>
      <c r="G32" s="7"/>
      <c r="H32" s="7"/>
      <c r="I32" s="7"/>
      <c r="J32" s="7"/>
      <c r="K32" s="7"/>
      <c r="L32" s="7"/>
      <c r="M32" s="7"/>
      <c r="N32" s="7"/>
      <c r="O32" s="7"/>
      <c r="P32" s="7"/>
      <c r="Q32" s="7"/>
      <c r="R32" s="7"/>
      <c r="S32" s="7"/>
      <c r="T32" s="7"/>
      <c r="U32" s="7"/>
      <c r="V32" s="39"/>
      <c r="W32" s="7"/>
      <c r="X32" s="7"/>
      <c r="Y32" s="7"/>
      <c r="Z32" s="7">
        <f>Data!CT31/Data!K31</f>
        <v>4.3022461150440894E-2</v>
      </c>
      <c r="AA32" s="12">
        <f>(Data!K31-Data!AN31)/Data!K31</f>
        <v>4.7436596608590557E-2</v>
      </c>
      <c r="AB32" s="7"/>
      <c r="AC32" s="7"/>
      <c r="AD32" s="7"/>
      <c r="AE32" s="12"/>
      <c r="AG32" s="5"/>
    </row>
    <row r="33" spans="1:33" x14ac:dyDescent="0.25">
      <c r="A33" s="1" t="s">
        <v>556</v>
      </c>
      <c r="B33">
        <v>1824</v>
      </c>
      <c r="C33" s="39"/>
      <c r="D33" s="7"/>
      <c r="E33" s="7"/>
      <c r="F33" s="7">
        <v>0</v>
      </c>
      <c r="G33" s="7"/>
      <c r="H33" s="7"/>
      <c r="I33" s="7"/>
      <c r="J33" s="7"/>
      <c r="K33" s="7"/>
      <c r="L33" s="7"/>
      <c r="M33" s="7"/>
      <c r="N33" s="7"/>
      <c r="O33" s="7"/>
      <c r="P33" s="7"/>
      <c r="Q33" s="7"/>
      <c r="R33" s="7"/>
      <c r="S33" s="7"/>
      <c r="T33" s="7"/>
      <c r="U33" s="7"/>
      <c r="V33" s="39"/>
      <c r="W33" s="7"/>
      <c r="X33" s="7"/>
      <c r="Y33" s="7"/>
      <c r="Z33" s="7">
        <f>Data!CT32/Data!K32</f>
        <v>4.4023215813794175E-2</v>
      </c>
      <c r="AA33" s="12">
        <f>(Data!K32-Data!AN32)/Data!K32</f>
        <v>4.7091677204041366E-2</v>
      </c>
      <c r="AB33" s="7"/>
      <c r="AC33" s="7"/>
      <c r="AD33" s="7"/>
      <c r="AE33" s="12"/>
      <c r="AG33" s="5"/>
    </row>
    <row r="34" spans="1:33" x14ac:dyDescent="0.25">
      <c r="A34" s="1" t="s">
        <v>556</v>
      </c>
      <c r="B34">
        <v>1825</v>
      </c>
      <c r="C34" s="39"/>
      <c r="D34" s="7"/>
      <c r="E34" s="7"/>
      <c r="F34" s="7">
        <v>0</v>
      </c>
      <c r="G34" s="7"/>
      <c r="H34" s="7"/>
      <c r="I34" s="7"/>
      <c r="J34" s="7"/>
      <c r="K34" s="7"/>
      <c r="L34" s="7"/>
      <c r="M34" s="7"/>
      <c r="N34" s="7"/>
      <c r="O34" s="7"/>
      <c r="P34" s="7"/>
      <c r="Q34" s="7"/>
      <c r="R34" s="7"/>
      <c r="S34" s="7"/>
      <c r="T34" s="7"/>
      <c r="U34" s="7"/>
      <c r="V34" s="39"/>
      <c r="W34" s="7"/>
      <c r="X34" s="7"/>
      <c r="Y34" s="7"/>
      <c r="Z34" s="7">
        <f>Data!CT33/Data!K33</f>
        <v>4.4604686672914819E-2</v>
      </c>
      <c r="AA34" s="12">
        <f>(Data!K33-Data!AN33)/Data!K33</f>
        <v>4.7123506463843536E-2</v>
      </c>
      <c r="AB34" s="7"/>
      <c r="AC34" s="7"/>
      <c r="AD34" s="7"/>
      <c r="AE34" s="12"/>
      <c r="AG34" s="5"/>
    </row>
    <row r="35" spans="1:33" x14ac:dyDescent="0.25">
      <c r="A35" s="1" t="s">
        <v>556</v>
      </c>
      <c r="B35">
        <v>1826</v>
      </c>
      <c r="C35" s="39"/>
      <c r="D35" s="7"/>
      <c r="E35" s="7"/>
      <c r="F35" s="7">
        <v>0</v>
      </c>
      <c r="G35" s="7"/>
      <c r="H35" s="7"/>
      <c r="I35" s="7"/>
      <c r="J35" s="7"/>
      <c r="K35" s="7"/>
      <c r="L35" s="7"/>
      <c r="M35" s="7"/>
      <c r="N35" s="7"/>
      <c r="O35" s="7"/>
      <c r="P35" s="7"/>
      <c r="Q35" s="7"/>
      <c r="R35" s="7"/>
      <c r="S35" s="7"/>
      <c r="T35" s="7"/>
      <c r="U35" s="7"/>
      <c r="V35" s="39"/>
      <c r="W35" s="7"/>
      <c r="X35" s="7"/>
      <c r="Y35" s="7"/>
      <c r="Z35" s="7">
        <f>Data!CT34/Data!K34</f>
        <v>4.0999980199982522E-2</v>
      </c>
      <c r="AA35" s="12">
        <f>(Data!K34-Data!AN34)/Data!K34</f>
        <v>4.6564934991112944E-2</v>
      </c>
      <c r="AB35" s="7"/>
      <c r="AC35" s="7"/>
      <c r="AD35" s="7"/>
      <c r="AE35" s="12"/>
      <c r="AG35" s="5"/>
    </row>
    <row r="36" spans="1:33" x14ac:dyDescent="0.25">
      <c r="A36" s="1" t="s">
        <v>556</v>
      </c>
      <c r="B36">
        <v>1827</v>
      </c>
      <c r="C36" s="39"/>
      <c r="D36" s="7"/>
      <c r="E36" s="7"/>
      <c r="F36" s="7">
        <v>0</v>
      </c>
      <c r="G36" s="7"/>
      <c r="H36" s="7"/>
      <c r="I36" s="7"/>
      <c r="J36" s="7"/>
      <c r="K36" s="7"/>
      <c r="L36" s="7"/>
      <c r="M36" s="7"/>
      <c r="N36" s="7"/>
      <c r="O36" s="7"/>
      <c r="P36" s="7"/>
      <c r="Q36" s="7"/>
      <c r="R36" s="7"/>
      <c r="S36" s="7"/>
      <c r="T36" s="7"/>
      <c r="U36" s="7"/>
      <c r="V36" s="39"/>
      <c r="W36" s="7"/>
      <c r="X36" s="7"/>
      <c r="Y36" s="7"/>
      <c r="Z36" s="7">
        <f>Data!CT35/Data!K35</f>
        <v>3.9413870334786105E-2</v>
      </c>
      <c r="AA36" s="12">
        <f>(Data!K35-Data!AN35)/Data!K35</f>
        <v>4.7073758421969238E-2</v>
      </c>
      <c r="AB36" s="7"/>
      <c r="AC36" s="7"/>
      <c r="AD36" s="7"/>
      <c r="AE36" s="12"/>
      <c r="AG36" s="5"/>
    </row>
    <row r="37" spans="1:33" x14ac:dyDescent="0.25">
      <c r="A37" s="1" t="s">
        <v>556</v>
      </c>
      <c r="B37">
        <v>1828</v>
      </c>
      <c r="C37" s="39"/>
      <c r="D37" s="7"/>
      <c r="E37" s="7"/>
      <c r="F37" s="7">
        <v>0</v>
      </c>
      <c r="G37" s="7"/>
      <c r="H37" s="7"/>
      <c r="I37" s="7"/>
      <c r="J37" s="7"/>
      <c r="K37" s="7"/>
      <c r="L37" s="7"/>
      <c r="M37" s="7"/>
      <c r="N37" s="7"/>
      <c r="O37" s="7"/>
      <c r="P37" s="7"/>
      <c r="Q37" s="7"/>
      <c r="R37" s="7"/>
      <c r="S37" s="7"/>
      <c r="T37" s="7"/>
      <c r="U37" s="7"/>
      <c r="V37" s="39"/>
      <c r="W37" s="7"/>
      <c r="X37" s="7"/>
      <c r="Y37" s="7"/>
      <c r="Z37" s="7">
        <f>Data!CT36/Data!K36</f>
        <v>4.2159067510991445E-2</v>
      </c>
      <c r="AA37" s="12">
        <f>(Data!K36-Data!AN36)/Data!K36</f>
        <v>4.7179431829670944E-2</v>
      </c>
      <c r="AB37" s="7"/>
      <c r="AC37" s="7"/>
      <c r="AD37" s="7"/>
      <c r="AE37" s="12"/>
      <c r="AG37" s="5"/>
    </row>
    <row r="38" spans="1:33" x14ac:dyDescent="0.25">
      <c r="A38" s="1" t="s">
        <v>556</v>
      </c>
      <c r="B38">
        <v>1829</v>
      </c>
      <c r="C38" s="39"/>
      <c r="D38" s="7"/>
      <c r="E38" s="7"/>
      <c r="F38" s="7">
        <v>0</v>
      </c>
      <c r="G38" s="7"/>
      <c r="H38" s="7"/>
      <c r="I38" s="7"/>
      <c r="J38" s="7"/>
      <c r="K38" s="7"/>
      <c r="L38" s="7"/>
      <c r="M38" s="7"/>
      <c r="N38" s="7"/>
      <c r="O38" s="7"/>
      <c r="P38" s="7"/>
      <c r="Q38" s="7"/>
      <c r="R38" s="7"/>
      <c r="S38" s="7"/>
      <c r="T38" s="7"/>
      <c r="U38" s="7"/>
      <c r="V38" s="39"/>
      <c r="W38" s="7"/>
      <c r="X38" s="7"/>
      <c r="Y38" s="7"/>
      <c r="Z38" s="7">
        <f>Data!CT37/Data!K37</f>
        <v>4.2458810128962868E-2</v>
      </c>
      <c r="AA38" s="12">
        <f>(Data!K37-Data!AN37)/Data!K37</f>
        <v>4.7064162706721251E-2</v>
      </c>
      <c r="AB38" s="7"/>
      <c r="AC38" s="7"/>
      <c r="AD38" s="7"/>
      <c r="AE38" s="12"/>
      <c r="AG38" s="5"/>
    </row>
    <row r="39" spans="1:33" x14ac:dyDescent="0.25">
      <c r="A39" s="1" t="s">
        <v>556</v>
      </c>
      <c r="B39">
        <v>1830</v>
      </c>
      <c r="C39" s="39"/>
      <c r="D39" s="7"/>
      <c r="E39" s="7"/>
      <c r="F39" s="7">
        <v>0</v>
      </c>
      <c r="G39" s="7"/>
      <c r="H39" s="7"/>
      <c r="I39" s="7"/>
      <c r="J39" s="7"/>
      <c r="K39" s="7"/>
      <c r="L39" s="7"/>
      <c r="M39" s="7"/>
      <c r="N39" s="7"/>
      <c r="O39" s="7"/>
      <c r="P39" s="7"/>
      <c r="Q39" s="7"/>
      <c r="R39" s="7"/>
      <c r="S39" s="7"/>
      <c r="T39" s="7"/>
      <c r="U39" s="7"/>
      <c r="V39" s="39"/>
      <c r="W39" s="7"/>
      <c r="X39" s="7"/>
      <c r="Y39" s="7"/>
      <c r="Z39" s="7">
        <f>Data!CT38/Data!K38</f>
        <v>3.9776575825986836E-2</v>
      </c>
      <c r="AA39" s="12">
        <f>(Data!K38-Data!AN38)/Data!K38</f>
        <v>4.7184451008187085E-2</v>
      </c>
      <c r="AB39" s="7"/>
      <c r="AC39" s="7"/>
      <c r="AD39" s="7"/>
      <c r="AE39" s="12"/>
      <c r="AG39" s="5"/>
    </row>
    <row r="40" spans="1:33" x14ac:dyDescent="0.25">
      <c r="A40" s="1" t="s">
        <v>556</v>
      </c>
      <c r="B40">
        <v>1831</v>
      </c>
      <c r="C40" s="39"/>
      <c r="D40" s="7"/>
      <c r="E40" s="7"/>
      <c r="F40" s="7">
        <v>0</v>
      </c>
      <c r="G40" s="7"/>
      <c r="H40" s="7"/>
      <c r="I40" s="7"/>
      <c r="J40" s="7"/>
      <c r="K40" s="7"/>
      <c r="L40" s="7"/>
      <c r="M40" s="7"/>
      <c r="N40" s="7"/>
      <c r="O40" s="7"/>
      <c r="P40" s="7"/>
      <c r="Q40" s="7"/>
      <c r="R40" s="7"/>
      <c r="S40" s="7"/>
      <c r="T40" s="7"/>
      <c r="U40" s="7"/>
      <c r="V40" s="39"/>
      <c r="W40" s="7"/>
      <c r="X40" s="7"/>
      <c r="Y40" s="7"/>
      <c r="Z40" s="7">
        <f>Data!CT39/Data!K39</f>
        <v>3.8751401220429124E-2</v>
      </c>
      <c r="AA40" s="12">
        <f>(Data!K39-Data!AN39)/Data!K39</f>
        <v>4.6992370600264469E-2</v>
      </c>
      <c r="AB40" s="7"/>
      <c r="AC40" s="7"/>
      <c r="AD40" s="7"/>
      <c r="AE40" s="12"/>
      <c r="AG40" s="5"/>
    </row>
    <row r="41" spans="1:33" x14ac:dyDescent="0.25">
      <c r="A41" s="1" t="s">
        <v>556</v>
      </c>
      <c r="B41">
        <v>1832</v>
      </c>
      <c r="C41" s="39"/>
      <c r="D41" s="7"/>
      <c r="E41" s="7"/>
      <c r="F41" s="7">
        <v>0</v>
      </c>
      <c r="G41" s="7"/>
      <c r="H41" s="7"/>
      <c r="I41" s="7"/>
      <c r="J41" s="7"/>
      <c r="K41" s="7"/>
      <c r="L41" s="7"/>
      <c r="M41" s="7"/>
      <c r="N41" s="7"/>
      <c r="O41" s="7"/>
      <c r="P41" s="7"/>
      <c r="Q41" s="7"/>
      <c r="R41" s="7"/>
      <c r="S41" s="7"/>
      <c r="T41" s="7"/>
      <c r="U41" s="7"/>
      <c r="V41" s="39"/>
      <c r="W41" s="7"/>
      <c r="X41" s="7"/>
      <c r="Y41" s="7"/>
      <c r="Z41" s="7">
        <f>Data!CT40/Data!K40</f>
        <v>3.8716372768915416E-2</v>
      </c>
      <c r="AA41" s="12">
        <f>(Data!K40-Data!AN40)/Data!K40</f>
        <v>4.7421357459246583E-2</v>
      </c>
      <c r="AB41" s="7"/>
      <c r="AC41" s="7"/>
      <c r="AD41" s="7"/>
      <c r="AE41" s="12"/>
      <c r="AG41" s="5"/>
    </row>
    <row r="42" spans="1:33" x14ac:dyDescent="0.25">
      <c r="A42" s="1" t="s">
        <v>556</v>
      </c>
      <c r="B42">
        <v>1833</v>
      </c>
      <c r="C42" s="39"/>
      <c r="D42" s="7"/>
      <c r="E42" s="7"/>
      <c r="F42" s="7">
        <v>0</v>
      </c>
      <c r="G42" s="7"/>
      <c r="H42" s="7"/>
      <c r="I42" s="7"/>
      <c r="J42" s="7"/>
      <c r="K42" s="7"/>
      <c r="L42" s="7"/>
      <c r="M42" s="7"/>
      <c r="N42" s="7"/>
      <c r="O42" s="7"/>
      <c r="P42" s="7"/>
      <c r="Q42" s="7"/>
      <c r="R42" s="7"/>
      <c r="S42" s="7"/>
      <c r="T42" s="7"/>
      <c r="U42" s="7"/>
      <c r="V42" s="39"/>
      <c r="W42" s="7"/>
      <c r="X42" s="7"/>
      <c r="Y42" s="7"/>
      <c r="Z42" s="7">
        <f>Data!CT41/Data!K41</f>
        <v>4.0070792256784435E-2</v>
      </c>
      <c r="AA42" s="12">
        <f>(Data!K41-Data!AN41)/Data!K41</f>
        <v>4.7441438246970162E-2</v>
      </c>
      <c r="AB42" s="7"/>
      <c r="AC42" s="7"/>
      <c r="AD42" s="7"/>
      <c r="AE42" s="12"/>
      <c r="AG42" s="5"/>
    </row>
    <row r="43" spans="1:33" x14ac:dyDescent="0.25">
      <c r="A43" s="1" t="s">
        <v>556</v>
      </c>
      <c r="B43">
        <v>1834</v>
      </c>
      <c r="C43" s="39"/>
      <c r="D43" s="7"/>
      <c r="E43" s="7"/>
      <c r="F43" s="7">
        <v>0</v>
      </c>
      <c r="G43" s="7"/>
      <c r="H43" s="7"/>
      <c r="I43" s="7"/>
      <c r="J43" s="7"/>
      <c r="K43" s="7"/>
      <c r="L43" s="7"/>
      <c r="M43" s="7"/>
      <c r="N43" s="7"/>
      <c r="O43" s="7"/>
      <c r="P43" s="7"/>
      <c r="Q43" s="7"/>
      <c r="R43" s="7"/>
      <c r="S43" s="7"/>
      <c r="T43" s="7"/>
      <c r="U43" s="7"/>
      <c r="V43" s="39"/>
      <c r="W43" s="7"/>
      <c r="X43" s="7"/>
      <c r="Y43" s="7"/>
      <c r="Z43" s="7">
        <f>Data!CT42/Data!K42</f>
        <v>4.0114635210033875E-2</v>
      </c>
      <c r="AA43" s="12">
        <f>(Data!K42-Data!AN42)/Data!K42</f>
        <v>4.7267767232732946E-2</v>
      </c>
      <c r="AB43" s="7"/>
      <c r="AC43" s="7"/>
      <c r="AD43" s="7"/>
      <c r="AE43" s="12"/>
      <c r="AG43" s="5"/>
    </row>
    <row r="44" spans="1:33" x14ac:dyDescent="0.25">
      <c r="A44" s="1" t="s">
        <v>556</v>
      </c>
      <c r="B44">
        <v>1835</v>
      </c>
      <c r="C44" s="39"/>
      <c r="D44" s="7"/>
      <c r="E44" s="7"/>
      <c r="F44" s="7">
        <v>0</v>
      </c>
      <c r="G44" s="7"/>
      <c r="H44" s="7"/>
      <c r="I44" s="7"/>
      <c r="J44" s="7"/>
      <c r="K44" s="7"/>
      <c r="L44" s="7"/>
      <c r="M44" s="7"/>
      <c r="N44" s="7"/>
      <c r="O44" s="7"/>
      <c r="P44" s="7"/>
      <c r="Q44" s="7"/>
      <c r="R44" s="7"/>
      <c r="S44" s="7"/>
      <c r="T44" s="7"/>
      <c r="U44" s="7"/>
      <c r="V44" s="39"/>
      <c r="W44" s="7"/>
      <c r="X44" s="7"/>
      <c r="Y44" s="7"/>
      <c r="Z44" s="7">
        <f>Data!CT43/Data!K43</f>
        <v>3.9850723437112288E-2</v>
      </c>
      <c r="AA44" s="12">
        <f>(Data!K43-Data!AN43)/Data!K43</f>
        <v>4.7551286795240996E-2</v>
      </c>
      <c r="AB44" s="7"/>
      <c r="AC44" s="7"/>
      <c r="AD44" s="7"/>
      <c r="AE44" s="12"/>
      <c r="AG44" s="5"/>
    </row>
    <row r="45" spans="1:33" x14ac:dyDescent="0.25">
      <c r="A45" s="1" t="s">
        <v>556</v>
      </c>
      <c r="B45">
        <v>1836</v>
      </c>
      <c r="C45" s="39"/>
      <c r="D45" s="7"/>
      <c r="E45" s="7"/>
      <c r="F45" s="7">
        <v>0</v>
      </c>
      <c r="G45" s="7"/>
      <c r="H45" s="7"/>
      <c r="I45" s="7"/>
      <c r="J45" s="7"/>
      <c r="K45" s="7"/>
      <c r="L45" s="7"/>
      <c r="M45" s="7"/>
      <c r="N45" s="7"/>
      <c r="O45" s="7"/>
      <c r="P45" s="7"/>
      <c r="Q45" s="7"/>
      <c r="R45" s="7"/>
      <c r="S45" s="7"/>
      <c r="T45" s="7"/>
      <c r="U45" s="7"/>
      <c r="V45" s="39"/>
      <c r="W45" s="7"/>
      <c r="X45" s="7"/>
      <c r="Y45" s="7"/>
      <c r="Z45" s="7">
        <f>Data!CT44/Data!K44</f>
        <v>3.9384107328552992E-2</v>
      </c>
      <c r="AA45" s="12">
        <f>(Data!K44-Data!AN44)/Data!K44</f>
        <v>4.7546849126630139E-2</v>
      </c>
      <c r="AB45" s="7"/>
      <c r="AC45" s="7"/>
      <c r="AD45" s="7"/>
      <c r="AE45" s="12"/>
      <c r="AG45" s="5"/>
    </row>
    <row r="46" spans="1:33" x14ac:dyDescent="0.25">
      <c r="A46" s="1" t="s">
        <v>556</v>
      </c>
      <c r="B46">
        <v>1837</v>
      </c>
      <c r="C46" s="39"/>
      <c r="D46" s="7"/>
      <c r="E46" s="7"/>
      <c r="F46" s="7">
        <v>0</v>
      </c>
      <c r="G46" s="7"/>
      <c r="H46" s="7"/>
      <c r="I46" s="7"/>
      <c r="J46" s="7"/>
      <c r="K46" s="7"/>
      <c r="L46" s="7"/>
      <c r="M46" s="7"/>
      <c r="N46" s="7"/>
      <c r="O46" s="7"/>
      <c r="P46" s="7"/>
      <c r="Q46" s="7"/>
      <c r="R46" s="7"/>
      <c r="S46" s="7"/>
      <c r="T46" s="7"/>
      <c r="U46" s="7"/>
      <c r="V46" s="39"/>
      <c r="W46" s="7"/>
      <c r="X46" s="7"/>
      <c r="Y46" s="7"/>
      <c r="Z46" s="7">
        <f>Data!CT45/Data!K45</f>
        <v>3.8525395031735243E-2</v>
      </c>
      <c r="AA46" s="12">
        <f>(Data!K45-Data!AN45)/Data!K45</f>
        <v>4.7470031629856572E-2</v>
      </c>
      <c r="AB46" s="7"/>
      <c r="AC46" s="7"/>
      <c r="AD46" s="7"/>
      <c r="AE46" s="12"/>
      <c r="AG46" s="5"/>
    </row>
    <row r="47" spans="1:33" x14ac:dyDescent="0.25">
      <c r="A47" s="1" t="s">
        <v>556</v>
      </c>
      <c r="B47">
        <v>1838</v>
      </c>
      <c r="C47" s="39"/>
      <c r="D47" s="7"/>
      <c r="E47" s="7"/>
      <c r="F47" s="7">
        <v>0</v>
      </c>
      <c r="G47" s="7"/>
      <c r="H47" s="7"/>
      <c r="I47" s="7"/>
      <c r="J47" s="7"/>
      <c r="K47" s="7"/>
      <c r="L47" s="7"/>
      <c r="M47" s="7"/>
      <c r="N47" s="7"/>
      <c r="O47" s="7"/>
      <c r="P47" s="7"/>
      <c r="Q47" s="7"/>
      <c r="R47" s="7"/>
      <c r="S47" s="7"/>
      <c r="T47" s="7"/>
      <c r="U47" s="7"/>
      <c r="V47" s="39"/>
      <c r="W47" s="7"/>
      <c r="X47" s="7"/>
      <c r="Y47" s="7"/>
      <c r="Z47" s="7">
        <f>Data!CT46/Data!K46</f>
        <v>3.8844271050877552E-2</v>
      </c>
      <c r="AA47" s="12">
        <f>(Data!K46-Data!AN46)/Data!K46</f>
        <v>4.7509065432582057E-2</v>
      </c>
      <c r="AB47" s="7"/>
      <c r="AC47" s="7"/>
      <c r="AD47" s="7"/>
      <c r="AE47" s="12"/>
      <c r="AG47" s="5"/>
    </row>
    <row r="48" spans="1:33" x14ac:dyDescent="0.25">
      <c r="A48" s="1" t="s">
        <v>556</v>
      </c>
      <c r="B48">
        <v>1839</v>
      </c>
      <c r="C48" s="39"/>
      <c r="D48" s="7"/>
      <c r="E48" s="7"/>
      <c r="F48" s="7">
        <v>0</v>
      </c>
      <c r="G48" s="7"/>
      <c r="H48" s="7"/>
      <c r="I48" s="7"/>
      <c r="J48" s="7"/>
      <c r="K48" s="7"/>
      <c r="L48" s="7"/>
      <c r="M48" s="7"/>
      <c r="N48" s="7"/>
      <c r="O48" s="7"/>
      <c r="P48" s="7"/>
      <c r="Q48" s="7"/>
      <c r="R48" s="7"/>
      <c r="S48" s="7"/>
      <c r="T48" s="7"/>
      <c r="U48" s="7"/>
      <c r="V48" s="39"/>
      <c r="W48" s="7"/>
      <c r="X48" s="7"/>
      <c r="Y48" s="7"/>
      <c r="Z48" s="7">
        <f>Data!CT47/Data!K47</f>
        <v>3.7422820637581442E-2</v>
      </c>
      <c r="AA48" s="12">
        <f>(Data!K47-Data!AN47)/Data!K47</f>
        <v>4.7685387343960287E-2</v>
      </c>
      <c r="AB48" s="7"/>
      <c r="AC48" s="7"/>
      <c r="AD48" s="7"/>
      <c r="AE48" s="12"/>
      <c r="AG48" s="5"/>
    </row>
    <row r="49" spans="1:33" x14ac:dyDescent="0.25">
      <c r="A49" s="1" t="s">
        <v>556</v>
      </c>
      <c r="B49">
        <v>1840</v>
      </c>
      <c r="C49" s="39"/>
      <c r="D49" s="7"/>
      <c r="E49" s="7"/>
      <c r="F49" s="7">
        <v>0</v>
      </c>
      <c r="G49" s="7"/>
      <c r="H49" s="7"/>
      <c r="I49" s="7"/>
      <c r="J49" s="7"/>
      <c r="K49" s="7"/>
      <c r="L49" s="7"/>
      <c r="M49" s="7"/>
      <c r="N49" s="7"/>
      <c r="O49" s="7"/>
      <c r="P49" s="7"/>
      <c r="Q49" s="7"/>
      <c r="R49" s="7"/>
      <c r="S49" s="7"/>
      <c r="T49" s="7"/>
      <c r="U49" s="7"/>
      <c r="V49" s="39"/>
      <c r="W49" s="7"/>
      <c r="X49" s="7"/>
      <c r="Y49" s="7"/>
      <c r="Z49" s="7">
        <f>Data!CT48/Data!K48</f>
        <v>3.806022447539676E-2</v>
      </c>
      <c r="AA49" s="12">
        <f>(Data!K48-Data!AN48)/Data!K48</f>
        <v>4.7711943507531621E-2</v>
      </c>
      <c r="AB49" s="7"/>
      <c r="AC49" s="7"/>
      <c r="AD49" s="7"/>
      <c r="AE49" s="12"/>
      <c r="AG49" s="5"/>
    </row>
    <row r="50" spans="1:33" x14ac:dyDescent="0.25">
      <c r="A50" s="1" t="s">
        <v>556</v>
      </c>
      <c r="B50">
        <v>1841</v>
      </c>
      <c r="C50" s="39"/>
      <c r="D50" s="7"/>
      <c r="E50" s="7"/>
      <c r="F50" s="7">
        <v>0</v>
      </c>
      <c r="G50" s="7"/>
      <c r="H50" s="7"/>
      <c r="I50" s="7"/>
      <c r="J50" s="7"/>
      <c r="K50" s="7"/>
      <c r="L50" s="7"/>
      <c r="M50" s="7"/>
      <c r="N50" s="7"/>
      <c r="O50" s="7"/>
      <c r="P50" s="7"/>
      <c r="Q50" s="7"/>
      <c r="R50" s="7"/>
      <c r="S50" s="7"/>
      <c r="T50" s="7"/>
      <c r="U50" s="7"/>
      <c r="V50" s="39"/>
      <c r="W50" s="7"/>
      <c r="X50" s="7"/>
      <c r="Y50" s="7"/>
      <c r="Z50" s="7">
        <f>Data!CT49/Data!K49</f>
        <v>3.8945737633678028E-2</v>
      </c>
      <c r="AA50" s="12">
        <f>(Data!K49-Data!AN49)/Data!K49</f>
        <v>4.7540372765913858E-2</v>
      </c>
      <c r="AB50" s="7"/>
      <c r="AC50" s="7"/>
      <c r="AD50" s="7"/>
      <c r="AE50" s="12"/>
      <c r="AG50" s="5"/>
    </row>
    <row r="51" spans="1:33" x14ac:dyDescent="0.25">
      <c r="A51" s="1" t="s">
        <v>556</v>
      </c>
      <c r="B51">
        <v>1842</v>
      </c>
      <c r="C51" s="39"/>
      <c r="D51" s="7"/>
      <c r="E51" s="7"/>
      <c r="F51" s="7">
        <v>0</v>
      </c>
      <c r="G51" s="7"/>
      <c r="H51" s="7"/>
      <c r="I51" s="7"/>
      <c r="J51" s="7"/>
      <c r="K51" s="7"/>
      <c r="L51" s="7"/>
      <c r="M51" s="7"/>
      <c r="N51" s="7"/>
      <c r="O51" s="7"/>
      <c r="P51" s="7"/>
      <c r="Q51" s="7"/>
      <c r="R51" s="7"/>
      <c r="S51" s="7"/>
      <c r="T51" s="7"/>
      <c r="U51" s="7"/>
      <c r="V51" s="39"/>
      <c r="W51" s="7"/>
      <c r="X51" s="7"/>
      <c r="Y51" s="7"/>
      <c r="Z51" s="7">
        <f>Data!CT50/Data!K50</f>
        <v>3.8671214501699032E-2</v>
      </c>
      <c r="AA51" s="12">
        <f>(Data!K50-Data!AN50)/Data!K50</f>
        <v>4.7663912630424111E-2</v>
      </c>
      <c r="AB51" s="7"/>
      <c r="AC51" s="7"/>
      <c r="AD51" s="7"/>
      <c r="AE51" s="12"/>
      <c r="AG51" s="5"/>
    </row>
    <row r="52" spans="1:33" x14ac:dyDescent="0.25">
      <c r="A52" s="1" t="s">
        <v>556</v>
      </c>
      <c r="B52">
        <v>1843</v>
      </c>
      <c r="C52" s="39"/>
      <c r="D52" s="7"/>
      <c r="E52" s="7"/>
      <c r="F52" s="7">
        <v>0</v>
      </c>
      <c r="G52" s="7"/>
      <c r="H52" s="7"/>
      <c r="I52" s="7"/>
      <c r="J52" s="7"/>
      <c r="K52" s="7"/>
      <c r="L52" s="7"/>
      <c r="M52" s="7"/>
      <c r="N52" s="7"/>
      <c r="O52" s="7"/>
      <c r="P52" s="7"/>
      <c r="Q52" s="7"/>
      <c r="R52" s="7"/>
      <c r="S52" s="7"/>
      <c r="T52" s="7"/>
      <c r="U52" s="7"/>
      <c r="V52" s="39"/>
      <c r="W52" s="7"/>
      <c r="X52" s="7"/>
      <c r="Y52" s="7"/>
      <c r="Z52" s="7">
        <f>Data!CT51/Data!K51</f>
        <v>3.8763587729372134E-2</v>
      </c>
      <c r="AA52" s="12">
        <f>(Data!K51-Data!AN51)/Data!K51</f>
        <v>4.7642408295902994E-2</v>
      </c>
      <c r="AB52" s="7"/>
      <c r="AC52" s="7"/>
      <c r="AD52" s="7"/>
      <c r="AE52" s="12"/>
      <c r="AG52" s="5"/>
    </row>
    <row r="53" spans="1:33" x14ac:dyDescent="0.25">
      <c r="A53" s="1" t="s">
        <v>556</v>
      </c>
      <c r="B53">
        <v>1844</v>
      </c>
      <c r="C53" s="39"/>
      <c r="D53" s="7"/>
      <c r="E53" s="7"/>
      <c r="F53" s="7">
        <v>0</v>
      </c>
      <c r="G53" s="7"/>
      <c r="H53" s="7"/>
      <c r="I53" s="7"/>
      <c r="J53" s="7"/>
      <c r="K53" s="7"/>
      <c r="L53" s="7"/>
      <c r="M53" s="7"/>
      <c r="N53" s="7"/>
      <c r="O53" s="7"/>
      <c r="P53" s="7"/>
      <c r="Q53" s="7"/>
      <c r="R53" s="7"/>
      <c r="S53" s="7"/>
      <c r="T53" s="7"/>
      <c r="U53" s="7"/>
      <c r="V53" s="39"/>
      <c r="W53" s="7"/>
      <c r="X53" s="7"/>
      <c r="Y53" s="7"/>
      <c r="Z53" s="7">
        <f>Data!CT52/Data!K52</f>
        <v>3.9227051407821616E-2</v>
      </c>
      <c r="AA53" s="12">
        <f>(Data!K52-Data!AN52)/Data!K52</f>
        <v>4.796490075613908E-2</v>
      </c>
      <c r="AB53" s="7"/>
      <c r="AC53" s="7"/>
      <c r="AD53" s="7"/>
      <c r="AE53" s="12"/>
      <c r="AG53" s="5"/>
    </row>
    <row r="54" spans="1:33" x14ac:dyDescent="0.25">
      <c r="A54" s="1" t="s">
        <v>556</v>
      </c>
      <c r="B54">
        <v>1845</v>
      </c>
      <c r="C54" s="39"/>
      <c r="D54" s="7"/>
      <c r="E54" s="7"/>
      <c r="F54" s="7">
        <v>0</v>
      </c>
      <c r="G54" s="7"/>
      <c r="H54" s="7"/>
      <c r="I54" s="7"/>
      <c r="J54" s="7"/>
      <c r="K54" s="7"/>
      <c r="L54" s="7"/>
      <c r="M54" s="7"/>
      <c r="N54" s="7"/>
      <c r="O54" s="7"/>
      <c r="P54" s="7"/>
      <c r="Q54" s="7"/>
      <c r="R54" s="7"/>
      <c r="S54" s="7"/>
      <c r="T54" s="7"/>
      <c r="U54" s="7"/>
      <c r="V54" s="39"/>
      <c r="W54" s="7"/>
      <c r="X54" s="7"/>
      <c r="Y54" s="7"/>
      <c r="Z54" s="7">
        <f>Data!CT53/Data!K53</f>
        <v>4.0490357023312669E-2</v>
      </c>
      <c r="AA54" s="12">
        <f>(Data!K53-Data!AN53)/Data!K53</f>
        <v>4.742618006318057E-2</v>
      </c>
      <c r="AB54" s="7"/>
      <c r="AC54" s="7"/>
      <c r="AD54" s="7"/>
      <c r="AE54" s="12"/>
      <c r="AG54" s="5"/>
    </row>
    <row r="55" spans="1:33" x14ac:dyDescent="0.25">
      <c r="A55" s="1" t="s">
        <v>556</v>
      </c>
      <c r="B55">
        <v>1846</v>
      </c>
      <c r="C55" s="39"/>
      <c r="D55" s="7"/>
      <c r="E55" s="7"/>
      <c r="F55" s="7">
        <v>0</v>
      </c>
      <c r="G55" s="7"/>
      <c r="H55" s="7"/>
      <c r="I55" s="7"/>
      <c r="J55" s="7"/>
      <c r="K55" s="7"/>
      <c r="L55" s="7"/>
      <c r="M55" s="7"/>
      <c r="N55" s="7"/>
      <c r="O55" s="7"/>
      <c r="P55" s="7"/>
      <c r="Q55" s="7"/>
      <c r="R55" s="7"/>
      <c r="S55" s="7"/>
      <c r="T55" s="7"/>
      <c r="U55" s="7"/>
      <c r="V55" s="39"/>
      <c r="W55" s="7"/>
      <c r="X55" s="7"/>
      <c r="Y55" s="7"/>
      <c r="Z55" s="7">
        <f>Data!CT54/Data!K54</f>
        <v>3.7851780335693357E-2</v>
      </c>
      <c r="AA55" s="12">
        <f>(Data!K54-Data!AN54)/Data!K54</f>
        <v>4.7534614505886995E-2</v>
      </c>
      <c r="AB55" s="7"/>
      <c r="AC55" s="7"/>
      <c r="AD55" s="7"/>
      <c r="AE55" s="12"/>
      <c r="AG55" s="5"/>
    </row>
    <row r="56" spans="1:33" x14ac:dyDescent="0.25">
      <c r="A56" s="1" t="s">
        <v>556</v>
      </c>
      <c r="B56">
        <v>1847</v>
      </c>
      <c r="C56" s="39"/>
      <c r="D56" s="7"/>
      <c r="E56" s="7"/>
      <c r="F56" s="7">
        <v>0</v>
      </c>
      <c r="G56" s="7"/>
      <c r="H56" s="7"/>
      <c r="I56" s="7"/>
      <c r="J56" s="7"/>
      <c r="K56" s="7"/>
      <c r="L56" s="7"/>
      <c r="M56" s="7"/>
      <c r="N56" s="7"/>
      <c r="O56" s="7"/>
      <c r="P56" s="7"/>
      <c r="Q56" s="7"/>
      <c r="R56" s="7"/>
      <c r="S56" s="7"/>
      <c r="T56" s="7"/>
      <c r="U56" s="7"/>
      <c r="V56" s="39"/>
      <c r="W56" s="7"/>
      <c r="X56" s="7"/>
      <c r="Y56" s="7"/>
      <c r="Z56" s="7">
        <f>Data!CT55/Data!K55</f>
        <v>3.7525650047714895E-2</v>
      </c>
      <c r="AA56" s="12">
        <f>(Data!K55-Data!AN55)/Data!K55</f>
        <v>4.768592641263758E-2</v>
      </c>
      <c r="AB56" s="7"/>
      <c r="AC56" s="7"/>
      <c r="AD56" s="7"/>
      <c r="AE56" s="12"/>
      <c r="AG56" s="5"/>
    </row>
    <row r="57" spans="1:33" x14ac:dyDescent="0.25">
      <c r="A57" s="1" t="s">
        <v>556</v>
      </c>
      <c r="B57">
        <v>1848</v>
      </c>
      <c r="C57" s="39"/>
      <c r="D57" s="7"/>
      <c r="E57" s="7"/>
      <c r="F57" s="7">
        <v>0</v>
      </c>
      <c r="G57" s="7"/>
      <c r="H57" s="7"/>
      <c r="I57" s="7"/>
      <c r="J57" s="7"/>
      <c r="K57" s="7"/>
      <c r="L57" s="7"/>
      <c r="M57" s="7"/>
      <c r="N57" s="7"/>
      <c r="O57" s="7"/>
      <c r="P57" s="7"/>
      <c r="Q57" s="7"/>
      <c r="R57" s="7"/>
      <c r="S57" s="7"/>
      <c r="T57" s="7"/>
      <c r="U57" s="7"/>
      <c r="V57" s="39"/>
      <c r="W57" s="7"/>
      <c r="X57" s="7"/>
      <c r="Y57" s="7"/>
      <c r="Z57" s="7">
        <f>Data!CT56/Data!K56</f>
        <v>3.8263969553054139E-2</v>
      </c>
      <c r="AA57" s="12">
        <f>(Data!K56-Data!AN56)/Data!K56</f>
        <v>4.7742854852486701E-2</v>
      </c>
      <c r="AB57" s="7"/>
      <c r="AC57" s="7"/>
      <c r="AD57" s="7"/>
      <c r="AE57" s="12"/>
      <c r="AG57" s="5"/>
    </row>
    <row r="58" spans="1:33" ht="13.8" thickBot="1" x14ac:dyDescent="0.3">
      <c r="A58" s="1" t="s">
        <v>556</v>
      </c>
      <c r="B58">
        <v>1849</v>
      </c>
      <c r="C58" s="39"/>
      <c r="D58" s="7"/>
      <c r="E58" s="7"/>
      <c r="F58" s="7">
        <v>0</v>
      </c>
      <c r="G58" s="7"/>
      <c r="H58" s="7"/>
      <c r="I58" s="7"/>
      <c r="J58" s="7"/>
      <c r="K58" s="7"/>
      <c r="L58" s="7"/>
      <c r="M58" s="7"/>
      <c r="N58" s="7"/>
      <c r="O58" s="7"/>
      <c r="P58" s="7"/>
      <c r="Q58" s="7"/>
      <c r="R58" s="7"/>
      <c r="S58" s="7"/>
      <c r="T58" s="7"/>
      <c r="U58" s="7"/>
      <c r="V58" s="39"/>
      <c r="W58" s="7"/>
      <c r="X58" s="7"/>
      <c r="Y58" s="7"/>
      <c r="Z58" s="7">
        <f>Data!CT57/Data!K57</f>
        <v>4.077262691796945E-2</v>
      </c>
      <c r="AA58" s="12">
        <f>(Data!K57-Data!AN57)/Data!K57</f>
        <v>4.7813892823479406E-2</v>
      </c>
      <c r="AB58" s="7"/>
      <c r="AC58" s="7"/>
      <c r="AD58" s="7"/>
      <c r="AE58" s="12"/>
      <c r="AG58" s="5"/>
    </row>
    <row r="59" spans="1:33" x14ac:dyDescent="0.25">
      <c r="A59" s="1" t="s">
        <v>556</v>
      </c>
      <c r="B59">
        <v>1850</v>
      </c>
      <c r="C59" s="45">
        <f t="shared" ref="C59:C122" si="0">E59+F59+D59</f>
        <v>5.8151636108986278E-2</v>
      </c>
      <c r="D59" s="50">
        <f>Data!HI58/Data!K58</f>
        <v>5.6546620856902555E-2</v>
      </c>
      <c r="E59" s="51">
        <f>Data!IC58/Data!K58</f>
        <v>1.605015252083725E-3</v>
      </c>
      <c r="F59" s="51">
        <v>0</v>
      </c>
      <c r="G59" s="52">
        <f>Data!IC58/Data!K58</f>
        <v>1.605015252083725E-3</v>
      </c>
      <c r="H59" s="50">
        <f>I59+J59</f>
        <v>0.48883867450078555</v>
      </c>
      <c r="I59" s="62">
        <f>V59-R59-D59</f>
        <v>0.3495984747933592</v>
      </c>
      <c r="J59" s="51">
        <f>X59-N59</f>
        <v>0.13924019970742632</v>
      </c>
      <c r="K59" s="51"/>
      <c r="L59" s="52"/>
      <c r="M59" s="50">
        <f>N59+Q59</f>
        <v>0.40683817755194523</v>
      </c>
      <c r="N59" s="57">
        <f>Data!ID58/Data!K58</f>
        <v>4.9936060503415196E-2</v>
      </c>
      <c r="O59" s="51"/>
      <c r="P59" s="60">
        <v>0.01</v>
      </c>
      <c r="Q59" s="51">
        <f>R59+S59</f>
        <v>0.35690211704853003</v>
      </c>
      <c r="R59" s="51">
        <f>(1/3)*(S59/(J59+S59))*(V59)</f>
        <v>0.11000943131302691</v>
      </c>
      <c r="S59" s="51">
        <f>(Data!HU58/0.7)/Data!K58</f>
        <v>0.24689268573550313</v>
      </c>
      <c r="T59" s="51"/>
      <c r="U59" s="52"/>
      <c r="V59" s="43">
        <f>Data!HK58/Data!K58</f>
        <v>0.51615452696328867</v>
      </c>
      <c r="W59" s="49">
        <f>X59+Y59</f>
        <v>0.43606894594634465</v>
      </c>
      <c r="X59" s="44">
        <f>Data!IE58/Data!K58 - 0.3*Y59</f>
        <v>0.18917626021084152</v>
      </c>
      <c r="Y59" s="44">
        <f>S59</f>
        <v>0.24689268573550313</v>
      </c>
      <c r="Z59" s="44">
        <f>Data!CT58/Data!K58</f>
        <v>4.0845745505202341E-2</v>
      </c>
      <c r="AA59" s="46">
        <f>(Data!K58-Data!AN58)/Data!K58</f>
        <v>4.7776527090366519E-2</v>
      </c>
      <c r="AB59" s="44"/>
      <c r="AC59" s="44"/>
      <c r="AD59" s="44"/>
      <c r="AE59" s="46"/>
      <c r="AF59" s="5">
        <f>N59+Q59+H59+C59+AA59</f>
        <v>1.0016050152520837</v>
      </c>
      <c r="AG59" s="5">
        <f>V59+X59+AA59+Y59</f>
        <v>0.99999999999999989</v>
      </c>
    </row>
    <row r="60" spans="1:33" x14ac:dyDescent="0.25">
      <c r="A60" s="1" t="s">
        <v>556</v>
      </c>
      <c r="B60">
        <v>1851</v>
      </c>
      <c r="C60" s="45">
        <f t="shared" si="0"/>
        <v>6.0043939233705636E-2</v>
      </c>
      <c r="D60" s="45">
        <f>Data!HI59/Data!K59</f>
        <v>5.8486391122897149E-2</v>
      </c>
      <c r="E60" s="44">
        <f>Data!IC59/Data!K59</f>
        <v>1.5575481108084895E-3</v>
      </c>
      <c r="F60" s="7">
        <v>0</v>
      </c>
      <c r="G60" s="46">
        <f>Data!IC59/Data!K59</f>
        <v>1.5575481108084895E-3</v>
      </c>
      <c r="H60" s="45">
        <f t="shared" ref="H60:H123" si="1">I60+J60</f>
        <v>0.50102799957410094</v>
      </c>
      <c r="I60" s="63">
        <f t="shared" ref="I60:I123" si="2">V60-R60-D60</f>
        <v>0.34453700244624919</v>
      </c>
      <c r="J60" s="44">
        <f t="shared" ref="J60:J123" si="3">X60-N60</f>
        <v>0.15649099712785169</v>
      </c>
      <c r="K60" s="7"/>
      <c r="L60" s="12"/>
      <c r="M60" s="45">
        <f t="shared" ref="M60:M123" si="4">N60+Q60</f>
        <v>0.39280507183789498</v>
      </c>
      <c r="N60" s="58">
        <f>Data!ID59/Data!K59</f>
        <v>4.9384796502161252E-2</v>
      </c>
      <c r="O60" s="7"/>
      <c r="P60" s="61">
        <v>0.01</v>
      </c>
      <c r="Q60" s="44">
        <f t="shared" ref="Q60:Q123" si="5">R60+S60</f>
        <v>0.34342027533573372</v>
      </c>
      <c r="R60" s="44">
        <f t="shared" ref="R60:R123" si="6">(1/3)*(S60/(J60+S60))*(V60)</f>
        <v>0.10214077285421047</v>
      </c>
      <c r="S60" s="44">
        <f>(Data!HU59/Data!K59)/0.7</f>
        <v>0.24127950248152327</v>
      </c>
      <c r="T60" s="7"/>
      <c r="U60" s="12"/>
      <c r="V60" s="43">
        <f>Data!HK59/Data!K59</f>
        <v>0.50516416642335682</v>
      </c>
      <c r="W60" s="49">
        <f t="shared" ref="W60:W123" si="7">X60+Y60</f>
        <v>0.44715529611153626</v>
      </c>
      <c r="X60" s="44">
        <f>Data!IE59/Data!K59 - 0.3*Y60</f>
        <v>0.20587579363001296</v>
      </c>
      <c r="Y60" s="44">
        <f t="shared" ref="Y60:Y123" si="8">S60</f>
        <v>0.24127950248152327</v>
      </c>
      <c r="Z60" s="7">
        <f>Data!CT59/Data!K59</f>
        <v>4.0437790597398798E-2</v>
      </c>
      <c r="AA60" s="12">
        <f>(Data!K59-Data!AN59)/Data!K59</f>
        <v>4.7680537465107045E-2</v>
      </c>
      <c r="AB60" s="7"/>
      <c r="AC60" s="7"/>
      <c r="AD60" s="7"/>
      <c r="AE60" s="12"/>
      <c r="AF60" s="5">
        <f t="shared" ref="AF60:AF123" si="9">N60+Q60+H60+C60+AA60</f>
        <v>1.0015575481108088</v>
      </c>
      <c r="AG60" s="5">
        <f t="shared" ref="AG60:AG123" si="10">V60+X60+AA60+Y60</f>
        <v>1</v>
      </c>
    </row>
    <row r="61" spans="1:33" x14ac:dyDescent="0.25">
      <c r="A61" s="1" t="s">
        <v>556</v>
      </c>
      <c r="B61">
        <v>1852</v>
      </c>
      <c r="C61" s="45">
        <f t="shared" si="0"/>
        <v>5.7908923870167689E-2</v>
      </c>
      <c r="D61" s="45">
        <f>Data!HI60/Data!K60</f>
        <v>5.6349185129108185E-2</v>
      </c>
      <c r="E61" s="44">
        <f>Data!IC60/Data!K60</f>
        <v>1.5597387410595045E-3</v>
      </c>
      <c r="F61" s="7">
        <v>0</v>
      </c>
      <c r="G61" s="46">
        <f>Data!IC60/Data!K60</f>
        <v>1.5597387410595045E-3</v>
      </c>
      <c r="H61" s="45">
        <f t="shared" si="1"/>
        <v>0.50314339892485194</v>
      </c>
      <c r="I61" s="63">
        <f t="shared" si="2"/>
        <v>0.34461379367911577</v>
      </c>
      <c r="J61" s="44">
        <f t="shared" si="3"/>
        <v>0.15852960524573623</v>
      </c>
      <c r="K61" s="7"/>
      <c r="L61" s="12"/>
      <c r="M61" s="45">
        <f t="shared" si="4"/>
        <v>0.39271857695038404</v>
      </c>
      <c r="N61" s="58">
        <f>Data!ID60/Data!K60</f>
        <v>5.0110104362750499E-2</v>
      </c>
      <c r="O61" s="7"/>
      <c r="P61" s="61">
        <v>0.01</v>
      </c>
      <c r="Q61" s="44">
        <f t="shared" si="5"/>
        <v>0.34260847258763355</v>
      </c>
      <c r="R61" s="44">
        <f t="shared" si="6"/>
        <v>0.10103167560784179</v>
      </c>
      <c r="S61" s="44">
        <f>(Data!HU60/Data!K60)/0.7</f>
        <v>0.24157679697979176</v>
      </c>
      <c r="T61" s="7"/>
      <c r="U61" s="12"/>
      <c r="V61" s="43">
        <f>Data!HK60/Data!K60</f>
        <v>0.50199465441606572</v>
      </c>
      <c r="W61" s="49">
        <f t="shared" si="7"/>
        <v>0.4502165065882785</v>
      </c>
      <c r="X61" s="44">
        <f>Data!IE60/Data!K60 - 0.3*Y61</f>
        <v>0.20863970960848671</v>
      </c>
      <c r="Y61" s="44">
        <f t="shared" si="8"/>
        <v>0.24157679697979176</v>
      </c>
      <c r="Z61" s="7">
        <f>Data!CT60/Data!K60</f>
        <v>4.1063533029619452E-2</v>
      </c>
      <c r="AA61" s="12">
        <f>(Data!K60-Data!AN60)/Data!K60</f>
        <v>4.7788838995655829E-2</v>
      </c>
      <c r="AB61" s="7"/>
      <c r="AC61" s="7"/>
      <c r="AD61" s="7"/>
      <c r="AE61" s="12"/>
      <c r="AF61" s="5">
        <f t="shared" si="9"/>
        <v>1.0015597387410595</v>
      </c>
      <c r="AG61" s="5">
        <f t="shared" si="10"/>
        <v>1</v>
      </c>
    </row>
    <row r="62" spans="1:33" x14ac:dyDescent="0.25">
      <c r="A62" s="1" t="s">
        <v>556</v>
      </c>
      <c r="B62">
        <v>1853</v>
      </c>
      <c r="C62" s="45">
        <f t="shared" si="0"/>
        <v>6.0126819670765601E-2</v>
      </c>
      <c r="D62" s="45">
        <f>Data!HI61/Data!K61</f>
        <v>5.8526778738223546E-2</v>
      </c>
      <c r="E62" s="44">
        <f>Data!IC61/Data!K61</f>
        <v>1.6000409325420532E-3</v>
      </c>
      <c r="F62" s="7">
        <v>0</v>
      </c>
      <c r="G62" s="46">
        <f>Data!IC61/Data!K61</f>
        <v>1.6000409325420532E-3</v>
      </c>
      <c r="H62" s="45">
        <f t="shared" si="1"/>
        <v>0.5063390496428779</v>
      </c>
      <c r="I62" s="63">
        <f t="shared" si="2"/>
        <v>0.34220154652425994</v>
      </c>
      <c r="J62" s="44">
        <f t="shared" si="3"/>
        <v>0.16413750311861794</v>
      </c>
      <c r="K62" s="7"/>
      <c r="L62" s="12"/>
      <c r="M62" s="45">
        <f t="shared" si="4"/>
        <v>0.38745783837561565</v>
      </c>
      <c r="N62" s="58">
        <f>Data!ID61/Data!K61</f>
        <v>5.1070032941870756E-2</v>
      </c>
      <c r="O62" s="7"/>
      <c r="P62" s="61">
        <v>0.01</v>
      </c>
      <c r="Q62" s="44">
        <f t="shared" si="5"/>
        <v>0.33638780543374491</v>
      </c>
      <c r="R62" s="44">
        <f t="shared" si="6"/>
        <v>9.8467450024861042E-2</v>
      </c>
      <c r="S62" s="44">
        <f>(Data!HU61/Data!K61)/0.7</f>
        <v>0.23792035540888384</v>
      </c>
      <c r="T62" s="7"/>
      <c r="U62" s="12"/>
      <c r="V62" s="43">
        <f>Data!HK61/Data!K61</f>
        <v>0.49919577528734449</v>
      </c>
      <c r="W62" s="49">
        <f t="shared" si="7"/>
        <v>0.45312789146937255</v>
      </c>
      <c r="X62" s="44">
        <f>Data!IE61/Data!K61 - 0.3*Y62</f>
        <v>0.2152075360604887</v>
      </c>
      <c r="Y62" s="44">
        <f t="shared" si="8"/>
        <v>0.23792035540888384</v>
      </c>
      <c r="Z62" s="7">
        <f>Data!CT61/Data!K61</f>
        <v>4.2419453581261014E-2</v>
      </c>
      <c r="AA62" s="12">
        <f>(Data!K61-Data!AN61)/Data!K61</f>
        <v>4.767633324328286E-2</v>
      </c>
      <c r="AB62" s="7"/>
      <c r="AC62" s="7"/>
      <c r="AD62" s="7"/>
      <c r="AE62" s="12"/>
      <c r="AF62" s="5">
        <f t="shared" si="9"/>
        <v>1.0016000409325421</v>
      </c>
      <c r="AG62" s="5">
        <f t="shared" si="10"/>
        <v>1</v>
      </c>
    </row>
    <row r="63" spans="1:33" x14ac:dyDescent="0.25">
      <c r="A63" s="1" t="s">
        <v>556</v>
      </c>
      <c r="B63">
        <v>1854</v>
      </c>
      <c r="C63" s="45">
        <f t="shared" si="0"/>
        <v>5.1563088731898077E-2</v>
      </c>
      <c r="D63" s="45">
        <f>Data!HI62/Data!K62</f>
        <v>4.9986988225530042E-2</v>
      </c>
      <c r="E63" s="44">
        <f>Data!IC62/Data!K62</f>
        <v>1.5761005063680345E-3</v>
      </c>
      <c r="F63" s="7">
        <v>0</v>
      </c>
      <c r="G63" s="46">
        <f>Data!IC62/Data!K62</f>
        <v>1.5761005063680345E-3</v>
      </c>
      <c r="H63" s="45">
        <f t="shared" si="1"/>
        <v>0.54651564009094433</v>
      </c>
      <c r="I63" s="63">
        <f t="shared" si="2"/>
        <v>0.33729197585392034</v>
      </c>
      <c r="J63" s="44">
        <f t="shared" si="3"/>
        <v>0.20922366423702404</v>
      </c>
      <c r="K63" s="7"/>
      <c r="L63" s="12"/>
      <c r="M63" s="45">
        <f t="shared" si="4"/>
        <v>0.35538663165154777</v>
      </c>
      <c r="N63" s="58">
        <f>Data!ID62/Data!K62</f>
        <v>5.1101528827219869E-2</v>
      </c>
      <c r="O63" s="7"/>
      <c r="P63" s="61">
        <v>0.01</v>
      </c>
      <c r="Q63" s="44">
        <f t="shared" si="5"/>
        <v>0.30428510282432791</v>
      </c>
      <c r="R63" s="44">
        <f t="shared" si="6"/>
        <v>8.0584793700004764E-2</v>
      </c>
      <c r="S63" s="44">
        <f>(Data!HU62/Data!K62)/0.7</f>
        <v>0.22370030912432315</v>
      </c>
      <c r="T63" s="7"/>
      <c r="U63" s="12"/>
      <c r="V63" s="43">
        <f>Data!HK62/Data!K62</f>
        <v>0.46786375777945516</v>
      </c>
      <c r="W63" s="49">
        <f t="shared" si="7"/>
        <v>0.48402550218856705</v>
      </c>
      <c r="X63" s="44">
        <f>Data!IE62/Data!K62 - 0.3*Y63</f>
        <v>0.2603251930642439</v>
      </c>
      <c r="Y63" s="44">
        <f t="shared" si="8"/>
        <v>0.22370030912432315</v>
      </c>
      <c r="Z63" s="7">
        <f>Data!CT62/Data!K62</f>
        <v>4.1926581032221022E-2</v>
      </c>
      <c r="AA63" s="12">
        <f>(Data!K62-Data!AN62)/Data!K62</f>
        <v>4.8110740031977552E-2</v>
      </c>
      <c r="AB63" s="7"/>
      <c r="AC63" s="7"/>
      <c r="AD63" s="7"/>
      <c r="AE63" s="12"/>
      <c r="AF63" s="5">
        <f t="shared" si="9"/>
        <v>1.0015761005063677</v>
      </c>
      <c r="AG63" s="5">
        <f t="shared" si="10"/>
        <v>0.99999999999999978</v>
      </c>
    </row>
    <row r="64" spans="1:33" x14ac:dyDescent="0.25">
      <c r="A64" s="1" t="s">
        <v>556</v>
      </c>
      <c r="B64">
        <v>1855</v>
      </c>
      <c r="C64" s="45">
        <f t="shared" si="0"/>
        <v>4.9113771752464327E-2</v>
      </c>
      <c r="D64" s="45">
        <f>Data!HI63/Data!K63</f>
        <v>4.7405754596973528E-2</v>
      </c>
      <c r="E64" s="44">
        <f>Data!IC63/Data!K63</f>
        <v>1.7080171554907967E-3</v>
      </c>
      <c r="F64" s="7">
        <v>0</v>
      </c>
      <c r="G64" s="46">
        <f>Data!IC63/Data!K63</f>
        <v>1.7080171554907967E-3</v>
      </c>
      <c r="H64" s="45">
        <f t="shared" si="1"/>
        <v>0.50251121162438872</v>
      </c>
      <c r="I64" s="63">
        <f t="shared" si="2"/>
        <v>0.35383005428335668</v>
      </c>
      <c r="J64" s="44">
        <f t="shared" si="3"/>
        <v>0.14868115734103207</v>
      </c>
      <c r="K64" s="7"/>
      <c r="L64" s="12"/>
      <c r="M64" s="45">
        <f t="shared" si="4"/>
        <v>0.40184804884322634</v>
      </c>
      <c r="N64" s="58">
        <f>Data!ID63/Data!K63</f>
        <v>5.4315387610934275E-2</v>
      </c>
      <c r="O64" s="7"/>
      <c r="P64" s="61">
        <v>0.01</v>
      </c>
      <c r="Q64" s="44">
        <f t="shared" si="5"/>
        <v>0.34753266123229204</v>
      </c>
      <c r="R64" s="44">
        <f t="shared" si="6"/>
        <v>0.10459610564428505</v>
      </c>
      <c r="S64" s="44">
        <f>(Data!HU63/Data!K63)/0.7</f>
        <v>0.242936555588007</v>
      </c>
      <c r="T64" s="7"/>
      <c r="U64" s="12"/>
      <c r="V64" s="43">
        <f>Data!HK63/Data!K63</f>
        <v>0.50583191452461529</v>
      </c>
      <c r="W64" s="49">
        <f t="shared" si="7"/>
        <v>0.44593310053997337</v>
      </c>
      <c r="X64" s="44">
        <f>Data!IE63/Data!K63 - 0.3*Y64</f>
        <v>0.20299654495196634</v>
      </c>
      <c r="Y64" s="44">
        <f t="shared" si="8"/>
        <v>0.242936555588007</v>
      </c>
      <c r="Z64" s="7">
        <f>Data!CT63/Data!K63</f>
        <v>4.6550427344436054E-2</v>
      </c>
      <c r="AA64" s="12">
        <f>(Data!K63-Data!AN63)/Data!K63</f>
        <v>4.8234984935411326E-2</v>
      </c>
      <c r="AB64" s="7"/>
      <c r="AC64" s="7"/>
      <c r="AD64" s="7"/>
      <c r="AE64" s="12"/>
      <c r="AF64" s="5">
        <f t="shared" si="9"/>
        <v>1.0017080171554906</v>
      </c>
      <c r="AG64" s="5">
        <f t="shared" si="10"/>
        <v>1</v>
      </c>
    </row>
    <row r="65" spans="1:33" x14ac:dyDescent="0.25">
      <c r="A65" s="1" t="s">
        <v>556</v>
      </c>
      <c r="B65">
        <v>1856</v>
      </c>
      <c r="C65" s="45">
        <f t="shared" si="0"/>
        <v>4.41200704871305E-2</v>
      </c>
      <c r="D65" s="45">
        <f>Data!HI64/Data!K64</f>
        <v>4.2471108529114419E-2</v>
      </c>
      <c r="E65" s="44">
        <f>Data!IC64/Data!K64</f>
        <v>1.6489619580160775E-3</v>
      </c>
      <c r="F65" s="7">
        <v>0</v>
      </c>
      <c r="G65" s="46">
        <f>Data!IC64/Data!K64</f>
        <v>1.6489619580160775E-3</v>
      </c>
      <c r="H65" s="45">
        <f t="shared" si="1"/>
        <v>0.52684627822243657</v>
      </c>
      <c r="I65" s="63">
        <f t="shared" si="2"/>
        <v>0.34859725622145749</v>
      </c>
      <c r="J65" s="44">
        <f t="shared" si="3"/>
        <v>0.17824902200097914</v>
      </c>
      <c r="K65" s="7"/>
      <c r="L65" s="12"/>
      <c r="M65" s="45">
        <f t="shared" si="4"/>
        <v>0.38219431608897769</v>
      </c>
      <c r="N65" s="58">
        <f>Data!ID64/Data!K64</f>
        <v>5.5012985721361915E-2</v>
      </c>
      <c r="O65" s="7"/>
      <c r="P65" s="61">
        <v>0.01</v>
      </c>
      <c r="Q65" s="44">
        <f t="shared" si="5"/>
        <v>0.32718133036761576</v>
      </c>
      <c r="R65" s="44">
        <f t="shared" si="6"/>
        <v>9.1589351340338673E-2</v>
      </c>
      <c r="S65" s="44">
        <f>(Data!HU64/Data!K64)/0.7</f>
        <v>0.2355919790272771</v>
      </c>
      <c r="T65" s="7"/>
      <c r="U65" s="12"/>
      <c r="V65" s="43">
        <f>Data!HK64/Data!K64</f>
        <v>0.48265771609091057</v>
      </c>
      <c r="W65" s="49">
        <f t="shared" si="7"/>
        <v>0.46885398674961815</v>
      </c>
      <c r="X65" s="44">
        <f>Data!IE64/Data!K64 - 0.3*Y65</f>
        <v>0.23326200772234104</v>
      </c>
      <c r="Y65" s="44">
        <f t="shared" si="8"/>
        <v>0.2355919790272771</v>
      </c>
      <c r="Z65" s="7">
        <f>Data!CT64/Data!K64</f>
        <v>4.6832265375974819E-2</v>
      </c>
      <c r="AA65" s="12">
        <f>(Data!K64-Data!AN64)/Data!K64</f>
        <v>4.84882971594712E-2</v>
      </c>
      <c r="AB65" s="7"/>
      <c r="AC65" s="7"/>
      <c r="AD65" s="7"/>
      <c r="AE65" s="12"/>
      <c r="AF65" s="5">
        <f t="shared" si="9"/>
        <v>1.001648961958016</v>
      </c>
      <c r="AG65" s="5">
        <f t="shared" si="10"/>
        <v>1</v>
      </c>
    </row>
    <row r="66" spans="1:33" x14ac:dyDescent="0.25">
      <c r="A66" s="1" t="s">
        <v>556</v>
      </c>
      <c r="B66">
        <v>1857</v>
      </c>
      <c r="C66" s="45">
        <f t="shared" si="0"/>
        <v>4.3212721636886935E-2</v>
      </c>
      <c r="D66" s="45">
        <f>Data!HI65/Data!K65</f>
        <v>4.1460509889803022E-2</v>
      </c>
      <c r="E66" s="44">
        <f>Data!IC65/Data!K65</f>
        <v>1.7522117470839128E-3</v>
      </c>
      <c r="F66" s="7">
        <v>0</v>
      </c>
      <c r="G66" s="46">
        <f>Data!IC65/Data!K65</f>
        <v>1.7522117470839128E-3</v>
      </c>
      <c r="H66" s="45">
        <f t="shared" si="1"/>
        <v>0.50278204448180597</v>
      </c>
      <c r="I66" s="63">
        <f t="shared" si="2"/>
        <v>0.34885685263712507</v>
      </c>
      <c r="J66" s="44">
        <f t="shared" si="3"/>
        <v>0.1539251918446809</v>
      </c>
      <c r="K66" s="7"/>
      <c r="L66" s="12"/>
      <c r="M66" s="45">
        <f t="shared" si="4"/>
        <v>0.40722312197613597</v>
      </c>
      <c r="N66" s="58">
        <f>Data!ID65/Data!K65</f>
        <v>6.2802125940040476E-2</v>
      </c>
      <c r="O66" s="7"/>
      <c r="P66" s="61">
        <v>0.01</v>
      </c>
      <c r="Q66" s="44">
        <f t="shared" si="5"/>
        <v>0.34442099603609549</v>
      </c>
      <c r="R66" s="44">
        <f t="shared" si="6"/>
        <v>0.10029815859476381</v>
      </c>
      <c r="S66" s="44">
        <f>(Data!HU65/Data!K65)/0.7</f>
        <v>0.24412283744133167</v>
      </c>
      <c r="T66" s="7"/>
      <c r="U66" s="12"/>
      <c r="V66" s="43">
        <f>Data!HK65/Data!K65</f>
        <v>0.49061552112169193</v>
      </c>
      <c r="W66" s="49">
        <f t="shared" si="7"/>
        <v>0.46085015522605305</v>
      </c>
      <c r="X66" s="44">
        <f>Data!IE65/Data!K65 - 0.3*Y66</f>
        <v>0.21672731778472137</v>
      </c>
      <c r="Y66" s="44">
        <f t="shared" si="8"/>
        <v>0.24412283744133167</v>
      </c>
      <c r="Z66" s="7">
        <f>Data!CT65/Data!K65</f>
        <v>5.0926999375993001E-2</v>
      </c>
      <c r="AA66" s="12">
        <f>(Data!K65-Data!AN65)/Data!K65</f>
        <v>4.853432365225524E-2</v>
      </c>
      <c r="AB66" s="7"/>
      <c r="AC66" s="7"/>
      <c r="AD66" s="7"/>
      <c r="AE66" s="12"/>
      <c r="AF66" s="5">
        <f t="shared" si="9"/>
        <v>1.0017522117470841</v>
      </c>
      <c r="AG66" s="5">
        <f t="shared" si="10"/>
        <v>1.0000000000000004</v>
      </c>
    </row>
    <row r="67" spans="1:33" x14ac:dyDescent="0.25">
      <c r="A67" s="1" t="s">
        <v>556</v>
      </c>
      <c r="B67">
        <v>1858</v>
      </c>
      <c r="C67" s="45">
        <f t="shared" si="0"/>
        <v>5.0240469719960754E-2</v>
      </c>
      <c r="D67" s="45">
        <f>Data!HI66/Data!K66</f>
        <v>4.8612704743199855E-2</v>
      </c>
      <c r="E67" s="44">
        <f>Data!IC66/Data!K66</f>
        <v>1.6277649767608962E-3</v>
      </c>
      <c r="F67" s="7">
        <v>0</v>
      </c>
      <c r="G67" s="46">
        <f>Data!IC66/Data!K66</f>
        <v>1.6277649767608962E-3</v>
      </c>
      <c r="H67" s="45">
        <f t="shared" si="1"/>
        <v>0.5109524812217181</v>
      </c>
      <c r="I67" s="63">
        <f t="shared" si="2"/>
        <v>0.34270621978105104</v>
      </c>
      <c r="J67" s="44">
        <f t="shared" si="3"/>
        <v>0.16824626144066704</v>
      </c>
      <c r="K67" s="7"/>
      <c r="L67" s="12"/>
      <c r="M67" s="45">
        <f t="shared" si="4"/>
        <v>0.3922569823719283</v>
      </c>
      <c r="N67" s="58">
        <f>Data!ID66/Data!K66</f>
        <v>5.9723717389228013E-2</v>
      </c>
      <c r="O67" s="7"/>
      <c r="P67" s="61">
        <v>0.01</v>
      </c>
      <c r="Q67" s="44">
        <f t="shared" si="5"/>
        <v>0.33253326498270031</v>
      </c>
      <c r="R67" s="44">
        <f t="shared" si="6"/>
        <v>9.4889750162424374E-2</v>
      </c>
      <c r="S67" s="44">
        <f>(Data!HU66/Data!K66)/0.7</f>
        <v>0.23764351482027596</v>
      </c>
      <c r="T67" s="7"/>
      <c r="U67" s="12"/>
      <c r="V67" s="43">
        <f>Data!HK66/Data!K66</f>
        <v>0.48620867468667522</v>
      </c>
      <c r="W67" s="49">
        <f t="shared" si="7"/>
        <v>0.46561349365017102</v>
      </c>
      <c r="X67" s="44">
        <f>Data!IE66/Data!K66 - 0.3*Y67</f>
        <v>0.22796997882989506</v>
      </c>
      <c r="Y67" s="44">
        <f t="shared" si="8"/>
        <v>0.23764351482027596</v>
      </c>
      <c r="Z67" s="7">
        <f>Data!CT66/Data!K66</f>
        <v>4.9153319346280346E-2</v>
      </c>
      <c r="AA67" s="12">
        <f>(Data!K66-Data!AN66)/Data!K66</f>
        <v>4.8177831663153863E-2</v>
      </c>
      <c r="AB67" s="7"/>
      <c r="AC67" s="7"/>
      <c r="AD67" s="7"/>
      <c r="AE67" s="12"/>
      <c r="AF67" s="5">
        <f t="shared" si="9"/>
        <v>1.0016277649767611</v>
      </c>
      <c r="AG67" s="5">
        <f t="shared" si="10"/>
        <v>1</v>
      </c>
    </row>
    <row r="68" spans="1:33" x14ac:dyDescent="0.25">
      <c r="A68" s="1" t="s">
        <v>556</v>
      </c>
      <c r="B68">
        <v>1859</v>
      </c>
      <c r="C68" s="45">
        <f t="shared" si="0"/>
        <v>5.1409895089450715E-2</v>
      </c>
      <c r="D68" s="45">
        <f>Data!HI67/Data!K67</f>
        <v>4.9765833004375586E-2</v>
      </c>
      <c r="E68" s="44">
        <f>Data!IC67/Data!K67</f>
        <v>1.6440620850751303E-3</v>
      </c>
      <c r="F68" s="7">
        <v>0</v>
      </c>
      <c r="G68" s="46">
        <f>Data!IC67/Data!K67</f>
        <v>1.6440620850751303E-3</v>
      </c>
      <c r="H68" s="45">
        <f t="shared" si="1"/>
        <v>0.49812246560756335</v>
      </c>
      <c r="I68" s="63">
        <f t="shared" si="2"/>
        <v>0.34343645912244292</v>
      </c>
      <c r="J68" s="44">
        <f t="shared" si="3"/>
        <v>0.1546860064851204</v>
      </c>
      <c r="K68" s="7"/>
      <c r="L68" s="12"/>
      <c r="M68" s="45">
        <f t="shared" si="4"/>
        <v>0.40399319040219217</v>
      </c>
      <c r="N68" s="58">
        <f>Data!ID67/Data!K67</f>
        <v>6.2741827205177098E-2</v>
      </c>
      <c r="O68" s="7"/>
      <c r="P68" s="61">
        <v>0.01</v>
      </c>
      <c r="Q68" s="44">
        <f t="shared" si="5"/>
        <v>0.34125136319701505</v>
      </c>
      <c r="R68" s="44">
        <f t="shared" si="6"/>
        <v>0.10017949243052772</v>
      </c>
      <c r="S68" s="44">
        <f>(Data!HU67/Data!K67)/0.7</f>
        <v>0.24107187076648734</v>
      </c>
      <c r="T68" s="7"/>
      <c r="U68" s="12"/>
      <c r="V68" s="43">
        <f>Data!HK67/Data!K67</f>
        <v>0.49338178455734621</v>
      </c>
      <c r="W68" s="49">
        <f t="shared" si="7"/>
        <v>0.45849970445678484</v>
      </c>
      <c r="X68" s="44">
        <f>Data!IE67/Data!K67 - 0.3*Y68</f>
        <v>0.2174278336902975</v>
      </c>
      <c r="Y68" s="44">
        <f t="shared" si="8"/>
        <v>0.24107187076648734</v>
      </c>
      <c r="Z68" s="7">
        <f>Data!CT67/Data!K67</f>
        <v>5.0368957424059058E-2</v>
      </c>
      <c r="AA68" s="12">
        <f>(Data!K67-Data!AN67)/Data!K67</f>
        <v>4.8118510985869008E-2</v>
      </c>
      <c r="AB68" s="7"/>
      <c r="AC68" s="7"/>
      <c r="AD68" s="7"/>
      <c r="AE68" s="12"/>
      <c r="AF68" s="5">
        <f t="shared" si="9"/>
        <v>1.0016440620850753</v>
      </c>
      <c r="AG68" s="5">
        <f t="shared" si="10"/>
        <v>1.0000000000000002</v>
      </c>
    </row>
    <row r="69" spans="1:33" x14ac:dyDescent="0.25">
      <c r="A69" s="1" t="s">
        <v>556</v>
      </c>
      <c r="B69">
        <v>1860</v>
      </c>
      <c r="C69" s="45">
        <f t="shared" si="0"/>
        <v>5.1064359740355711E-2</v>
      </c>
      <c r="D69" s="45">
        <f>Data!HI68/Data!K68</f>
        <v>4.9440185894520261E-2</v>
      </c>
      <c r="E69" s="44">
        <f>Data!IC68/Data!K68</f>
        <v>1.6241738458354512E-3</v>
      </c>
      <c r="F69" s="7">
        <v>0</v>
      </c>
      <c r="G69" s="46">
        <f>Data!IC68/Data!K68</f>
        <v>1.6241738458354512E-3</v>
      </c>
      <c r="H69" s="45">
        <f t="shared" si="1"/>
        <v>0.48775363132997451</v>
      </c>
      <c r="I69" s="63">
        <f t="shared" si="2"/>
        <v>0.34541282420955444</v>
      </c>
      <c r="J69" s="44">
        <f t="shared" si="3"/>
        <v>0.14234080712042008</v>
      </c>
      <c r="K69" s="7"/>
      <c r="L69" s="12"/>
      <c r="M69" s="45">
        <f t="shared" si="4"/>
        <v>0.41467014404355773</v>
      </c>
      <c r="N69" s="58">
        <f>Data!ID68/Data!K68</f>
        <v>6.3463692008107267E-2</v>
      </c>
      <c r="O69" s="7"/>
      <c r="P69" s="61">
        <v>0.01</v>
      </c>
      <c r="Q69" s="44">
        <f t="shared" si="5"/>
        <v>0.35120645203545048</v>
      </c>
      <c r="R69" s="44">
        <f t="shared" si="6"/>
        <v>0.10561161351007899</v>
      </c>
      <c r="S69" s="44">
        <f>(Data!HU68/Data!K68)/0.7</f>
        <v>0.24559483852537151</v>
      </c>
      <c r="T69" s="7"/>
      <c r="U69" s="12"/>
      <c r="V69" s="43">
        <f>Data!HK68/Data!K68</f>
        <v>0.50046462361415367</v>
      </c>
      <c r="W69" s="49">
        <f t="shared" si="7"/>
        <v>0.45139933765389884</v>
      </c>
      <c r="X69" s="44">
        <f>Data!IE68/Data!K68 - 0.3*Y69</f>
        <v>0.20580449912852733</v>
      </c>
      <c r="Y69" s="44">
        <f t="shared" si="8"/>
        <v>0.24559483852537151</v>
      </c>
      <c r="Z69" s="7">
        <f>Data!CT68/Data!K68</f>
        <v>5.0335017402285125E-2</v>
      </c>
      <c r="AA69" s="12">
        <f>(Data!K68-Data!AN68)/Data!K68</f>
        <v>4.8136038731947425E-2</v>
      </c>
      <c r="AB69" s="7"/>
      <c r="AC69" s="7"/>
      <c r="AD69" s="7"/>
      <c r="AE69" s="12"/>
      <c r="AF69" s="5">
        <f t="shared" si="9"/>
        <v>1.0016241738458354</v>
      </c>
      <c r="AG69" s="5">
        <f t="shared" si="10"/>
        <v>0.99999999999999978</v>
      </c>
    </row>
    <row r="70" spans="1:33" x14ac:dyDescent="0.25">
      <c r="A70" s="1" t="s">
        <v>556</v>
      </c>
      <c r="B70">
        <v>1861</v>
      </c>
      <c r="C70" s="45">
        <f t="shared" si="0"/>
        <v>5.0518956238928318E-2</v>
      </c>
      <c r="D70" s="45">
        <f>Data!HI69/Data!K69</f>
        <v>4.8900151022786345E-2</v>
      </c>
      <c r="E70" s="44">
        <f>Data!IC69/Data!K69</f>
        <v>1.618805216141972E-3</v>
      </c>
      <c r="F70" s="7">
        <v>0</v>
      </c>
      <c r="G70" s="46">
        <f>Data!IC69/Data!K69</f>
        <v>1.618805216141972E-3</v>
      </c>
      <c r="H70" s="45">
        <f t="shared" si="1"/>
        <v>0.49091233771535148</v>
      </c>
      <c r="I70" s="63">
        <f t="shared" si="2"/>
        <v>0.34675697944630995</v>
      </c>
      <c r="J70" s="44">
        <f t="shared" si="3"/>
        <v>0.14415535826904152</v>
      </c>
      <c r="K70" s="7"/>
      <c r="L70" s="12"/>
      <c r="M70" s="45">
        <f t="shared" si="4"/>
        <v>0.41202380620255219</v>
      </c>
      <c r="N70" s="58">
        <f>Data!ID69/Data!K69</f>
        <v>6.1964874831030255E-2</v>
      </c>
      <c r="O70" s="7"/>
      <c r="P70" s="61">
        <v>0.01</v>
      </c>
      <c r="Q70" s="44">
        <f t="shared" si="5"/>
        <v>0.35005893137152194</v>
      </c>
      <c r="R70" s="44">
        <f t="shared" si="6"/>
        <v>0.10507941661435309</v>
      </c>
      <c r="S70" s="44">
        <f>(Data!HU69/Data!K69)/0.7</f>
        <v>0.24497951475716886</v>
      </c>
      <c r="T70" s="7"/>
      <c r="U70" s="12"/>
      <c r="V70" s="43">
        <f>Data!HK69/Data!K69</f>
        <v>0.50073654708344939</v>
      </c>
      <c r="W70" s="49">
        <f t="shared" si="7"/>
        <v>0.45109974785724061</v>
      </c>
      <c r="X70" s="44">
        <f>Data!IE69/Data!K69 - 0.3*Y70</f>
        <v>0.20612023310007177</v>
      </c>
      <c r="Y70" s="44">
        <f t="shared" si="8"/>
        <v>0.24497951475716886</v>
      </c>
      <c r="Z70" s="7">
        <f>Data!CT69/Data!K69</f>
        <v>5.0253374045463123E-2</v>
      </c>
      <c r="AA70" s="12">
        <f>(Data!K69-Data!AN69)/Data!K69</f>
        <v>4.8163705059309968E-2</v>
      </c>
      <c r="AB70" s="7"/>
      <c r="AC70" s="7"/>
      <c r="AD70" s="7"/>
      <c r="AE70" s="12"/>
      <c r="AF70" s="5">
        <f t="shared" si="9"/>
        <v>1.0016188052161419</v>
      </c>
      <c r="AG70" s="5">
        <f t="shared" si="10"/>
        <v>1</v>
      </c>
    </row>
    <row r="71" spans="1:33" x14ac:dyDescent="0.25">
      <c r="A71" s="1" t="s">
        <v>556</v>
      </c>
      <c r="B71">
        <v>1862</v>
      </c>
      <c r="C71" s="45">
        <f t="shared" si="0"/>
        <v>5.1194518714329895E-2</v>
      </c>
      <c r="D71" s="45">
        <f>Data!HI70/Data!K70</f>
        <v>4.9478301199173562E-2</v>
      </c>
      <c r="E71" s="44">
        <f>Data!IC70/Data!K70</f>
        <v>1.7162175151563307E-3</v>
      </c>
      <c r="F71" s="7">
        <v>0</v>
      </c>
      <c r="G71" s="46">
        <f>Data!IC70/Data!K70</f>
        <v>1.7162175151563307E-3</v>
      </c>
      <c r="H71" s="45">
        <f t="shared" si="1"/>
        <v>0.48477802282801868</v>
      </c>
      <c r="I71" s="63">
        <f t="shared" si="2"/>
        <v>0.34164877101247676</v>
      </c>
      <c r="J71" s="44">
        <f t="shared" si="3"/>
        <v>0.14312925181554192</v>
      </c>
      <c r="K71" s="7"/>
      <c r="L71" s="12"/>
      <c r="M71" s="45">
        <f t="shared" si="4"/>
        <v>0.41747079975733586</v>
      </c>
      <c r="N71" s="58">
        <f>Data!ID70/Data!K70</f>
        <v>6.8645851008424477E-2</v>
      </c>
      <c r="O71" s="7"/>
      <c r="P71" s="61">
        <v>0.01</v>
      </c>
      <c r="Q71" s="44">
        <f t="shared" si="5"/>
        <v>0.3488249487489114</v>
      </c>
      <c r="R71" s="44">
        <f t="shared" si="6"/>
        <v>0.10416132030605817</v>
      </c>
      <c r="S71" s="44">
        <f>(Data!HU70/Data!K70)/0.7</f>
        <v>0.24466362844285325</v>
      </c>
      <c r="T71" s="7"/>
      <c r="U71" s="12"/>
      <c r="V71" s="43">
        <f>Data!HK70/Data!K70</f>
        <v>0.49528839251770851</v>
      </c>
      <c r="W71" s="49">
        <f t="shared" si="7"/>
        <v>0.45643873126681966</v>
      </c>
      <c r="X71" s="44">
        <f>Data!IE70/Data!K70 - 0.3*Y71</f>
        <v>0.21177510282396639</v>
      </c>
      <c r="Y71" s="44">
        <f t="shared" si="8"/>
        <v>0.24466362844285325</v>
      </c>
      <c r="Z71" s="7">
        <f>Data!CT70/Data!K70</f>
        <v>5.4241665267099878E-2</v>
      </c>
      <c r="AA71" s="12">
        <f>(Data!K70-Data!AN70)/Data!K70</f>
        <v>4.8272876215471917E-2</v>
      </c>
      <c r="AB71" s="7"/>
      <c r="AC71" s="7"/>
      <c r="AD71" s="7"/>
      <c r="AE71" s="12"/>
      <c r="AF71" s="5">
        <f t="shared" si="9"/>
        <v>1.0017162175151564</v>
      </c>
      <c r="AG71" s="5">
        <f t="shared" si="10"/>
        <v>1</v>
      </c>
    </row>
    <row r="72" spans="1:33" x14ac:dyDescent="0.25">
      <c r="A72" s="1" t="s">
        <v>556</v>
      </c>
      <c r="B72">
        <v>1863</v>
      </c>
      <c r="C72" s="45">
        <f t="shared" si="0"/>
        <v>5.2388388726746421E-2</v>
      </c>
      <c r="D72" s="45">
        <f>Data!HI71/Data!K71</f>
        <v>5.0746822301258612E-2</v>
      </c>
      <c r="E72" s="44">
        <f>Data!IC71/Data!K71</f>
        <v>1.6415664254878092E-3</v>
      </c>
      <c r="F72" s="7">
        <v>0</v>
      </c>
      <c r="G72" s="46">
        <f>Data!IC71/Data!K71</f>
        <v>1.6415664254878092E-3</v>
      </c>
      <c r="H72" s="45">
        <f t="shared" si="1"/>
        <v>0.48427950876879045</v>
      </c>
      <c r="I72" s="63">
        <f t="shared" si="2"/>
        <v>0.34268470120383493</v>
      </c>
      <c r="J72" s="44">
        <f t="shared" si="3"/>
        <v>0.14159480756495552</v>
      </c>
      <c r="K72" s="7"/>
      <c r="L72" s="12"/>
      <c r="M72" s="45">
        <f t="shared" si="4"/>
        <v>0.41625275262693484</v>
      </c>
      <c r="N72" s="58">
        <f>Data!ID71/Data!K71</f>
        <v>6.5507392448011389E-2</v>
      </c>
      <c r="O72" s="7"/>
      <c r="P72" s="61">
        <v>0.01</v>
      </c>
      <c r="Q72" s="44">
        <f t="shared" si="5"/>
        <v>0.35074536017892344</v>
      </c>
      <c r="R72" s="44">
        <f t="shared" si="6"/>
        <v>0.10543234736308349</v>
      </c>
      <c r="S72" s="44">
        <f>(Data!HU71/Data!K71)/0.7</f>
        <v>0.24531301281583998</v>
      </c>
      <c r="T72" s="7"/>
      <c r="U72" s="12"/>
      <c r="V72" s="43">
        <f>Data!HK71/Data!K71</f>
        <v>0.49886387086817702</v>
      </c>
      <c r="W72" s="49">
        <f t="shared" si="7"/>
        <v>0.45241521282880692</v>
      </c>
      <c r="X72" s="44">
        <f>Data!IE71/Data!K71 - 0.3*Y72</f>
        <v>0.20710220001296692</v>
      </c>
      <c r="Y72" s="44">
        <f t="shared" si="8"/>
        <v>0.24531301281583998</v>
      </c>
      <c r="Z72" s="7">
        <f>Data!CT71/Data!K71</f>
        <v>5.357424612932489E-2</v>
      </c>
      <c r="AA72" s="12">
        <f>(Data!K71-Data!AN71)/Data!K71</f>
        <v>4.8720916303016115E-2</v>
      </c>
      <c r="AB72" s="7"/>
      <c r="AC72" s="7"/>
      <c r="AD72" s="7"/>
      <c r="AE72" s="12"/>
      <c r="AF72" s="5">
        <f t="shared" si="9"/>
        <v>1.0016415664254879</v>
      </c>
      <c r="AG72" s="5">
        <f t="shared" si="10"/>
        <v>1</v>
      </c>
    </row>
    <row r="73" spans="1:33" x14ac:dyDescent="0.25">
      <c r="A73" s="1" t="s">
        <v>556</v>
      </c>
      <c r="B73">
        <v>1864</v>
      </c>
      <c r="C73" s="45">
        <f t="shared" si="0"/>
        <v>5.4510260133427572E-2</v>
      </c>
      <c r="D73" s="45">
        <f>Data!HI72/Data!K72</f>
        <v>5.2910473610840426E-2</v>
      </c>
      <c r="E73" s="44">
        <f>Data!IC72/Data!K72</f>
        <v>1.5997865225871484E-3</v>
      </c>
      <c r="F73" s="7">
        <v>0</v>
      </c>
      <c r="G73" s="46">
        <f>Data!IC72/Data!K72</f>
        <v>1.5997865225871484E-3</v>
      </c>
      <c r="H73" s="45">
        <f t="shared" si="1"/>
        <v>0.46414623033085411</v>
      </c>
      <c r="I73" s="63">
        <f t="shared" si="2"/>
        <v>0.34042837078389854</v>
      </c>
      <c r="J73" s="44">
        <f t="shared" si="3"/>
        <v>0.12371785954695561</v>
      </c>
      <c r="K73" s="7"/>
      <c r="L73" s="12"/>
      <c r="M73" s="45">
        <f t="shared" si="4"/>
        <v>0.4354774857190995</v>
      </c>
      <c r="N73" s="58">
        <f>Data!ID72/Data!K72</f>
        <v>6.7911778269544393E-2</v>
      </c>
      <c r="O73" s="7"/>
      <c r="P73" s="61">
        <v>0.01</v>
      </c>
      <c r="Q73" s="44">
        <f t="shared" si="5"/>
        <v>0.36756570744955508</v>
      </c>
      <c r="R73" s="44">
        <f t="shared" si="6"/>
        <v>0.1136292036237162</v>
      </c>
      <c r="S73" s="44">
        <f>(Data!HU72/Data!K72)/0.7</f>
        <v>0.25393650382583888</v>
      </c>
      <c r="T73" s="7"/>
      <c r="U73" s="12"/>
      <c r="V73" s="43">
        <f>Data!HK72/Data!K72</f>
        <v>0.50696804801845519</v>
      </c>
      <c r="W73" s="49">
        <f t="shared" si="7"/>
        <v>0.44556614164233888</v>
      </c>
      <c r="X73" s="44">
        <f>Data!IE72/Data!K72 - 0.3*Y73</f>
        <v>0.1916296378165</v>
      </c>
      <c r="Y73" s="44">
        <f t="shared" si="8"/>
        <v>0.25393650382583888</v>
      </c>
      <c r="Z73" s="7">
        <f>Data!CT72/Data!K72</f>
        <v>5.4429608879512065E-2</v>
      </c>
      <c r="AA73" s="12">
        <f>(Data!K72-Data!AN72)/Data!K72</f>
        <v>4.7465810339205848E-2</v>
      </c>
      <c r="AB73" s="7"/>
      <c r="AC73" s="7"/>
      <c r="AD73" s="7"/>
      <c r="AE73" s="12"/>
      <c r="AF73" s="5">
        <f t="shared" si="9"/>
        <v>1.001599786522587</v>
      </c>
      <c r="AG73" s="5">
        <f t="shared" si="10"/>
        <v>0.99999999999999989</v>
      </c>
    </row>
    <row r="74" spans="1:33" x14ac:dyDescent="0.25">
      <c r="A74" s="1" t="s">
        <v>556</v>
      </c>
      <c r="B74">
        <v>1865</v>
      </c>
      <c r="C74" s="45">
        <f t="shared" si="0"/>
        <v>5.4939951171468215E-2</v>
      </c>
      <c r="D74" s="45">
        <f>Data!HI73/Data!K73</f>
        <v>5.3372060684890602E-2</v>
      </c>
      <c r="E74" s="44">
        <f>Data!IC73/Data!K73</f>
        <v>1.567890486577616E-3</v>
      </c>
      <c r="F74" s="7">
        <v>0</v>
      </c>
      <c r="G74" s="46">
        <f>Data!IC73/Data!K73</f>
        <v>1.567890486577616E-3</v>
      </c>
      <c r="H74" s="45">
        <f t="shared" si="1"/>
        <v>0.45468748146472437</v>
      </c>
      <c r="I74" s="63">
        <f t="shared" si="2"/>
        <v>0.34011366834944573</v>
      </c>
      <c r="J74" s="44">
        <f t="shared" si="3"/>
        <v>0.11457381311527864</v>
      </c>
      <c r="K74" s="7"/>
      <c r="L74" s="12"/>
      <c r="M74" s="45">
        <f t="shared" si="4"/>
        <v>0.44314866456041857</v>
      </c>
      <c r="N74" s="58">
        <f>Data!ID73/Data!K73</f>
        <v>7.6244681037695244E-2</v>
      </c>
      <c r="O74" s="7"/>
      <c r="P74" s="61">
        <v>0.01</v>
      </c>
      <c r="Q74" s="44">
        <f t="shared" si="5"/>
        <v>0.36690398352272335</v>
      </c>
      <c r="R74" s="44">
        <f t="shared" si="6"/>
        <v>0.11664204613854577</v>
      </c>
      <c r="S74" s="44">
        <f>(Data!HU73/Data!K73)/0.7</f>
        <v>0.25026193738417757</v>
      </c>
      <c r="T74" s="7"/>
      <c r="U74" s="12"/>
      <c r="V74" s="43">
        <f>Data!HK73/Data!K73</f>
        <v>0.5101277751728821</v>
      </c>
      <c r="W74" s="49">
        <f t="shared" si="7"/>
        <v>0.44108043153715148</v>
      </c>
      <c r="X74" s="44">
        <f>Data!IE73/Data!K73 - 0.3*Y74</f>
        <v>0.19081849415297389</v>
      </c>
      <c r="Y74" s="44">
        <f t="shared" si="8"/>
        <v>0.25026193738417757</v>
      </c>
      <c r="Z74" s="7">
        <f>Data!CT73/Data!K73</f>
        <v>5.5220648877164193E-2</v>
      </c>
      <c r="AA74" s="12">
        <f>(Data!K73-Data!AN73)/Data!K73</f>
        <v>4.8791793289966606E-2</v>
      </c>
      <c r="AB74" s="7"/>
      <c r="AC74" s="7"/>
      <c r="AD74" s="7"/>
      <c r="AE74" s="12"/>
      <c r="AF74" s="5">
        <f t="shared" si="9"/>
        <v>1.0015678904865777</v>
      </c>
      <c r="AG74" s="5">
        <f t="shared" si="10"/>
        <v>1.0000000000000002</v>
      </c>
    </row>
    <row r="75" spans="1:33" x14ac:dyDescent="0.25">
      <c r="A75" s="1" t="s">
        <v>556</v>
      </c>
      <c r="B75">
        <v>1866</v>
      </c>
      <c r="C75" s="45">
        <f t="shared" si="0"/>
        <v>5.6960836762210254E-2</v>
      </c>
      <c r="D75" s="45">
        <f>Data!HI74/Data!K74</f>
        <v>5.5261426852053437E-2</v>
      </c>
      <c r="E75" s="44">
        <f>Data!IC74/Data!K74</f>
        <v>1.6994099101568193E-3</v>
      </c>
      <c r="F75" s="7">
        <v>0</v>
      </c>
      <c r="G75" s="46">
        <f>Data!IC74/Data!K74</f>
        <v>1.6994099101568193E-3</v>
      </c>
      <c r="H75" s="45">
        <f t="shared" si="1"/>
        <v>0.48319839664035658</v>
      </c>
      <c r="I75" s="63">
        <f t="shared" si="2"/>
        <v>0.33328790177310413</v>
      </c>
      <c r="J75" s="44">
        <f t="shared" si="3"/>
        <v>0.14991049486725244</v>
      </c>
      <c r="K75" s="7"/>
      <c r="L75" s="12"/>
      <c r="M75" s="45">
        <f t="shared" si="4"/>
        <v>0.41157818692038967</v>
      </c>
      <c r="N75" s="58">
        <f>Data!ID74/Data!K74</f>
        <v>7.4091365558179398E-2</v>
      </c>
      <c r="O75" s="7"/>
      <c r="P75" s="61">
        <v>0.01</v>
      </c>
      <c r="Q75" s="44">
        <f t="shared" si="5"/>
        <v>0.33748682136221025</v>
      </c>
      <c r="R75" s="44">
        <f t="shared" si="6"/>
        <v>9.9824742399626354E-2</v>
      </c>
      <c r="S75" s="44">
        <f>(Data!HU74/Data!K74)/0.7</f>
        <v>0.2376620789625839</v>
      </c>
      <c r="T75" s="7"/>
      <c r="U75" s="12"/>
      <c r="V75" s="43">
        <f>Data!HK74/Data!K74</f>
        <v>0.48837407102478392</v>
      </c>
      <c r="W75" s="49">
        <f t="shared" si="7"/>
        <v>0.46166393938801575</v>
      </c>
      <c r="X75" s="44">
        <f>Data!IE74/Data!K74 - 0.3*Y75</f>
        <v>0.22400186042543185</v>
      </c>
      <c r="Y75" s="44">
        <f t="shared" si="8"/>
        <v>0.2376620789625839</v>
      </c>
      <c r="Z75" s="7">
        <f>Data!CT74/Data!K74</f>
        <v>5.6920290846006638E-2</v>
      </c>
      <c r="AA75" s="12">
        <f>(Data!K74-Data!AN74)/Data!K74</f>
        <v>4.9961989587200217E-2</v>
      </c>
      <c r="AB75" s="7"/>
      <c r="AC75" s="7"/>
      <c r="AD75" s="7"/>
      <c r="AE75" s="12"/>
      <c r="AF75" s="5">
        <f t="shared" si="9"/>
        <v>1.0016994099101568</v>
      </c>
      <c r="AG75" s="5">
        <f t="shared" si="10"/>
        <v>1</v>
      </c>
    </row>
    <row r="76" spans="1:33" x14ac:dyDescent="0.25">
      <c r="A76" s="1" t="s">
        <v>556</v>
      </c>
      <c r="B76">
        <v>1867</v>
      </c>
      <c r="C76" s="45">
        <f t="shared" si="0"/>
        <v>5.6719518198286446E-2</v>
      </c>
      <c r="D76" s="45">
        <f>Data!HI75/Data!K75</f>
        <v>5.50605146436179E-2</v>
      </c>
      <c r="E76" s="44">
        <f>Data!IC75/Data!K75</f>
        <v>1.6590035546685442E-3</v>
      </c>
      <c r="F76" s="7">
        <v>0</v>
      </c>
      <c r="G76" s="46">
        <f>Data!IC75/Data!K75</f>
        <v>1.6590035546685442E-3</v>
      </c>
      <c r="H76" s="45">
        <f t="shared" si="1"/>
        <v>0.53469741678626204</v>
      </c>
      <c r="I76" s="63">
        <f t="shared" si="2"/>
        <v>0.32022296886467061</v>
      </c>
      <c r="J76" s="44">
        <f t="shared" si="3"/>
        <v>0.2144744479215914</v>
      </c>
      <c r="K76" s="7"/>
      <c r="L76" s="12"/>
      <c r="M76" s="45">
        <f t="shared" si="4"/>
        <v>0.35992981482186526</v>
      </c>
      <c r="N76" s="58">
        <f>Data!ID75/Data!K75</f>
        <v>6.9218437550364192E-2</v>
      </c>
      <c r="O76" s="7"/>
      <c r="P76" s="61">
        <v>0.01</v>
      </c>
      <c r="Q76" s="44">
        <f t="shared" si="5"/>
        <v>0.29071137727150104</v>
      </c>
      <c r="R76" s="44">
        <f t="shared" si="6"/>
        <v>7.5261201790372753E-2</v>
      </c>
      <c r="S76" s="44">
        <f>(Data!HU75/Data!K75)/0.7</f>
        <v>0.2154501754811283</v>
      </c>
      <c r="T76" s="7"/>
      <c r="U76" s="12"/>
      <c r="V76" s="43">
        <f>Data!HK75/Data!K75</f>
        <v>0.45054468529866126</v>
      </c>
      <c r="W76" s="49">
        <f t="shared" si="7"/>
        <v>0.49914306095308392</v>
      </c>
      <c r="X76" s="44">
        <f>Data!IE75/Data!K75 - 0.3*Y76</f>
        <v>0.28369288547195559</v>
      </c>
      <c r="Y76" s="44">
        <f t="shared" si="8"/>
        <v>0.2154501754811283</v>
      </c>
      <c r="Z76" s="7">
        <f>Data!CT75/Data!K75</f>
        <v>5.472484354809333E-2</v>
      </c>
      <c r="AA76" s="12">
        <f>(Data!K75-Data!AN75)/Data!K75</f>
        <v>5.0312253748254931E-2</v>
      </c>
      <c r="AB76" s="7"/>
      <c r="AC76" s="7"/>
      <c r="AD76" s="7"/>
      <c r="AE76" s="12"/>
      <c r="AF76" s="5">
        <f t="shared" si="9"/>
        <v>1.0016590035546686</v>
      </c>
      <c r="AG76" s="5">
        <f t="shared" si="10"/>
        <v>1</v>
      </c>
    </row>
    <row r="77" spans="1:33" x14ac:dyDescent="0.25">
      <c r="A77" s="1" t="s">
        <v>556</v>
      </c>
      <c r="B77">
        <v>1868</v>
      </c>
      <c r="C77" s="45">
        <f t="shared" si="0"/>
        <v>6.0124441020347599E-2</v>
      </c>
      <c r="D77" s="45">
        <f>Data!HI76/Data!K76</f>
        <v>5.8378856173019161E-2</v>
      </c>
      <c r="E77" s="44">
        <f>Data!IC76/Data!K76</f>
        <v>1.7455848473284404E-3</v>
      </c>
      <c r="F77" s="7">
        <v>0</v>
      </c>
      <c r="G77" s="46">
        <f>Data!IC76/Data!K76</f>
        <v>1.7455848473284404E-3</v>
      </c>
      <c r="H77" s="45">
        <f t="shared" si="1"/>
        <v>0.53212471574176334</v>
      </c>
      <c r="I77" s="63">
        <f t="shared" si="2"/>
        <v>0.3115449084232651</v>
      </c>
      <c r="J77" s="44">
        <f t="shared" si="3"/>
        <v>0.22057980731849824</v>
      </c>
      <c r="K77" s="7"/>
      <c r="L77" s="12"/>
      <c r="M77" s="45">
        <f t="shared" si="4"/>
        <v>0.35743199482544546</v>
      </c>
      <c r="N77" s="58">
        <f>Data!ID76/Data!K76</f>
        <v>7.1655241569816619E-2</v>
      </c>
      <c r="O77" s="7"/>
      <c r="P77" s="61">
        <v>0.01</v>
      </c>
      <c r="Q77" s="44">
        <f t="shared" si="5"/>
        <v>0.28577675325562885</v>
      </c>
      <c r="R77" s="44">
        <f t="shared" si="6"/>
        <v>7.2496118067541596E-2</v>
      </c>
      <c r="S77" s="44">
        <f>(Data!HU76/Data!K76)/0.7</f>
        <v>0.21328063518808724</v>
      </c>
      <c r="T77" s="7"/>
      <c r="U77" s="12"/>
      <c r="V77" s="43">
        <f>Data!HK76/Data!K76</f>
        <v>0.44241988266382581</v>
      </c>
      <c r="W77" s="49">
        <f t="shared" si="7"/>
        <v>0.50551568407640213</v>
      </c>
      <c r="X77" s="44">
        <f>Data!IE76/Data!K76 - 0.3*Y77</f>
        <v>0.29223504888831486</v>
      </c>
      <c r="Y77" s="44">
        <f t="shared" si="8"/>
        <v>0.21328063518808724</v>
      </c>
      <c r="Z77" s="7">
        <f>Data!CT76/Data!K76</f>
        <v>5.6644397003757091E-2</v>
      </c>
      <c r="AA77" s="12">
        <f>(Data!K76-Data!AN76)/Data!K76</f>
        <v>5.2064433259772232E-2</v>
      </c>
      <c r="AB77" s="7"/>
      <c r="AC77" s="7"/>
      <c r="AD77" s="7"/>
      <c r="AE77" s="12"/>
      <c r="AF77" s="5">
        <f t="shared" si="9"/>
        <v>1.0017455848473287</v>
      </c>
      <c r="AG77" s="5">
        <f t="shared" si="10"/>
        <v>1.0000000000000002</v>
      </c>
    </row>
    <row r="78" spans="1:33" x14ac:dyDescent="0.25">
      <c r="A78" s="1" t="s">
        <v>556</v>
      </c>
      <c r="B78">
        <v>1869</v>
      </c>
      <c r="C78" s="45">
        <f t="shared" si="0"/>
        <v>5.670834423972064E-2</v>
      </c>
      <c r="D78" s="45">
        <f>Data!HI77/Data!K77</f>
        <v>5.5096781497953363E-2</v>
      </c>
      <c r="E78" s="44">
        <f>Data!IC77/Data!K77</f>
        <v>1.6115627417672734E-3</v>
      </c>
      <c r="F78" s="7">
        <v>0</v>
      </c>
      <c r="G78" s="46">
        <f>Data!IC77/Data!K77</f>
        <v>1.6115627417672734E-3</v>
      </c>
      <c r="H78" s="45">
        <f t="shared" si="1"/>
        <v>0.55181728490510951</v>
      </c>
      <c r="I78" s="63">
        <f t="shared" si="2"/>
        <v>0.31095483434286653</v>
      </c>
      <c r="J78" s="44">
        <f t="shared" si="3"/>
        <v>0.24086245056224304</v>
      </c>
      <c r="K78" s="7"/>
      <c r="L78" s="12"/>
      <c r="M78" s="45">
        <f t="shared" si="4"/>
        <v>0.33978129305306226</v>
      </c>
      <c r="N78" s="58">
        <f>Data!ID77/Data!K77</f>
        <v>6.8445256650117359E-2</v>
      </c>
      <c r="O78" s="7"/>
      <c r="P78" s="61">
        <v>0.01</v>
      </c>
      <c r="Q78" s="44">
        <f t="shared" si="5"/>
        <v>0.2713360364029449</v>
      </c>
      <c r="R78" s="44">
        <f t="shared" si="6"/>
        <v>6.6269588443389066E-2</v>
      </c>
      <c r="S78" s="44">
        <f>(Data!HU77/Data!K77)/0.7</f>
        <v>0.20506644795955584</v>
      </c>
      <c r="T78" s="7"/>
      <c r="U78" s="12"/>
      <c r="V78" s="43">
        <f>Data!HK77/Data!K77</f>
        <v>0.432321204284209</v>
      </c>
      <c r="W78" s="49">
        <f t="shared" si="7"/>
        <v>0.5143741551719162</v>
      </c>
      <c r="X78" s="44">
        <f>Data!IE77/Data!K77 - 0.3*Y78</f>
        <v>0.30930770721236039</v>
      </c>
      <c r="Y78" s="44">
        <f t="shared" si="8"/>
        <v>0.20506644795955584</v>
      </c>
      <c r="Z78" s="7">
        <f>Data!CT77/Data!K77</f>
        <v>5.2886602902910133E-2</v>
      </c>
      <c r="AA78" s="12">
        <f>(Data!K77-Data!AN77)/Data!K77</f>
        <v>5.3304640543874827E-2</v>
      </c>
      <c r="AB78" s="7"/>
      <c r="AC78" s="7"/>
      <c r="AD78" s="7"/>
      <c r="AE78" s="12"/>
      <c r="AF78" s="5">
        <f t="shared" si="9"/>
        <v>1.0016115627417672</v>
      </c>
      <c r="AG78" s="5">
        <f t="shared" si="10"/>
        <v>1</v>
      </c>
    </row>
    <row r="79" spans="1:33" x14ac:dyDescent="0.25">
      <c r="A79" s="1" t="s">
        <v>556</v>
      </c>
      <c r="B79">
        <v>1870</v>
      </c>
      <c r="C79" s="45">
        <f t="shared" si="0"/>
        <v>5.3979193912531857E-2</v>
      </c>
      <c r="D79" s="45">
        <f>Data!HI78/Data!K78</f>
        <v>5.241424237172608E-2</v>
      </c>
      <c r="E79" s="44">
        <f>Data!IC78/Data!K78</f>
        <v>1.5649515408057764E-3</v>
      </c>
      <c r="F79" s="7">
        <v>0</v>
      </c>
      <c r="G79" s="46">
        <f>Data!IC78/Data!K78</f>
        <v>1.5649515408057764E-3</v>
      </c>
      <c r="H79" s="45">
        <f t="shared" si="1"/>
        <v>0.57273504611599624</v>
      </c>
      <c r="I79" s="63">
        <f t="shared" si="2"/>
        <v>0.30984881743557224</v>
      </c>
      <c r="J79" s="44">
        <f t="shared" si="3"/>
        <v>0.26288622868042399</v>
      </c>
      <c r="K79" s="7"/>
      <c r="L79" s="12"/>
      <c r="M79" s="45">
        <f t="shared" si="4"/>
        <v>0.32043362259555647</v>
      </c>
      <c r="N79" s="58">
        <f>Data!ID78/Data!K78</f>
        <v>6.6160515553290111E-2</v>
      </c>
      <c r="O79" s="7"/>
      <c r="P79" s="61">
        <v>0.01</v>
      </c>
      <c r="Q79" s="44">
        <f t="shared" si="5"/>
        <v>0.25427310704226636</v>
      </c>
      <c r="R79" s="44">
        <f t="shared" si="6"/>
        <v>5.9820876800969015E-2</v>
      </c>
      <c r="S79" s="44">
        <f>(Data!HU78/Data!K78)/0.7</f>
        <v>0.19445223024129735</v>
      </c>
      <c r="T79" s="7"/>
      <c r="U79" s="12"/>
      <c r="V79" s="43">
        <f>Data!HK78/Data!K78</f>
        <v>0.42208393660826737</v>
      </c>
      <c r="W79" s="49">
        <f t="shared" si="7"/>
        <v>0.52349897447501148</v>
      </c>
      <c r="X79" s="44">
        <f>Data!IE78/Data!K78 - 0.3*Y79</f>
        <v>0.32904674423371411</v>
      </c>
      <c r="Y79" s="44">
        <f t="shared" si="8"/>
        <v>0.19445223024129735</v>
      </c>
      <c r="Z79" s="7">
        <f>Data!CT78/Data!K78</f>
        <v>5.0502454034029691E-2</v>
      </c>
      <c r="AA79" s="12">
        <f>(Data!K78-Data!AN78)/Data!K78</f>
        <v>5.4417088916721493E-2</v>
      </c>
      <c r="AB79" s="7"/>
      <c r="AC79" s="7"/>
      <c r="AD79" s="7"/>
      <c r="AE79" s="12"/>
      <c r="AF79" s="5">
        <f t="shared" si="9"/>
        <v>1.001564951540806</v>
      </c>
      <c r="AG79" s="5">
        <f t="shared" si="10"/>
        <v>1.0000000000000004</v>
      </c>
    </row>
    <row r="80" spans="1:33" x14ac:dyDescent="0.25">
      <c r="A80" s="1" t="s">
        <v>556</v>
      </c>
      <c r="B80">
        <v>1871</v>
      </c>
      <c r="C80" s="45">
        <f t="shared" si="0"/>
        <v>5.3237493271374961E-2</v>
      </c>
      <c r="D80" s="45">
        <f>Data!HI79/Data!K79</f>
        <v>5.1640917525739426E-2</v>
      </c>
      <c r="E80" s="44">
        <f>Data!IC79/Data!K79</f>
        <v>1.5965757456355382E-3</v>
      </c>
      <c r="F80" s="7">
        <v>0</v>
      </c>
      <c r="G80" s="46">
        <f>Data!IC79/Data!K79</f>
        <v>1.5965757456355382E-3</v>
      </c>
      <c r="H80" s="45">
        <f t="shared" si="1"/>
        <v>0.57170517663687126</v>
      </c>
      <c r="I80" s="63">
        <f t="shared" si="2"/>
        <v>0.31317167165263388</v>
      </c>
      <c r="J80" s="44">
        <f t="shared" si="3"/>
        <v>0.25853350498423738</v>
      </c>
      <c r="K80" s="7"/>
      <c r="L80" s="12"/>
      <c r="M80" s="45">
        <f t="shared" si="4"/>
        <v>0.32209481499726311</v>
      </c>
      <c r="N80" s="58">
        <f>Data!ID79/Data!K79</f>
        <v>6.7486039359913041E-2</v>
      </c>
      <c r="O80" s="7"/>
      <c r="P80" s="61">
        <v>0.01</v>
      </c>
      <c r="Q80" s="44">
        <f t="shared" si="5"/>
        <v>0.25460877563735007</v>
      </c>
      <c r="R80" s="44">
        <f t="shared" si="6"/>
        <v>6.0785938314600482E-2</v>
      </c>
      <c r="S80" s="44">
        <f>(Data!HU79/Data!K79)/0.7</f>
        <v>0.1938228373227496</v>
      </c>
      <c r="T80" s="7"/>
      <c r="U80" s="12"/>
      <c r="V80" s="43">
        <f>Data!HK79/Data!K79</f>
        <v>0.42559852749297378</v>
      </c>
      <c r="W80" s="49">
        <f t="shared" si="7"/>
        <v>0.5198423816669</v>
      </c>
      <c r="X80" s="44">
        <f>Data!IE79/Data!K79 - 0.3*Y80</f>
        <v>0.32601954434415042</v>
      </c>
      <c r="Y80" s="44">
        <f t="shared" si="8"/>
        <v>0.1938228373227496</v>
      </c>
      <c r="Z80" s="7">
        <f>Data!CT79/Data!K79</f>
        <v>5.1316751581754284E-2</v>
      </c>
      <c r="AA80" s="12">
        <f>(Data!K79-Data!AN79)/Data!K79</f>
        <v>5.4559090840126286E-2</v>
      </c>
      <c r="AB80" s="7"/>
      <c r="AC80" s="7"/>
      <c r="AD80" s="7"/>
      <c r="AE80" s="12"/>
      <c r="AF80" s="5">
        <f t="shared" si="9"/>
        <v>1.0015965757456355</v>
      </c>
      <c r="AG80" s="5">
        <f t="shared" si="10"/>
        <v>1</v>
      </c>
    </row>
    <row r="81" spans="1:33" x14ac:dyDescent="0.25">
      <c r="A81" s="1" t="s">
        <v>556</v>
      </c>
      <c r="B81">
        <v>1872</v>
      </c>
      <c r="C81" s="45">
        <f t="shared" si="0"/>
        <v>4.8956178097679201E-2</v>
      </c>
      <c r="D81" s="45">
        <f>Data!HI80/Data!K80</f>
        <v>4.7393718974018152E-2</v>
      </c>
      <c r="E81" s="44">
        <f>Data!IC80/Data!K80</f>
        <v>1.5624591236610482E-3</v>
      </c>
      <c r="F81" s="7">
        <v>0</v>
      </c>
      <c r="G81" s="46">
        <f>Data!IC80/Data!K80</f>
        <v>1.5624591236610482E-3</v>
      </c>
      <c r="H81" s="45">
        <f t="shared" si="1"/>
        <v>0.5800051264123649</v>
      </c>
      <c r="I81" s="63">
        <f t="shared" si="2"/>
        <v>0.31997194899833092</v>
      </c>
      <c r="J81" s="44">
        <f t="shared" si="3"/>
        <v>0.26003317741403398</v>
      </c>
      <c r="K81" s="7"/>
      <c r="L81" s="12"/>
      <c r="M81" s="45">
        <f t="shared" si="4"/>
        <v>0.3195722393867112</v>
      </c>
      <c r="N81" s="58">
        <f>Data!ID80/Data!K80</f>
        <v>6.1837465049168185E-2</v>
      </c>
      <c r="O81" s="7"/>
      <c r="P81" s="61">
        <v>0.01</v>
      </c>
      <c r="Q81" s="44">
        <f t="shared" si="5"/>
        <v>0.25773477433754299</v>
      </c>
      <c r="R81" s="44">
        <f t="shared" si="6"/>
        <v>6.1483712029142844E-2</v>
      </c>
      <c r="S81" s="44">
        <f>(Data!HU80/Data!K80)/0.7</f>
        <v>0.19625106230840017</v>
      </c>
      <c r="T81" s="7"/>
      <c r="U81" s="12"/>
      <c r="V81" s="43">
        <f>Data!HK80/Data!K80</f>
        <v>0.42884938000149192</v>
      </c>
      <c r="W81" s="49">
        <f t="shared" si="7"/>
        <v>0.51812170477160235</v>
      </c>
      <c r="X81" s="44">
        <f>Data!IE80/Data!K80 - 0.3*Y81</f>
        <v>0.32187064246320218</v>
      </c>
      <c r="Y81" s="44">
        <f t="shared" si="8"/>
        <v>0.19625106230840017</v>
      </c>
      <c r="Z81" s="7">
        <f>Data!CT80/Data!K80</f>
        <v>5.0833646212481945E-2</v>
      </c>
      <c r="AA81" s="12">
        <f>(Data!K80-Data!AN80)/Data!K80</f>
        <v>5.3028915226905803E-2</v>
      </c>
      <c r="AB81" s="7"/>
      <c r="AC81" s="7"/>
      <c r="AD81" s="7"/>
      <c r="AE81" s="12"/>
      <c r="AF81" s="5">
        <f t="shared" si="9"/>
        <v>1.0015624591236612</v>
      </c>
      <c r="AG81" s="5">
        <f t="shared" si="10"/>
        <v>1</v>
      </c>
    </row>
    <row r="82" spans="1:33" x14ac:dyDescent="0.25">
      <c r="A82" s="1" t="s">
        <v>556</v>
      </c>
      <c r="B82">
        <v>1873</v>
      </c>
      <c r="C82" s="45">
        <f t="shared" si="0"/>
        <v>4.5608574002047E-2</v>
      </c>
      <c r="D82" s="45">
        <f>Data!HI81/Data!K81</f>
        <v>4.3945956364982636E-2</v>
      </c>
      <c r="E82" s="44">
        <f>Data!IC81/Data!K81</f>
        <v>1.6626176370643632E-3</v>
      </c>
      <c r="F82" s="7">
        <v>0</v>
      </c>
      <c r="G82" s="46">
        <f>Data!IC81/Data!K81</f>
        <v>1.6626176370643632E-3</v>
      </c>
      <c r="H82" s="45">
        <f t="shared" si="1"/>
        <v>0.55118883902484739</v>
      </c>
      <c r="I82" s="63">
        <f t="shared" si="2"/>
        <v>0.3321424909548194</v>
      </c>
      <c r="J82" s="44">
        <f t="shared" si="3"/>
        <v>0.21904634807002793</v>
      </c>
      <c r="K82" s="7"/>
      <c r="L82" s="12"/>
      <c r="M82" s="45">
        <f t="shared" si="4"/>
        <v>0.35153236723103409</v>
      </c>
      <c r="N82" s="58">
        <f>Data!ID81/Data!K81</f>
        <v>6.6499724619132727E-2</v>
      </c>
      <c r="O82" s="7"/>
      <c r="P82" s="61">
        <v>0.01</v>
      </c>
      <c r="Q82" s="44">
        <f t="shared" si="5"/>
        <v>0.28503264261190137</v>
      </c>
      <c r="R82" s="44">
        <f t="shared" si="6"/>
        <v>7.3622199382898115E-2</v>
      </c>
      <c r="S82" s="44">
        <f>(Data!HU81/Data!K81)/0.7</f>
        <v>0.21141044322900324</v>
      </c>
      <c r="T82" s="7"/>
      <c r="U82" s="12"/>
      <c r="V82" s="43">
        <f>Data!HK81/Data!K81</f>
        <v>0.44971064670270011</v>
      </c>
      <c r="W82" s="49">
        <f t="shared" si="7"/>
        <v>0.49695651591816392</v>
      </c>
      <c r="X82" s="44">
        <f>Data!IE81/Data!K81 - 0.3*Y82</f>
        <v>0.28554607268916066</v>
      </c>
      <c r="Y82" s="44">
        <f t="shared" si="8"/>
        <v>0.21141044322900324</v>
      </c>
      <c r="Z82" s="7">
        <f>Data!CT81/Data!K81</f>
        <v>5.5425043604895981E-2</v>
      </c>
      <c r="AA82" s="12">
        <f>(Data!K81-Data!AN81)/Data!K81</f>
        <v>5.3332837379136078E-2</v>
      </c>
      <c r="AB82" s="7"/>
      <c r="AC82" s="7"/>
      <c r="AD82" s="7"/>
      <c r="AE82" s="12"/>
      <c r="AF82" s="5">
        <f t="shared" si="9"/>
        <v>1.0016626176370647</v>
      </c>
      <c r="AG82" s="5">
        <f t="shared" si="10"/>
        <v>1</v>
      </c>
    </row>
    <row r="83" spans="1:33" x14ac:dyDescent="0.25">
      <c r="A83" s="1" t="s">
        <v>556</v>
      </c>
      <c r="B83">
        <v>1874</v>
      </c>
      <c r="C83" s="45">
        <f t="shared" si="0"/>
        <v>4.3486822277378483E-2</v>
      </c>
      <c r="D83" s="45">
        <f>Data!HI82/Data!K82</f>
        <v>4.1698633001394682E-2</v>
      </c>
      <c r="E83" s="44">
        <f>Data!IC82/Data!K82</f>
        <v>1.7881892759837982E-3</v>
      </c>
      <c r="F83" s="7">
        <v>0</v>
      </c>
      <c r="G83" s="46">
        <f>Data!IC82/Data!K82</f>
        <v>1.7881892759837982E-3</v>
      </c>
      <c r="H83" s="45">
        <f t="shared" si="1"/>
        <v>0.53413367619992236</v>
      </c>
      <c r="I83" s="63">
        <f t="shared" si="2"/>
        <v>0.34388065787666139</v>
      </c>
      <c r="J83" s="44">
        <f t="shared" si="3"/>
        <v>0.19025301832326097</v>
      </c>
      <c r="K83" s="7"/>
      <c r="L83" s="12"/>
      <c r="M83" s="45">
        <f t="shared" si="4"/>
        <v>0.36614526509788847</v>
      </c>
      <c r="N83" s="58">
        <f>Data!ID82/Data!K82</f>
        <v>5.9498005210184973E-2</v>
      </c>
      <c r="O83" s="7"/>
      <c r="P83" s="61">
        <v>0.01</v>
      </c>
      <c r="Q83" s="44">
        <f t="shared" si="5"/>
        <v>0.30664725988770347</v>
      </c>
      <c r="R83" s="44">
        <f t="shared" si="6"/>
        <v>8.4405307662744025E-2</v>
      </c>
      <c r="S83" s="44">
        <f>(Data!HU82/Data!K82)/0.7</f>
        <v>0.22224195222495943</v>
      </c>
      <c r="T83" s="7"/>
      <c r="U83" s="12"/>
      <c r="V83" s="43">
        <f>Data!HK82/Data!K82</f>
        <v>0.4699845985408001</v>
      </c>
      <c r="W83" s="49">
        <f t="shared" si="7"/>
        <v>0.47199297575840538</v>
      </c>
      <c r="X83" s="44">
        <f>Data!IE82/Data!K82 - 0.3*Y83</f>
        <v>0.24975102353344594</v>
      </c>
      <c r="Y83" s="44">
        <f t="shared" si="8"/>
        <v>0.22224195222495943</v>
      </c>
      <c r="Z83" s="7">
        <f>Data!CT82/Data!K82</f>
        <v>6.2930836499780693E-2</v>
      </c>
      <c r="AA83" s="12">
        <f>(Data!K82-Data!AN82)/Data!K82</f>
        <v>5.8022425700794619E-2</v>
      </c>
      <c r="AB83" s="7"/>
      <c r="AC83" s="7"/>
      <c r="AD83" s="7"/>
      <c r="AE83" s="12"/>
      <c r="AF83" s="5">
        <f t="shared" si="9"/>
        <v>1.0017881892759839</v>
      </c>
      <c r="AG83" s="5">
        <f t="shared" si="10"/>
        <v>1</v>
      </c>
    </row>
    <row r="84" spans="1:33" x14ac:dyDescent="0.25">
      <c r="A84" s="1" t="s">
        <v>556</v>
      </c>
      <c r="B84">
        <v>1875</v>
      </c>
      <c r="C84" s="45">
        <f t="shared" si="0"/>
        <v>4.844632825244366E-2</v>
      </c>
      <c r="D84" s="45">
        <f>Data!HI83/Data!K83</f>
        <v>4.667144380822974E-2</v>
      </c>
      <c r="E84" s="44">
        <f>Data!IC83/Data!K83</f>
        <v>1.7748844442139178E-3</v>
      </c>
      <c r="F84" s="7">
        <v>0</v>
      </c>
      <c r="G84" s="46">
        <f>Data!IC83/Data!K83</f>
        <v>1.7748844442139178E-3</v>
      </c>
      <c r="H84" s="45">
        <f t="shared" si="1"/>
        <v>0.50621639459601642</v>
      </c>
      <c r="I84" s="63">
        <f t="shared" si="2"/>
        <v>0.34187471407777176</v>
      </c>
      <c r="J84" s="44">
        <f t="shared" si="3"/>
        <v>0.16434168051824466</v>
      </c>
      <c r="K84" s="7"/>
      <c r="L84" s="12"/>
      <c r="M84" s="45">
        <f t="shared" si="4"/>
        <v>0.39261824007802409</v>
      </c>
      <c r="N84" s="58">
        <f>Data!ID83/Data!K83</f>
        <v>7.0144808233448375E-2</v>
      </c>
      <c r="O84" s="7"/>
      <c r="P84" s="61">
        <v>0.01</v>
      </c>
      <c r="Q84" s="44">
        <f t="shared" si="5"/>
        <v>0.32247343184457572</v>
      </c>
      <c r="R84" s="44">
        <f t="shared" si="6"/>
        <v>9.3544145042126395E-2</v>
      </c>
      <c r="S84" s="44">
        <f>(Data!HU83/Data!K83)/0.7</f>
        <v>0.22892928680244931</v>
      </c>
      <c r="T84" s="7"/>
      <c r="U84" s="12"/>
      <c r="V84" s="43">
        <f>Data!HK83/Data!K83</f>
        <v>0.48209030292812788</v>
      </c>
      <c r="W84" s="49">
        <f t="shared" si="7"/>
        <v>0.46341577555414237</v>
      </c>
      <c r="X84" s="44">
        <f>Data!IE83/Data!K83 - 0.3*Y84</f>
        <v>0.23448648875169303</v>
      </c>
      <c r="Y84" s="44">
        <f t="shared" si="8"/>
        <v>0.22892928680244931</v>
      </c>
      <c r="Z84" s="7">
        <f>Data!CT83/Data!K83</f>
        <v>6.5061749641670899E-2</v>
      </c>
      <c r="AA84" s="12">
        <f>(Data!K83-Data!AN83)/Data!K83</f>
        <v>5.4493921517729603E-2</v>
      </c>
      <c r="AB84" s="7"/>
      <c r="AC84" s="7"/>
      <c r="AD84" s="7"/>
      <c r="AE84" s="12"/>
      <c r="AF84" s="5">
        <f t="shared" si="9"/>
        <v>1.0017748844442138</v>
      </c>
      <c r="AG84" s="5">
        <f t="shared" si="10"/>
        <v>0.99999999999999978</v>
      </c>
    </row>
    <row r="85" spans="1:33" x14ac:dyDescent="0.25">
      <c r="A85" s="1" t="s">
        <v>556</v>
      </c>
      <c r="B85">
        <v>1876</v>
      </c>
      <c r="C85" s="45">
        <f t="shared" si="0"/>
        <v>5.0269073167329051E-2</v>
      </c>
      <c r="D85" s="45">
        <f>Data!HI84/Data!K84</f>
        <v>4.8244407800261235E-2</v>
      </c>
      <c r="E85" s="44">
        <f>Data!IC84/Data!K84</f>
        <v>2.024665367067819E-3</v>
      </c>
      <c r="F85" s="7">
        <v>0</v>
      </c>
      <c r="G85" s="46">
        <f>Data!IC84/Data!K84</f>
        <v>2.024665367067819E-3</v>
      </c>
      <c r="H85" s="45">
        <f t="shared" si="1"/>
        <v>0.50733568720013533</v>
      </c>
      <c r="I85" s="63">
        <f t="shared" si="2"/>
        <v>0.3378310680145582</v>
      </c>
      <c r="J85" s="44">
        <f t="shared" si="3"/>
        <v>0.16950461918557713</v>
      </c>
      <c r="K85" s="7"/>
      <c r="L85" s="12"/>
      <c r="M85" s="45">
        <f t="shared" si="4"/>
        <v>0.38891590342055071</v>
      </c>
      <c r="N85" s="58">
        <f>Data!ID84/Data!K84</f>
        <v>7.4818680920804084E-2</v>
      </c>
      <c r="O85" s="7"/>
      <c r="P85" s="61">
        <v>0.01</v>
      </c>
      <c r="Q85" s="44">
        <f t="shared" si="5"/>
        <v>0.31409722249974664</v>
      </c>
      <c r="R85" s="44">
        <f t="shared" si="6"/>
        <v>9.0356858496825385E-2</v>
      </c>
      <c r="S85" s="44">
        <f>(Data!HU84/Data!K84)/0.7</f>
        <v>0.22374036400292124</v>
      </c>
      <c r="T85" s="7"/>
      <c r="U85" s="12"/>
      <c r="V85" s="43">
        <f>Data!HK84/Data!K84</f>
        <v>0.47643233431164483</v>
      </c>
      <c r="W85" s="49">
        <f t="shared" si="7"/>
        <v>0.46806366410930245</v>
      </c>
      <c r="X85" s="44">
        <f>Data!IE84/Data!K84 - 0.3*Y85</f>
        <v>0.2443233001063812</v>
      </c>
      <c r="Y85" s="44">
        <f t="shared" si="8"/>
        <v>0.22374036400292124</v>
      </c>
      <c r="Z85" s="7">
        <f>Data!CT84/Data!K84</f>
        <v>7.2310343468845351E-2</v>
      </c>
      <c r="AA85" s="12">
        <f>(Data!K84-Data!AN84)/Data!K84</f>
        <v>5.5504001579052692E-2</v>
      </c>
      <c r="AB85" s="7"/>
      <c r="AC85" s="7"/>
      <c r="AD85" s="7"/>
      <c r="AE85" s="12"/>
      <c r="AF85" s="5">
        <f t="shared" si="9"/>
        <v>1.0020246653670679</v>
      </c>
      <c r="AG85" s="5">
        <f t="shared" si="10"/>
        <v>1</v>
      </c>
    </row>
    <row r="86" spans="1:33" x14ac:dyDescent="0.25">
      <c r="A86" s="1" t="s">
        <v>556</v>
      </c>
      <c r="B86">
        <v>1877</v>
      </c>
      <c r="C86" s="45">
        <f t="shared" si="0"/>
        <v>5.0530320421950187E-2</v>
      </c>
      <c r="D86" s="45">
        <f>Data!HI85/Data!K85</f>
        <v>4.8360305302257489E-2</v>
      </c>
      <c r="E86" s="44">
        <f>Data!IC85/Data!K85</f>
        <v>2.170015119692695E-3</v>
      </c>
      <c r="F86" s="7">
        <v>0</v>
      </c>
      <c r="G86" s="46">
        <f>Data!IC85/Data!K85</f>
        <v>2.170015119692695E-3</v>
      </c>
      <c r="H86" s="45">
        <f t="shared" si="1"/>
        <v>0.49092186487712264</v>
      </c>
      <c r="I86" s="63">
        <f t="shared" si="2"/>
        <v>0.341368864608668</v>
      </c>
      <c r="J86" s="44">
        <f t="shared" si="3"/>
        <v>0.14955300026845467</v>
      </c>
      <c r="K86" s="7"/>
      <c r="L86" s="12"/>
      <c r="M86" s="45">
        <f t="shared" si="4"/>
        <v>0.4048001165763262</v>
      </c>
      <c r="N86" s="58">
        <f>Data!ID85/Data!K85</f>
        <v>7.4755828767354177E-2</v>
      </c>
      <c r="O86" s="7"/>
      <c r="P86" s="61">
        <v>0.01</v>
      </c>
      <c r="Q86" s="44">
        <f t="shared" si="5"/>
        <v>0.33004428780897205</v>
      </c>
      <c r="R86" s="44">
        <f t="shared" si="6"/>
        <v>9.8891799848561932E-2</v>
      </c>
      <c r="S86" s="44">
        <f>(Data!HU85/Data!K85)/0.7</f>
        <v>0.23115248796041013</v>
      </c>
      <c r="T86" s="7"/>
      <c r="U86" s="12"/>
      <c r="V86" s="43">
        <f>Data!HK85/Data!K85</f>
        <v>0.48862096975948743</v>
      </c>
      <c r="W86" s="49">
        <f t="shared" si="7"/>
        <v>0.45546131699621895</v>
      </c>
      <c r="X86" s="44">
        <f>Data!IE85/Data!K85 - 0.3*Y86</f>
        <v>0.22430882903580884</v>
      </c>
      <c r="Y86" s="44">
        <f t="shared" si="8"/>
        <v>0.23115248796041013</v>
      </c>
      <c r="Z86" s="7">
        <f>Data!CT85/Data!K85</f>
        <v>7.7728509427746173E-2</v>
      </c>
      <c r="AA86" s="12">
        <f>(Data!K85-Data!AN85)/Data!K85</f>
        <v>5.5917713244293545E-2</v>
      </c>
      <c r="AB86" s="7"/>
      <c r="AC86" s="7"/>
      <c r="AD86" s="7"/>
      <c r="AE86" s="12"/>
      <c r="AF86" s="5">
        <f t="shared" si="9"/>
        <v>1.0021700151196926</v>
      </c>
      <c r="AG86" s="5">
        <f t="shared" si="10"/>
        <v>0.99999999999999989</v>
      </c>
    </row>
    <row r="87" spans="1:33" x14ac:dyDescent="0.25">
      <c r="A87" s="1" t="s">
        <v>556</v>
      </c>
      <c r="B87">
        <v>1878</v>
      </c>
      <c r="C87" s="45">
        <f t="shared" si="0"/>
        <v>5.7196790303410412E-2</v>
      </c>
      <c r="D87" s="45">
        <f>Data!HI86/Data!K86</f>
        <v>5.4969619710281609E-2</v>
      </c>
      <c r="E87" s="44">
        <f>Data!IC86/Data!K86</f>
        <v>2.2271705931288057E-3</v>
      </c>
      <c r="F87" s="7">
        <v>0</v>
      </c>
      <c r="G87" s="46">
        <f>Data!IC86/Data!K86</f>
        <v>2.2271705931288057E-3</v>
      </c>
      <c r="H87" s="45">
        <f t="shared" si="1"/>
        <v>0.48782251242135471</v>
      </c>
      <c r="I87" s="63">
        <f t="shared" si="2"/>
        <v>0.32963854834582396</v>
      </c>
      <c r="J87" s="44">
        <f t="shared" si="3"/>
        <v>0.15818396407553076</v>
      </c>
      <c r="K87" s="7"/>
      <c r="L87" s="12"/>
      <c r="M87" s="45">
        <f t="shared" si="4"/>
        <v>0.40149389855845979</v>
      </c>
      <c r="N87" s="58">
        <f>Data!ID86/Data!K86</f>
        <v>7.9185111937931998E-2</v>
      </c>
      <c r="O87" s="7"/>
      <c r="P87" s="61">
        <v>0.01</v>
      </c>
      <c r="Q87" s="44">
        <f t="shared" si="5"/>
        <v>0.32230878662052781</v>
      </c>
      <c r="R87" s="44">
        <f t="shared" si="6"/>
        <v>9.4247936610985142E-2</v>
      </c>
      <c r="S87" s="44">
        <f>(Data!HU86/Data!K86)/0.7</f>
        <v>0.22806085000954265</v>
      </c>
      <c r="T87" s="7"/>
      <c r="U87" s="12"/>
      <c r="V87" s="43">
        <f>Data!HK86/Data!K86</f>
        <v>0.47885610466709067</v>
      </c>
      <c r="W87" s="49">
        <f t="shared" si="7"/>
        <v>0.46542992602300537</v>
      </c>
      <c r="X87" s="44">
        <f>Data!IE86/Data!K86 - 0.3*Y87</f>
        <v>0.23736907601346274</v>
      </c>
      <c r="Y87" s="44">
        <f t="shared" si="8"/>
        <v>0.22806085000954265</v>
      </c>
      <c r="Z87" s="7">
        <f>Data!CT86/Data!K86</f>
        <v>7.8766714926498199E-2</v>
      </c>
      <c r="AA87" s="12">
        <f>(Data!K86-Data!AN86)/Data!K86</f>
        <v>5.5713969309903855E-2</v>
      </c>
      <c r="AB87" s="7"/>
      <c r="AC87" s="7"/>
      <c r="AD87" s="7"/>
      <c r="AE87" s="12"/>
      <c r="AF87" s="5">
        <f t="shared" si="9"/>
        <v>1.0022271705931287</v>
      </c>
      <c r="AG87" s="5">
        <f t="shared" si="10"/>
        <v>1</v>
      </c>
    </row>
    <row r="88" spans="1:33" x14ac:dyDescent="0.25">
      <c r="A88" s="1" t="s">
        <v>556</v>
      </c>
      <c r="B88">
        <v>1879</v>
      </c>
      <c r="C88" s="45">
        <f t="shared" si="0"/>
        <v>5.8830475259872304E-2</v>
      </c>
      <c r="D88" s="45">
        <f>Data!HI87/Data!K87</f>
        <v>5.661542443735515E-2</v>
      </c>
      <c r="E88" s="44">
        <f>Data!IC87/Data!K87</f>
        <v>2.2150508225171534E-3</v>
      </c>
      <c r="F88" s="7">
        <v>0</v>
      </c>
      <c r="G88" s="46">
        <f>Data!IC87/Data!K87</f>
        <v>2.2150508225171534E-3</v>
      </c>
      <c r="H88" s="45">
        <f t="shared" si="1"/>
        <v>0.51167108367346348</v>
      </c>
      <c r="I88" s="63">
        <f t="shared" si="2"/>
        <v>0.32439740706018072</v>
      </c>
      <c r="J88" s="44">
        <f t="shared" si="3"/>
        <v>0.18727367661328276</v>
      </c>
      <c r="K88" s="7"/>
      <c r="L88" s="12"/>
      <c r="M88" s="45">
        <f t="shared" si="4"/>
        <v>0.37468983822796526</v>
      </c>
      <c r="N88" s="58">
        <f>Data!ID87/Data!K87</f>
        <v>8.0779949700595002E-2</v>
      </c>
      <c r="O88" s="7"/>
      <c r="P88" s="61">
        <v>0.01</v>
      </c>
      <c r="Q88" s="44">
        <f t="shared" si="5"/>
        <v>0.29390988852737027</v>
      </c>
      <c r="R88" s="44">
        <f t="shared" si="6"/>
        <v>8.193169256651929E-2</v>
      </c>
      <c r="S88" s="44">
        <f>(Data!HU87/Data!K87)/0.7</f>
        <v>0.21197819596085099</v>
      </c>
      <c r="T88" s="7"/>
      <c r="U88" s="12"/>
      <c r="V88" s="43">
        <f>Data!HK87/Data!K87</f>
        <v>0.46294452406405517</v>
      </c>
      <c r="W88" s="49">
        <f t="shared" si="7"/>
        <v>0.48003182227472874</v>
      </c>
      <c r="X88" s="44">
        <f>Data!IE87/Data!K87 - 0.3*Y88</f>
        <v>0.26805362631387775</v>
      </c>
      <c r="Y88" s="44">
        <f t="shared" si="8"/>
        <v>0.21197819596085099</v>
      </c>
      <c r="Z88" s="7">
        <f>Data!CT87/Data!K87</f>
        <v>7.8180344919582964E-2</v>
      </c>
      <c r="AA88" s="12">
        <f>(Data!K87-Data!AN87)/Data!K87</f>
        <v>5.702365366121611E-2</v>
      </c>
      <c r="AB88" s="7"/>
      <c r="AC88" s="7"/>
      <c r="AD88" s="7"/>
      <c r="AE88" s="12"/>
      <c r="AF88" s="5">
        <f t="shared" si="9"/>
        <v>1.0022150508225172</v>
      </c>
      <c r="AG88" s="5">
        <f t="shared" si="10"/>
        <v>1</v>
      </c>
    </row>
    <row r="89" spans="1:33" x14ac:dyDescent="0.25">
      <c r="A89" s="1" t="s">
        <v>556</v>
      </c>
      <c r="B89">
        <v>1880</v>
      </c>
      <c r="C89" s="45">
        <f t="shared" si="0"/>
        <v>5.761875520569442E-2</v>
      </c>
      <c r="D89" s="45">
        <f>Data!HI88/Data!K88</f>
        <v>5.530762997502877E-2</v>
      </c>
      <c r="E89" s="44">
        <f>Data!IC88/Data!K88</f>
        <v>2.3111252306656513E-3</v>
      </c>
      <c r="F89" s="7">
        <v>0</v>
      </c>
      <c r="G89" s="46">
        <f>Data!IC88/Data!K88</f>
        <v>2.3111252306656513E-3</v>
      </c>
      <c r="H89" s="45">
        <f t="shared" si="1"/>
        <v>0.52480484101649871</v>
      </c>
      <c r="I89" s="63">
        <f t="shared" si="2"/>
        <v>0.32073520866887478</v>
      </c>
      <c r="J89" s="44">
        <f t="shared" si="3"/>
        <v>0.20406963234762387</v>
      </c>
      <c r="K89" s="7"/>
      <c r="L89" s="12"/>
      <c r="M89" s="45">
        <f t="shared" si="4"/>
        <v>0.36055551191502427</v>
      </c>
      <c r="N89" s="58">
        <f>Data!ID88/Data!K88</f>
        <v>8.1357173543898265E-2</v>
      </c>
      <c r="O89" s="7"/>
      <c r="P89" s="61">
        <v>0.01</v>
      </c>
      <c r="Q89" s="44">
        <f t="shared" si="5"/>
        <v>0.27919833837112601</v>
      </c>
      <c r="R89" s="44">
        <f t="shared" si="6"/>
        <v>7.5194104548083424E-2</v>
      </c>
      <c r="S89" s="44">
        <f>(Data!HU88/Data!K88)/0.7</f>
        <v>0.20400423382304259</v>
      </c>
      <c r="T89" s="7"/>
      <c r="U89" s="12"/>
      <c r="V89" s="43">
        <f>Data!HK88/Data!K88</f>
        <v>0.45123694319198698</v>
      </c>
      <c r="W89" s="49">
        <f t="shared" si="7"/>
        <v>0.4894310397145647</v>
      </c>
      <c r="X89" s="44">
        <f>Data!IE88/Data!K88 - 0.3*Y89</f>
        <v>0.28542680589152214</v>
      </c>
      <c r="Y89" s="44">
        <f t="shared" si="8"/>
        <v>0.20400423382304259</v>
      </c>
      <c r="Z89" s="7">
        <f>Data!CT88/Data!K88</f>
        <v>7.8435633677807745E-2</v>
      </c>
      <c r="AA89" s="12">
        <f>(Data!K88-Data!AN88)/Data!K88</f>
        <v>5.9332017093448347E-2</v>
      </c>
      <c r="AB89" s="7"/>
      <c r="AC89" s="7"/>
      <c r="AD89" s="7"/>
      <c r="AE89" s="12"/>
      <c r="AF89" s="5">
        <f t="shared" si="9"/>
        <v>1.0023111252306658</v>
      </c>
      <c r="AG89" s="5">
        <f t="shared" si="10"/>
        <v>1</v>
      </c>
    </row>
    <row r="90" spans="1:33" x14ac:dyDescent="0.25">
      <c r="A90" s="1" t="s">
        <v>556</v>
      </c>
      <c r="B90">
        <v>1881</v>
      </c>
      <c r="C90" s="45">
        <f t="shared" si="0"/>
        <v>5.700198526818967E-2</v>
      </c>
      <c r="D90" s="45">
        <f>Data!HI89/Data!K89</f>
        <v>5.4708541119851545E-2</v>
      </c>
      <c r="E90" s="44">
        <f>Data!IC89/Data!K89</f>
        <v>2.2934441483381243E-3</v>
      </c>
      <c r="F90" s="7">
        <v>0</v>
      </c>
      <c r="G90" s="46">
        <f>Data!IC89/Data!K89</f>
        <v>2.2934441483381243E-3</v>
      </c>
      <c r="H90" s="45">
        <f t="shared" si="1"/>
        <v>0.53250578244303748</v>
      </c>
      <c r="I90" s="63">
        <f t="shared" si="2"/>
        <v>0.31779631187900337</v>
      </c>
      <c r="J90" s="44">
        <f t="shared" si="3"/>
        <v>0.21470947056403417</v>
      </c>
      <c r="K90" s="7"/>
      <c r="L90" s="12"/>
      <c r="M90" s="45">
        <f t="shared" si="4"/>
        <v>0.35309050740420361</v>
      </c>
      <c r="N90" s="58">
        <f>Data!ID89/Data!K89</f>
        <v>8.176141212405251E-2</v>
      </c>
      <c r="O90" s="7"/>
      <c r="P90" s="61">
        <v>0.01</v>
      </c>
      <c r="Q90" s="44">
        <f t="shared" si="5"/>
        <v>0.27132909528015109</v>
      </c>
      <c r="R90" s="44">
        <f t="shared" si="6"/>
        <v>7.1348119483846242E-2</v>
      </c>
      <c r="S90" s="44">
        <f>(Data!HU89/Data!K89)/0.7</f>
        <v>0.19998097579630483</v>
      </c>
      <c r="T90" s="7"/>
      <c r="U90" s="12"/>
      <c r="V90" s="43">
        <f>Data!HK89/Data!K89</f>
        <v>0.44385297248270111</v>
      </c>
      <c r="W90" s="49">
        <f t="shared" si="7"/>
        <v>0.49645185848439155</v>
      </c>
      <c r="X90" s="44">
        <f>Data!IE89/Data!K89 - 0.3*Y90</f>
        <v>0.29647088268808669</v>
      </c>
      <c r="Y90" s="44">
        <f t="shared" si="8"/>
        <v>0.19998097579630483</v>
      </c>
      <c r="Z90" s="7">
        <f>Data!CT89/Data!K89</f>
        <v>7.6024916109415475E-2</v>
      </c>
      <c r="AA90" s="12">
        <f>(Data!K89-Data!AN89)/Data!K89</f>
        <v>5.9695169032907246E-2</v>
      </c>
      <c r="AB90" s="7"/>
      <c r="AC90" s="7"/>
      <c r="AD90" s="7"/>
      <c r="AE90" s="12"/>
      <c r="AF90" s="5">
        <f t="shared" si="9"/>
        <v>1.002293444148338</v>
      </c>
      <c r="AG90" s="5">
        <f t="shared" si="10"/>
        <v>0.99999999999999989</v>
      </c>
    </row>
    <row r="91" spans="1:33" x14ac:dyDescent="0.25">
      <c r="A91" s="1" t="s">
        <v>556</v>
      </c>
      <c r="B91">
        <v>1882</v>
      </c>
      <c r="C91" s="45">
        <f t="shared" si="0"/>
        <v>5.6706294484919116E-2</v>
      </c>
      <c r="D91" s="45">
        <f>Data!HI90/Data!K90</f>
        <v>5.435196337675046E-2</v>
      </c>
      <c r="E91" s="44">
        <f>Data!IC90/Data!K90</f>
        <v>2.3543311081686579E-3</v>
      </c>
      <c r="F91" s="7">
        <v>0</v>
      </c>
      <c r="G91" s="46">
        <f>Data!IC90/Data!K90</f>
        <v>2.3543311081686579E-3</v>
      </c>
      <c r="H91" s="45">
        <f t="shared" si="1"/>
        <v>0.52576374361292832</v>
      </c>
      <c r="I91" s="63">
        <f t="shared" si="2"/>
        <v>0.31774194391135308</v>
      </c>
      <c r="J91" s="44">
        <f t="shared" si="3"/>
        <v>0.20802179970157531</v>
      </c>
      <c r="K91" s="7"/>
      <c r="L91" s="12"/>
      <c r="M91" s="45">
        <f t="shared" si="4"/>
        <v>0.36114542183971243</v>
      </c>
      <c r="N91" s="58">
        <f>Data!ID90/Data!K90</f>
        <v>8.4574402970082216E-2</v>
      </c>
      <c r="O91" s="7"/>
      <c r="P91" s="61">
        <v>0.01</v>
      </c>
      <c r="Q91" s="44">
        <f t="shared" si="5"/>
        <v>0.2765710188696302</v>
      </c>
      <c r="R91" s="44">
        <f t="shared" si="6"/>
        <v>7.3373555649206973E-2</v>
      </c>
      <c r="S91" s="44">
        <f>(Data!HU90/Data!K90)/0.7</f>
        <v>0.20319746322042326</v>
      </c>
      <c r="T91" s="7"/>
      <c r="U91" s="12"/>
      <c r="V91" s="43">
        <f>Data!HK90/Data!K90</f>
        <v>0.44546746293731054</v>
      </c>
      <c r="W91" s="49">
        <f t="shared" si="7"/>
        <v>0.49579366589208079</v>
      </c>
      <c r="X91" s="44">
        <f>Data!IE90/Data!K90 - 0.3*Y91</f>
        <v>0.29259620267165753</v>
      </c>
      <c r="Y91" s="44">
        <f t="shared" si="8"/>
        <v>0.20319746322042326</v>
      </c>
      <c r="Z91" s="7">
        <f>Data!CT90/Data!K90</f>
        <v>7.614467148923533E-2</v>
      </c>
      <c r="AA91" s="12">
        <f>(Data!K90-Data!AN90)/Data!K90</f>
        <v>5.8738871170608567E-2</v>
      </c>
      <c r="AB91" s="7"/>
      <c r="AC91" s="7"/>
      <c r="AD91" s="7"/>
      <c r="AE91" s="12"/>
      <c r="AF91" s="5">
        <f t="shared" si="9"/>
        <v>1.0023543311081684</v>
      </c>
      <c r="AG91" s="5">
        <f t="shared" si="10"/>
        <v>1</v>
      </c>
    </row>
    <row r="92" spans="1:33" x14ac:dyDescent="0.25">
      <c r="A92" s="1" t="s">
        <v>556</v>
      </c>
      <c r="B92">
        <v>1883</v>
      </c>
      <c r="C92" s="45">
        <f t="shared" si="0"/>
        <v>5.4632020133297633E-2</v>
      </c>
      <c r="D92" s="45">
        <f>Data!HI91/Data!K91</f>
        <v>5.2296744875218126E-2</v>
      </c>
      <c r="E92" s="44">
        <f>Data!IC91/Data!K91</f>
        <v>2.3352752580795069E-3</v>
      </c>
      <c r="F92" s="7">
        <v>0</v>
      </c>
      <c r="G92" s="46">
        <f>Data!IC91/Data!K91</f>
        <v>2.3352752580795069E-3</v>
      </c>
      <c r="H92" s="45">
        <f t="shared" si="1"/>
        <v>0.53036567173642335</v>
      </c>
      <c r="I92" s="63">
        <f t="shared" si="2"/>
        <v>0.31480786804762073</v>
      </c>
      <c r="J92" s="44">
        <f t="shared" si="3"/>
        <v>0.21555780368880267</v>
      </c>
      <c r="K92" s="7"/>
      <c r="L92" s="12"/>
      <c r="M92" s="45">
        <f t="shared" si="4"/>
        <v>0.35667551229498401</v>
      </c>
      <c r="N92" s="58">
        <f>Data!ID91/Data!K91</f>
        <v>8.7011933202119709E-2</v>
      </c>
      <c r="O92" s="7"/>
      <c r="P92" s="61">
        <v>0.01</v>
      </c>
      <c r="Q92" s="44">
        <f t="shared" si="5"/>
        <v>0.26966357909286431</v>
      </c>
      <c r="R92" s="44">
        <f t="shared" si="6"/>
        <v>7.0060787169252334E-2</v>
      </c>
      <c r="S92" s="44">
        <f>(Data!HU91/Data!K91)/0.7</f>
        <v>0.19960279192361197</v>
      </c>
      <c r="T92" s="7"/>
      <c r="U92" s="12"/>
      <c r="V92" s="43">
        <f>Data!HK91/Data!K91</f>
        <v>0.43716540009209121</v>
      </c>
      <c r="W92" s="49">
        <f t="shared" si="7"/>
        <v>0.50217252881453434</v>
      </c>
      <c r="X92" s="44">
        <f>Data!IE91/Data!K91 - 0.3*Y92</f>
        <v>0.30256973689092237</v>
      </c>
      <c r="Y92" s="44">
        <f t="shared" si="8"/>
        <v>0.19960279192361197</v>
      </c>
      <c r="Z92" s="7">
        <f>Data!CT91/Data!K91</f>
        <v>7.5136502918916118E-2</v>
      </c>
      <c r="AA92" s="12">
        <f>(Data!K91-Data!AN91)/Data!K91</f>
        <v>6.0662071093374549E-2</v>
      </c>
      <c r="AB92" s="7"/>
      <c r="AC92" s="7"/>
      <c r="AD92" s="7"/>
      <c r="AE92" s="12"/>
      <c r="AF92" s="5">
        <f t="shared" si="9"/>
        <v>1.0023352752580796</v>
      </c>
      <c r="AG92" s="5">
        <f t="shared" si="10"/>
        <v>1</v>
      </c>
    </row>
    <row r="93" spans="1:33" x14ac:dyDescent="0.25">
      <c r="A93" s="1" t="s">
        <v>556</v>
      </c>
      <c r="B93">
        <v>1884</v>
      </c>
      <c r="C93" s="45">
        <f t="shared" si="0"/>
        <v>5.66893867006465E-2</v>
      </c>
      <c r="D93" s="45">
        <f>Data!HI92/Data!K92</f>
        <v>5.4363882892308681E-2</v>
      </c>
      <c r="E93" s="44">
        <f>Data!IC92/Data!K92</f>
        <v>2.3255038083378195E-3</v>
      </c>
      <c r="F93" s="7">
        <v>0</v>
      </c>
      <c r="G93" s="46">
        <f>Data!IC92/Data!K92</f>
        <v>2.3255038083378195E-3</v>
      </c>
      <c r="H93" s="45">
        <f t="shared" si="1"/>
        <v>0.49610361091924232</v>
      </c>
      <c r="I93" s="63">
        <f t="shared" si="2"/>
        <v>0.31988972434430757</v>
      </c>
      <c r="J93" s="44">
        <f t="shared" si="3"/>
        <v>0.17621388657493475</v>
      </c>
      <c r="K93" s="7"/>
      <c r="L93" s="12"/>
      <c r="M93" s="45">
        <f t="shared" si="4"/>
        <v>0.3876284814771892</v>
      </c>
      <c r="N93" s="58">
        <f>Data!ID92/Data!K92</f>
        <v>9.0101969360892542E-2</v>
      </c>
      <c r="O93" s="7"/>
      <c r="P93" s="61">
        <v>0.01</v>
      </c>
      <c r="Q93" s="44">
        <f t="shared" si="5"/>
        <v>0.29752651211629666</v>
      </c>
      <c r="R93" s="44">
        <f t="shared" si="6"/>
        <v>8.3685796169316012E-2</v>
      </c>
      <c r="S93" s="44">
        <f>(Data!HU92/Data!K92)/0.7</f>
        <v>0.21384071594698068</v>
      </c>
      <c r="T93" s="7"/>
      <c r="U93" s="12"/>
      <c r="V93" s="43">
        <f>Data!HK92/Data!K92</f>
        <v>0.45793940340593231</v>
      </c>
      <c r="W93" s="49">
        <f t="shared" si="7"/>
        <v>0.48015657188280797</v>
      </c>
      <c r="X93" s="44">
        <f>Data!IE92/Data!K92 - 0.3*Y93</f>
        <v>0.26631585593582729</v>
      </c>
      <c r="Y93" s="44">
        <f t="shared" si="8"/>
        <v>0.21384071594698068</v>
      </c>
      <c r="Z93" s="7">
        <f>Data!CT92/Data!K92</f>
        <v>7.6204351029691905E-2</v>
      </c>
      <c r="AA93" s="12">
        <f>(Data!K92-Data!AN92)/Data!K92</f>
        <v>6.190402471125963E-2</v>
      </c>
      <c r="AB93" s="7"/>
      <c r="AC93" s="7"/>
      <c r="AD93" s="7"/>
      <c r="AE93" s="12"/>
      <c r="AF93" s="5">
        <f t="shared" si="9"/>
        <v>1.0023255038083376</v>
      </c>
      <c r="AG93" s="5">
        <f t="shared" si="10"/>
        <v>1</v>
      </c>
    </row>
    <row r="94" spans="1:33" x14ac:dyDescent="0.25">
      <c r="A94" s="1" t="s">
        <v>556</v>
      </c>
      <c r="B94">
        <v>1885</v>
      </c>
      <c r="C94" s="45">
        <f t="shared" si="0"/>
        <v>5.7155896261625268E-2</v>
      </c>
      <c r="D94" s="45">
        <f>Data!HI93/Data!K93</f>
        <v>5.4769449400794257E-2</v>
      </c>
      <c r="E94" s="44">
        <f>Data!IC93/Data!K93</f>
        <v>2.3864468608310089E-3</v>
      </c>
      <c r="F94" s="7">
        <v>0</v>
      </c>
      <c r="G94" s="46">
        <f>Data!IC93/Data!K93</f>
        <v>2.3864468608310089E-3</v>
      </c>
      <c r="H94" s="45">
        <f t="shared" si="1"/>
        <v>0.49148358302376516</v>
      </c>
      <c r="I94" s="63">
        <f t="shared" si="2"/>
        <v>0.31968381603997692</v>
      </c>
      <c r="J94" s="44">
        <f t="shared" si="3"/>
        <v>0.17179976698378824</v>
      </c>
      <c r="K94" s="7"/>
      <c r="L94" s="12"/>
      <c r="M94" s="45">
        <f t="shared" si="4"/>
        <v>0.3924099843637725</v>
      </c>
      <c r="N94" s="58">
        <f>Data!ID93/Data!K93</f>
        <v>9.1632837674821235E-2</v>
      </c>
      <c r="O94" s="7"/>
      <c r="P94" s="61">
        <v>0.01</v>
      </c>
      <c r="Q94" s="44">
        <f t="shared" si="5"/>
        <v>0.30077714668895128</v>
      </c>
      <c r="R94" s="44">
        <f t="shared" si="6"/>
        <v>8.5267103111917014E-2</v>
      </c>
      <c r="S94" s="44">
        <f>(Data!HU93/Data!K93)/0.7</f>
        <v>0.21551004357703429</v>
      </c>
      <c r="T94" s="7"/>
      <c r="U94" s="12"/>
      <c r="V94" s="43">
        <f>Data!HK93/Data!K93</f>
        <v>0.45972036855268822</v>
      </c>
      <c r="W94" s="49">
        <f t="shared" si="7"/>
        <v>0.47894264823564375</v>
      </c>
      <c r="X94" s="44">
        <f>Data!IE93/Data!K93 - 0.3*Y94</f>
        <v>0.26343260465860946</v>
      </c>
      <c r="Y94" s="44">
        <f t="shared" si="8"/>
        <v>0.21551004357703429</v>
      </c>
      <c r="Z94" s="7">
        <f>Data!CT93/Data!K93</f>
        <v>7.6516771877707668E-2</v>
      </c>
      <c r="AA94" s="12">
        <f>(Data!K93-Data!AN93)/Data!K93</f>
        <v>6.1336983211668028E-2</v>
      </c>
      <c r="AB94" s="7"/>
      <c r="AC94" s="7"/>
      <c r="AD94" s="7"/>
      <c r="AE94" s="12"/>
      <c r="AF94" s="5">
        <f t="shared" si="9"/>
        <v>1.002386446860831</v>
      </c>
      <c r="AG94" s="5">
        <f t="shared" si="10"/>
        <v>1</v>
      </c>
    </row>
    <row r="95" spans="1:33" x14ac:dyDescent="0.25">
      <c r="A95" s="1" t="s">
        <v>556</v>
      </c>
      <c r="B95">
        <v>1886</v>
      </c>
      <c r="C95" s="45">
        <f t="shared" si="0"/>
        <v>6.1572939579432329E-2</v>
      </c>
      <c r="D95" s="45">
        <f>Data!HI94/Data!K94</f>
        <v>5.9030324661323734E-2</v>
      </c>
      <c r="E95" s="44">
        <f>Data!IC94/Data!K94</f>
        <v>2.5426149181085925E-3</v>
      </c>
      <c r="F95" s="7">
        <v>0</v>
      </c>
      <c r="G95" s="46">
        <f>Data!IC94/Data!K94</f>
        <v>2.5426149181085925E-3</v>
      </c>
      <c r="H95" s="45">
        <f t="shared" si="1"/>
        <v>0.46300635387280903</v>
      </c>
      <c r="I95" s="63">
        <f t="shared" si="2"/>
        <v>0.31761936329544754</v>
      </c>
      <c r="J95" s="44">
        <f t="shared" si="3"/>
        <v>0.14538699057736149</v>
      </c>
      <c r="K95" s="7"/>
      <c r="L95" s="12"/>
      <c r="M95" s="45">
        <f t="shared" si="4"/>
        <v>0.41571986819965195</v>
      </c>
      <c r="N95" s="58">
        <f>Data!ID94/Data!K94</f>
        <v>9.8354837430402145E-2</v>
      </c>
      <c r="O95" s="7"/>
      <c r="P95" s="61">
        <v>0.01</v>
      </c>
      <c r="Q95" s="44">
        <f t="shared" si="5"/>
        <v>0.31736503076924982</v>
      </c>
      <c r="R95" s="44">
        <f t="shared" si="6"/>
        <v>9.5064709162103134E-2</v>
      </c>
      <c r="S95" s="44">
        <f>(Data!HU94/Data!K94)/0.7</f>
        <v>0.22230032160714672</v>
      </c>
      <c r="T95" s="7"/>
      <c r="U95" s="12"/>
      <c r="V95" s="43">
        <f>Data!HK94/Data!K94</f>
        <v>0.47171439711887442</v>
      </c>
      <c r="W95" s="49">
        <f t="shared" si="7"/>
        <v>0.46604214961491031</v>
      </c>
      <c r="X95" s="44">
        <f>Data!IE94/Data!K94 - 0.3*Y95</f>
        <v>0.24374182800776362</v>
      </c>
      <c r="Y95" s="44">
        <f t="shared" si="8"/>
        <v>0.22230032160714672</v>
      </c>
      <c r="Z95" s="7">
        <f>Data!CT94/Data!K94</f>
        <v>7.9759902530903024E-2</v>
      </c>
      <c r="AA95" s="12">
        <f>(Data!K94-Data!AN94)/Data!K94</f>
        <v>6.2243453266215186E-2</v>
      </c>
      <c r="AB95" s="7"/>
      <c r="AC95" s="7"/>
      <c r="AD95" s="7"/>
      <c r="AE95" s="12"/>
      <c r="AF95" s="5">
        <f t="shared" si="9"/>
        <v>1.0025426149181085</v>
      </c>
      <c r="AG95" s="5">
        <f t="shared" si="10"/>
        <v>1</v>
      </c>
    </row>
    <row r="96" spans="1:33" x14ac:dyDescent="0.25">
      <c r="A96" s="1" t="s">
        <v>556</v>
      </c>
      <c r="B96">
        <v>1887</v>
      </c>
      <c r="C96" s="45">
        <f t="shared" si="0"/>
        <v>6.372590945679639E-2</v>
      </c>
      <c r="D96" s="45">
        <f>Data!HI95/Data!K95</f>
        <v>6.1070916850630111E-2</v>
      </c>
      <c r="E96" s="44">
        <f>Data!IC95/Data!K95</f>
        <v>2.6549926061662826E-3</v>
      </c>
      <c r="F96" s="7">
        <v>0</v>
      </c>
      <c r="G96" s="46">
        <f>Data!IC95/Data!K95</f>
        <v>2.6549926061662826E-3</v>
      </c>
      <c r="H96" s="45">
        <f t="shared" si="1"/>
        <v>0.43735954422011158</v>
      </c>
      <c r="I96" s="63">
        <f t="shared" si="2"/>
        <v>0.3192814314122136</v>
      </c>
      <c r="J96" s="44">
        <f t="shared" si="3"/>
        <v>0.11807811280789797</v>
      </c>
      <c r="K96" s="7"/>
      <c r="L96" s="12"/>
      <c r="M96" s="45">
        <f t="shared" si="4"/>
        <v>0.44013221535677444</v>
      </c>
      <c r="N96" s="58">
        <f>Data!ID95/Data!K95</f>
        <v>0.10150419608930179</v>
      </c>
      <c r="O96" s="7"/>
      <c r="P96" s="61">
        <v>0.01</v>
      </c>
      <c r="Q96" s="44">
        <f t="shared" si="5"/>
        <v>0.33862801926747266</v>
      </c>
      <c r="R96" s="44">
        <f t="shared" si="6"/>
        <v>0.10763994963036097</v>
      </c>
      <c r="S96" s="44">
        <f>(Data!HU95/Data!K95)/0.7</f>
        <v>0.23098806963711171</v>
      </c>
      <c r="T96" s="7"/>
      <c r="U96" s="12"/>
      <c r="V96" s="43">
        <f>Data!HK95/Data!K95</f>
        <v>0.48799229789320464</v>
      </c>
      <c r="W96" s="49">
        <f t="shared" si="7"/>
        <v>0.45057037853431148</v>
      </c>
      <c r="X96" s="44">
        <f>Data!IE95/Data!K95 - 0.3*Y96</f>
        <v>0.21958230889719976</v>
      </c>
      <c r="Y96" s="44">
        <f t="shared" si="8"/>
        <v>0.23098806963711171</v>
      </c>
      <c r="Z96" s="7">
        <f>Data!CT95/Data!K95</f>
        <v>8.2355552329552287E-2</v>
      </c>
      <c r="AA96" s="12">
        <f>(Data!K95-Data!AN95)/Data!K95</f>
        <v>6.1437323572483993E-2</v>
      </c>
      <c r="AB96" s="7"/>
      <c r="AC96" s="7"/>
      <c r="AD96" s="7"/>
      <c r="AE96" s="12"/>
      <c r="AF96" s="5">
        <f t="shared" si="9"/>
        <v>1.0026549926061663</v>
      </c>
      <c r="AG96" s="5">
        <f t="shared" si="10"/>
        <v>1</v>
      </c>
    </row>
    <row r="97" spans="1:33" x14ac:dyDescent="0.25">
      <c r="A97" s="1" t="s">
        <v>556</v>
      </c>
      <c r="B97">
        <v>1888</v>
      </c>
      <c r="C97" s="45">
        <f t="shared" si="0"/>
        <v>6.0895280937195075E-2</v>
      </c>
      <c r="D97" s="45">
        <f>Data!HI96/Data!K96</f>
        <v>5.831488426139677E-2</v>
      </c>
      <c r="E97" s="44">
        <f>Data!IC96/Data!K96</f>
        <v>2.580396675798304E-3</v>
      </c>
      <c r="F97" s="7">
        <v>0</v>
      </c>
      <c r="G97" s="46">
        <f>Data!IC96/Data!K96</f>
        <v>2.580396675798304E-3</v>
      </c>
      <c r="H97" s="45">
        <f t="shared" si="1"/>
        <v>0.46068903418949714</v>
      </c>
      <c r="I97" s="63">
        <f t="shared" si="2"/>
        <v>0.31832834688137052</v>
      </c>
      <c r="J97" s="44">
        <f t="shared" si="3"/>
        <v>0.14236068730812662</v>
      </c>
      <c r="K97" s="7"/>
      <c r="L97" s="12"/>
      <c r="M97" s="45">
        <f t="shared" si="4"/>
        <v>0.41551747627277213</v>
      </c>
      <c r="N97" s="58">
        <f>Data!ID96/Data!K96</f>
        <v>0.10160029057498021</v>
      </c>
      <c r="O97" s="7"/>
      <c r="P97" s="61">
        <v>0.01</v>
      </c>
      <c r="Q97" s="44">
        <f t="shared" si="5"/>
        <v>0.31391718569779192</v>
      </c>
      <c r="R97" s="44">
        <f t="shared" si="6"/>
        <v>9.527270325433923E-2</v>
      </c>
      <c r="S97" s="44">
        <f>(Data!HU96/Data!K96)/0.7</f>
        <v>0.21864448244345269</v>
      </c>
      <c r="T97" s="7"/>
      <c r="U97" s="12"/>
      <c r="V97" s="43">
        <f>Data!HK96/Data!K96</f>
        <v>0.4719159343971065</v>
      </c>
      <c r="W97" s="49">
        <f t="shared" si="7"/>
        <v>0.46260546032655953</v>
      </c>
      <c r="X97" s="44">
        <f>Data!IE96/Data!K96 - 0.3*Y97</f>
        <v>0.24396097788310683</v>
      </c>
      <c r="Y97" s="44">
        <f t="shared" si="8"/>
        <v>0.21864448244345269</v>
      </c>
      <c r="Z97" s="7">
        <f>Data!CT96/Data!K96</f>
        <v>8.0539010787915977E-2</v>
      </c>
      <c r="AA97" s="12">
        <f>(Data!K96-Data!AN96)/Data!K96</f>
        <v>6.5478605276334145E-2</v>
      </c>
      <c r="AB97" s="7"/>
      <c r="AC97" s="7"/>
      <c r="AD97" s="7"/>
      <c r="AE97" s="12"/>
      <c r="AF97" s="5">
        <f t="shared" si="9"/>
        <v>1.0025803966757985</v>
      </c>
      <c r="AG97" s="5">
        <f t="shared" si="10"/>
        <v>1</v>
      </c>
    </row>
    <row r="98" spans="1:33" x14ac:dyDescent="0.25">
      <c r="A98" s="1" t="s">
        <v>556</v>
      </c>
      <c r="B98">
        <v>1889</v>
      </c>
      <c r="C98" s="45">
        <f t="shared" si="0"/>
        <v>5.8443873527059542E-2</v>
      </c>
      <c r="D98" s="45">
        <f>Data!HI97/Data!K97</f>
        <v>5.584556721899827E-2</v>
      </c>
      <c r="E98" s="44">
        <f>Data!IC97/Data!K97</f>
        <v>2.598306308061273E-3</v>
      </c>
      <c r="F98" s="7">
        <v>0</v>
      </c>
      <c r="G98" s="46">
        <f>Data!IC97/Data!K97</f>
        <v>2.598306308061273E-3</v>
      </c>
      <c r="H98" s="45">
        <f t="shared" si="1"/>
        <v>0.47729186254165107</v>
      </c>
      <c r="I98" s="63">
        <f t="shared" si="2"/>
        <v>0.31556961396106664</v>
      </c>
      <c r="J98" s="44">
        <f t="shared" si="3"/>
        <v>0.16172224858058443</v>
      </c>
      <c r="K98" s="7"/>
      <c r="L98" s="12"/>
      <c r="M98" s="45">
        <f t="shared" si="4"/>
        <v>0.39950657773792492</v>
      </c>
      <c r="N98" s="58">
        <f>Data!ID97/Data!K97</f>
        <v>9.7103249510638479E-2</v>
      </c>
      <c r="O98" s="7"/>
      <c r="P98" s="61">
        <v>0.01</v>
      </c>
      <c r="Q98" s="44">
        <f t="shared" si="5"/>
        <v>0.30240332822728644</v>
      </c>
      <c r="R98" s="44">
        <f t="shared" si="6"/>
        <v>8.7282506767259488E-2</v>
      </c>
      <c r="S98" s="44">
        <f>(Data!HU97/Data!K97)/0.7</f>
        <v>0.21512082146002695</v>
      </c>
      <c r="T98" s="7"/>
      <c r="U98" s="12"/>
      <c r="V98" s="43">
        <f>Data!HK97/Data!K97</f>
        <v>0.45869768794732435</v>
      </c>
      <c r="W98" s="49">
        <f t="shared" si="7"/>
        <v>0.47394631955124988</v>
      </c>
      <c r="X98" s="44">
        <f>Data!IE97/Data!K97 - 0.3*Y98</f>
        <v>0.25882549809122291</v>
      </c>
      <c r="Y98" s="44">
        <f t="shared" si="8"/>
        <v>0.21512082146002695</v>
      </c>
      <c r="Z98" s="7">
        <f>Data!CT97/Data!K97</f>
        <v>8.0986850634868129E-2</v>
      </c>
      <c r="AA98" s="12">
        <f>(Data!K97-Data!AN97)/Data!K97</f>
        <v>6.7355992501425876E-2</v>
      </c>
      <c r="AB98" s="7"/>
      <c r="AC98" s="7"/>
      <c r="AD98" s="7"/>
      <c r="AE98" s="12"/>
      <c r="AF98" s="5">
        <f t="shared" si="9"/>
        <v>1.0025983063080615</v>
      </c>
      <c r="AG98" s="5">
        <f t="shared" si="10"/>
        <v>1</v>
      </c>
    </row>
    <row r="99" spans="1:33" x14ac:dyDescent="0.25">
      <c r="A99" s="1" t="s">
        <v>556</v>
      </c>
      <c r="B99">
        <v>1890</v>
      </c>
      <c r="C99" s="45">
        <f t="shared" si="0"/>
        <v>5.7011515082992445E-2</v>
      </c>
      <c r="D99" s="45">
        <f>Data!HI98/Data!K98</f>
        <v>5.4379895579573165E-2</v>
      </c>
      <c r="E99" s="44">
        <f>Data!IC98/Data!K98</f>
        <v>2.6316195034192828E-3</v>
      </c>
      <c r="F99" s="7">
        <v>0</v>
      </c>
      <c r="G99" s="46">
        <f>Data!IC98/Data!K98</f>
        <v>2.6316195034192828E-3</v>
      </c>
      <c r="H99" s="45">
        <f t="shared" si="1"/>
        <v>0.47224057416537218</v>
      </c>
      <c r="I99" s="63">
        <f t="shared" si="2"/>
        <v>0.31829098601240363</v>
      </c>
      <c r="J99" s="44">
        <f t="shared" si="3"/>
        <v>0.15394958815296855</v>
      </c>
      <c r="K99" s="7"/>
      <c r="L99" s="12"/>
      <c r="M99" s="45">
        <f t="shared" si="4"/>
        <v>0.40705009375095907</v>
      </c>
      <c r="N99" s="58">
        <f>Data!ID98/Data!K98</f>
        <v>9.8746482554152901E-2</v>
      </c>
      <c r="O99" s="7"/>
      <c r="P99" s="61">
        <v>0.01</v>
      </c>
      <c r="Q99" s="44">
        <f t="shared" si="5"/>
        <v>0.30830361119680616</v>
      </c>
      <c r="R99" s="44">
        <f t="shared" si="6"/>
        <v>9.045345016341319E-2</v>
      </c>
      <c r="S99" s="44">
        <f>(Data!HU98/Data!K98)/0.7</f>
        <v>0.21785016103339297</v>
      </c>
      <c r="T99" s="7"/>
      <c r="U99" s="12"/>
      <c r="V99" s="43">
        <f>Data!HK98/Data!K98</f>
        <v>0.46312433175539003</v>
      </c>
      <c r="W99" s="49">
        <f t="shared" si="7"/>
        <v>0.47054623174051446</v>
      </c>
      <c r="X99" s="44">
        <f>Data!IE98/Data!K98 - 0.3*Y99</f>
        <v>0.25269607070712147</v>
      </c>
      <c r="Y99" s="44">
        <f t="shared" si="8"/>
        <v>0.21785016103339297</v>
      </c>
      <c r="Z99" s="7">
        <f>Data!CT98/Data!K98</f>
        <v>8.0446902038389889E-2</v>
      </c>
      <c r="AA99" s="12">
        <f>(Data!K98-Data!AN98)/Data!K98</f>
        <v>6.6329436504095826E-2</v>
      </c>
      <c r="AB99" s="7"/>
      <c r="AC99" s="7"/>
      <c r="AD99" s="7"/>
      <c r="AE99" s="12"/>
      <c r="AF99" s="5">
        <f t="shared" si="9"/>
        <v>1.0026316195034195</v>
      </c>
      <c r="AG99" s="5">
        <f t="shared" si="10"/>
        <v>1.0000000000000002</v>
      </c>
    </row>
    <row r="100" spans="1:33" x14ac:dyDescent="0.25">
      <c r="A100" s="1" t="s">
        <v>556</v>
      </c>
      <c r="B100">
        <v>1891</v>
      </c>
      <c r="C100" s="45">
        <f t="shared" si="0"/>
        <v>5.5425288987898468E-2</v>
      </c>
      <c r="D100" s="45">
        <f>Data!HI99/Data!K99</f>
        <v>5.2956430186544286E-2</v>
      </c>
      <c r="E100" s="44">
        <f>Data!IC99/Data!K99</f>
        <v>2.468858801354184E-3</v>
      </c>
      <c r="F100" s="7">
        <v>0</v>
      </c>
      <c r="G100" s="46">
        <f>Data!IC99/Data!K99</f>
        <v>2.468858801354184E-3</v>
      </c>
      <c r="H100" s="45">
        <f t="shared" si="1"/>
        <v>0.48030966205887127</v>
      </c>
      <c r="I100" s="63">
        <f t="shared" si="2"/>
        <v>0.32414162883496211</v>
      </c>
      <c r="J100" s="44">
        <f t="shared" si="3"/>
        <v>0.15616803322390915</v>
      </c>
      <c r="K100" s="7"/>
      <c r="L100" s="12"/>
      <c r="M100" s="45">
        <f t="shared" si="4"/>
        <v>0.40273810090586809</v>
      </c>
      <c r="N100" s="58">
        <f>Data!ID99/Data!K99</f>
        <v>9.3166152298572016E-2</v>
      </c>
      <c r="O100" s="7"/>
      <c r="P100" s="61">
        <v>0.01</v>
      </c>
      <c r="Q100" s="44">
        <f t="shared" si="5"/>
        <v>0.30957194860729609</v>
      </c>
      <c r="R100" s="44">
        <f t="shared" si="6"/>
        <v>9.1008258031946704E-2</v>
      </c>
      <c r="S100" s="44">
        <f>(Data!HU99/Data!K99)/0.7</f>
        <v>0.21856369057534941</v>
      </c>
      <c r="T100" s="7"/>
      <c r="U100" s="12"/>
      <c r="V100" s="43">
        <f>Data!HK99/Data!K99</f>
        <v>0.46810631705345307</v>
      </c>
      <c r="W100" s="49">
        <f t="shared" si="7"/>
        <v>0.46789787609783057</v>
      </c>
      <c r="X100" s="44">
        <f>Data!IE99/Data!K99 - 0.3*Y100</f>
        <v>0.24933418552248116</v>
      </c>
      <c r="Y100" s="44">
        <f t="shared" si="8"/>
        <v>0.21856369057534941</v>
      </c>
      <c r="Z100" s="7">
        <f>Data!CT99/Data!K99</f>
        <v>7.6956702030033977E-2</v>
      </c>
      <c r="AA100" s="12">
        <f>(Data!K99-Data!AN99)/Data!K99</f>
        <v>6.3995806848716377E-2</v>
      </c>
      <c r="AB100" s="7"/>
      <c r="AC100" s="7"/>
      <c r="AD100" s="7"/>
      <c r="AE100" s="12"/>
      <c r="AF100" s="5">
        <f t="shared" si="9"/>
        <v>1.0024688588013542</v>
      </c>
      <c r="AG100" s="5">
        <f t="shared" si="10"/>
        <v>1</v>
      </c>
    </row>
    <row r="101" spans="1:33" x14ac:dyDescent="0.25">
      <c r="A101" s="1" t="s">
        <v>556</v>
      </c>
      <c r="B101">
        <v>1892</v>
      </c>
      <c r="C101" s="45">
        <f t="shared" si="0"/>
        <v>5.5906643777830028E-2</v>
      </c>
      <c r="D101" s="45">
        <f>Data!HI100/Data!K100</f>
        <v>5.3462988720102675E-2</v>
      </c>
      <c r="E101" s="44">
        <f>Data!IC100/Data!K100</f>
        <v>2.4436550577273558E-3</v>
      </c>
      <c r="F101" s="7">
        <v>0</v>
      </c>
      <c r="G101" s="46">
        <f>Data!IC100/Data!K100</f>
        <v>2.4436550577273558E-3</v>
      </c>
      <c r="H101" s="45">
        <f t="shared" si="1"/>
        <v>0.48428749760080236</v>
      </c>
      <c r="I101" s="63">
        <f t="shared" si="2"/>
        <v>0.32139793568424097</v>
      </c>
      <c r="J101" s="44">
        <f t="shared" si="3"/>
        <v>0.1628895619165614</v>
      </c>
      <c r="K101" s="7"/>
      <c r="L101" s="12"/>
      <c r="M101" s="45">
        <f t="shared" si="4"/>
        <v>0.40002919745142435</v>
      </c>
      <c r="N101" s="58">
        <f>Data!ID100/Data!K100</f>
        <v>9.1274891021001336E-2</v>
      </c>
      <c r="O101" s="7"/>
      <c r="P101" s="61">
        <v>0.01</v>
      </c>
      <c r="Q101" s="44">
        <f t="shared" si="5"/>
        <v>0.30875430643042301</v>
      </c>
      <c r="R101" s="44">
        <f t="shared" si="6"/>
        <v>8.8795212957378133E-2</v>
      </c>
      <c r="S101" s="44">
        <f>(Data!HU100/Data!K100)/0.7</f>
        <v>0.21995909347304485</v>
      </c>
      <c r="T101" s="7"/>
      <c r="U101" s="12"/>
      <c r="V101" s="43">
        <f>Data!HK100/Data!K100</f>
        <v>0.46365613736172179</v>
      </c>
      <c r="W101" s="49">
        <f t="shared" si="7"/>
        <v>0.47412354641060761</v>
      </c>
      <c r="X101" s="44">
        <f>Data!IE100/Data!K100 - 0.3*Y101</f>
        <v>0.25416445293756273</v>
      </c>
      <c r="Y101" s="44">
        <f t="shared" si="8"/>
        <v>0.21995909347304485</v>
      </c>
      <c r="Z101" s="7">
        <f>Data!CT100/Data!K100</f>
        <v>7.6035798127904564E-2</v>
      </c>
      <c r="AA101" s="12">
        <f>(Data!K100-Data!AN100)/Data!K100</f>
        <v>6.2220316227670665E-2</v>
      </c>
      <c r="AB101" s="7"/>
      <c r="AC101" s="7"/>
      <c r="AD101" s="7"/>
      <c r="AE101" s="12"/>
      <c r="AF101" s="5">
        <f t="shared" si="9"/>
        <v>1.0024436550577276</v>
      </c>
      <c r="AG101" s="5">
        <f t="shared" si="10"/>
        <v>1</v>
      </c>
    </row>
    <row r="102" spans="1:33" x14ac:dyDescent="0.25">
      <c r="A102" s="1" t="s">
        <v>556</v>
      </c>
      <c r="B102">
        <v>1893</v>
      </c>
      <c r="C102" s="45">
        <f t="shared" si="0"/>
        <v>5.7767781551453928E-2</v>
      </c>
      <c r="D102" s="45">
        <f>Data!HI101/Data!K101</f>
        <v>5.5313217444699594E-2</v>
      </c>
      <c r="E102" s="44">
        <f>Data!IC101/Data!K101</f>
        <v>2.4545641067543322E-3</v>
      </c>
      <c r="F102" s="7">
        <v>0</v>
      </c>
      <c r="G102" s="46">
        <f>Data!IC101/Data!K101</f>
        <v>2.4545641067543322E-3</v>
      </c>
      <c r="H102" s="45">
        <f t="shared" si="1"/>
        <v>0.46840306938452925</v>
      </c>
      <c r="I102" s="63">
        <f t="shared" si="2"/>
        <v>0.32454608774545185</v>
      </c>
      <c r="J102" s="44">
        <f t="shared" si="3"/>
        <v>0.14385698163907737</v>
      </c>
      <c r="K102" s="7"/>
      <c r="L102" s="12"/>
      <c r="M102" s="45">
        <f t="shared" si="4"/>
        <v>0.41451701824690601</v>
      </c>
      <c r="N102" s="58">
        <f>Data!ID101/Data!K101</f>
        <v>9.1660697991960777E-2</v>
      </c>
      <c r="O102" s="7"/>
      <c r="P102" s="61">
        <v>0.01</v>
      </c>
      <c r="Q102" s="44">
        <f t="shared" si="5"/>
        <v>0.32285632025494526</v>
      </c>
      <c r="R102" s="44">
        <f t="shared" si="6"/>
        <v>9.7107694018667395E-2</v>
      </c>
      <c r="S102" s="44">
        <f>(Data!HU101/Data!K101)/0.7</f>
        <v>0.22574862623627784</v>
      </c>
      <c r="T102" s="7"/>
      <c r="U102" s="12"/>
      <c r="V102" s="43">
        <f>Data!HK101/Data!K101</f>
        <v>0.47696699920881885</v>
      </c>
      <c r="W102" s="49">
        <f t="shared" si="7"/>
        <v>0.46126630586731598</v>
      </c>
      <c r="X102" s="44">
        <f>Data!IE101/Data!K101 - 0.3*Y102</f>
        <v>0.23551767963103815</v>
      </c>
      <c r="Y102" s="44">
        <f t="shared" si="8"/>
        <v>0.22574862623627784</v>
      </c>
      <c r="Z102" s="7">
        <f>Data!CT101/Data!K101</f>
        <v>7.5453520945769015E-2</v>
      </c>
      <c r="AA102" s="12">
        <f>(Data!K101-Data!AN101)/Data!K101</f>
        <v>6.1766694923865169E-2</v>
      </c>
      <c r="AB102" s="7"/>
      <c r="AC102" s="7"/>
      <c r="AD102" s="7"/>
      <c r="AE102" s="12"/>
      <c r="AF102" s="5">
        <f t="shared" si="9"/>
        <v>1.0024545641067544</v>
      </c>
      <c r="AG102" s="5">
        <f t="shared" si="10"/>
        <v>1</v>
      </c>
    </row>
    <row r="103" spans="1:33" x14ac:dyDescent="0.25">
      <c r="A103" s="1" t="s">
        <v>556</v>
      </c>
      <c r="B103">
        <v>1894</v>
      </c>
      <c r="C103" s="45">
        <f t="shared" si="0"/>
        <v>5.8286772929875247E-2</v>
      </c>
      <c r="D103" s="45">
        <f>Data!HI102/Data!K102</f>
        <v>5.5700921703122283E-2</v>
      </c>
      <c r="E103" s="44">
        <f>Data!IC102/Data!K102</f>
        <v>2.5858512267529672E-3</v>
      </c>
      <c r="F103" s="7">
        <v>0</v>
      </c>
      <c r="G103" s="46">
        <f>Data!IC102/Data!K102</f>
        <v>2.5858512267529672E-3</v>
      </c>
      <c r="H103" s="45">
        <f t="shared" si="1"/>
        <v>0.46679746088072854</v>
      </c>
      <c r="I103" s="63">
        <f t="shared" si="2"/>
        <v>0.32662812005045128</v>
      </c>
      <c r="J103" s="44">
        <f t="shared" si="3"/>
        <v>0.14016934083027727</v>
      </c>
      <c r="K103" s="7"/>
      <c r="L103" s="12"/>
      <c r="M103" s="45">
        <f t="shared" si="4"/>
        <v>0.41375012781531356</v>
      </c>
      <c r="N103" s="58">
        <f>Data!ID102/Data!K102</f>
        <v>8.710943521404417E-2</v>
      </c>
      <c r="O103" s="7"/>
      <c r="P103" s="61">
        <v>0.01</v>
      </c>
      <c r="Q103" s="44">
        <f t="shared" si="5"/>
        <v>0.32664069260126938</v>
      </c>
      <c r="R103" s="44">
        <f t="shared" si="6"/>
        <v>9.93119378927797E-2</v>
      </c>
      <c r="S103" s="44">
        <f>(Data!HU102/Data!K102)/0.7</f>
        <v>0.22732875470848965</v>
      </c>
      <c r="T103" s="7"/>
      <c r="U103" s="12"/>
      <c r="V103" s="43">
        <f>Data!HK102/Data!K102</f>
        <v>0.48164097964635327</v>
      </c>
      <c r="W103" s="49">
        <f t="shared" si="7"/>
        <v>0.45460753075281107</v>
      </c>
      <c r="X103" s="44">
        <f>Data!IE102/Data!K102 - 0.3*Y103</f>
        <v>0.22727877604432142</v>
      </c>
      <c r="Y103" s="44">
        <f t="shared" si="8"/>
        <v>0.22732875470848965</v>
      </c>
      <c r="Z103" s="7">
        <f>Data!CT102/Data!K102</f>
        <v>7.7293229355119397E-2</v>
      </c>
      <c r="AA103" s="12">
        <f>(Data!K102-Data!AN102)/Data!K102</f>
        <v>6.3751489600835792E-2</v>
      </c>
      <c r="AB103" s="7"/>
      <c r="AC103" s="7"/>
      <c r="AD103" s="7"/>
      <c r="AE103" s="12"/>
      <c r="AF103" s="5">
        <f t="shared" si="9"/>
        <v>1.0025858512267531</v>
      </c>
      <c r="AG103" s="5">
        <f t="shared" si="10"/>
        <v>1</v>
      </c>
    </row>
    <row r="104" spans="1:33" x14ac:dyDescent="0.25">
      <c r="A104" s="1" t="s">
        <v>556</v>
      </c>
      <c r="B104">
        <v>1895</v>
      </c>
      <c r="C104" s="45">
        <f t="shared" si="0"/>
        <v>5.6136599379307379E-2</v>
      </c>
      <c r="D104" s="45">
        <f>Data!HI103/Data!K103</f>
        <v>5.3608360235089803E-2</v>
      </c>
      <c r="E104" s="44">
        <f>Data!IC103/Data!K103</f>
        <v>2.528239144217577E-3</v>
      </c>
      <c r="F104" s="7">
        <v>0</v>
      </c>
      <c r="G104" s="46">
        <f>Data!IC103/Data!K103</f>
        <v>2.528239144217577E-3</v>
      </c>
      <c r="H104" s="45">
        <f t="shared" si="1"/>
        <v>0.47443517828786141</v>
      </c>
      <c r="I104" s="63">
        <f t="shared" si="2"/>
        <v>0.32624825970583837</v>
      </c>
      <c r="J104" s="44">
        <f t="shared" si="3"/>
        <v>0.14818691858202301</v>
      </c>
      <c r="K104" s="7"/>
      <c r="L104" s="12"/>
      <c r="M104" s="45">
        <f t="shared" si="4"/>
        <v>0.40831814062092142</v>
      </c>
      <c r="N104" s="58">
        <f>Data!ID103/Data!K103</f>
        <v>9.2834199191228067E-2</v>
      </c>
      <c r="O104" s="7"/>
      <c r="P104" s="61">
        <v>0.01</v>
      </c>
      <c r="Q104" s="44">
        <f t="shared" si="5"/>
        <v>0.31548394142969338</v>
      </c>
      <c r="R104" s="44">
        <f t="shared" si="6"/>
        <v>9.4653430525462254E-2</v>
      </c>
      <c r="S104" s="44">
        <f>(Data!HU103/Data!K103)/0.7</f>
        <v>0.22083051090423111</v>
      </c>
      <c r="T104" s="7"/>
      <c r="U104" s="12"/>
      <c r="V104" s="43">
        <f>Data!HK103/Data!K103</f>
        <v>0.47451005046639044</v>
      </c>
      <c r="W104" s="49">
        <f t="shared" si="7"/>
        <v>0.4618516286774822</v>
      </c>
      <c r="X104" s="44">
        <f>Data!IE103/Data!K103 - 0.3*Y104</f>
        <v>0.24102111777325108</v>
      </c>
      <c r="Y104" s="44">
        <f t="shared" si="8"/>
        <v>0.22083051090423111</v>
      </c>
      <c r="Z104" s="7">
        <f>Data!CT103/Data!K103</f>
        <v>7.5118427259585785E-2</v>
      </c>
      <c r="AA104" s="12">
        <f>(Data!K103-Data!AN103)/Data!K103</f>
        <v>6.3638320856127362E-2</v>
      </c>
      <c r="AB104" s="7"/>
      <c r="AC104" s="7"/>
      <c r="AD104" s="7"/>
      <c r="AE104" s="12"/>
      <c r="AF104" s="5">
        <f t="shared" si="9"/>
        <v>1.0025282391442176</v>
      </c>
      <c r="AG104" s="5">
        <f t="shared" si="10"/>
        <v>0.99999999999999989</v>
      </c>
    </row>
    <row r="105" spans="1:33" x14ac:dyDescent="0.25">
      <c r="A105" s="1" t="s">
        <v>556</v>
      </c>
      <c r="B105">
        <v>1896</v>
      </c>
      <c r="C105" s="45">
        <f t="shared" si="0"/>
        <v>5.4734187951724737E-2</v>
      </c>
      <c r="D105" s="45">
        <f>Data!HI104/Data!K104</f>
        <v>5.2100110094857453E-2</v>
      </c>
      <c r="E105" s="44">
        <f>Data!IC104/Data!K104</f>
        <v>2.6340778568672827E-3</v>
      </c>
      <c r="F105" s="7">
        <v>0</v>
      </c>
      <c r="G105" s="46">
        <f>Data!IC104/Data!K104</f>
        <v>2.6340778568672827E-3</v>
      </c>
      <c r="H105" s="45">
        <f t="shared" si="1"/>
        <v>0.48133040698579832</v>
      </c>
      <c r="I105" s="63">
        <f t="shared" si="2"/>
        <v>0.3261776252124195</v>
      </c>
      <c r="J105" s="44">
        <f t="shared" si="3"/>
        <v>0.15515278177337885</v>
      </c>
      <c r="K105" s="7"/>
      <c r="L105" s="12"/>
      <c r="M105" s="45">
        <f t="shared" si="4"/>
        <v>0.40187679565513112</v>
      </c>
      <c r="N105" s="58">
        <f>Data!ID104/Data!K104</f>
        <v>9.3107713011790466E-2</v>
      </c>
      <c r="O105" s="7"/>
      <c r="P105" s="61">
        <v>0.01</v>
      </c>
      <c r="Q105" s="44">
        <f t="shared" si="5"/>
        <v>0.30876908264334063</v>
      </c>
      <c r="R105" s="44">
        <f t="shared" si="6"/>
        <v>9.135247470294533E-2</v>
      </c>
      <c r="S105" s="44">
        <f>(Data!HU104/Data!K104)/0.7</f>
        <v>0.2174166079403953</v>
      </c>
      <c r="T105" s="7"/>
      <c r="U105" s="12"/>
      <c r="V105" s="43">
        <f>Data!HK104/Data!K104</f>
        <v>0.46963021001022226</v>
      </c>
      <c r="W105" s="49">
        <f t="shared" si="7"/>
        <v>0.46567710272556462</v>
      </c>
      <c r="X105" s="44">
        <f>Data!IE104/Data!K104 - 0.3*Y105</f>
        <v>0.24826049478516932</v>
      </c>
      <c r="Y105" s="44">
        <f t="shared" si="8"/>
        <v>0.2174166079403953</v>
      </c>
      <c r="Z105" s="7">
        <f>Data!CT104/Data!K104</f>
        <v>7.6463028298732374E-2</v>
      </c>
      <c r="AA105" s="12">
        <f>(Data!K104-Data!AN104)/Data!K104</f>
        <v>6.4692687264213122E-2</v>
      </c>
      <c r="AB105" s="7"/>
      <c r="AC105" s="7"/>
      <c r="AD105" s="7"/>
      <c r="AE105" s="12"/>
      <c r="AF105" s="5">
        <f t="shared" si="9"/>
        <v>1.0026340778568672</v>
      </c>
      <c r="AG105" s="5">
        <f t="shared" si="10"/>
        <v>0.99999999999999989</v>
      </c>
    </row>
    <row r="106" spans="1:33" x14ac:dyDescent="0.25">
      <c r="A106" s="1" t="s">
        <v>556</v>
      </c>
      <c r="B106">
        <v>1897</v>
      </c>
      <c r="C106" s="45">
        <f t="shared" si="0"/>
        <v>5.133807485391681E-2</v>
      </c>
      <c r="D106" s="45">
        <f>Data!HI105/Data!K105</f>
        <v>4.8620093531610981E-2</v>
      </c>
      <c r="E106" s="44">
        <f>Data!IC105/Data!K105</f>
        <v>2.7179813223058317E-3</v>
      </c>
      <c r="F106" s="7">
        <v>0</v>
      </c>
      <c r="G106" s="46">
        <f>Data!IC105/Data!K105</f>
        <v>2.7179813223058317E-3</v>
      </c>
      <c r="H106" s="45">
        <f t="shared" si="1"/>
        <v>0.51465784366479139</v>
      </c>
      <c r="I106" s="63">
        <f t="shared" si="2"/>
        <v>0.32719181135962017</v>
      </c>
      <c r="J106" s="44">
        <f t="shared" si="3"/>
        <v>0.18746603230517123</v>
      </c>
      <c r="K106" s="7"/>
      <c r="L106" s="12"/>
      <c r="M106" s="45">
        <f t="shared" si="4"/>
        <v>0.37324375020810818</v>
      </c>
      <c r="N106" s="58">
        <f>Data!ID105/Data!K105</f>
        <v>9.0186806875349565E-2</v>
      </c>
      <c r="O106" s="7"/>
      <c r="P106" s="61">
        <v>0.01</v>
      </c>
      <c r="Q106" s="44">
        <f t="shared" si="5"/>
        <v>0.2830569433327586</v>
      </c>
      <c r="R106" s="44">
        <f t="shared" si="6"/>
        <v>7.9013954332545377E-2</v>
      </c>
      <c r="S106" s="44">
        <f>(Data!HU105/Data!K105)/0.7</f>
        <v>0.20404298900021323</v>
      </c>
      <c r="T106" s="7"/>
      <c r="U106" s="12"/>
      <c r="V106" s="43">
        <f>Data!HK105/Data!K105</f>
        <v>0.4548258592237765</v>
      </c>
      <c r="W106" s="49">
        <f t="shared" si="7"/>
        <v>0.48169582818073403</v>
      </c>
      <c r="X106" s="44">
        <f>Data!IE105/Data!K105 - 0.3*Y106</f>
        <v>0.27765283918052081</v>
      </c>
      <c r="Y106" s="44">
        <f t="shared" si="8"/>
        <v>0.20404298900021323</v>
      </c>
      <c r="Z106" s="7">
        <f>Data!CT105/Data!K105</f>
        <v>7.7182835886569365E-2</v>
      </c>
      <c r="AA106" s="12">
        <f>(Data!K105-Data!AN105)/Data!K105</f>
        <v>6.3478312595489403E-2</v>
      </c>
      <c r="AB106" s="7"/>
      <c r="AC106" s="7"/>
      <c r="AD106" s="7"/>
      <c r="AE106" s="12"/>
      <c r="AF106" s="5">
        <f t="shared" si="9"/>
        <v>1.0027179813223057</v>
      </c>
      <c r="AG106" s="5">
        <f t="shared" si="10"/>
        <v>0.99999999999999989</v>
      </c>
    </row>
    <row r="107" spans="1:33" x14ac:dyDescent="0.25">
      <c r="A107" s="1" t="s">
        <v>556</v>
      </c>
      <c r="B107">
        <v>1898</v>
      </c>
      <c r="C107" s="45">
        <f t="shared" si="0"/>
        <v>4.9029951745206926E-2</v>
      </c>
      <c r="D107" s="45">
        <f>Data!HI106/Data!K106</f>
        <v>4.6314136827054653E-2</v>
      </c>
      <c r="E107" s="44">
        <f>Data!IC106/Data!K106</f>
        <v>2.7158149181522721E-3</v>
      </c>
      <c r="F107" s="7">
        <v>0</v>
      </c>
      <c r="G107" s="46">
        <f>Data!IC106/Data!K106</f>
        <v>2.7158149181522721E-3</v>
      </c>
      <c r="H107" s="45">
        <f t="shared" si="1"/>
        <v>0.52009373296853934</v>
      </c>
      <c r="I107" s="63">
        <f t="shared" si="2"/>
        <v>0.32754193852759939</v>
      </c>
      <c r="J107" s="44">
        <f t="shared" si="3"/>
        <v>0.19255179444094001</v>
      </c>
      <c r="K107" s="7"/>
      <c r="L107" s="12"/>
      <c r="M107" s="45">
        <f t="shared" si="4"/>
        <v>0.36767372534752873</v>
      </c>
      <c r="N107" s="58">
        <f>Data!ID106/Data!K106</f>
        <v>9.0689091140547337E-2</v>
      </c>
      <c r="O107" s="7"/>
      <c r="P107" s="61">
        <v>0.01</v>
      </c>
      <c r="Q107" s="44">
        <f t="shared" si="5"/>
        <v>0.27698463420698138</v>
      </c>
      <c r="R107" s="44">
        <f t="shared" si="6"/>
        <v>7.6573051051679969E-2</v>
      </c>
      <c r="S107" s="44">
        <f>(Data!HU106/Data!K106)/0.7</f>
        <v>0.20041158315530139</v>
      </c>
      <c r="T107" s="7"/>
      <c r="U107" s="12"/>
      <c r="V107" s="43">
        <f>Data!HK106/Data!K106</f>
        <v>0.45042912640633398</v>
      </c>
      <c r="W107" s="49">
        <f t="shared" si="7"/>
        <v>0.48365246873678874</v>
      </c>
      <c r="X107" s="44">
        <f>Data!IE106/Data!K106 - 0.3*Y107</f>
        <v>0.28324088558148736</v>
      </c>
      <c r="Y107" s="44">
        <f t="shared" si="8"/>
        <v>0.20041158315530139</v>
      </c>
      <c r="Z107" s="7">
        <f>Data!CT106/Data!K106</f>
        <v>7.7460091735062964E-2</v>
      </c>
      <c r="AA107" s="12">
        <f>(Data!K106-Data!AN106)/Data!K106</f>
        <v>6.5918404856877152E-2</v>
      </c>
      <c r="AB107" s="7"/>
      <c r="AC107" s="7"/>
      <c r="AD107" s="7"/>
      <c r="AE107" s="12"/>
      <c r="AF107" s="5">
        <f t="shared" si="9"/>
        <v>1.0027158149181521</v>
      </c>
      <c r="AG107" s="5">
        <f t="shared" si="10"/>
        <v>0.99999999999999989</v>
      </c>
    </row>
    <row r="108" spans="1:33" x14ac:dyDescent="0.25">
      <c r="A108" s="1" t="s">
        <v>556</v>
      </c>
      <c r="B108">
        <v>1899</v>
      </c>
      <c r="C108" s="45">
        <f t="shared" si="0"/>
        <v>4.662416483131733E-2</v>
      </c>
      <c r="D108" s="45">
        <f>Data!HI107/Data!K107</f>
        <v>4.3994559078788492E-2</v>
      </c>
      <c r="E108" s="44">
        <f>Data!IC107/Data!K107</f>
        <v>2.629605752528835E-3</v>
      </c>
      <c r="F108" s="7">
        <v>0</v>
      </c>
      <c r="G108" s="46">
        <f>Data!IC107/Data!K107</f>
        <v>2.629605752528835E-3</v>
      </c>
      <c r="H108" s="45">
        <f t="shared" si="1"/>
        <v>0.51874081520528692</v>
      </c>
      <c r="I108" s="63">
        <f t="shared" si="2"/>
        <v>0.3297254641117483</v>
      </c>
      <c r="J108" s="44">
        <f t="shared" si="3"/>
        <v>0.18901535109353862</v>
      </c>
      <c r="K108" s="7"/>
      <c r="L108" s="12"/>
      <c r="M108" s="45">
        <f t="shared" si="4"/>
        <v>0.37016329212012944</v>
      </c>
      <c r="N108" s="58">
        <f>Data!ID107/Data!K107</f>
        <v>9.2783247772431077E-2</v>
      </c>
      <c r="O108" s="7"/>
      <c r="P108" s="61">
        <v>0.01</v>
      </c>
      <c r="Q108" s="44">
        <f t="shared" si="5"/>
        <v>0.27738004434769836</v>
      </c>
      <c r="R108" s="44">
        <f t="shared" si="6"/>
        <v>7.7307488792934503E-2</v>
      </c>
      <c r="S108" s="44">
        <f>(Data!HU107/Data!K107)/0.7</f>
        <v>0.20007255555476383</v>
      </c>
      <c r="T108" s="7"/>
      <c r="U108" s="12"/>
      <c r="V108" s="43">
        <f>Data!HK107/Data!K107</f>
        <v>0.45102751198347124</v>
      </c>
      <c r="W108" s="49">
        <f t="shared" si="7"/>
        <v>0.48187115442073353</v>
      </c>
      <c r="X108" s="44">
        <f>Data!IE107/Data!K107 - 0.3*Y108</f>
        <v>0.2817985988659697</v>
      </c>
      <c r="Y108" s="44">
        <f t="shared" si="8"/>
        <v>0.20007255555476383</v>
      </c>
      <c r="Z108" s="7">
        <f>Data!CT107/Data!K107</f>
        <v>7.5675304037201158E-2</v>
      </c>
      <c r="AA108" s="12">
        <f>(Data!K107-Data!AN107)/Data!K107</f>
        <v>6.710133359579494E-2</v>
      </c>
      <c r="AB108" s="7"/>
      <c r="AC108" s="7"/>
      <c r="AD108" s="7"/>
      <c r="AE108" s="12"/>
      <c r="AF108" s="5">
        <f t="shared" si="9"/>
        <v>1.0026296057525286</v>
      </c>
      <c r="AG108" s="5">
        <f t="shared" si="10"/>
        <v>0.99999999999999978</v>
      </c>
    </row>
    <row r="109" spans="1:33" s="20" customFormat="1" x14ac:dyDescent="0.25">
      <c r="A109" s="19" t="s">
        <v>556</v>
      </c>
      <c r="B109" s="20">
        <v>1900</v>
      </c>
      <c r="C109" s="45">
        <f t="shared" si="0"/>
        <v>4.8309472822091977E-2</v>
      </c>
      <c r="D109" s="45">
        <f>Data!HI108/Data!K108</f>
        <v>4.5418853183018269E-2</v>
      </c>
      <c r="E109" s="44">
        <f>Data!IC108/Data!K108</f>
        <v>2.8906196390737094E-3</v>
      </c>
      <c r="F109" s="7">
        <v>0</v>
      </c>
      <c r="G109" s="46">
        <f>Data!IC108/Data!K108</f>
        <v>2.8906196390737094E-3</v>
      </c>
      <c r="H109" s="45">
        <f t="shared" si="1"/>
        <v>0.50820302823140051</v>
      </c>
      <c r="I109" s="63">
        <f t="shared" si="2"/>
        <v>0.33527794970810387</v>
      </c>
      <c r="J109" s="44">
        <f t="shared" si="3"/>
        <v>0.17292507852329669</v>
      </c>
      <c r="K109" s="36"/>
      <c r="L109" s="40"/>
      <c r="M109" s="45">
        <f t="shared" si="4"/>
        <v>0.38133449795473096</v>
      </c>
      <c r="N109" s="58">
        <f>Data!ID108/Data!K108</f>
        <v>9.0665904054234359E-2</v>
      </c>
      <c r="O109" s="36"/>
      <c r="P109" s="61">
        <v>0.01</v>
      </c>
      <c r="Q109" s="44">
        <f t="shared" si="5"/>
        <v>0.2906685939004966</v>
      </c>
      <c r="R109" s="44">
        <f t="shared" si="6"/>
        <v>8.4332676162009623E-2</v>
      </c>
      <c r="S109" s="44">
        <f>(Data!HU108/Data!K108)/0.7</f>
        <v>0.20633591773848695</v>
      </c>
      <c r="T109" s="36"/>
      <c r="U109" s="40"/>
      <c r="V109" s="43">
        <f>Data!HK108/Data!K108</f>
        <v>0.46502947905313174</v>
      </c>
      <c r="W109" s="49">
        <f t="shared" si="7"/>
        <v>0.46992690031601803</v>
      </c>
      <c r="X109" s="44">
        <f>Data!IE108/Data!K108 - 0.3*Y109</f>
        <v>0.26359098257753105</v>
      </c>
      <c r="Y109" s="44">
        <f t="shared" si="8"/>
        <v>0.20633591773848695</v>
      </c>
      <c r="Z109" s="7">
        <f>Data!CT108/Data!K108</f>
        <v>8.0002120077581465E-2</v>
      </c>
      <c r="AA109" s="40">
        <f>(Data!K108-Data!AN108)/Data!K108</f>
        <v>6.5043620630850202E-2</v>
      </c>
      <c r="AB109" s="36"/>
      <c r="AC109" s="36"/>
      <c r="AD109" s="36"/>
      <c r="AE109" s="40"/>
      <c r="AF109" s="5">
        <f t="shared" si="9"/>
        <v>1.0028906196390737</v>
      </c>
      <c r="AG109" s="5">
        <f t="shared" si="10"/>
        <v>1</v>
      </c>
    </row>
    <row r="110" spans="1:33" x14ac:dyDescent="0.25">
      <c r="A110" s="1" t="s">
        <v>556</v>
      </c>
      <c r="B110">
        <v>1901</v>
      </c>
      <c r="C110" s="45">
        <f t="shared" si="0"/>
        <v>5.0221085667894391E-2</v>
      </c>
      <c r="D110" s="45">
        <f>Data!HI109/Data!K109</f>
        <v>4.7198959258951199E-2</v>
      </c>
      <c r="E110" s="44">
        <f>Data!IC109/Data!K109</f>
        <v>3.0221264089431918E-3</v>
      </c>
      <c r="F110" s="7">
        <v>0</v>
      </c>
      <c r="G110" s="46">
        <f>Data!IC109/Data!K109</f>
        <v>3.0221264089431918E-3</v>
      </c>
      <c r="H110" s="45">
        <f t="shared" si="1"/>
        <v>0.50132789237463038</v>
      </c>
      <c r="I110" s="63">
        <f t="shared" si="2"/>
        <v>0.33925790859205512</v>
      </c>
      <c r="J110" s="44">
        <f t="shared" si="3"/>
        <v>0.16206998378257526</v>
      </c>
      <c r="K110" s="7"/>
      <c r="L110" s="12"/>
      <c r="M110" s="45">
        <f t="shared" si="4"/>
        <v>0.39257869472938978</v>
      </c>
      <c r="N110" s="58">
        <f>Data!ID109/Data!K109</f>
        <v>8.8231393101885616E-2</v>
      </c>
      <c r="O110" s="7"/>
      <c r="P110" s="61">
        <v>0.01</v>
      </c>
      <c r="Q110" s="44">
        <f t="shared" si="5"/>
        <v>0.30434730162750417</v>
      </c>
      <c r="R110" s="44">
        <f t="shared" si="6"/>
        <v>9.0441397893063796E-2</v>
      </c>
      <c r="S110" s="44">
        <f>(Data!HU109/Data!K109)/0.7</f>
        <v>0.21390590373444038</v>
      </c>
      <c r="T110" s="7"/>
      <c r="U110" s="12"/>
      <c r="V110" s="43">
        <f>Data!HK109/Data!K109</f>
        <v>0.47689826574407007</v>
      </c>
      <c r="W110" s="49">
        <f t="shared" si="7"/>
        <v>0.46420728061890126</v>
      </c>
      <c r="X110" s="44">
        <f>Data!IE109/Data!K109 - 0.3*Y110</f>
        <v>0.25030137688446086</v>
      </c>
      <c r="Y110" s="44">
        <f t="shared" si="8"/>
        <v>0.21390590373444038</v>
      </c>
      <c r="Z110" s="7">
        <f>Data!CT109/Data!K109</f>
        <v>8.343581594007643E-2</v>
      </c>
      <c r="AA110" s="12">
        <f>(Data!K109-Data!AN109)/Data!K109</f>
        <v>5.8894453637028679E-2</v>
      </c>
      <c r="AB110" s="7"/>
      <c r="AC110" s="7"/>
      <c r="AD110" s="7"/>
      <c r="AE110" s="12"/>
      <c r="AF110" s="5">
        <f t="shared" si="9"/>
        <v>1.0030221264089432</v>
      </c>
      <c r="AG110" s="5">
        <f t="shared" si="10"/>
        <v>1</v>
      </c>
    </row>
    <row r="111" spans="1:33" x14ac:dyDescent="0.25">
      <c r="A111" s="1" t="s">
        <v>556</v>
      </c>
      <c r="B111">
        <v>1902</v>
      </c>
      <c r="C111" s="45">
        <f t="shared" si="0"/>
        <v>5.3235095368314347E-2</v>
      </c>
      <c r="D111" s="45">
        <f>Data!HI110/Data!K110</f>
        <v>5.0183733338170937E-2</v>
      </c>
      <c r="E111" s="44">
        <f>Data!IC110/Data!K110</f>
        <v>3.0513620301434131E-3</v>
      </c>
      <c r="F111" s="7">
        <v>0</v>
      </c>
      <c r="G111" s="46">
        <f>Data!IC110/Data!K110</f>
        <v>3.0513620301434131E-3</v>
      </c>
      <c r="H111" s="45">
        <f t="shared" si="1"/>
        <v>0.48697602710897608</v>
      </c>
      <c r="I111" s="63">
        <f t="shared" si="2"/>
        <v>0.33303224943536913</v>
      </c>
      <c r="J111" s="44">
        <f t="shared" si="3"/>
        <v>0.15394377767360695</v>
      </c>
      <c r="K111" s="7"/>
      <c r="L111" s="12"/>
      <c r="M111" s="45">
        <f t="shared" si="4"/>
        <v>0.39899872419552956</v>
      </c>
      <c r="N111" s="58">
        <f>Data!ID110/Data!K110</f>
        <v>9.2212017734796203E-2</v>
      </c>
      <c r="O111" s="7"/>
      <c r="P111" s="61">
        <v>0.01</v>
      </c>
      <c r="Q111" s="44">
        <f t="shared" si="5"/>
        <v>0.30678670646073336</v>
      </c>
      <c r="R111" s="44">
        <f t="shared" si="6"/>
        <v>9.2275635808704431E-2</v>
      </c>
      <c r="S111" s="44">
        <f>(Data!HU110/Data!K110)/0.7</f>
        <v>0.2145110706520289</v>
      </c>
      <c r="T111" s="7"/>
      <c r="U111" s="12"/>
      <c r="V111" s="43">
        <f>Data!HK110/Data!K110</f>
        <v>0.47549161858224448</v>
      </c>
      <c r="W111" s="49">
        <f t="shared" si="7"/>
        <v>0.46066686606043206</v>
      </c>
      <c r="X111" s="44">
        <f>Data!IE110/Data!K110 - 0.3*Y111</f>
        <v>0.24615579540840316</v>
      </c>
      <c r="Y111" s="44">
        <f t="shared" si="8"/>
        <v>0.2145110706520289</v>
      </c>
      <c r="Z111" s="7">
        <f>Data!CT110/Data!K110</f>
        <v>8.25601758832787E-2</v>
      </c>
      <c r="AA111" s="12">
        <f>(Data!K110-Data!AN110)/Data!K110</f>
        <v>6.3841515357323339E-2</v>
      </c>
      <c r="AB111" s="7"/>
      <c r="AC111" s="7"/>
      <c r="AD111" s="7"/>
      <c r="AE111" s="12"/>
      <c r="AF111" s="5">
        <f t="shared" si="9"/>
        <v>1.0030513620301433</v>
      </c>
      <c r="AG111" s="5">
        <f t="shared" si="10"/>
        <v>0.99999999999999989</v>
      </c>
    </row>
    <row r="112" spans="1:33" x14ac:dyDescent="0.25">
      <c r="A112" s="1" t="s">
        <v>556</v>
      </c>
      <c r="B112">
        <v>1903</v>
      </c>
      <c r="C112" s="45">
        <f t="shared" si="0"/>
        <v>5.1732477729594877E-2</v>
      </c>
      <c r="D112" s="45">
        <f>Data!HI111/Data!K111</f>
        <v>4.8525323609166358E-2</v>
      </c>
      <c r="E112" s="44">
        <f>Data!IC111/Data!K111</f>
        <v>3.2071541204285207E-3</v>
      </c>
      <c r="F112" s="7">
        <v>0</v>
      </c>
      <c r="G112" s="46">
        <f>Data!IC111/Data!K111</f>
        <v>3.2071541204285207E-3</v>
      </c>
      <c r="H112" s="45">
        <f t="shared" si="1"/>
        <v>0.50372840986889433</v>
      </c>
      <c r="I112" s="63">
        <f t="shared" si="2"/>
        <v>0.32644416772819707</v>
      </c>
      <c r="J112" s="44">
        <f t="shared" si="3"/>
        <v>0.17728424214069727</v>
      </c>
      <c r="K112" s="7"/>
      <c r="L112" s="12"/>
      <c r="M112" s="45">
        <f t="shared" si="4"/>
        <v>0.38467234152013674</v>
      </c>
      <c r="N112" s="58">
        <f>Data!ID111/Data!K111</f>
        <v>0.10107100919474353</v>
      </c>
      <c r="O112" s="7"/>
      <c r="P112" s="61">
        <v>0.01</v>
      </c>
      <c r="Q112" s="44">
        <f t="shared" si="5"/>
        <v>0.2836013323253932</v>
      </c>
      <c r="R112" s="44">
        <f t="shared" si="6"/>
        <v>8.1058988992205025E-2</v>
      </c>
      <c r="S112" s="44">
        <f>(Data!HU111/Data!K111)/0.7</f>
        <v>0.20254234333318816</v>
      </c>
      <c r="T112" s="7"/>
      <c r="U112" s="12"/>
      <c r="V112" s="43">
        <f>Data!HK111/Data!K111</f>
        <v>0.45602848032956844</v>
      </c>
      <c r="W112" s="49">
        <f t="shared" si="7"/>
        <v>0.48089759466862897</v>
      </c>
      <c r="X112" s="44">
        <f>Data!IE111/Data!K111 - 0.3*Y112</f>
        <v>0.27835525133544081</v>
      </c>
      <c r="Y112" s="44">
        <f t="shared" si="8"/>
        <v>0.20254234333318816</v>
      </c>
      <c r="Z112" s="7">
        <f>Data!CT111/Data!K111</f>
        <v>8.1456310288733333E-2</v>
      </c>
      <c r="AA112" s="12">
        <f>(Data!K111-Data!AN111)/Data!K111</f>
        <v>6.3073925001802519E-2</v>
      </c>
      <c r="AB112" s="7"/>
      <c r="AC112" s="7"/>
      <c r="AD112" s="7"/>
      <c r="AE112" s="12"/>
      <c r="AF112" s="5">
        <f t="shared" si="9"/>
        <v>1.0032071541204284</v>
      </c>
      <c r="AG112" s="5">
        <f t="shared" si="10"/>
        <v>1</v>
      </c>
    </row>
    <row r="113" spans="1:33" x14ac:dyDescent="0.25">
      <c r="A113" s="1" t="s">
        <v>556</v>
      </c>
      <c r="B113">
        <v>1904</v>
      </c>
      <c r="C113" s="45">
        <f t="shared" si="0"/>
        <v>5.2655822490682562E-2</v>
      </c>
      <c r="D113" s="45">
        <f>Data!HI112/Data!K112</f>
        <v>4.9331212966412609E-2</v>
      </c>
      <c r="E113" s="44">
        <f>Data!IC112/Data!K112</f>
        <v>3.324609524269953E-3</v>
      </c>
      <c r="F113" s="7">
        <v>0</v>
      </c>
      <c r="G113" s="46">
        <f>Data!IC112/Data!K112</f>
        <v>3.324609524269953E-3</v>
      </c>
      <c r="H113" s="45">
        <f t="shared" si="1"/>
        <v>0.50516039625432296</v>
      </c>
      <c r="I113" s="63">
        <f t="shared" si="2"/>
        <v>0.33226769584386645</v>
      </c>
      <c r="J113" s="44">
        <f t="shared" si="3"/>
        <v>0.17289270041045657</v>
      </c>
      <c r="K113" s="7"/>
      <c r="L113" s="12"/>
      <c r="M113" s="45">
        <f t="shared" si="4"/>
        <v>0.38138380907828817</v>
      </c>
      <c r="N113" s="58">
        <f>Data!ID112/Data!K112</f>
        <v>9.514435851116082E-2</v>
      </c>
      <c r="O113" s="7"/>
      <c r="P113" s="61">
        <v>0.01</v>
      </c>
      <c r="Q113" s="44">
        <f t="shared" si="5"/>
        <v>0.28623945056712735</v>
      </c>
      <c r="R113" s="44">
        <f t="shared" si="6"/>
        <v>8.3673965234817474E-2</v>
      </c>
      <c r="S113" s="44">
        <f>(Data!HU112/Data!K112)/0.7</f>
        <v>0.20256548533230986</v>
      </c>
      <c r="T113" s="7"/>
      <c r="U113" s="12"/>
      <c r="V113" s="43">
        <f>Data!HK112/Data!K112</f>
        <v>0.46527287404509654</v>
      </c>
      <c r="W113" s="49">
        <f t="shared" si="7"/>
        <v>0.47060254425392722</v>
      </c>
      <c r="X113" s="44">
        <f>Data!IE112/Data!K112 - 0.3*Y113</f>
        <v>0.26803705892161739</v>
      </c>
      <c r="Y113" s="44">
        <f t="shared" si="8"/>
        <v>0.20256548533230986</v>
      </c>
      <c r="Z113" s="7">
        <f>Data!CT112/Data!K112</f>
        <v>7.998947378013431E-2</v>
      </c>
      <c r="AA113" s="12">
        <f>(Data!K112-Data!AN112)/Data!K112</f>
        <v>6.412458170097611E-2</v>
      </c>
      <c r="AB113" s="7"/>
      <c r="AC113" s="7"/>
      <c r="AD113" s="7"/>
      <c r="AE113" s="12"/>
      <c r="AF113" s="5">
        <f t="shared" si="9"/>
        <v>1.0033246095242698</v>
      </c>
      <c r="AG113" s="5">
        <f t="shared" si="10"/>
        <v>0.99999999999999989</v>
      </c>
    </row>
    <row r="114" spans="1:33" x14ac:dyDescent="0.25">
      <c r="A114" s="1" t="s">
        <v>556</v>
      </c>
      <c r="B114">
        <v>1905</v>
      </c>
      <c r="C114" s="45">
        <f t="shared" si="0"/>
        <v>5.2146755038720405E-2</v>
      </c>
      <c r="D114" s="45">
        <f>Data!HI113/Data!K113</f>
        <v>4.8592180382034722E-2</v>
      </c>
      <c r="E114" s="44">
        <f>Data!IC113/Data!K113</f>
        <v>3.5545746566856811E-3</v>
      </c>
      <c r="F114" s="7">
        <v>0</v>
      </c>
      <c r="G114" s="46">
        <f>Data!IC113/Data!K113</f>
        <v>3.5545746566856811E-3</v>
      </c>
      <c r="H114" s="45">
        <f t="shared" si="1"/>
        <v>0.49427230696927837</v>
      </c>
      <c r="I114" s="63">
        <f t="shared" si="2"/>
        <v>0.32987343297449817</v>
      </c>
      <c r="J114" s="44">
        <f t="shared" si="3"/>
        <v>0.16439887399478018</v>
      </c>
      <c r="K114" s="7"/>
      <c r="L114" s="12"/>
      <c r="M114" s="45">
        <f t="shared" si="4"/>
        <v>0.39344490333151516</v>
      </c>
      <c r="N114" s="58">
        <f>Data!ID113/Data!K113</f>
        <v>0.10348794280821624</v>
      </c>
      <c r="O114" s="7"/>
      <c r="P114" s="61">
        <v>0.01</v>
      </c>
      <c r="Q114" s="44">
        <f t="shared" si="5"/>
        <v>0.28995696052329889</v>
      </c>
      <c r="R114" s="44">
        <f t="shared" si="6"/>
        <v>8.5724931589707343E-2</v>
      </c>
      <c r="S114" s="44">
        <f>(Data!HU113/Data!K113)/0.7</f>
        <v>0.20423202893359155</v>
      </c>
      <c r="T114" s="7"/>
      <c r="U114" s="12"/>
      <c r="V114" s="43">
        <f>Data!HK113/Data!K113</f>
        <v>0.46419054494624024</v>
      </c>
      <c r="W114" s="49">
        <f t="shared" si="7"/>
        <v>0.47211884573658797</v>
      </c>
      <c r="X114" s="44">
        <f>Data!IE113/Data!K113 - 0.3*Y114</f>
        <v>0.26788681680299642</v>
      </c>
      <c r="Y114" s="44">
        <f t="shared" si="8"/>
        <v>0.20423202893359155</v>
      </c>
      <c r="Z114" s="7">
        <f>Data!CT113/Data!K113</f>
        <v>8.0614783777570684E-2</v>
      </c>
      <c r="AA114" s="12">
        <f>(Data!K113-Data!AN113)/Data!K113</f>
        <v>6.3690609317171853E-2</v>
      </c>
      <c r="AB114" s="7"/>
      <c r="AC114" s="7"/>
      <c r="AD114" s="7"/>
      <c r="AE114" s="12"/>
      <c r="AF114" s="5">
        <f t="shared" si="9"/>
        <v>1.0035545746566858</v>
      </c>
      <c r="AG114" s="5">
        <f t="shared" si="10"/>
        <v>1</v>
      </c>
    </row>
    <row r="115" spans="1:33" x14ac:dyDescent="0.25">
      <c r="A115" s="1" t="s">
        <v>556</v>
      </c>
      <c r="B115">
        <v>1906</v>
      </c>
      <c r="C115" s="45">
        <f t="shared" si="0"/>
        <v>4.8349943777342544E-2</v>
      </c>
      <c r="D115" s="45">
        <f>Data!HI114/Data!K114</f>
        <v>4.4850618315210075E-2</v>
      </c>
      <c r="E115" s="44">
        <f>Data!IC114/Data!K114</f>
        <v>3.4993254621324675E-3</v>
      </c>
      <c r="F115" s="7">
        <v>0</v>
      </c>
      <c r="G115" s="46">
        <f>Data!IC114/Data!K114</f>
        <v>3.4993254621324675E-3</v>
      </c>
      <c r="H115" s="45">
        <f t="shared" si="1"/>
        <v>0.53360998029015794</v>
      </c>
      <c r="I115" s="63">
        <f t="shared" si="2"/>
        <v>0.33386041167033803</v>
      </c>
      <c r="J115" s="44">
        <f>X115-N115</f>
        <v>0.19974956861981996</v>
      </c>
      <c r="K115" s="7"/>
      <c r="L115" s="12"/>
      <c r="M115" s="45">
        <f t="shared" si="4"/>
        <v>0.36092178114733842</v>
      </c>
      <c r="N115" s="58">
        <f>Data!ID114/Data!K114</f>
        <v>9.7222538699582584E-2</v>
      </c>
      <c r="O115" s="7"/>
      <c r="P115" s="61">
        <v>0.01</v>
      </c>
      <c r="Q115" s="44">
        <f t="shared" si="5"/>
        <v>0.26369924244775583</v>
      </c>
      <c r="R115" s="44">
        <f t="shared" si="6"/>
        <v>7.3521862604193924E-2</v>
      </c>
      <c r="S115" s="44">
        <f>(Data!HU114/Data!K114)/0.7</f>
        <v>0.19017737984356192</v>
      </c>
      <c r="T115" s="7"/>
      <c r="U115" s="12"/>
      <c r="V115" s="43">
        <f>Data!HK114/Data!K114</f>
        <v>0.45223289258974203</v>
      </c>
      <c r="W115" s="49">
        <f t="shared" si="7"/>
        <v>0.48714948716296447</v>
      </c>
      <c r="X115" s="44">
        <f>Data!IE114/Data!K114 - 0.3*Y115</f>
        <v>0.29697210731940255</v>
      </c>
      <c r="Y115" s="44">
        <f t="shared" si="8"/>
        <v>0.19017737984356192</v>
      </c>
      <c r="Z115" s="7">
        <f>Data!CT114/Data!K114</f>
        <v>7.6797445956031621E-2</v>
      </c>
      <c r="AA115" s="12">
        <f>(Data!K114-Data!AN114)/Data!K114</f>
        <v>6.0617620247293572E-2</v>
      </c>
      <c r="AB115" s="7"/>
      <c r="AC115" s="7"/>
      <c r="AD115" s="7"/>
      <c r="AE115" s="12"/>
      <c r="AF115" s="5">
        <f t="shared" si="9"/>
        <v>1.0034993254621325</v>
      </c>
      <c r="AG115" s="5">
        <f t="shared" si="10"/>
        <v>1</v>
      </c>
    </row>
    <row r="116" spans="1:33" x14ac:dyDescent="0.25">
      <c r="A116" s="1" t="s">
        <v>556</v>
      </c>
      <c r="B116">
        <v>1907</v>
      </c>
      <c r="C116" s="45">
        <f t="shared" si="0"/>
        <v>4.6991709500888469E-2</v>
      </c>
      <c r="D116" s="45">
        <f>Data!HI115/Data!K115</f>
        <v>4.3599871307665558E-2</v>
      </c>
      <c r="E116" s="44">
        <f>Data!IC115/Data!K115</f>
        <v>3.3918381932229102E-3</v>
      </c>
      <c r="F116" s="7">
        <v>0</v>
      </c>
      <c r="G116" s="46">
        <f>Data!IC115/Data!K115</f>
        <v>3.3918381932229102E-3</v>
      </c>
      <c r="H116" s="45">
        <f t="shared" si="1"/>
        <v>0.53915124923677804</v>
      </c>
      <c r="I116" s="63">
        <f t="shared" si="2"/>
        <v>0.33497014093039296</v>
      </c>
      <c r="J116" s="44">
        <f t="shared" si="3"/>
        <v>0.20418110830638503</v>
      </c>
      <c r="K116" s="7"/>
      <c r="L116" s="12"/>
      <c r="M116" s="45">
        <f t="shared" si="4"/>
        <v>0.35835424889781453</v>
      </c>
      <c r="N116" s="58">
        <f>Data!ID115/Data!K115</f>
        <v>0.10193254884955395</v>
      </c>
      <c r="O116" s="7"/>
      <c r="P116" s="61">
        <v>0.01</v>
      </c>
      <c r="Q116" s="44">
        <f t="shared" si="5"/>
        <v>0.25642170004826059</v>
      </c>
      <c r="R116" s="44">
        <f t="shared" si="6"/>
        <v>7.1307245797225735E-2</v>
      </c>
      <c r="S116" s="44">
        <f>(Data!HU115/Data!K115)/0.7</f>
        <v>0.18511445425103484</v>
      </c>
      <c r="T116" s="7"/>
      <c r="U116" s="12"/>
      <c r="V116" s="43">
        <f>Data!HK115/Data!K115</f>
        <v>0.44987725803528428</v>
      </c>
      <c r="W116" s="49">
        <f t="shared" si="7"/>
        <v>0.49122811140697381</v>
      </c>
      <c r="X116" s="44">
        <f>Data!IE115/Data!K115 - 0.3*Y116</f>
        <v>0.30611365715593897</v>
      </c>
      <c r="Y116" s="44">
        <f t="shared" si="8"/>
        <v>0.18511445425103484</v>
      </c>
      <c r="Z116" s="7">
        <f>Data!CT115/Data!K115</f>
        <v>7.3470673394253255E-2</v>
      </c>
      <c r="AA116" s="12">
        <f>(Data!K115-Data!AN115)/Data!K115</f>
        <v>5.889463055774187E-2</v>
      </c>
      <c r="AB116" s="7"/>
      <c r="AC116" s="7"/>
      <c r="AD116" s="7"/>
      <c r="AE116" s="12"/>
      <c r="AF116" s="5">
        <f t="shared" si="9"/>
        <v>1.003391838193223</v>
      </c>
      <c r="AG116" s="5">
        <f t="shared" si="10"/>
        <v>1</v>
      </c>
    </row>
    <row r="117" spans="1:33" x14ac:dyDescent="0.25">
      <c r="A117" s="1" t="s">
        <v>556</v>
      </c>
      <c r="B117">
        <v>1908</v>
      </c>
      <c r="C117" s="45">
        <f t="shared" si="0"/>
        <v>4.9180052360201162E-2</v>
      </c>
      <c r="D117" s="45">
        <f>Data!HI116/Data!K116</f>
        <v>4.5587324150817177E-2</v>
      </c>
      <c r="E117" s="44">
        <f>Data!IC116/Data!K116</f>
        <v>3.5927282093839831E-3</v>
      </c>
      <c r="F117" s="7">
        <v>0</v>
      </c>
      <c r="G117" s="46">
        <f>Data!IC116/Data!K116</f>
        <v>3.5927282093839831E-3</v>
      </c>
      <c r="H117" s="45">
        <f t="shared" si="1"/>
        <v>0.52789169108125411</v>
      </c>
      <c r="I117" s="63">
        <f t="shared" si="2"/>
        <v>0.33792744926327301</v>
      </c>
      <c r="J117" s="44">
        <f t="shared" si="3"/>
        <v>0.18996424181798111</v>
      </c>
      <c r="K117" s="7"/>
      <c r="L117" s="12"/>
      <c r="M117" s="45">
        <f t="shared" si="4"/>
        <v>0.36956527417840535</v>
      </c>
      <c r="N117" s="58">
        <f>Data!ID116/Data!K116</f>
        <v>9.7841702009299633E-2</v>
      </c>
      <c r="O117" s="7"/>
      <c r="P117" s="61">
        <v>0.01</v>
      </c>
      <c r="Q117" s="44">
        <f t="shared" si="5"/>
        <v>0.2717235721691057</v>
      </c>
      <c r="R117" s="44">
        <f t="shared" si="6"/>
        <v>7.7682276586238996E-2</v>
      </c>
      <c r="S117" s="44">
        <f>(Data!HU116/Data!K116)/0.7</f>
        <v>0.19404129558286667</v>
      </c>
      <c r="T117" s="7"/>
      <c r="U117" s="12"/>
      <c r="V117" s="43">
        <f>Data!HK116/Data!K116</f>
        <v>0.46119705000032918</v>
      </c>
      <c r="W117" s="49">
        <f t="shared" si="7"/>
        <v>0.4818472394101474</v>
      </c>
      <c r="X117" s="44">
        <f>Data!IE116/Data!K116 - 0.3*Y117</f>
        <v>0.28780594382728075</v>
      </c>
      <c r="Y117" s="44">
        <f t="shared" si="8"/>
        <v>0.19404129558286667</v>
      </c>
      <c r="Z117" s="7">
        <f>Data!CT116/Data!K116</f>
        <v>7.5992744519204292E-2</v>
      </c>
      <c r="AA117" s="12">
        <f>(Data!K116-Data!AN116)/Data!K116</f>
        <v>5.6955710589523277E-2</v>
      </c>
      <c r="AB117" s="7"/>
      <c r="AC117" s="7"/>
      <c r="AD117" s="7"/>
      <c r="AE117" s="12"/>
      <c r="AF117" s="5">
        <f t="shared" si="9"/>
        <v>1.0035927282093839</v>
      </c>
      <c r="AG117" s="5">
        <f t="shared" si="10"/>
        <v>0.99999999999999989</v>
      </c>
    </row>
    <row r="118" spans="1:33" x14ac:dyDescent="0.25">
      <c r="A118" s="1" t="s">
        <v>556</v>
      </c>
      <c r="B118">
        <v>1909</v>
      </c>
      <c r="C118" s="45">
        <f t="shared" si="0"/>
        <v>5.387955957894823E-2</v>
      </c>
      <c r="D118" s="45">
        <f>Data!HI117/Data!K117</f>
        <v>5.0057240119574971E-2</v>
      </c>
      <c r="E118" s="44">
        <f>Data!IC117/Data!K117</f>
        <v>3.8223194593732584E-3</v>
      </c>
      <c r="F118" s="7">
        <v>0</v>
      </c>
      <c r="G118" s="46">
        <f>Data!IC117/Data!K117</f>
        <v>3.8223194593732584E-3</v>
      </c>
      <c r="H118" s="45">
        <f t="shared" si="1"/>
        <v>0.51893221730670902</v>
      </c>
      <c r="I118" s="63">
        <f t="shared" si="2"/>
        <v>0.32569020254667397</v>
      </c>
      <c r="J118" s="44">
        <f t="shared" si="3"/>
        <v>0.193242014760035</v>
      </c>
      <c r="K118" s="7"/>
      <c r="L118" s="12"/>
      <c r="M118" s="45">
        <f t="shared" si="4"/>
        <v>0.37222492208785302</v>
      </c>
      <c r="N118" s="58">
        <f>Data!ID117/Data!K117</f>
        <v>0.10230622476462255</v>
      </c>
      <c r="O118" s="7"/>
      <c r="P118" s="61">
        <v>0.01</v>
      </c>
      <c r="Q118" s="44">
        <f t="shared" si="5"/>
        <v>0.26991869732323048</v>
      </c>
      <c r="R118" s="44">
        <f t="shared" si="6"/>
        <v>7.5437817059278711E-2</v>
      </c>
      <c r="S118" s="44">
        <f>(Data!HU117/Data!K117)/0.7</f>
        <v>0.1944808802639518</v>
      </c>
      <c r="T118" s="7"/>
      <c r="U118" s="12"/>
      <c r="V118" s="43">
        <f>Data!HK117/Data!K117</f>
        <v>0.45118525972552764</v>
      </c>
      <c r="W118" s="49">
        <f t="shared" si="7"/>
        <v>0.4900291197886093</v>
      </c>
      <c r="X118" s="44">
        <f>Data!IE117/Data!K117 - 0.3*Y118</f>
        <v>0.29554823952465753</v>
      </c>
      <c r="Y118" s="44">
        <f t="shared" si="8"/>
        <v>0.1944808802639518</v>
      </c>
      <c r="Z118" s="7">
        <f>Data!CT117/Data!K117</f>
        <v>7.813357377261293E-2</v>
      </c>
      <c r="AA118" s="12">
        <f>(Data!K117-Data!AN117)/Data!K117</f>
        <v>5.8785620485862965E-2</v>
      </c>
      <c r="AB118" s="7"/>
      <c r="AC118" s="7"/>
      <c r="AD118" s="7"/>
      <c r="AE118" s="12"/>
      <c r="AF118" s="5">
        <f t="shared" si="9"/>
        <v>1.0038223194593732</v>
      </c>
      <c r="AG118" s="5">
        <f t="shared" si="10"/>
        <v>1</v>
      </c>
    </row>
    <row r="119" spans="1:33" x14ac:dyDescent="0.25">
      <c r="A119" s="1" t="s">
        <v>556</v>
      </c>
      <c r="B119">
        <v>1910</v>
      </c>
      <c r="C119" s="45">
        <f t="shared" si="0"/>
        <v>5.2235800910785148E-2</v>
      </c>
      <c r="D119" s="45">
        <f>Data!HI118/Data!K118</f>
        <v>4.8504814210393418E-2</v>
      </c>
      <c r="E119" s="44">
        <f>Data!IC118/Data!K118</f>
        <v>3.7309867003917289E-3</v>
      </c>
      <c r="F119" s="7">
        <v>0</v>
      </c>
      <c r="G119" s="46">
        <f>Data!IC118/Data!K118</f>
        <v>3.7309867003917289E-3</v>
      </c>
      <c r="H119" s="45">
        <f t="shared" si="1"/>
        <v>0.51978912844003755</v>
      </c>
      <c r="I119" s="63">
        <f t="shared" si="2"/>
        <v>0.33728599235427897</v>
      </c>
      <c r="J119" s="44">
        <f t="shared" si="3"/>
        <v>0.18250313608575863</v>
      </c>
      <c r="K119" s="7"/>
      <c r="L119" s="12"/>
      <c r="M119" s="45">
        <f t="shared" si="4"/>
        <v>0.373099870456646</v>
      </c>
      <c r="N119" s="58">
        <f>Data!ID118/Data!K118</f>
        <v>9.6788895079547368E-2</v>
      </c>
      <c r="O119" s="7"/>
      <c r="P119" s="61">
        <v>0.01</v>
      </c>
      <c r="Q119" s="44">
        <f t="shared" si="5"/>
        <v>0.27631097537709864</v>
      </c>
      <c r="R119" s="44">
        <f t="shared" si="6"/>
        <v>8.0450172518715626E-2</v>
      </c>
      <c r="S119" s="44">
        <f>(Data!HU118/Data!K118)/0.7</f>
        <v>0.19586080285838303</v>
      </c>
      <c r="T119" s="7"/>
      <c r="U119" s="12"/>
      <c r="V119" s="43">
        <f>Data!HK118/Data!K118</f>
        <v>0.46624097908338802</v>
      </c>
      <c r="W119" s="49">
        <f t="shared" si="7"/>
        <v>0.47515283402368902</v>
      </c>
      <c r="X119" s="44">
        <f>Data!IE118/Data!K118 - 0.3*Y119</f>
        <v>0.27929203116530599</v>
      </c>
      <c r="Y119" s="44">
        <f t="shared" si="8"/>
        <v>0.19586080285838303</v>
      </c>
      <c r="Z119" s="7">
        <f>Data!CT118/Data!K118</f>
        <v>7.5583065998521756E-2</v>
      </c>
      <c r="AA119" s="12">
        <f>(Data!K118-Data!AN118)/Data!K118</f>
        <v>5.8606186892923143E-2</v>
      </c>
      <c r="AB119" s="7"/>
      <c r="AC119" s="7"/>
      <c r="AD119" s="7"/>
      <c r="AE119" s="12"/>
      <c r="AF119" s="5">
        <f t="shared" si="9"/>
        <v>1.0037309867003918</v>
      </c>
      <c r="AG119" s="5">
        <f t="shared" si="10"/>
        <v>1.0000000000000002</v>
      </c>
    </row>
    <row r="120" spans="1:33" x14ac:dyDescent="0.25">
      <c r="A120" s="1" t="s">
        <v>556</v>
      </c>
      <c r="B120">
        <v>1911</v>
      </c>
      <c r="C120" s="45">
        <f t="shared" si="0"/>
        <v>5.3325569174571742E-2</v>
      </c>
      <c r="D120" s="45">
        <f>Data!HI119/Data!K119</f>
        <v>4.9492367314391855E-2</v>
      </c>
      <c r="E120" s="44">
        <f>Data!IC119/Data!K119</f>
        <v>3.8332018601798861E-3</v>
      </c>
      <c r="F120" s="7">
        <v>0</v>
      </c>
      <c r="G120" s="46">
        <f>Data!IC119/Data!K119</f>
        <v>3.8332018601798861E-3</v>
      </c>
      <c r="H120" s="45">
        <f t="shared" si="1"/>
        <v>0.51743178511763843</v>
      </c>
      <c r="I120" s="63">
        <f t="shared" si="2"/>
        <v>0.34277229474526516</v>
      </c>
      <c r="J120" s="44">
        <f t="shared" si="3"/>
        <v>0.17465949037237322</v>
      </c>
      <c r="K120" s="7"/>
      <c r="L120" s="12"/>
      <c r="M120" s="45">
        <f t="shared" si="4"/>
        <v>0.37488928876315381</v>
      </c>
      <c r="N120" s="58">
        <f>Data!ID119/Data!K119</f>
        <v>9.2089166387202701E-2</v>
      </c>
      <c r="O120" s="7"/>
      <c r="P120" s="61">
        <v>0.01</v>
      </c>
      <c r="Q120" s="44">
        <f t="shared" si="5"/>
        <v>0.28280012237595109</v>
      </c>
      <c r="R120" s="44">
        <f t="shared" si="6"/>
        <v>8.4497577475153074E-2</v>
      </c>
      <c r="S120" s="44">
        <f>(Data!HU119/Data!K119)/0.7</f>
        <v>0.19830254490079802</v>
      </c>
      <c r="T120" s="7"/>
      <c r="U120" s="12"/>
      <c r="V120" s="43">
        <f>Data!HK119/Data!K119</f>
        <v>0.47676223953481006</v>
      </c>
      <c r="W120" s="49">
        <f t="shared" si="7"/>
        <v>0.46505120166037395</v>
      </c>
      <c r="X120" s="44">
        <f>Data!IE119/Data!K119 - 0.3*Y120</f>
        <v>0.26674865675957593</v>
      </c>
      <c r="Y120" s="44">
        <f t="shared" si="8"/>
        <v>0.19830254490079802</v>
      </c>
      <c r="Z120" s="7">
        <f>Data!CT119/Data!K119</f>
        <v>7.6769373751857106E-2</v>
      </c>
      <c r="AA120" s="12">
        <f>(Data!K119-Data!AN119)/Data!K119</f>
        <v>5.8186558804816019E-2</v>
      </c>
      <c r="AB120" s="7"/>
      <c r="AC120" s="7"/>
      <c r="AD120" s="7"/>
      <c r="AE120" s="12"/>
      <c r="AF120" s="5">
        <f t="shared" si="9"/>
        <v>1.0038332018601801</v>
      </c>
      <c r="AG120" s="5">
        <f t="shared" si="10"/>
        <v>1</v>
      </c>
    </row>
    <row r="121" spans="1:33" x14ac:dyDescent="0.25">
      <c r="A121" s="1" t="s">
        <v>556</v>
      </c>
      <c r="B121">
        <v>1912</v>
      </c>
      <c r="C121" s="45">
        <f t="shared" si="0"/>
        <v>5.1650993189428895E-2</v>
      </c>
      <c r="D121" s="45">
        <f>Data!HI120/Data!K120</f>
        <v>4.7959475570087437E-2</v>
      </c>
      <c r="E121" s="44">
        <f>Data!IC120/Data!K120</f>
        <v>3.6915176193414554E-3</v>
      </c>
      <c r="F121" s="7">
        <v>0</v>
      </c>
      <c r="G121" s="46">
        <f>Data!IC120/Data!K120</f>
        <v>3.6915176193414554E-3</v>
      </c>
      <c r="H121" s="45">
        <f t="shared" si="1"/>
        <v>0.53054341229620416</v>
      </c>
      <c r="I121" s="63">
        <f t="shared" si="2"/>
        <v>0.34315135304359484</v>
      </c>
      <c r="J121" s="44">
        <f t="shared" si="3"/>
        <v>0.18739205925260932</v>
      </c>
      <c r="K121" s="7"/>
      <c r="L121" s="12"/>
      <c r="M121" s="45">
        <f t="shared" si="4"/>
        <v>0.36620766891056378</v>
      </c>
      <c r="N121" s="58">
        <f>Data!ID120/Data!K120</f>
        <v>9.7353782985751883E-2</v>
      </c>
      <c r="O121" s="7"/>
      <c r="P121" s="61">
        <v>0.01</v>
      </c>
      <c r="Q121" s="44">
        <f t="shared" si="5"/>
        <v>0.26885388592481191</v>
      </c>
      <c r="R121" s="44">
        <f t="shared" si="6"/>
        <v>7.8868181008302563E-2</v>
      </c>
      <c r="S121" s="44">
        <f>(Data!HU120/Data!K120)/0.7</f>
        <v>0.18998570491650935</v>
      </c>
      <c r="T121" s="7"/>
      <c r="U121" s="12"/>
      <c r="V121" s="43">
        <f>Data!HK120/Data!K120</f>
        <v>0.46997900962198486</v>
      </c>
      <c r="W121" s="49">
        <f t="shared" si="7"/>
        <v>0.47473154715487054</v>
      </c>
      <c r="X121" s="44">
        <f>Data!IE120/Data!K120 - 0.3*Y121</f>
        <v>0.28474584223836119</v>
      </c>
      <c r="Y121" s="44">
        <f t="shared" si="8"/>
        <v>0.18998570491650935</v>
      </c>
      <c r="Z121" s="7">
        <f>Data!CT120/Data!K120</f>
        <v>7.4411000469304503E-2</v>
      </c>
      <c r="AA121" s="12">
        <f>(Data!K120-Data!AN120)/Data!K120</f>
        <v>5.5289443223144649E-2</v>
      </c>
      <c r="AB121" s="7"/>
      <c r="AC121" s="7"/>
      <c r="AD121" s="7"/>
      <c r="AE121" s="12"/>
      <c r="AF121" s="5">
        <f t="shared" si="9"/>
        <v>1.0036915176193415</v>
      </c>
      <c r="AG121" s="5">
        <f t="shared" si="10"/>
        <v>1</v>
      </c>
    </row>
    <row r="122" spans="1:33" x14ac:dyDescent="0.25">
      <c r="A122" s="1" t="s">
        <v>556</v>
      </c>
      <c r="B122">
        <v>1913</v>
      </c>
      <c r="C122" s="45">
        <f t="shared" si="0"/>
        <v>4.8908447424060954E-2</v>
      </c>
      <c r="D122" s="45">
        <f>Data!HI121/Data!K121</f>
        <v>4.5322000228817085E-2</v>
      </c>
      <c r="E122" s="44">
        <f>Data!IC121/Data!K121</f>
        <v>3.5864471952438675E-3</v>
      </c>
      <c r="F122" s="7">
        <v>0</v>
      </c>
      <c r="G122" s="46">
        <f>Data!IC121/Data!K121</f>
        <v>3.5864471952438675E-3</v>
      </c>
      <c r="H122" s="45">
        <f t="shared" si="1"/>
        <v>0.55863189271865799</v>
      </c>
      <c r="I122" s="63">
        <f t="shared" si="2"/>
        <v>0.34230972342568106</v>
      </c>
      <c r="J122" s="44">
        <f t="shared" si="3"/>
        <v>0.21632216929297696</v>
      </c>
      <c r="K122" s="7"/>
      <c r="L122" s="12"/>
      <c r="M122" s="45">
        <f t="shared" si="4"/>
        <v>0.33859656895309775</v>
      </c>
      <c r="N122" s="58">
        <f>Data!ID121/Data!K121</f>
        <v>9.1082704476616511E-2</v>
      </c>
      <c r="O122" s="7"/>
      <c r="P122" s="61">
        <v>0.01</v>
      </c>
      <c r="Q122" s="44">
        <f t="shared" si="5"/>
        <v>0.24751386447648122</v>
      </c>
      <c r="R122" s="44">
        <f t="shared" si="6"/>
        <v>6.8828048932873184E-2</v>
      </c>
      <c r="S122" s="44">
        <f>(Data!HU121/Data!K121)/0.7</f>
        <v>0.17868581554360802</v>
      </c>
      <c r="T122" s="7"/>
      <c r="U122" s="12"/>
      <c r="V122" s="43">
        <f>Data!HK121/Data!K121</f>
        <v>0.45645977258737136</v>
      </c>
      <c r="W122" s="49">
        <f t="shared" si="7"/>
        <v>0.48609068931320148</v>
      </c>
      <c r="X122" s="44">
        <f>Data!IE121/Data!K121 - 0.3*Y122</f>
        <v>0.30740487376959347</v>
      </c>
      <c r="Y122" s="44">
        <f t="shared" si="8"/>
        <v>0.17868581554360802</v>
      </c>
      <c r="Z122" s="7">
        <f>Data!CT121/Data!K121</f>
        <v>7.2683606098568124E-2</v>
      </c>
      <c r="AA122" s="12">
        <f>(Data!K121-Data!AN121)/Data!K121</f>
        <v>5.7449538099427197E-2</v>
      </c>
      <c r="AB122" s="7"/>
      <c r="AC122" s="7"/>
      <c r="AD122" s="7"/>
      <c r="AE122" s="12"/>
      <c r="AF122" s="5">
        <f t="shared" si="9"/>
        <v>1.0035864471952438</v>
      </c>
      <c r="AG122" s="5">
        <f t="shared" si="10"/>
        <v>1</v>
      </c>
    </row>
    <row r="123" spans="1:33" x14ac:dyDescent="0.25">
      <c r="A123" s="1" t="s">
        <v>556</v>
      </c>
      <c r="B123">
        <v>1914</v>
      </c>
      <c r="C123" s="45">
        <f t="shared" ref="C123:C186" si="11">E123+F123+D123</f>
        <v>5.1218877767523353E-2</v>
      </c>
      <c r="D123" s="45">
        <f>Data!HI122/Data!K122</f>
        <v>4.7348505440002325E-2</v>
      </c>
      <c r="E123" s="44">
        <f>Data!IC122/Data!K122</f>
        <v>3.8703723275210307E-3</v>
      </c>
      <c r="F123" s="7">
        <v>0</v>
      </c>
      <c r="G123" s="46">
        <f>Data!IC122/Data!K122</f>
        <v>3.8703723275210307E-3</v>
      </c>
      <c r="H123" s="45">
        <f t="shared" si="1"/>
        <v>0.5417116754351391</v>
      </c>
      <c r="I123" s="63">
        <f t="shared" si="2"/>
        <v>0.34927133720330183</v>
      </c>
      <c r="J123" s="44">
        <f t="shared" si="3"/>
        <v>0.19244033823183726</v>
      </c>
      <c r="K123" s="7"/>
      <c r="L123" s="12"/>
      <c r="M123" s="45">
        <f t="shared" si="4"/>
        <v>0.35682546197346637</v>
      </c>
      <c r="N123" s="58">
        <f>Data!ID122/Data!K122</f>
        <v>9.5764874073753406E-2</v>
      </c>
      <c r="O123" s="7"/>
      <c r="P123" s="61">
        <v>0.01</v>
      </c>
      <c r="Q123" s="44">
        <f t="shared" si="5"/>
        <v>0.26106058789971298</v>
      </c>
      <c r="R123" s="44">
        <f t="shared" si="6"/>
        <v>7.7170943249622023E-2</v>
      </c>
      <c r="S123" s="44">
        <f>(Data!HU122/Data!K122)/0.7</f>
        <v>0.18388964465009094</v>
      </c>
      <c r="T123" s="7"/>
      <c r="U123" s="12"/>
      <c r="V123" s="43">
        <f>Data!HK122/Data!K122</f>
        <v>0.47379078589292623</v>
      </c>
      <c r="W123" s="49">
        <f t="shared" si="7"/>
        <v>0.4720948569556816</v>
      </c>
      <c r="X123" s="44">
        <f>Data!IE122/Data!K122 - 0.3*Y123</f>
        <v>0.28820521230559065</v>
      </c>
      <c r="Y123" s="44">
        <f t="shared" si="8"/>
        <v>0.18388964465009094</v>
      </c>
      <c r="Z123" s="7">
        <f>Data!CT122/Data!K122</f>
        <v>7.7540287438294511E-2</v>
      </c>
      <c r="AA123" s="12">
        <f>(Data!K122-Data!AN122)/Data!K122</f>
        <v>5.411435715139231E-2</v>
      </c>
      <c r="AB123" s="7"/>
      <c r="AC123" s="7"/>
      <c r="AD123" s="7"/>
      <c r="AE123" s="12"/>
      <c r="AF123" s="5">
        <f t="shared" si="9"/>
        <v>1.0038703723275211</v>
      </c>
      <c r="AG123" s="5">
        <f t="shared" si="10"/>
        <v>1.0000000000000002</v>
      </c>
    </row>
    <row r="124" spans="1:33" x14ac:dyDescent="0.25">
      <c r="A124" s="1" t="s">
        <v>556</v>
      </c>
      <c r="B124">
        <v>1915</v>
      </c>
      <c r="C124" s="45">
        <f t="shared" si="11"/>
        <v>4.9756659311905399E-2</v>
      </c>
      <c r="D124" s="45">
        <f>Data!HI123/Data!K123</f>
        <v>4.5714447235806289E-2</v>
      </c>
      <c r="E124" s="44">
        <f>Data!IC123/Data!K123</f>
        <v>4.042212076099113E-3</v>
      </c>
      <c r="F124" s="7">
        <v>0</v>
      </c>
      <c r="G124" s="46">
        <f>Data!IC123/Data!K123</f>
        <v>4.042212076099113E-3</v>
      </c>
      <c r="H124" s="45">
        <f t="shared" ref="H124:H187" si="12">I124+J124</f>
        <v>0.58376190430003949</v>
      </c>
      <c r="I124" s="63">
        <f t="shared" ref="I124:I187" si="13">V124-R124-D124</f>
        <v>0.33573325031257362</v>
      </c>
      <c r="J124" s="44">
        <f t="shared" ref="J124:J187" si="14">X124-N124</f>
        <v>0.24802865398746585</v>
      </c>
      <c r="K124" s="7"/>
      <c r="L124" s="12"/>
      <c r="M124" s="45">
        <f t="shared" ref="M124:M187" si="15">N124+Q124</f>
        <v>0.31911955975000306</v>
      </c>
      <c r="N124" s="58">
        <f>Data!ID123/Data!K123</f>
        <v>8.8494649831752564E-2</v>
      </c>
      <c r="O124" s="7"/>
      <c r="P124" s="61">
        <v>0.01</v>
      </c>
      <c r="Q124" s="44">
        <f t="shared" ref="Q124:Q187" si="16">R124+S124</f>
        <v>0.23062490991825049</v>
      </c>
      <c r="R124" s="44">
        <f t="shared" ref="R124:R187" si="17">(1/3)*(S124/(J124+S124))*(V124)</f>
        <v>5.9973517292796562E-2</v>
      </c>
      <c r="S124" s="44">
        <f>(Data!HU123/Data!K123)/0.7</f>
        <v>0.17065139262545392</v>
      </c>
      <c r="T124" s="7"/>
      <c r="U124" s="12"/>
      <c r="V124" s="43">
        <f>Data!HK123/Data!K123</f>
        <v>0.44142121484117647</v>
      </c>
      <c r="W124" s="49">
        <f t="shared" ref="W124:W187" si="18">X124+Y124</f>
        <v>0.50717469644467239</v>
      </c>
      <c r="X124" s="44">
        <f>Data!IE123/Data!K123 - 0.3*Y124</f>
        <v>0.33652330381921841</v>
      </c>
      <c r="Y124" s="44">
        <f t="shared" ref="Y124:Y187" si="19">S124</f>
        <v>0.17065139262545392</v>
      </c>
      <c r="Z124" s="7">
        <f>Data!CT123/Data!K123</f>
        <v>7.8471002936223652E-2</v>
      </c>
      <c r="AA124" s="12">
        <f>(Data!K123-Data!AN123)/Data!K123</f>
        <v>5.1404088714151051E-2</v>
      </c>
      <c r="AB124" s="7"/>
      <c r="AC124" s="7"/>
      <c r="AD124" s="7"/>
      <c r="AE124" s="12"/>
      <c r="AF124" s="5">
        <f t="shared" ref="AF124:AF187" si="20">N124+Q124+H124+C124+AA124</f>
        <v>1.004042212076099</v>
      </c>
      <c r="AG124" s="5">
        <f t="shared" ref="AG124:AG187" si="21">V124+X124+AA124+Y124</f>
        <v>0.99999999999999978</v>
      </c>
    </row>
    <row r="125" spans="1:33" x14ac:dyDescent="0.25">
      <c r="A125" s="1" t="s">
        <v>556</v>
      </c>
      <c r="B125">
        <v>1916</v>
      </c>
      <c r="C125" s="45">
        <f t="shared" si="11"/>
        <v>4.3300361393774037E-2</v>
      </c>
      <c r="D125" s="45">
        <f>Data!HI124/Data!K124</f>
        <v>3.9303477670941743E-2</v>
      </c>
      <c r="E125" s="44">
        <f>Data!IC124/Data!K124</f>
        <v>3.9968837228322954E-3</v>
      </c>
      <c r="F125" s="7">
        <v>0</v>
      </c>
      <c r="G125" s="46">
        <f>Data!IC124/Data!K124</f>
        <v>3.9968837228322954E-3</v>
      </c>
      <c r="H125" s="45">
        <f t="shared" si="12"/>
        <v>0.62527780372603636</v>
      </c>
      <c r="I125" s="63">
        <f t="shared" si="13"/>
        <v>0.32767518394670736</v>
      </c>
      <c r="J125" s="44">
        <f t="shared" si="14"/>
        <v>0.297602619779329</v>
      </c>
      <c r="K125" s="7"/>
      <c r="L125" s="12"/>
      <c r="M125" s="45">
        <f t="shared" si="15"/>
        <v>0.28509137886194907</v>
      </c>
      <c r="N125" s="58">
        <f>Data!ID124/Data!K124</f>
        <v>7.5930924350352855E-2</v>
      </c>
      <c r="O125" s="7"/>
      <c r="P125" s="61">
        <v>0.01</v>
      </c>
      <c r="Q125" s="44">
        <f t="shared" si="16"/>
        <v>0.20916045451159621</v>
      </c>
      <c r="R125" s="44">
        <f t="shared" si="17"/>
        <v>4.8549671768439141E-2</v>
      </c>
      <c r="S125" s="44">
        <f>(Data!HU124/Data!K124)/0.7</f>
        <v>0.16061078274315707</v>
      </c>
      <c r="T125" s="7"/>
      <c r="U125" s="12"/>
      <c r="V125" s="43">
        <f>Data!HK124/Data!K124</f>
        <v>0.41552833338608824</v>
      </c>
      <c r="W125" s="49">
        <f t="shared" si="18"/>
        <v>0.53414432687283897</v>
      </c>
      <c r="X125" s="44">
        <f>Data!IE124/Data!K124 - 0.3*Y125</f>
        <v>0.37353354412968187</v>
      </c>
      <c r="Y125" s="44">
        <f t="shared" si="19"/>
        <v>0.16061078274315707</v>
      </c>
      <c r="Z125" s="7">
        <f>Data!CT124/Data!K124</f>
        <v>7.7962471289510782E-2</v>
      </c>
      <c r="AA125" s="12">
        <f>(Data!K124-Data!AN124)/Data!K124</f>
        <v>5.0327339741072931E-2</v>
      </c>
      <c r="AB125" s="7"/>
      <c r="AC125" s="7"/>
      <c r="AD125" s="7"/>
      <c r="AE125" s="12"/>
      <c r="AF125" s="5">
        <f t="shared" si="20"/>
        <v>1.0039968837228324</v>
      </c>
      <c r="AG125" s="5">
        <f t="shared" si="21"/>
        <v>1</v>
      </c>
    </row>
    <row r="126" spans="1:33" x14ac:dyDescent="0.25">
      <c r="A126" s="1" t="s">
        <v>556</v>
      </c>
      <c r="B126">
        <v>1917</v>
      </c>
      <c r="C126" s="45">
        <f t="shared" si="11"/>
        <v>4.1039859398743765E-2</v>
      </c>
      <c r="D126" s="45">
        <f>Data!HI125/Data!K125</f>
        <v>3.6596600869265569E-2</v>
      </c>
      <c r="E126" s="44">
        <f>Data!IC125/Data!K125</f>
        <v>4.4432585294781933E-3</v>
      </c>
      <c r="F126" s="7">
        <v>0</v>
      </c>
      <c r="G126" s="46">
        <f>Data!IC125/Data!K125</f>
        <v>4.4432585294781933E-3</v>
      </c>
      <c r="H126" s="45">
        <f t="shared" si="12"/>
        <v>0.62153812192570834</v>
      </c>
      <c r="I126" s="63">
        <f t="shared" si="13"/>
        <v>0.3450941910767909</v>
      </c>
      <c r="J126" s="44">
        <f t="shared" si="14"/>
        <v>0.2764439308489175</v>
      </c>
      <c r="K126" s="7"/>
      <c r="L126" s="12"/>
      <c r="M126" s="45">
        <f t="shared" si="15"/>
        <v>0.29663991671698681</v>
      </c>
      <c r="N126" s="58">
        <f>Data!ID125/Data!K125</f>
        <v>6.86162816916389E-2</v>
      </c>
      <c r="O126" s="7"/>
      <c r="P126" s="61">
        <v>0.01</v>
      </c>
      <c r="Q126" s="44">
        <f t="shared" si="16"/>
        <v>0.22802363502534789</v>
      </c>
      <c r="R126" s="44">
        <f t="shared" si="17"/>
        <v>5.5965775962634294E-2</v>
      </c>
      <c r="S126" s="44">
        <f>(Data!HU125/Data!K125)/0.7</f>
        <v>0.17205785906271359</v>
      </c>
      <c r="T126" s="7"/>
      <c r="U126" s="12"/>
      <c r="V126" s="43">
        <f>Data!HK125/Data!K125</f>
        <v>0.43765656790869079</v>
      </c>
      <c r="W126" s="49">
        <f t="shared" si="18"/>
        <v>0.51711807160326995</v>
      </c>
      <c r="X126" s="44">
        <f>Data!IE125/Data!K125 - 0.3*Y126</f>
        <v>0.34506021254055641</v>
      </c>
      <c r="Y126" s="44">
        <f>S126</f>
        <v>0.17205785906271359</v>
      </c>
      <c r="Z126" s="7">
        <f>Data!CT125/Data!K125</f>
        <v>8.5461609391041901E-2</v>
      </c>
      <c r="AA126" s="12">
        <f>(Data!K125-Data!AN125)/Data!K125</f>
        <v>4.5225360488039053E-2</v>
      </c>
      <c r="AB126" s="7"/>
      <c r="AC126" s="7"/>
      <c r="AD126" s="7"/>
      <c r="AE126" s="12"/>
      <c r="AF126" s="5">
        <f t="shared" si="20"/>
        <v>1.004443258529478</v>
      </c>
      <c r="AG126" s="5">
        <f t="shared" si="21"/>
        <v>0.99999999999999978</v>
      </c>
    </row>
    <row r="127" spans="1:33" x14ac:dyDescent="0.25">
      <c r="A127" s="1" t="s">
        <v>556</v>
      </c>
      <c r="B127">
        <v>1918</v>
      </c>
      <c r="C127" s="45">
        <f t="shared" si="11"/>
        <v>5.4743902142132018E-2</v>
      </c>
      <c r="D127" s="45">
        <f>Data!HI126/Data!K126</f>
        <v>5.0037411639276948E-2</v>
      </c>
      <c r="E127" s="44">
        <f>Data!IC126/Data!K126</f>
        <v>4.7064905028550725E-3</v>
      </c>
      <c r="F127" s="7">
        <v>0</v>
      </c>
      <c r="G127" s="46">
        <f>Data!IC126/Data!K126</f>
        <v>4.7064905028550725E-3</v>
      </c>
      <c r="H127" s="45">
        <f t="shared" si="12"/>
        <v>0.61458220018403731</v>
      </c>
      <c r="I127" s="63">
        <f t="shared" si="13"/>
        <v>0.35100597634070785</v>
      </c>
      <c r="J127" s="44">
        <f t="shared" si="14"/>
        <v>0.26357622384332946</v>
      </c>
      <c r="K127" s="7"/>
      <c r="L127" s="12"/>
      <c r="M127" s="45">
        <f t="shared" si="15"/>
        <v>0.2926528665262253</v>
      </c>
      <c r="N127" s="58">
        <f>Data!ID126/Data!K126</f>
        <v>5.8389512663494222E-2</v>
      </c>
      <c r="O127" s="7"/>
      <c r="P127" s="61">
        <v>0.01</v>
      </c>
      <c r="Q127" s="44">
        <f t="shared" si="16"/>
        <v>0.23426335386273109</v>
      </c>
      <c r="R127" s="44">
        <f t="shared" si="17"/>
        <v>6.1080178823293925E-2</v>
      </c>
      <c r="S127" s="44">
        <f>(Data!HU126/Data!K126)/0.7</f>
        <v>0.17318317503943717</v>
      </c>
      <c r="T127" s="7"/>
      <c r="U127" s="12"/>
      <c r="V127" s="43">
        <f>Data!HK126/Data!K126</f>
        <v>0.46212356680327871</v>
      </c>
      <c r="W127" s="49">
        <f t="shared" si="18"/>
        <v>0.49514891154626084</v>
      </c>
      <c r="X127" s="44">
        <f>Data!IE126/Data!K126 - 0.3*Y127</f>
        <v>0.3219657365068237</v>
      </c>
      <c r="Y127" s="44">
        <f t="shared" si="19"/>
        <v>0.17318317503943717</v>
      </c>
      <c r="Z127" s="7">
        <f>Data!CT126/Data!K126</f>
        <v>9.2645203480337432E-2</v>
      </c>
      <c r="AA127" s="12">
        <f>(Data!K126-Data!AN126)/Data!K126</f>
        <v>4.2727521650460613E-2</v>
      </c>
      <c r="AB127" s="7"/>
      <c r="AC127" s="7"/>
      <c r="AD127" s="7"/>
      <c r="AE127" s="12"/>
      <c r="AF127" s="5">
        <f t="shared" si="20"/>
        <v>1.0047064905028553</v>
      </c>
      <c r="AG127" s="5">
        <f t="shared" si="21"/>
        <v>1.0000000000000002</v>
      </c>
    </row>
    <row r="128" spans="1:33" x14ac:dyDescent="0.25">
      <c r="A128" s="1" t="s">
        <v>556</v>
      </c>
      <c r="B128">
        <v>1919</v>
      </c>
      <c r="C128" s="45">
        <f t="shared" si="11"/>
        <v>5.5177145392578369E-2</v>
      </c>
      <c r="D128" s="45">
        <f>Data!HI127/Data!K127</f>
        <v>5.0658632641111957E-2</v>
      </c>
      <c r="E128" s="44">
        <f>Data!IC127/Data!K127</f>
        <v>4.5185127514664114E-3</v>
      </c>
      <c r="F128" s="7">
        <v>0</v>
      </c>
      <c r="G128" s="46">
        <f>Data!IC127/Data!K127</f>
        <v>4.5185127514664114E-3</v>
      </c>
      <c r="H128" s="45">
        <f t="shared" si="12"/>
        <v>0.61268477661004206</v>
      </c>
      <c r="I128" s="63">
        <f t="shared" si="13"/>
        <v>0.35488878783257577</v>
      </c>
      <c r="J128" s="44">
        <f t="shared" si="14"/>
        <v>0.25779598877746634</v>
      </c>
      <c r="K128" s="7"/>
      <c r="L128" s="12"/>
      <c r="M128" s="45">
        <f t="shared" si="15"/>
        <v>0.28482798010267529</v>
      </c>
      <c r="N128" s="58">
        <f>Data!ID127/Data!K127</f>
        <v>5.5047750790296807E-2</v>
      </c>
      <c r="O128" s="7"/>
      <c r="P128" s="61">
        <v>0.01</v>
      </c>
      <c r="Q128" s="44">
        <f t="shared" si="16"/>
        <v>0.22978022931237851</v>
      </c>
      <c r="R128" s="44">
        <f t="shared" si="17"/>
        <v>6.1488355477416511E-2</v>
      </c>
      <c r="S128" s="44">
        <f>(Data!HU127/Data!K127)/0.7</f>
        <v>0.168291873834962</v>
      </c>
      <c r="T128" s="7"/>
      <c r="U128" s="12"/>
      <c r="V128" s="43">
        <f>Data!HK127/Data!K127</f>
        <v>0.46703577595110424</v>
      </c>
      <c r="W128" s="49">
        <f t="shared" si="18"/>
        <v>0.48113561340272515</v>
      </c>
      <c r="X128" s="44">
        <f>Data!IE127/Data!K127 - 0.3*Y128</f>
        <v>0.31284373956776312</v>
      </c>
      <c r="Y128" s="44">
        <f t="shared" si="19"/>
        <v>0.168291873834962</v>
      </c>
      <c r="Z128" s="7">
        <f>Data!CT127/Data!K127</f>
        <v>9.0797868096651815E-2</v>
      </c>
      <c r="AA128" s="12">
        <f>(Data!K127-Data!AN127)/Data!K127</f>
        <v>5.1828610646170621E-2</v>
      </c>
      <c r="AB128" s="7"/>
      <c r="AC128" s="7"/>
      <c r="AD128" s="7"/>
      <c r="AE128" s="12"/>
      <c r="AF128" s="5">
        <f t="shared" si="20"/>
        <v>1.0045185127514664</v>
      </c>
      <c r="AG128" s="5">
        <f t="shared" si="21"/>
        <v>1</v>
      </c>
    </row>
    <row r="129" spans="1:33" x14ac:dyDescent="0.25">
      <c r="A129" s="1" t="s">
        <v>556</v>
      </c>
      <c r="B129">
        <v>1920</v>
      </c>
      <c r="C129" s="45">
        <f t="shared" si="11"/>
        <v>6.0574301219736747E-2</v>
      </c>
      <c r="D129" s="45">
        <f>Data!HI128/Data!K128</f>
        <v>5.5938859644935786E-2</v>
      </c>
      <c r="E129" s="44">
        <f>Data!IC128/Data!K128</f>
        <v>4.6354415748009626E-3</v>
      </c>
      <c r="F129" s="7">
        <v>0</v>
      </c>
      <c r="G129" s="46">
        <f>Data!IC128/Data!K128</f>
        <v>4.6354415748009626E-3</v>
      </c>
      <c r="H129" s="45">
        <f t="shared" si="12"/>
        <v>0.57904785370095302</v>
      </c>
      <c r="I129" s="63">
        <f t="shared" si="13"/>
        <v>0.37453049150792511</v>
      </c>
      <c r="J129" s="44">
        <f t="shared" si="14"/>
        <v>0.20451736219302788</v>
      </c>
      <c r="K129" s="7"/>
      <c r="L129" s="12"/>
      <c r="M129" s="45">
        <f t="shared" si="15"/>
        <v>0.31058796993506932</v>
      </c>
      <c r="N129" s="58">
        <f>Data!ID128/Data!K128</f>
        <v>5.6911164842329533E-2</v>
      </c>
      <c r="O129" s="7"/>
      <c r="P129" s="61">
        <v>0.01</v>
      </c>
      <c r="Q129" s="44">
        <f t="shared" si="16"/>
        <v>0.25367680509273977</v>
      </c>
      <c r="R129" s="44">
        <f t="shared" si="17"/>
        <v>7.8291280385526546E-2</v>
      </c>
      <c r="S129" s="44">
        <f>(Data!HU128/Data!K128)/0.7</f>
        <v>0.17538552470721322</v>
      </c>
      <c r="T129" s="7"/>
      <c r="U129" s="12"/>
      <c r="V129" s="43">
        <f>Data!HK128/Data!K128</f>
        <v>0.50876063153838746</v>
      </c>
      <c r="W129" s="49">
        <f t="shared" si="18"/>
        <v>0.4368140517425706</v>
      </c>
      <c r="X129" s="44">
        <f>Data!IE128/Data!K128 - 0.3*Y129</f>
        <v>0.26142852703535741</v>
      </c>
      <c r="Y129" s="44">
        <f t="shared" si="19"/>
        <v>0.17538552470721322</v>
      </c>
      <c r="Z129" s="7">
        <f>Data!CT128/Data!K128</f>
        <v>9.2492302341724827E-2</v>
      </c>
      <c r="AA129" s="12">
        <f>(Data!K128-Data!AN128)/Data!K128</f>
        <v>5.4425316719041814E-2</v>
      </c>
      <c r="AB129" s="7"/>
      <c r="AC129" s="7"/>
      <c r="AD129" s="7"/>
      <c r="AE129" s="12"/>
      <c r="AF129" s="5">
        <f t="shared" si="20"/>
        <v>1.0046354415748009</v>
      </c>
      <c r="AG129" s="5">
        <f t="shared" si="21"/>
        <v>0.99999999999999989</v>
      </c>
    </row>
    <row r="130" spans="1:33" x14ac:dyDescent="0.25">
      <c r="A130" s="1" t="s">
        <v>556</v>
      </c>
      <c r="B130">
        <v>1921</v>
      </c>
      <c r="C130" s="45">
        <f t="shared" si="11"/>
        <v>7.9249036941363427E-2</v>
      </c>
      <c r="D130" s="45">
        <f>Data!HI129/Data!K129</f>
        <v>7.3794941300484473E-2</v>
      </c>
      <c r="E130" s="44">
        <f>Data!IC129/Data!K129</f>
        <v>5.4540956408789497E-3</v>
      </c>
      <c r="F130" s="7">
        <v>0</v>
      </c>
      <c r="G130" s="46">
        <f>Data!IC129/Data!K129</f>
        <v>5.4540956408789497E-3</v>
      </c>
      <c r="H130" s="45">
        <f t="shared" si="12"/>
        <v>0.49182696068915244</v>
      </c>
      <c r="I130" s="63">
        <f t="shared" si="13"/>
        <v>0.36580745160097727</v>
      </c>
      <c r="J130" s="44">
        <f t="shared" si="14"/>
        <v>0.12601950908817516</v>
      </c>
      <c r="K130" s="7"/>
      <c r="L130" s="12"/>
      <c r="M130" s="45">
        <f t="shared" si="15"/>
        <v>0.37746483952802906</v>
      </c>
      <c r="N130" s="58">
        <f>Data!ID129/Data!K129</f>
        <v>7.4783126673844638E-2</v>
      </c>
      <c r="O130" s="7"/>
      <c r="P130" s="61">
        <v>0.01</v>
      </c>
      <c r="Q130" s="44">
        <f t="shared" si="16"/>
        <v>0.30268171285418444</v>
      </c>
      <c r="R130" s="44">
        <f t="shared" si="17"/>
        <v>0.11074059628411134</v>
      </c>
      <c r="S130" s="44">
        <f>(Data!HU129/Data!K129)/0.7</f>
        <v>0.19194111657007312</v>
      </c>
      <c r="T130" s="7"/>
      <c r="U130" s="12"/>
      <c r="V130" s="43">
        <f>Data!HK129/Data!K129</f>
        <v>0.55034298918557312</v>
      </c>
      <c r="W130" s="49">
        <f t="shared" si="18"/>
        <v>0.39274375233209291</v>
      </c>
      <c r="X130" s="44">
        <f>Data!IE129/Data!K129 - 0.3*Y130</f>
        <v>0.20080263576201979</v>
      </c>
      <c r="Y130" s="44">
        <f t="shared" si="19"/>
        <v>0.19194111657007312</v>
      </c>
      <c r="Z130" s="7">
        <f>Data!CT129/Data!K129</f>
        <v>0.10528372613817162</v>
      </c>
      <c r="AA130" s="12">
        <f>(Data!K129-Data!AN129)/Data!K129</f>
        <v>5.691325848233391E-2</v>
      </c>
      <c r="AB130" s="7"/>
      <c r="AC130" s="7"/>
      <c r="AD130" s="7"/>
      <c r="AE130" s="12"/>
      <c r="AF130" s="5">
        <f t="shared" si="20"/>
        <v>1.0054540956408788</v>
      </c>
      <c r="AG130" s="5">
        <f t="shared" si="21"/>
        <v>1</v>
      </c>
    </row>
    <row r="131" spans="1:33" x14ac:dyDescent="0.25">
      <c r="A131" s="1" t="s">
        <v>556</v>
      </c>
      <c r="B131">
        <v>1922</v>
      </c>
      <c r="C131" s="45">
        <f t="shared" si="11"/>
        <v>7.8857619129061557E-2</v>
      </c>
      <c r="D131" s="45">
        <f>Data!HI130/Data!K130</f>
        <v>7.4019555950606636E-2</v>
      </c>
      <c r="E131" s="44">
        <f>Data!IC130/Data!K130</f>
        <v>4.8380631784549185E-3</v>
      </c>
      <c r="F131" s="7">
        <v>0</v>
      </c>
      <c r="G131" s="46">
        <f>Data!IC130/Data!K130</f>
        <v>4.8380631784549185E-3</v>
      </c>
      <c r="H131" s="45">
        <f t="shared" si="12"/>
        <v>0.49902280433608875</v>
      </c>
      <c r="I131" s="63">
        <f t="shared" si="13"/>
        <v>0.35290021714198117</v>
      </c>
      <c r="J131" s="44">
        <f t="shared" si="14"/>
        <v>0.14612258719410759</v>
      </c>
      <c r="K131" s="7"/>
      <c r="L131" s="12"/>
      <c r="M131" s="45">
        <f t="shared" si="15"/>
        <v>0.36545782274714345</v>
      </c>
      <c r="N131" s="58">
        <f>Data!ID130/Data!K130</f>
        <v>8.5552505071771631E-2</v>
      </c>
      <c r="O131" s="7"/>
      <c r="P131" s="61">
        <v>0.01</v>
      </c>
      <c r="Q131" s="44">
        <f>R131+S131</f>
        <v>0.2799053176753718</v>
      </c>
      <c r="R131" s="44">
        <f t="shared" si="17"/>
        <v>9.7077720991439978E-2</v>
      </c>
      <c r="S131" s="44">
        <f>(Data!HU130/Data!K130)/0.7</f>
        <v>0.18282759668393184</v>
      </c>
      <c r="T131" s="7"/>
      <c r="U131" s="12"/>
      <c r="V131" s="43">
        <f>Data!HK130/Data!K130</f>
        <v>0.52399749408402774</v>
      </c>
      <c r="W131" s="49">
        <f t="shared" si="18"/>
        <v>0.41450268894981102</v>
      </c>
      <c r="X131" s="44">
        <f>Data!IE130/Data!K130 - 0.3*Y131</f>
        <v>0.23167509226587921</v>
      </c>
      <c r="Y131" s="44">
        <f t="shared" si="19"/>
        <v>0.18282759668393184</v>
      </c>
      <c r="Z131" s="7">
        <f>Data!CT130/Data!K130</f>
        <v>9.0325191929780863E-2</v>
      </c>
      <c r="AA131" s="12">
        <f>(Data!K130-Data!AN130)/Data!K130</f>
        <v>6.149981696616124E-2</v>
      </c>
      <c r="AB131" s="7"/>
      <c r="AC131" s="7"/>
      <c r="AD131" s="7"/>
      <c r="AE131" s="12"/>
      <c r="AF131" s="5">
        <f t="shared" si="20"/>
        <v>1.0048380631784548</v>
      </c>
      <c r="AG131" s="5">
        <f t="shared" si="21"/>
        <v>1</v>
      </c>
    </row>
    <row r="132" spans="1:33" x14ac:dyDescent="0.25">
      <c r="A132" s="1" t="s">
        <v>556</v>
      </c>
      <c r="B132">
        <v>1923</v>
      </c>
      <c r="C132" s="45">
        <f t="shared" si="11"/>
        <v>7.5487369026773873E-2</v>
      </c>
      <c r="D132" s="45">
        <f>Data!HI131/Data!K131</f>
        <v>7.0163981656375538E-2</v>
      </c>
      <c r="E132" s="44">
        <f>Data!IC131/Data!K131</f>
        <v>5.3233873703983359E-3</v>
      </c>
      <c r="F132" s="7">
        <v>0</v>
      </c>
      <c r="G132" s="46">
        <f>Data!IC131/Data!K131</f>
        <v>5.3233873703983359E-3</v>
      </c>
      <c r="H132" s="45">
        <f t="shared" si="12"/>
        <v>0.49589423869870791</v>
      </c>
      <c r="I132" s="63">
        <f t="shared" si="13"/>
        <v>0.35521453629362715</v>
      </c>
      <c r="J132" s="44">
        <f t="shared" si="14"/>
        <v>0.14067970240508076</v>
      </c>
      <c r="K132" s="7"/>
      <c r="L132" s="12"/>
      <c r="M132" s="45">
        <f t="shared" si="15"/>
        <v>0.36775686342305869</v>
      </c>
      <c r="N132" s="58">
        <f>Data!ID131/Data!K131</f>
        <v>8.7407028973801523E-2</v>
      </c>
      <c r="O132" s="7"/>
      <c r="P132" s="61">
        <v>0.01</v>
      </c>
      <c r="Q132" s="44">
        <f t="shared" si="16"/>
        <v>0.28034983444925715</v>
      </c>
      <c r="R132" s="44">
        <f t="shared" si="17"/>
        <v>9.846030712727806E-2</v>
      </c>
      <c r="S132" s="44">
        <f>(Data!HU131/Data!K131)/0.7</f>
        <v>0.18188952732197911</v>
      </c>
      <c r="T132" s="7"/>
      <c r="U132" s="12"/>
      <c r="V132" s="43">
        <f>Data!HK131/Data!K131</f>
        <v>0.52383882507728075</v>
      </c>
      <c r="W132" s="49">
        <f t="shared" si="18"/>
        <v>0.40997625870086141</v>
      </c>
      <c r="X132" s="44">
        <f>Data!IE131/Data!K131 - 0.3*Y132</f>
        <v>0.2280867313788823</v>
      </c>
      <c r="Y132" s="44">
        <f t="shared" si="19"/>
        <v>0.18188952732197911</v>
      </c>
      <c r="Z132" s="7">
        <f>Data!CT131/Data!K131</f>
        <v>9.1145477930087565E-2</v>
      </c>
      <c r="AA132" s="12">
        <f>(Data!K131-Data!AN131)/Data!K131</f>
        <v>6.6184916221857848E-2</v>
      </c>
      <c r="AB132" s="7"/>
      <c r="AC132" s="7"/>
      <c r="AD132" s="7"/>
      <c r="AE132" s="12"/>
      <c r="AF132" s="5">
        <f t="shared" si="20"/>
        <v>1.0053233873703982</v>
      </c>
      <c r="AG132" s="5">
        <f t="shared" si="21"/>
        <v>1</v>
      </c>
    </row>
    <row r="133" spans="1:33" x14ac:dyDescent="0.25">
      <c r="A133" s="1" t="s">
        <v>556</v>
      </c>
      <c r="B133">
        <v>1924</v>
      </c>
      <c r="C133" s="45">
        <f t="shared" si="11"/>
        <v>7.1920528857760818E-2</v>
      </c>
      <c r="D133" s="45">
        <f>Data!HI132/Data!K132</f>
        <v>6.6138977312875033E-2</v>
      </c>
      <c r="E133" s="44">
        <f>Data!IC132/Data!K132</f>
        <v>5.7815515448857834E-3</v>
      </c>
      <c r="F133" s="7">
        <v>0</v>
      </c>
      <c r="G133" s="46">
        <f>Data!IC132/Data!K132</f>
        <v>5.7815515448857834E-3</v>
      </c>
      <c r="H133" s="45">
        <f t="shared" si="12"/>
        <v>0.51996028903761249</v>
      </c>
      <c r="I133" s="63">
        <f t="shared" si="13"/>
        <v>0.35333605104181859</v>
      </c>
      <c r="J133" s="44">
        <f t="shared" si="14"/>
        <v>0.1666242379957939</v>
      </c>
      <c r="K133" s="7"/>
      <c r="L133" s="12"/>
      <c r="M133" s="45">
        <f t="shared" si="15"/>
        <v>0.34844876574733735</v>
      </c>
      <c r="N133" s="58">
        <f>Data!ID132/Data!K132</f>
        <v>9.1646264961654011E-2</v>
      </c>
      <c r="O133" s="7"/>
      <c r="P133" s="61">
        <v>0.01</v>
      </c>
      <c r="Q133" s="44">
        <f t="shared" si="16"/>
        <v>0.25680250078568334</v>
      </c>
      <c r="R133" s="44">
        <f t="shared" si="17"/>
        <v>8.5339890374025451E-2</v>
      </c>
      <c r="S133" s="44">
        <f>(Data!HU132/Data!K132)/0.7</f>
        <v>0.17146261041165786</v>
      </c>
      <c r="T133" s="7"/>
      <c r="U133" s="12"/>
      <c r="V133" s="43">
        <f>Data!HK132/Data!K132</f>
        <v>0.50481491872871909</v>
      </c>
      <c r="W133" s="49">
        <f t="shared" si="18"/>
        <v>0.4297331133691058</v>
      </c>
      <c r="X133" s="44">
        <f>Data!IE132/Data!K132 - 0.3*Y133</f>
        <v>0.25827050295744791</v>
      </c>
      <c r="Y133" s="44">
        <f t="shared" si="19"/>
        <v>0.17146261041165786</v>
      </c>
      <c r="Z133" s="7">
        <f>Data!CT132/Data!K132</f>
        <v>9.4126380331999049E-2</v>
      </c>
      <c r="AA133" s="12">
        <f>(Data!K132-Data!AN132)/Data!K132</f>
        <v>6.5451967902175126E-2</v>
      </c>
      <c r="AB133" s="7"/>
      <c r="AC133" s="7"/>
      <c r="AD133" s="7"/>
      <c r="AE133" s="12"/>
      <c r="AF133" s="5">
        <f t="shared" si="20"/>
        <v>1.0057815515448858</v>
      </c>
      <c r="AG133" s="5">
        <f t="shared" si="21"/>
        <v>1</v>
      </c>
    </row>
    <row r="134" spans="1:33" x14ac:dyDescent="0.25">
      <c r="A134" s="1" t="s">
        <v>556</v>
      </c>
      <c r="B134">
        <v>1925</v>
      </c>
      <c r="C134" s="45">
        <f t="shared" si="11"/>
        <v>7.3100245575030628E-2</v>
      </c>
      <c r="D134" s="45">
        <f>Data!HI133/Data!K133</f>
        <v>6.7117314431078476E-2</v>
      </c>
      <c r="E134" s="44">
        <f>Data!IC133/Data!K133</f>
        <v>5.98293114395215E-3</v>
      </c>
      <c r="F134" s="7">
        <v>0</v>
      </c>
      <c r="G134" s="46">
        <f>Data!IC133/Data!K133</f>
        <v>5.98293114395215E-3</v>
      </c>
      <c r="H134" s="45">
        <f t="shared" si="12"/>
        <v>0.51575226831719712</v>
      </c>
      <c r="I134" s="63">
        <f t="shared" si="13"/>
        <v>0.35541027126108971</v>
      </c>
      <c r="J134" s="44">
        <f t="shared" si="14"/>
        <v>0.16034199705610735</v>
      </c>
      <c r="K134" s="7"/>
      <c r="L134" s="12"/>
      <c r="M134" s="45">
        <f t="shared" si="15"/>
        <v>0.35397147675754775</v>
      </c>
      <c r="N134" s="58">
        <f>Data!ID133/Data!K133</f>
        <v>9.4112367483854376E-2</v>
      </c>
      <c r="O134" s="7"/>
      <c r="P134" s="61">
        <v>0.01</v>
      </c>
      <c r="Q134" s="44">
        <f t="shared" si="16"/>
        <v>0.25985910927369338</v>
      </c>
      <c r="R134" s="44">
        <f t="shared" si="17"/>
        <v>8.803521659602799E-2</v>
      </c>
      <c r="S134" s="44">
        <f>(Data!HU133/Data!K133)/0.7</f>
        <v>0.1718238926776654</v>
      </c>
      <c r="T134" s="7"/>
      <c r="U134" s="12"/>
      <c r="V134" s="43">
        <f>Data!HK133/Data!K133</f>
        <v>0.51056280228819617</v>
      </c>
      <c r="W134" s="49">
        <f t="shared" si="18"/>
        <v>0.42627825721762713</v>
      </c>
      <c r="X134" s="44">
        <f>Data!IE133/Data!K133 - 0.3*Y134</f>
        <v>0.25445436453996173</v>
      </c>
      <c r="Y134" s="44">
        <f t="shared" si="19"/>
        <v>0.1718238926776654</v>
      </c>
      <c r="Z134" s="7">
        <f>Data!CT133/Data!K133</f>
        <v>9.4317425406514749E-2</v>
      </c>
      <c r="AA134" s="12">
        <f>(Data!K133-Data!AN133)/Data!K133</f>
        <v>6.3158940494176904E-2</v>
      </c>
      <c r="AB134" s="7"/>
      <c r="AC134" s="7"/>
      <c r="AD134" s="7"/>
      <c r="AE134" s="12"/>
      <c r="AF134" s="5">
        <f t="shared" si="20"/>
        <v>1.0059829311439523</v>
      </c>
      <c r="AG134" s="5">
        <f t="shared" si="21"/>
        <v>1.0000000000000002</v>
      </c>
    </row>
    <row r="135" spans="1:33" x14ac:dyDescent="0.25">
      <c r="A135" s="1" t="s">
        <v>556</v>
      </c>
      <c r="B135">
        <v>1926</v>
      </c>
      <c r="C135" s="45">
        <f t="shared" si="11"/>
        <v>7.0333051671046781E-2</v>
      </c>
      <c r="D135" s="45">
        <f>Data!HI134/Data!K134</f>
        <v>6.4293772940587829E-2</v>
      </c>
      <c r="E135" s="44">
        <f>Data!IC134/Data!K134</f>
        <v>6.0392787304589454E-3</v>
      </c>
      <c r="F135" s="7">
        <v>0</v>
      </c>
      <c r="G135" s="46">
        <f>Data!IC134/Data!K134</f>
        <v>6.0392787304589454E-3</v>
      </c>
      <c r="H135" s="45">
        <f t="shared" si="12"/>
        <v>0.51109445941656073</v>
      </c>
      <c r="I135" s="63">
        <f t="shared" si="13"/>
        <v>0.3564125953822207</v>
      </c>
      <c r="J135" s="44">
        <f t="shared" si="14"/>
        <v>0.15468186403434001</v>
      </c>
      <c r="K135" s="7"/>
      <c r="L135" s="12"/>
      <c r="M135" s="45">
        <f t="shared" si="15"/>
        <v>0.36065449749958878</v>
      </c>
      <c r="N135" s="58">
        <f>Data!ID134/Data!K134</f>
        <v>9.6089533177983771E-2</v>
      </c>
      <c r="O135" s="7"/>
      <c r="P135" s="61">
        <v>0.01</v>
      </c>
      <c r="Q135" s="44">
        <f t="shared" si="16"/>
        <v>0.26456496432160498</v>
      </c>
      <c r="R135" s="44">
        <f t="shared" si="17"/>
        <v>9.024187940120787E-2</v>
      </c>
      <c r="S135" s="44">
        <f>(Data!HU134/Data!K134)/0.7</f>
        <v>0.17432308492039711</v>
      </c>
      <c r="T135" s="7"/>
      <c r="U135" s="12"/>
      <c r="V135" s="43">
        <f>Data!HK134/Data!K134</f>
        <v>0.51094824772401637</v>
      </c>
      <c r="W135" s="49">
        <f t="shared" si="18"/>
        <v>0.42509448213272089</v>
      </c>
      <c r="X135" s="44">
        <f>Data!IE134/Data!K134 - 0.3*Y135</f>
        <v>0.25077139721232378</v>
      </c>
      <c r="Y135" s="44">
        <f t="shared" si="19"/>
        <v>0.17432308492039711</v>
      </c>
      <c r="Z135" s="7">
        <f>Data!CT134/Data!K134</f>
        <v>9.3711394554586228E-2</v>
      </c>
      <c r="AA135" s="12">
        <f>(Data!K134-Data!AN134)/Data!K134</f>
        <v>6.3957270143262732E-2</v>
      </c>
      <c r="AB135" s="7"/>
      <c r="AC135" s="7"/>
      <c r="AD135" s="7"/>
      <c r="AE135" s="12"/>
      <c r="AF135" s="5">
        <f t="shared" si="20"/>
        <v>1.0060392787304591</v>
      </c>
      <c r="AG135" s="5">
        <f t="shared" si="21"/>
        <v>1</v>
      </c>
    </row>
    <row r="136" spans="1:33" x14ac:dyDescent="0.25">
      <c r="A136" s="1" t="s">
        <v>556</v>
      </c>
      <c r="B136">
        <v>1927</v>
      </c>
      <c r="C136" s="45">
        <f t="shared" si="11"/>
        <v>7.0024960928351032E-2</v>
      </c>
      <c r="D136" s="45">
        <f>Data!HI135/Data!K135</f>
        <v>6.3929850628147253E-2</v>
      </c>
      <c r="E136" s="44">
        <f>Data!IC135/Data!K135</f>
        <v>6.0951103002037776E-3</v>
      </c>
      <c r="F136" s="7">
        <v>0</v>
      </c>
      <c r="G136" s="46">
        <f>Data!IC135/Data!K135</f>
        <v>6.0951103002037776E-3</v>
      </c>
      <c r="H136" s="45">
        <f t="shared" si="12"/>
        <v>0.49684161628372797</v>
      </c>
      <c r="I136" s="63">
        <f t="shared" si="13"/>
        <v>0.35526794963638481</v>
      </c>
      <c r="J136" s="44">
        <f t="shared" si="14"/>
        <v>0.14157366664734317</v>
      </c>
      <c r="K136" s="7"/>
      <c r="L136" s="12"/>
      <c r="M136" s="45">
        <f t="shared" si="15"/>
        <v>0.37296584866976878</v>
      </c>
      <c r="N136" s="58">
        <f>Data!ID135/Data!K135</f>
        <v>9.9317782909031163E-2</v>
      </c>
      <c r="O136" s="7"/>
      <c r="P136" s="61">
        <v>0.01</v>
      </c>
      <c r="Q136" s="44">
        <f t="shared" si="16"/>
        <v>0.27364806576073764</v>
      </c>
      <c r="R136" s="44">
        <f t="shared" si="17"/>
        <v>9.559131643617573E-2</v>
      </c>
      <c r="S136" s="44">
        <f>(Data!HU135/Data!K135)/0.7</f>
        <v>0.17805674932456189</v>
      </c>
      <c r="T136" s="7"/>
      <c r="U136" s="12"/>
      <c r="V136" s="43">
        <f>Data!HK135/Data!K135</f>
        <v>0.51478911670070782</v>
      </c>
      <c r="W136" s="49">
        <f t="shared" si="18"/>
        <v>0.41894819888093626</v>
      </c>
      <c r="X136" s="44">
        <f>Data!IE135/Data!K135 - 0.3*Y136</f>
        <v>0.24089144955637434</v>
      </c>
      <c r="Y136" s="44">
        <f t="shared" si="19"/>
        <v>0.17805674932456189</v>
      </c>
      <c r="Z136" s="7">
        <f>Data!CT135/Data!K135</f>
        <v>9.4307718260525614E-2</v>
      </c>
      <c r="AA136" s="12">
        <f>(Data!K135-Data!AN135)/Data!K135</f>
        <v>6.6262684418356005E-2</v>
      </c>
      <c r="AB136" s="7"/>
      <c r="AC136" s="7"/>
      <c r="AD136" s="7"/>
      <c r="AE136" s="12"/>
      <c r="AF136" s="5">
        <f t="shared" si="20"/>
        <v>1.0060951103002038</v>
      </c>
      <c r="AG136" s="5">
        <f t="shared" si="21"/>
        <v>1</v>
      </c>
    </row>
    <row r="137" spans="1:33" x14ac:dyDescent="0.25">
      <c r="A137" s="1" t="s">
        <v>556</v>
      </c>
      <c r="B137">
        <v>1928</v>
      </c>
      <c r="C137" s="45">
        <f t="shared" si="11"/>
        <v>6.8927419964821296E-2</v>
      </c>
      <c r="D137" s="45">
        <f>Data!HI136/Data!K136</f>
        <v>6.2921367721736954E-2</v>
      </c>
      <c r="E137" s="44">
        <f>Data!IC136/Data!K136</f>
        <v>6.0060522430843422E-3</v>
      </c>
      <c r="F137" s="7">
        <v>0</v>
      </c>
      <c r="G137" s="46">
        <f>Data!IC136/Data!K136</f>
        <v>6.0060522430843422E-3</v>
      </c>
      <c r="H137" s="45">
        <f t="shared" si="12"/>
        <v>0.50233693693521786</v>
      </c>
      <c r="I137" s="63">
        <f t="shared" si="13"/>
        <v>0.35650530409402559</v>
      </c>
      <c r="J137" s="44">
        <f t="shared" si="14"/>
        <v>0.1458316328411923</v>
      </c>
      <c r="K137" s="7"/>
      <c r="L137" s="12"/>
      <c r="M137" s="45">
        <f t="shared" si="15"/>
        <v>0.36861989235181403</v>
      </c>
      <c r="N137" s="58">
        <f>Data!ID136/Data!K136</f>
        <v>9.8996743917678764E-2</v>
      </c>
      <c r="O137" s="7"/>
      <c r="P137" s="61">
        <v>0.01</v>
      </c>
      <c r="Q137" s="44">
        <f t="shared" si="16"/>
        <v>0.26962314843413526</v>
      </c>
      <c r="R137" s="44">
        <f t="shared" si="17"/>
        <v>9.3529296484299529E-2</v>
      </c>
      <c r="S137" s="44">
        <f>(Data!HU136/Data!K136)/0.7</f>
        <v>0.17609385194983573</v>
      </c>
      <c r="T137" s="7"/>
      <c r="U137" s="12"/>
      <c r="V137" s="43">
        <f>Data!HK136/Data!K136</f>
        <v>0.51295596830006207</v>
      </c>
      <c r="W137" s="49">
        <f t="shared" si="18"/>
        <v>0.42092222870870677</v>
      </c>
      <c r="X137" s="44">
        <f>Data!IE136/Data!K136 - 0.3*Y137</f>
        <v>0.24482837675887106</v>
      </c>
      <c r="Y137" s="44">
        <f t="shared" si="19"/>
        <v>0.17609385194983573</v>
      </c>
      <c r="Z137" s="7">
        <f>Data!CT136/Data!K136</f>
        <v>9.2795650973825111E-2</v>
      </c>
      <c r="AA137" s="12">
        <f>(Data!K136-Data!AN136)/Data!K136</f>
        <v>6.6121802991231104E-2</v>
      </c>
      <c r="AB137" s="7"/>
      <c r="AC137" s="7"/>
      <c r="AD137" s="7"/>
      <c r="AE137" s="12"/>
      <c r="AF137" s="5">
        <f t="shared" si="20"/>
        <v>1.0060060522430843</v>
      </c>
      <c r="AG137" s="5">
        <f t="shared" si="21"/>
        <v>0.99999999999999989</v>
      </c>
    </row>
    <row r="138" spans="1:33" x14ac:dyDescent="0.25">
      <c r="A138" s="1" t="s">
        <v>556</v>
      </c>
      <c r="B138">
        <v>1929</v>
      </c>
      <c r="C138" s="45">
        <f t="shared" si="11"/>
        <v>6.6778918715767369E-2</v>
      </c>
      <c r="D138" s="45">
        <f>Data!HI137/Data!K137</f>
        <v>6.0854629942502944E-2</v>
      </c>
      <c r="E138" s="44">
        <f>Data!IC137/Data!K137</f>
        <v>5.924288773264428E-3</v>
      </c>
      <c r="F138" s="7">
        <v>0</v>
      </c>
      <c r="G138" s="46">
        <f>Data!IC137/Data!K137</f>
        <v>5.924288773264428E-3</v>
      </c>
      <c r="H138" s="45">
        <f t="shared" si="12"/>
        <v>0.50012091088386867</v>
      </c>
      <c r="I138" s="63">
        <f t="shared" si="13"/>
        <v>0.36014735319067331</v>
      </c>
      <c r="J138" s="44">
        <f t="shared" si="14"/>
        <v>0.13997355769319531</v>
      </c>
      <c r="K138" s="7"/>
      <c r="L138" s="12"/>
      <c r="M138" s="45">
        <f t="shared" si="15"/>
        <v>0.37259247007100471</v>
      </c>
      <c r="N138" s="58">
        <f>Data!ID137/Data!K137</f>
        <v>9.7785197659771381E-2</v>
      </c>
      <c r="O138" s="7"/>
      <c r="P138" s="61">
        <v>0.01</v>
      </c>
      <c r="Q138" s="44">
        <f t="shared" si="16"/>
        <v>0.27480727241123332</v>
      </c>
      <c r="R138" s="44">
        <f t="shared" si="17"/>
        <v>9.6631504688406394E-2</v>
      </c>
      <c r="S138" s="44">
        <f>(Data!HU137/Data!K137)/0.7</f>
        <v>0.17817576772282692</v>
      </c>
      <c r="T138" s="7"/>
      <c r="U138" s="12"/>
      <c r="V138" s="43">
        <f>Data!HK137/Data!K137</f>
        <v>0.51763348782158269</v>
      </c>
      <c r="W138" s="49">
        <f t="shared" si="18"/>
        <v>0.41593452307579359</v>
      </c>
      <c r="X138" s="44">
        <f>Data!IE137/Data!K137 - 0.3*Y138</f>
        <v>0.23775875535296667</v>
      </c>
      <c r="Y138" s="44">
        <f t="shared" si="19"/>
        <v>0.17817576772282692</v>
      </c>
      <c r="Z138" s="7">
        <f>Data!CT137/Data!K137</f>
        <v>9.1297890307273658E-2</v>
      </c>
      <c r="AA138" s="12">
        <f>(Data!K137-Data!AN137)/Data!K137</f>
        <v>6.643198910262349E-2</v>
      </c>
      <c r="AB138" s="7"/>
      <c r="AC138" s="7"/>
      <c r="AD138" s="7"/>
      <c r="AE138" s="12"/>
      <c r="AF138" s="5">
        <f t="shared" si="20"/>
        <v>1.0059242887732642</v>
      </c>
      <c r="AG138" s="5">
        <f t="shared" si="21"/>
        <v>0.99999999999999978</v>
      </c>
    </row>
    <row r="139" spans="1:33" x14ac:dyDescent="0.25">
      <c r="A139" s="1" t="s">
        <v>556</v>
      </c>
      <c r="B139">
        <v>1930</v>
      </c>
      <c r="C139" s="45">
        <f t="shared" si="11"/>
        <v>6.727343865218248E-2</v>
      </c>
      <c r="D139" s="45">
        <f>Data!HI138/Data!K138</f>
        <v>6.1176577789703174E-2</v>
      </c>
      <c r="E139" s="44">
        <f>Data!IC138/Data!K138</f>
        <v>6.0968608624793119E-3</v>
      </c>
      <c r="F139" s="7">
        <v>0</v>
      </c>
      <c r="G139" s="46">
        <f>Data!IC138/Data!K138</f>
        <v>6.0968608624793119E-3</v>
      </c>
      <c r="H139" s="45">
        <f t="shared" si="12"/>
        <v>0.47846799838114773</v>
      </c>
      <c r="I139" s="63">
        <f t="shared" si="13"/>
        <v>0.35944998176176313</v>
      </c>
      <c r="J139" s="44">
        <f t="shared" si="14"/>
        <v>0.11901801661938463</v>
      </c>
      <c r="K139" s="7"/>
      <c r="L139" s="12"/>
      <c r="M139" s="45">
        <f t="shared" si="15"/>
        <v>0.39460817218338984</v>
      </c>
      <c r="N139" s="58">
        <f>Data!ID138/Data!K138</f>
        <v>0.10204385681348657</v>
      </c>
      <c r="O139" s="7"/>
      <c r="P139" s="61">
        <v>0.01</v>
      </c>
      <c r="Q139" s="44">
        <f t="shared" si="16"/>
        <v>0.29256431536990324</v>
      </c>
      <c r="R139" s="44">
        <f t="shared" si="17"/>
        <v>0.10714738426184489</v>
      </c>
      <c r="S139" s="44">
        <f>(Data!HU138/Data!K138)/0.7</f>
        <v>0.18541693110805835</v>
      </c>
      <c r="T139" s="7"/>
      <c r="U139" s="12"/>
      <c r="V139" s="43">
        <f>Data!HK138/Data!K138</f>
        <v>0.52777394381331122</v>
      </c>
      <c r="W139" s="49">
        <f t="shared" si="18"/>
        <v>0.40647880454092955</v>
      </c>
      <c r="X139" s="44">
        <f>Data!IE138/Data!K138 - 0.3*Y139</f>
        <v>0.2210618734328712</v>
      </c>
      <c r="Y139" s="44">
        <f t="shared" si="19"/>
        <v>0.18541693110805835</v>
      </c>
      <c r="Z139" s="7">
        <f>Data!CT138/Data!K138</f>
        <v>9.3668562106779388E-2</v>
      </c>
      <c r="AA139" s="12">
        <f>(Data!K138-Data!AN138)/Data!K138</f>
        <v>6.5747251645759133E-2</v>
      </c>
      <c r="AB139" s="7"/>
      <c r="AC139" s="7"/>
      <c r="AD139" s="7"/>
      <c r="AE139" s="12"/>
      <c r="AF139" s="5">
        <f t="shared" si="20"/>
        <v>1.0060968608624792</v>
      </c>
      <c r="AG139" s="5">
        <f t="shared" si="21"/>
        <v>0.99999999999999989</v>
      </c>
    </row>
    <row r="140" spans="1:33" x14ac:dyDescent="0.25">
      <c r="A140" s="1" t="s">
        <v>556</v>
      </c>
      <c r="B140">
        <v>1931</v>
      </c>
      <c r="C140" s="45">
        <f t="shared" si="11"/>
        <v>7.4243168459587519E-2</v>
      </c>
      <c r="D140" s="45">
        <f>Data!HI139/Data!K139</f>
        <v>6.7551312871103442E-2</v>
      </c>
      <c r="E140" s="44">
        <f>Data!IC139/Data!K139</f>
        <v>6.6918555884840714E-3</v>
      </c>
      <c r="F140" s="7">
        <v>0</v>
      </c>
      <c r="G140" s="46">
        <f>Data!IC139/Data!K139</f>
        <v>6.6918555884840714E-3</v>
      </c>
      <c r="H140" s="45">
        <f t="shared" si="12"/>
        <v>0.43763361920831267</v>
      </c>
      <c r="I140" s="63">
        <f t="shared" si="13"/>
        <v>0.35098471783591706</v>
      </c>
      <c r="J140" s="44">
        <f t="shared" si="14"/>
        <v>8.6648901372395587E-2</v>
      </c>
      <c r="K140" s="7"/>
      <c r="L140" s="12"/>
      <c r="M140" s="45">
        <f t="shared" si="15"/>
        <v>0.42903249711452129</v>
      </c>
      <c r="N140" s="58">
        <f>Data!ID139/Data!K139</f>
        <v>0.1123845084902283</v>
      </c>
      <c r="O140" s="7"/>
      <c r="P140" s="61">
        <v>0.01</v>
      </c>
      <c r="Q140" s="44">
        <f t="shared" si="16"/>
        <v>0.316647988624293</v>
      </c>
      <c r="R140" s="44">
        <f t="shared" si="17"/>
        <v>0.12476147080024667</v>
      </c>
      <c r="S140" s="44">
        <f>(Data!HU139/Data!K139)/0.7</f>
        <v>0.19188651782404631</v>
      </c>
      <c r="T140" s="7"/>
      <c r="U140" s="12"/>
      <c r="V140" s="43">
        <f>Data!HK139/Data!K139</f>
        <v>0.54329750150726719</v>
      </c>
      <c r="W140" s="49">
        <f t="shared" si="18"/>
        <v>0.39091992768667017</v>
      </c>
      <c r="X140" s="44">
        <f>Data!IE139/Data!K139 - 0.3*Y140</f>
        <v>0.19903340986262388</v>
      </c>
      <c r="Y140" s="44">
        <f t="shared" si="19"/>
        <v>0.19188651782404631</v>
      </c>
      <c r="Z140" s="7">
        <f>Data!CT139/Data!K139</f>
        <v>0.1014073964285188</v>
      </c>
      <c r="AA140" s="12">
        <f>(Data!K139-Data!AN139)/Data!K139</f>
        <v>6.5782570806062812E-2</v>
      </c>
      <c r="AB140" s="7"/>
      <c r="AC140" s="7"/>
      <c r="AD140" s="7"/>
      <c r="AE140" s="12"/>
      <c r="AF140" s="5">
        <f t="shared" si="20"/>
        <v>1.0066918555884843</v>
      </c>
      <c r="AG140" s="5">
        <f t="shared" si="21"/>
        <v>1.0000000000000002</v>
      </c>
    </row>
    <row r="141" spans="1:33" x14ac:dyDescent="0.25">
      <c r="A141" s="1" t="s">
        <v>556</v>
      </c>
      <c r="B141">
        <v>1932</v>
      </c>
      <c r="C141" s="45">
        <f t="shared" si="11"/>
        <v>8.0034884578286225E-2</v>
      </c>
      <c r="D141" s="45">
        <f>Data!HI140/Data!K140</f>
        <v>7.2740938848206885E-2</v>
      </c>
      <c r="E141" s="44">
        <f>Data!IC140/Data!K140</f>
        <v>7.2939457300793473E-3</v>
      </c>
      <c r="F141" s="7">
        <v>0</v>
      </c>
      <c r="G141" s="46">
        <f>Data!IC140/Data!K140</f>
        <v>7.2939457300793473E-3</v>
      </c>
      <c r="H141" s="45">
        <f t="shared" si="12"/>
        <v>0.39868524110502468</v>
      </c>
      <c r="I141" s="63">
        <f t="shared" si="13"/>
        <v>0.34181147634985032</v>
      </c>
      <c r="J141" s="44">
        <f t="shared" si="14"/>
        <v>5.6873764755174389E-2</v>
      </c>
      <c r="K141" s="7"/>
      <c r="L141" s="12"/>
      <c r="M141" s="45">
        <f t="shared" si="15"/>
        <v>0.46277040841998784</v>
      </c>
      <c r="N141" s="58">
        <f>Data!ID140/Data!K140</f>
        <v>0.12392763710572655</v>
      </c>
      <c r="O141" s="7"/>
      <c r="P141" s="61">
        <v>0.01</v>
      </c>
      <c r="Q141" s="44">
        <f t="shared" si="16"/>
        <v>0.33884277131426133</v>
      </c>
      <c r="R141" s="44">
        <f t="shared" si="17"/>
        <v>0.14412868726747666</v>
      </c>
      <c r="S141" s="44">
        <f>(Data!HU140/Data!K140)/0.7</f>
        <v>0.1947140840467847</v>
      </c>
      <c r="T141" s="7"/>
      <c r="U141" s="12"/>
      <c r="V141" s="43">
        <f>Data!HK140/Data!K140</f>
        <v>0.55868110246553382</v>
      </c>
      <c r="W141" s="49">
        <f t="shared" si="18"/>
        <v>0.37551548590768563</v>
      </c>
      <c r="X141" s="44">
        <f>Data!IE140/Data!K140 - 0.3*Y141</f>
        <v>0.18080140186090093</v>
      </c>
      <c r="Y141" s="44">
        <f t="shared" si="19"/>
        <v>0.1947140840467847</v>
      </c>
      <c r="Z141" s="7">
        <f>Data!CT140/Data!K140</f>
        <v>0.10682799616775353</v>
      </c>
      <c r="AA141" s="12">
        <f>(Data!K140-Data!AN140)/Data!K140</f>
        <v>6.5803411626780522E-2</v>
      </c>
      <c r="AB141" s="7"/>
      <c r="AC141" s="7"/>
      <c r="AD141" s="7"/>
      <c r="AE141" s="12"/>
      <c r="AF141" s="5">
        <f t="shared" si="20"/>
        <v>1.0072939457300794</v>
      </c>
      <c r="AG141" s="5">
        <f t="shared" si="21"/>
        <v>1</v>
      </c>
    </row>
    <row r="142" spans="1:33" x14ac:dyDescent="0.25">
      <c r="A142" s="1" t="s">
        <v>556</v>
      </c>
      <c r="B142">
        <v>1933</v>
      </c>
      <c r="C142" s="45">
        <f t="shared" si="11"/>
        <v>7.7318212169613404E-2</v>
      </c>
      <c r="D142" s="45">
        <f>Data!HI141/Data!K141</f>
        <v>7.0198727132085956E-2</v>
      </c>
      <c r="E142" s="44">
        <f>Data!IC141/Data!K141</f>
        <v>7.1194850375274534E-3</v>
      </c>
      <c r="F142" s="7">
        <v>0</v>
      </c>
      <c r="G142" s="46">
        <f>Data!IC141/Data!K141</f>
        <v>7.1194850375274534E-3</v>
      </c>
      <c r="H142" s="45">
        <f t="shared" si="12"/>
        <v>0.4166072628921737</v>
      </c>
      <c r="I142" s="63">
        <f t="shared" si="13"/>
        <v>0.33866428303066798</v>
      </c>
      <c r="J142" s="44">
        <f t="shared" si="14"/>
        <v>7.7942979861505723E-2</v>
      </c>
      <c r="K142" s="7"/>
      <c r="L142" s="12"/>
      <c r="M142" s="45">
        <f t="shared" si="15"/>
        <v>0.44602530348451147</v>
      </c>
      <c r="N142" s="58">
        <f>Data!ID141/Data!K141</f>
        <v>0.12318037017706168</v>
      </c>
      <c r="O142" s="7"/>
      <c r="P142" s="61">
        <v>0.01</v>
      </c>
      <c r="Q142" s="44">
        <f t="shared" si="16"/>
        <v>0.32284493330744979</v>
      </c>
      <c r="R142" s="44">
        <f t="shared" si="17"/>
        <v>0.12781265525890614</v>
      </c>
      <c r="S142" s="44">
        <f>(Data!HU141/Data!K141)/0.7</f>
        <v>0.19503227804854362</v>
      </c>
      <c r="T142" s="7"/>
      <c r="U142" s="12"/>
      <c r="V142" s="43">
        <f>Data!HK141/Data!K141</f>
        <v>0.53667566542166012</v>
      </c>
      <c r="W142" s="49">
        <f t="shared" si="18"/>
        <v>0.39615562808711102</v>
      </c>
      <c r="X142" s="44">
        <f>Data!IE141/Data!K141 - 0.3*Y142</f>
        <v>0.20112335003856741</v>
      </c>
      <c r="Y142" s="44">
        <f t="shared" si="19"/>
        <v>0.19503227804854362</v>
      </c>
      <c r="Z142" s="7">
        <f>Data!CT141/Data!K141</f>
        <v>9.9412138389883872E-2</v>
      </c>
      <c r="AA142" s="12">
        <f>(Data!K141-Data!AN141)/Data!K141</f>
        <v>6.7168706491228872E-2</v>
      </c>
      <c r="AB142" s="7"/>
      <c r="AC142" s="7"/>
      <c r="AD142" s="7"/>
      <c r="AE142" s="12"/>
      <c r="AF142" s="5">
        <f t="shared" si="20"/>
        <v>1.0071194850375276</v>
      </c>
      <c r="AG142" s="5">
        <f t="shared" si="21"/>
        <v>1</v>
      </c>
    </row>
    <row r="143" spans="1:33" x14ac:dyDescent="0.25">
      <c r="A143" s="1" t="s">
        <v>556</v>
      </c>
      <c r="B143">
        <v>1934</v>
      </c>
      <c r="C143" s="45">
        <f t="shared" si="11"/>
        <v>7.1885476542675381E-2</v>
      </c>
      <c r="D143" s="45">
        <f>Data!HI142/Data!K142</f>
        <v>6.4891663284485007E-2</v>
      </c>
      <c r="E143" s="44">
        <f>Data!IC142/Data!K142</f>
        <v>6.9938132581903768E-3</v>
      </c>
      <c r="F143" s="7">
        <v>0</v>
      </c>
      <c r="G143" s="46">
        <f>Data!IC142/Data!K142</f>
        <v>6.9938132581903768E-3</v>
      </c>
      <c r="H143" s="45">
        <f t="shared" si="12"/>
        <v>0.43744036489103089</v>
      </c>
      <c r="I143" s="63">
        <f t="shared" si="13"/>
        <v>0.34831266490096879</v>
      </c>
      <c r="J143" s="44">
        <f t="shared" si="14"/>
        <v>8.9127699990062106E-2</v>
      </c>
      <c r="K143" s="7"/>
      <c r="L143" s="12"/>
      <c r="M143" s="45">
        <f t="shared" si="15"/>
        <v>0.42786078615113338</v>
      </c>
      <c r="N143" s="58">
        <f>Data!ID142/Data!K142</f>
        <v>0.116606453331541</v>
      </c>
      <c r="O143" s="7"/>
      <c r="P143" s="61">
        <v>0.01</v>
      </c>
      <c r="Q143" s="44">
        <f t="shared" si="16"/>
        <v>0.31125433281959236</v>
      </c>
      <c r="R143" s="44">
        <f t="shared" si="17"/>
        <v>0.12126755506642611</v>
      </c>
      <c r="S143" s="44">
        <f>(Data!HU142/Data!K142)/0.7</f>
        <v>0.18998677775316625</v>
      </c>
      <c r="T143" s="7"/>
      <c r="U143" s="12"/>
      <c r="V143" s="43">
        <f>Data!HK142/Data!K142</f>
        <v>0.53447188325187989</v>
      </c>
      <c r="W143" s="49">
        <f t="shared" si="18"/>
        <v>0.39572093107476936</v>
      </c>
      <c r="X143" s="44">
        <f>Data!IE142/Data!K142 - 0.3*Y143</f>
        <v>0.20573415332160311</v>
      </c>
      <c r="Y143" s="44">
        <f t="shared" si="19"/>
        <v>0.18998677775316625</v>
      </c>
      <c r="Z143" s="7">
        <f>Data!CT142/Data!K142</f>
        <v>9.3617304423408959E-2</v>
      </c>
      <c r="AA143" s="12">
        <f>(Data!K142-Data!AN142)/Data!K142</f>
        <v>6.9807185673350772E-2</v>
      </c>
      <c r="AB143" s="7"/>
      <c r="AC143" s="7"/>
      <c r="AD143" s="7"/>
      <c r="AE143" s="12"/>
      <c r="AF143" s="5">
        <f t="shared" si="20"/>
        <v>1.0069938132581904</v>
      </c>
      <c r="AG143" s="5">
        <f t="shared" si="21"/>
        <v>1</v>
      </c>
    </row>
    <row r="144" spans="1:33" x14ac:dyDescent="0.25">
      <c r="A144" s="1" t="s">
        <v>556</v>
      </c>
      <c r="B144">
        <v>1935</v>
      </c>
      <c r="C144" s="45">
        <f t="shared" si="11"/>
        <v>7.1317723298020608E-2</v>
      </c>
      <c r="D144" s="45">
        <f>Data!HI143/Data!K143</f>
        <v>6.4404955023508917E-2</v>
      </c>
      <c r="E144" s="44">
        <f>Data!IC143/Data!K143</f>
        <v>6.9127682745116856E-3</v>
      </c>
      <c r="F144" s="7">
        <v>0</v>
      </c>
      <c r="G144" s="46">
        <f>Data!IC143/Data!K143</f>
        <v>6.9127682745116856E-3</v>
      </c>
      <c r="H144" s="45">
        <f t="shared" si="12"/>
        <v>0.46273182468637664</v>
      </c>
      <c r="I144" s="63">
        <f t="shared" si="13"/>
        <v>0.35025509220263046</v>
      </c>
      <c r="J144" s="44">
        <f t="shared" si="14"/>
        <v>0.11247673248374615</v>
      </c>
      <c r="K144" s="7"/>
      <c r="L144" s="12"/>
      <c r="M144" s="45">
        <f t="shared" si="15"/>
        <v>0.40269570894349693</v>
      </c>
      <c r="N144" s="58">
        <f>Data!ID143/Data!K143</f>
        <v>0.11060692033399616</v>
      </c>
      <c r="O144" s="7"/>
      <c r="P144" s="61">
        <v>0.01</v>
      </c>
      <c r="Q144" s="44">
        <f t="shared" si="16"/>
        <v>0.29208878860950077</v>
      </c>
      <c r="R144" s="44">
        <f t="shared" si="17"/>
        <v>0.10814228816171358</v>
      </c>
      <c r="S144" s="44">
        <f>(Data!HU143/Data!K143)/0.7</f>
        <v>0.18394650044778718</v>
      </c>
      <c r="T144" s="7"/>
      <c r="U144" s="12"/>
      <c r="V144" s="43">
        <f>Data!HK143/Data!K143</f>
        <v>0.52280233538785292</v>
      </c>
      <c r="W144" s="49">
        <f t="shared" si="18"/>
        <v>0.40703015326552949</v>
      </c>
      <c r="X144" s="44">
        <f>Data!IE143/Data!K143 - 0.3*Y144</f>
        <v>0.22308365281774231</v>
      </c>
      <c r="Y144" s="44">
        <f t="shared" si="19"/>
        <v>0.18394650044778718</v>
      </c>
      <c r="Z144" s="7">
        <f>Data!CT143/Data!K143</f>
        <v>9.0010191399293754E-2</v>
      </c>
      <c r="AA144" s="12">
        <f>(Data!K143-Data!AN143)/Data!K143</f>
        <v>7.01675113466175E-2</v>
      </c>
      <c r="AB144" s="7"/>
      <c r="AC144" s="7"/>
      <c r="AD144" s="7"/>
      <c r="AE144" s="12"/>
      <c r="AF144" s="5">
        <f t="shared" si="20"/>
        <v>1.0069127682745118</v>
      </c>
      <c r="AG144" s="5">
        <f t="shared" si="21"/>
        <v>0.99999999999999989</v>
      </c>
    </row>
    <row r="145" spans="1:33" x14ac:dyDescent="0.25">
      <c r="A145" s="1" t="s">
        <v>556</v>
      </c>
      <c r="B145">
        <v>1936</v>
      </c>
      <c r="C145" s="45">
        <f t="shared" si="11"/>
        <v>6.8763100548709377E-2</v>
      </c>
      <c r="D145" s="45">
        <f>Data!HI144/Data!K144</f>
        <v>6.2028945321418359E-2</v>
      </c>
      <c r="E145" s="44">
        <f>Data!IC144/Data!K144</f>
        <v>6.734155227291024E-3</v>
      </c>
      <c r="F145" s="7">
        <v>0</v>
      </c>
      <c r="G145" s="46">
        <f>Data!IC144/Data!K144</f>
        <v>6.734155227291024E-3</v>
      </c>
      <c r="H145" s="45">
        <f t="shared" si="12"/>
        <v>0.47761024006998931</v>
      </c>
      <c r="I145" s="63">
        <f t="shared" si="13"/>
        <v>0.34833885009368848</v>
      </c>
      <c r="J145" s="44">
        <f t="shared" si="14"/>
        <v>0.12927138997630083</v>
      </c>
      <c r="K145" s="7"/>
      <c r="L145" s="12"/>
      <c r="M145" s="45">
        <f t="shared" si="15"/>
        <v>0.39021141372325302</v>
      </c>
      <c r="N145" s="58">
        <f>Data!ID144/Data!K144</f>
        <v>0.10853537964720635</v>
      </c>
      <c r="O145" s="7"/>
      <c r="P145" s="61">
        <v>0.01</v>
      </c>
      <c r="Q145" s="44">
        <f t="shared" si="16"/>
        <v>0.28167603407604669</v>
      </c>
      <c r="R145" s="44">
        <f t="shared" si="17"/>
        <v>9.9415572310985287E-2</v>
      </c>
      <c r="S145" s="44">
        <f>(Data!HU144/Data!K144)/0.7</f>
        <v>0.18226046176506139</v>
      </c>
      <c r="T145" s="7"/>
      <c r="U145" s="12"/>
      <c r="V145" s="43">
        <f>Data!HK144/Data!K144</f>
        <v>0.50978336772609212</v>
      </c>
      <c r="W145" s="49">
        <f t="shared" si="18"/>
        <v>0.42006723138856855</v>
      </c>
      <c r="X145" s="44">
        <f>Data!IE144/Data!K144 - 0.3*Y145</f>
        <v>0.23780676962350716</v>
      </c>
      <c r="Y145" s="44">
        <f t="shared" si="19"/>
        <v>0.18226046176506139</v>
      </c>
      <c r="Z145" s="7">
        <f>Data!CT144/Data!K144</f>
        <v>8.715369988470284E-2</v>
      </c>
      <c r="AA145" s="12">
        <f>(Data!K144-Data!AN144)/Data!K144</f>
        <v>7.0149400885339316E-2</v>
      </c>
      <c r="AB145" s="7"/>
      <c r="AC145" s="7"/>
      <c r="AD145" s="7"/>
      <c r="AE145" s="12"/>
      <c r="AF145" s="5">
        <f t="shared" si="20"/>
        <v>1.006734155227291</v>
      </c>
      <c r="AG145" s="5">
        <f t="shared" si="21"/>
        <v>0.99999999999999989</v>
      </c>
    </row>
    <row r="146" spans="1:33" x14ac:dyDescent="0.25">
      <c r="A146" s="1" t="s">
        <v>556</v>
      </c>
      <c r="B146">
        <v>1937</v>
      </c>
      <c r="C146" s="45">
        <f t="shared" si="11"/>
        <v>6.7420863057739505E-2</v>
      </c>
      <c r="D146" s="45">
        <f>Data!HI145/Data!K145</f>
        <v>6.0320616874204563E-2</v>
      </c>
      <c r="E146" s="44">
        <f>Data!IC145/Data!K145</f>
        <v>7.1002461835349478E-3</v>
      </c>
      <c r="F146" s="7">
        <v>0</v>
      </c>
      <c r="G146" s="46">
        <f>Data!IC145/Data!K145</f>
        <v>7.1002461835349478E-3</v>
      </c>
      <c r="H146" s="45">
        <f t="shared" si="12"/>
        <v>0.49026679899572989</v>
      </c>
      <c r="I146" s="63">
        <f t="shared" si="13"/>
        <v>0.34638899050371408</v>
      </c>
      <c r="J146" s="44">
        <f t="shared" si="14"/>
        <v>0.14387780849201581</v>
      </c>
      <c r="K146" s="7"/>
      <c r="L146" s="12"/>
      <c r="M146" s="45">
        <f t="shared" si="15"/>
        <v>0.37824312683818284</v>
      </c>
      <c r="N146" s="58">
        <f>Data!ID145/Data!K145</f>
        <v>0.10514242620041826</v>
      </c>
      <c r="O146" s="7"/>
      <c r="P146" s="61">
        <v>0.01</v>
      </c>
      <c r="Q146" s="44">
        <f t="shared" si="16"/>
        <v>0.27310070063776459</v>
      </c>
      <c r="R146" s="44">
        <f t="shared" si="17"/>
        <v>9.2613197803529834E-2</v>
      </c>
      <c r="S146" s="44">
        <f>(Data!HU145/Data!K145)/0.7</f>
        <v>0.18048750283423479</v>
      </c>
      <c r="T146" s="7"/>
      <c r="U146" s="12"/>
      <c r="V146" s="43">
        <f>Data!HK145/Data!K145</f>
        <v>0.49932280518144845</v>
      </c>
      <c r="W146" s="49">
        <f t="shared" si="18"/>
        <v>0.42950773752666888</v>
      </c>
      <c r="X146" s="44">
        <f>Data!IE145/Data!K145 - 0.3*Y146</f>
        <v>0.24902023469243409</v>
      </c>
      <c r="Y146" s="44">
        <f t="shared" si="19"/>
        <v>0.18048750283423479</v>
      </c>
      <c r="Z146" s="7">
        <f>Data!CT145/Data!K145</f>
        <v>9.169463222635188E-2</v>
      </c>
      <c r="AA146" s="12">
        <f>(Data!K145-Data!AN145)/Data!K145</f>
        <v>7.1169457291882551E-2</v>
      </c>
      <c r="AB146" s="7"/>
      <c r="AC146" s="7"/>
      <c r="AD146" s="7"/>
      <c r="AE146" s="12"/>
      <c r="AF146" s="5">
        <f t="shared" si="20"/>
        <v>1.0071002461835348</v>
      </c>
      <c r="AG146" s="5">
        <f t="shared" si="21"/>
        <v>0.99999999999999978</v>
      </c>
    </row>
    <row r="147" spans="1:33" x14ac:dyDescent="0.25">
      <c r="A147" s="1" t="s">
        <v>556</v>
      </c>
      <c r="B147">
        <v>1938</v>
      </c>
      <c r="C147" s="45">
        <f t="shared" si="11"/>
        <v>7.2019468447996837E-2</v>
      </c>
      <c r="D147" s="45">
        <f>Data!HI146/Data!K146</f>
        <v>6.4747535747406409E-2</v>
      </c>
      <c r="E147" s="44">
        <f>Data!IC146/Data!K146</f>
        <v>7.2719327005904208E-3</v>
      </c>
      <c r="F147" s="7">
        <v>0</v>
      </c>
      <c r="G147" s="46">
        <f>Data!IC146/Data!K146</f>
        <v>7.2719327005904208E-3</v>
      </c>
      <c r="H147" s="45">
        <f t="shared" si="12"/>
        <v>0.47725591412886548</v>
      </c>
      <c r="I147" s="63">
        <f t="shared" si="13"/>
        <v>0.34429783225171962</v>
      </c>
      <c r="J147" s="44">
        <f t="shared" si="14"/>
        <v>0.13295808187714583</v>
      </c>
      <c r="K147" s="7"/>
      <c r="L147" s="12"/>
      <c r="M147" s="45">
        <f t="shared" si="15"/>
        <v>0.38640413965503351</v>
      </c>
      <c r="N147" s="58">
        <f>Data!ID146/Data!K146</f>
        <v>0.10703138923693675</v>
      </c>
      <c r="O147" s="7"/>
      <c r="P147" s="61">
        <v>0.01</v>
      </c>
      <c r="Q147" s="44">
        <f t="shared" si="16"/>
        <v>0.27937275041809678</v>
      </c>
      <c r="R147" s="44">
        <f t="shared" si="17"/>
        <v>9.7539710640305449E-2</v>
      </c>
      <c r="S147" s="44">
        <f>(Data!HU146/Data!K146)/0.7</f>
        <v>0.18183303977779133</v>
      </c>
      <c r="T147" s="7"/>
      <c r="U147" s="12"/>
      <c r="V147" s="43">
        <f>Data!HK146/Data!K146</f>
        <v>0.50658507863943147</v>
      </c>
      <c r="W147" s="49">
        <f t="shared" si="18"/>
        <v>0.42182251089187395</v>
      </c>
      <c r="X147" s="44">
        <f>Data!IE146/Data!K146 - 0.3*Y147</f>
        <v>0.23998947111408259</v>
      </c>
      <c r="Y147" s="44">
        <f t="shared" si="19"/>
        <v>0.18183303977779133</v>
      </c>
      <c r="Z147" s="7">
        <f>Data!CT146/Data!K146</f>
        <v>9.2962810514417168E-2</v>
      </c>
      <c r="AA147" s="12">
        <f>(Data!K146-Data!AN146)/Data!K146</f>
        <v>7.1592410468694634E-2</v>
      </c>
      <c r="AB147" s="7"/>
      <c r="AC147" s="7"/>
      <c r="AD147" s="7"/>
      <c r="AE147" s="12"/>
      <c r="AF147" s="5">
        <f t="shared" si="20"/>
        <v>1.0072719327005906</v>
      </c>
      <c r="AG147" s="5">
        <f t="shared" si="21"/>
        <v>1.0000000000000002</v>
      </c>
    </row>
    <row r="148" spans="1:33" x14ac:dyDescent="0.25">
      <c r="A148" s="1" t="s">
        <v>556</v>
      </c>
      <c r="B148">
        <v>1939</v>
      </c>
      <c r="C148" s="45">
        <f t="shared" si="11"/>
        <v>8.1903411963690179E-2</v>
      </c>
      <c r="D148" s="45">
        <f>Data!HI147/Data!K147</f>
        <v>7.4736520186583374E-2</v>
      </c>
      <c r="E148" s="44">
        <f>Data!IC147/Data!K147</f>
        <v>7.1668917771068024E-3</v>
      </c>
      <c r="F148" s="7">
        <v>0</v>
      </c>
      <c r="G148" s="46">
        <f>Data!IC147/Data!K147</f>
        <v>7.1668917771068024E-3</v>
      </c>
      <c r="H148" s="45">
        <f t="shared" si="12"/>
        <v>0.47774726057895456</v>
      </c>
      <c r="I148" s="63">
        <f t="shared" si="13"/>
        <v>0.33481873186742594</v>
      </c>
      <c r="J148" s="44">
        <f t="shared" si="14"/>
        <v>0.14292852871152859</v>
      </c>
      <c r="K148" s="7"/>
      <c r="L148" s="12"/>
      <c r="M148" s="45">
        <f t="shared" si="15"/>
        <v>0.37419403751954194</v>
      </c>
      <c r="N148" s="58">
        <f>Data!ID147/Data!K147</f>
        <v>0.10436922366522358</v>
      </c>
      <c r="O148" s="7"/>
      <c r="P148" s="61">
        <v>0.01</v>
      </c>
      <c r="Q148" s="44">
        <f t="shared" si="16"/>
        <v>0.26982481385431839</v>
      </c>
      <c r="R148" s="44">
        <f t="shared" si="17"/>
        <v>9.2655358439216448E-2</v>
      </c>
      <c r="S148" s="44">
        <f>(Data!HU147/Data!K147)/0.7</f>
        <v>0.17716945541510196</v>
      </c>
      <c r="T148" s="7"/>
      <c r="U148" s="12"/>
      <c r="V148" s="43">
        <f>Data!HK147/Data!K147</f>
        <v>0.5022106104932258</v>
      </c>
      <c r="W148" s="49">
        <f t="shared" si="18"/>
        <v>0.4244672077918541</v>
      </c>
      <c r="X148" s="44">
        <f>Data!IE147/Data!K147 - 0.3*Y148</f>
        <v>0.24729775237675217</v>
      </c>
      <c r="Y148" s="44">
        <f t="shared" si="19"/>
        <v>0.17716945541510196</v>
      </c>
      <c r="Z148" s="7">
        <f>Data!CT147/Data!K147</f>
        <v>9.0700400219697358E-2</v>
      </c>
      <c r="AA148" s="12">
        <f>(Data!K147-Data!AN147)/Data!K147</f>
        <v>7.3322181714919971E-2</v>
      </c>
      <c r="AB148" s="7"/>
      <c r="AC148" s="7"/>
      <c r="AD148" s="7"/>
      <c r="AE148" s="12"/>
      <c r="AF148" s="5">
        <f t="shared" si="20"/>
        <v>1.0071668917771066</v>
      </c>
      <c r="AG148" s="5">
        <f t="shared" si="21"/>
        <v>0.99999999999999989</v>
      </c>
    </row>
    <row r="149" spans="1:33" x14ac:dyDescent="0.25">
      <c r="A149" s="1" t="s">
        <v>556</v>
      </c>
      <c r="B149">
        <v>1940</v>
      </c>
      <c r="C149" s="45">
        <f t="shared" si="11"/>
        <v>0.10696615491279553</v>
      </c>
      <c r="D149" s="45">
        <f>Data!HI148/Data!K148</f>
        <v>9.8176677144533694E-2</v>
      </c>
      <c r="E149" s="44">
        <f>Data!IC148/Data!K148</f>
        <v>8.7894777682618348E-3</v>
      </c>
      <c r="F149" s="7">
        <v>0</v>
      </c>
      <c r="G149" s="46">
        <f>Data!IC148/Data!K148</f>
        <v>8.7894777682618348E-3</v>
      </c>
      <c r="H149" s="45">
        <f t="shared" si="12"/>
        <v>0.43645382864880317</v>
      </c>
      <c r="I149" s="63">
        <f t="shared" si="13"/>
        <v>0.31213850043057545</v>
      </c>
      <c r="J149" s="44">
        <f t="shared" si="14"/>
        <v>0.12431532821822772</v>
      </c>
      <c r="K149" s="7"/>
      <c r="L149" s="12"/>
      <c r="M149" s="45">
        <f t="shared" si="15"/>
        <v>0.38597390960077516</v>
      </c>
      <c r="N149" s="58">
        <f>Data!ID148/Data!K148</f>
        <v>0.10644739729497321</v>
      </c>
      <c r="O149" s="7"/>
      <c r="P149" s="61">
        <v>0.01</v>
      </c>
      <c r="Q149" s="44">
        <f t="shared" si="16"/>
        <v>0.27952651230580194</v>
      </c>
      <c r="R149" s="44">
        <f t="shared" si="17"/>
        <v>0.10049138043924677</v>
      </c>
      <c r="S149" s="44">
        <f>(Data!HU148/Data!K148)/0.7</f>
        <v>0.1790351318665552</v>
      </c>
      <c r="T149" s="7"/>
      <c r="U149" s="12"/>
      <c r="V149" s="43">
        <f>Data!HK148/Data!K148</f>
        <v>0.51080655801435593</v>
      </c>
      <c r="W149" s="49">
        <f t="shared" si="18"/>
        <v>0.40979785737975616</v>
      </c>
      <c r="X149" s="44">
        <f>Data!IE148/Data!K148 - 0.3*Y149</f>
        <v>0.23076272551320093</v>
      </c>
      <c r="Y149" s="44">
        <f t="shared" si="19"/>
        <v>0.1790351318665552</v>
      </c>
      <c r="Z149" s="7">
        <f>Data!CT148/Data!K148</f>
        <v>0.10418980022002691</v>
      </c>
      <c r="AA149" s="12">
        <f>(Data!K148-Data!AN148)/Data!K148</f>
        <v>7.9395584605888012E-2</v>
      </c>
      <c r="AB149" s="7"/>
      <c r="AC149" s="7"/>
      <c r="AD149" s="7"/>
      <c r="AE149" s="12"/>
      <c r="AF149" s="5">
        <f t="shared" si="20"/>
        <v>1.0087894777682618</v>
      </c>
      <c r="AG149" s="5">
        <f t="shared" si="21"/>
        <v>1.0000000000000002</v>
      </c>
    </row>
    <row r="150" spans="1:33" x14ac:dyDescent="0.25">
      <c r="A150" s="1" t="s">
        <v>556</v>
      </c>
      <c r="B150">
        <v>1941</v>
      </c>
      <c r="C150" s="45">
        <f t="shared" si="11"/>
        <v>0.11655448569433119</v>
      </c>
      <c r="D150" s="45">
        <f>Data!HI149/Data!K149</f>
        <v>0.10726315464372202</v>
      </c>
      <c r="E150" s="44">
        <f>Data!IC149/Data!K149</f>
        <v>9.2913310506091626E-3</v>
      </c>
      <c r="F150" s="7">
        <v>0</v>
      </c>
      <c r="G150" s="46">
        <f>Data!IC149/Data!K149</f>
        <v>9.2913310506091626E-3</v>
      </c>
      <c r="H150" s="45">
        <f t="shared" si="12"/>
        <v>0.439038962088033</v>
      </c>
      <c r="I150" s="63">
        <f t="shared" si="13"/>
        <v>0.30171072889411799</v>
      </c>
      <c r="J150" s="44">
        <f t="shared" si="14"/>
        <v>0.13732823319391502</v>
      </c>
      <c r="K150" s="7"/>
      <c r="L150" s="12"/>
      <c r="M150" s="45">
        <f t="shared" si="15"/>
        <v>0.36641494969053645</v>
      </c>
      <c r="N150" s="58">
        <f>Data!ID149/Data!K149</f>
        <v>0.10014514523552143</v>
      </c>
      <c r="O150" s="7"/>
      <c r="P150" s="61">
        <v>0.01</v>
      </c>
      <c r="Q150" s="44">
        <f t="shared" si="16"/>
        <v>0.26626980445501502</v>
      </c>
      <c r="R150" s="44">
        <f t="shared" si="17"/>
        <v>9.3326314508771005E-2</v>
      </c>
      <c r="S150" s="44">
        <f>(Data!HU149/Data!K149)/0.7</f>
        <v>0.17294348994624401</v>
      </c>
      <c r="T150" s="7"/>
      <c r="U150" s="12"/>
      <c r="V150" s="43">
        <f>Data!HK149/Data!K149</f>
        <v>0.50230019804661097</v>
      </c>
      <c r="W150" s="49">
        <f t="shared" si="18"/>
        <v>0.41041686837568048</v>
      </c>
      <c r="X150" s="44">
        <f>Data!IE149/Data!K149 - 0.3*Y150</f>
        <v>0.23747337842943644</v>
      </c>
      <c r="Y150" s="44">
        <f t="shared" si="19"/>
        <v>0.17294348994624401</v>
      </c>
      <c r="Z150" s="7">
        <f>Data!CT149/Data!K149</f>
        <v>0.10174696808059418</v>
      </c>
      <c r="AA150" s="12">
        <f>(Data!K149-Data!AN149)/Data!K149</f>
        <v>8.7282933577708638E-2</v>
      </c>
      <c r="AB150" s="7"/>
      <c r="AC150" s="7"/>
      <c r="AD150" s="7"/>
      <c r="AE150" s="12"/>
      <c r="AF150" s="5">
        <f t="shared" si="20"/>
        <v>1.0092913310506093</v>
      </c>
      <c r="AG150" s="5">
        <f t="shared" si="21"/>
        <v>1</v>
      </c>
    </row>
    <row r="151" spans="1:33" x14ac:dyDescent="0.25">
      <c r="A151" s="1" t="s">
        <v>556</v>
      </c>
      <c r="B151">
        <v>1942</v>
      </c>
      <c r="C151" s="45">
        <f t="shared" si="11"/>
        <v>0.11899883230569365</v>
      </c>
      <c r="D151" s="45">
        <f>Data!HI150/Data!K150</f>
        <v>0.10912224500646658</v>
      </c>
      <c r="E151" s="44">
        <f>Data!IC150/Data!K150</f>
        <v>9.8765872992270694E-3</v>
      </c>
      <c r="F151" s="7">
        <v>0</v>
      </c>
      <c r="G151" s="46">
        <f>Data!IC150/Data!K150</f>
        <v>9.8765872992270694E-3</v>
      </c>
      <c r="H151" s="45">
        <f t="shared" si="12"/>
        <v>0.43816713216872322</v>
      </c>
      <c r="I151" s="63">
        <f t="shared" si="13"/>
        <v>0.30747079057641424</v>
      </c>
      <c r="J151" s="44">
        <f t="shared" si="14"/>
        <v>0.13069634159230897</v>
      </c>
      <c r="K151" s="7"/>
      <c r="L151" s="12"/>
      <c r="M151" s="45">
        <f t="shared" si="15"/>
        <v>0.36293949949710586</v>
      </c>
      <c r="N151" s="58">
        <f>Data!ID150/Data!K150</f>
        <v>9.2935379848620089E-2</v>
      </c>
      <c r="O151" s="7"/>
      <c r="P151" s="61">
        <v>0.01</v>
      </c>
      <c r="Q151" s="44">
        <f t="shared" si="16"/>
        <v>0.27000411964848575</v>
      </c>
      <c r="R151" s="44">
        <f t="shared" si="17"/>
        <v>9.7496903720505859E-2</v>
      </c>
      <c r="S151" s="44">
        <f>(Data!HU150/Data!K150)/0.7</f>
        <v>0.17250721592797988</v>
      </c>
      <c r="T151" s="7"/>
      <c r="U151" s="12"/>
      <c r="V151" s="43">
        <f>Data!HK150/Data!K150</f>
        <v>0.51408993930338664</v>
      </c>
      <c r="W151" s="49">
        <f t="shared" si="18"/>
        <v>0.39613893736890893</v>
      </c>
      <c r="X151" s="44">
        <f>Data!IE150/Data!K150 - 0.3*Y151</f>
        <v>0.22363172144092908</v>
      </c>
      <c r="Y151" s="44">
        <f t="shared" si="19"/>
        <v>0.17250721592797988</v>
      </c>
      <c r="Z151" s="7">
        <f>Data!CT150/Data!K150</f>
        <v>0.10353022199839557</v>
      </c>
      <c r="AA151" s="12">
        <f>(Data!K150-Data!AN150)/Data!K150</f>
        <v>8.97711233277044E-2</v>
      </c>
      <c r="AB151" s="7"/>
      <c r="AC151" s="7"/>
      <c r="AD151" s="7"/>
      <c r="AE151" s="12"/>
      <c r="AF151" s="5">
        <f t="shared" si="20"/>
        <v>1.009876587299227</v>
      </c>
      <c r="AG151" s="5">
        <f t="shared" si="21"/>
        <v>1</v>
      </c>
    </row>
    <row r="152" spans="1:33" x14ac:dyDescent="0.25">
      <c r="A152" s="1" t="s">
        <v>556</v>
      </c>
      <c r="B152">
        <v>1943</v>
      </c>
      <c r="C152" s="45">
        <f t="shared" si="11"/>
        <v>0.11661391637393304</v>
      </c>
      <c r="D152" s="45">
        <f>Data!HI151/Data!K151</f>
        <v>0.10641342742117126</v>
      </c>
      <c r="E152" s="44">
        <f>Data!IC151/Data!K151</f>
        <v>1.020048895276178E-2</v>
      </c>
      <c r="F152" s="7">
        <v>0</v>
      </c>
      <c r="G152" s="46">
        <f>Data!IC151/Data!K151</f>
        <v>1.020048895276178E-2</v>
      </c>
      <c r="H152" s="45">
        <f t="shared" si="12"/>
        <v>0.45070875961249063</v>
      </c>
      <c r="I152" s="63">
        <f t="shared" si="13"/>
        <v>0.31255493760834557</v>
      </c>
      <c r="J152" s="44">
        <f t="shared" si="14"/>
        <v>0.13815382200414505</v>
      </c>
      <c r="K152" s="7"/>
      <c r="L152" s="12"/>
      <c r="M152" s="45">
        <f t="shared" si="15"/>
        <v>0.34944676040903982</v>
      </c>
      <c r="N152" s="58">
        <f>Data!ID151/Data!K151</f>
        <v>8.8073699037373762E-2</v>
      </c>
      <c r="O152" s="7"/>
      <c r="P152" s="61">
        <v>0.01</v>
      </c>
      <c r="Q152" s="44">
        <f t="shared" si="16"/>
        <v>0.26137306137166605</v>
      </c>
      <c r="R152" s="44">
        <f t="shared" si="17"/>
        <v>9.369259960010759E-2</v>
      </c>
      <c r="S152" s="44">
        <f>(Data!HU151/Data!K151)/0.7</f>
        <v>0.16768046177155843</v>
      </c>
      <c r="T152" s="7"/>
      <c r="U152" s="12"/>
      <c r="V152" s="43">
        <f>Data!HK151/Data!K151</f>
        <v>0.5126609646296244</v>
      </c>
      <c r="W152" s="49">
        <f t="shared" si="18"/>
        <v>0.39390798281307726</v>
      </c>
      <c r="X152" s="44">
        <f>Data!IE151/Data!K151 - 0.3*Y152</f>
        <v>0.22622752104151883</v>
      </c>
      <c r="Y152" s="44">
        <f t="shared" si="19"/>
        <v>0.16768046177155843</v>
      </c>
      <c r="Z152" s="7">
        <f>Data!CT151/Data!K151</f>
        <v>0.10428065764985324</v>
      </c>
      <c r="AA152" s="12">
        <f>(Data!K151-Data!AN151)/Data!K151</f>
        <v>9.3431052557298264E-2</v>
      </c>
      <c r="AB152" s="7"/>
      <c r="AC152" s="7"/>
      <c r="AD152" s="7"/>
      <c r="AE152" s="12"/>
      <c r="AF152" s="5">
        <f t="shared" si="20"/>
        <v>1.0102004889527618</v>
      </c>
      <c r="AG152" s="5">
        <f t="shared" si="21"/>
        <v>1</v>
      </c>
    </row>
    <row r="153" spans="1:33" x14ac:dyDescent="0.25">
      <c r="A153" s="1" t="s">
        <v>556</v>
      </c>
      <c r="B153">
        <v>1944</v>
      </c>
      <c r="C153" s="45">
        <f t="shared" si="11"/>
        <v>0.11142144951499988</v>
      </c>
      <c r="D153" s="45">
        <f>Data!HI152/Data!K152</f>
        <v>0.10097281773652295</v>
      </c>
      <c r="E153" s="44">
        <f>Data!IC152/Data!K152</f>
        <v>1.0448631778476932E-2</v>
      </c>
      <c r="F153" s="7">
        <v>0</v>
      </c>
      <c r="G153" s="46">
        <f>Data!IC152/Data!K152</f>
        <v>1.0448631778476932E-2</v>
      </c>
      <c r="H153" s="45">
        <f t="shared" si="12"/>
        <v>0.4517781985568019</v>
      </c>
      <c r="I153" s="63">
        <f t="shared" si="13"/>
        <v>0.31675206645992338</v>
      </c>
      <c r="J153" s="44">
        <f t="shared" si="14"/>
        <v>0.1350261320968785</v>
      </c>
      <c r="K153" s="7"/>
      <c r="L153" s="12"/>
      <c r="M153" s="45">
        <f t="shared" si="15"/>
        <v>0.35030669173450313</v>
      </c>
      <c r="N153" s="58">
        <f>Data!ID152/Data!K152</f>
        <v>8.8826506971546954E-2</v>
      </c>
      <c r="O153" s="7"/>
      <c r="P153" s="61">
        <v>0.01</v>
      </c>
      <c r="Q153" s="44">
        <f t="shared" si="16"/>
        <v>0.26148018476295615</v>
      </c>
      <c r="R153" s="44">
        <f t="shared" si="17"/>
        <v>9.4409721008984884E-2</v>
      </c>
      <c r="S153" s="44">
        <f>(Data!HU152/Data!K152)/0.7</f>
        <v>0.16707046375397128</v>
      </c>
      <c r="T153" s="7"/>
      <c r="U153" s="12"/>
      <c r="V153" s="43">
        <f>Data!HK152/Data!K152</f>
        <v>0.51213460520543119</v>
      </c>
      <c r="W153" s="49">
        <f t="shared" si="18"/>
        <v>0.39092310282239673</v>
      </c>
      <c r="X153" s="44">
        <f>Data!IE152/Data!K152 - 0.3*Y153</f>
        <v>0.22385263906842545</v>
      </c>
      <c r="Y153" s="44">
        <f t="shared" si="19"/>
        <v>0.16707046375397128</v>
      </c>
      <c r="Z153" s="7">
        <f>Data!CT152/Data!K152</f>
        <v>0.10491899390643959</v>
      </c>
      <c r="AA153" s="12">
        <f>(Data!K152-Data!AN152)/Data!K152</f>
        <v>9.6942291972172231E-2</v>
      </c>
      <c r="AB153" s="7"/>
      <c r="AC153" s="7"/>
      <c r="AD153" s="7"/>
      <c r="AE153" s="12"/>
      <c r="AF153" s="5">
        <f t="shared" si="20"/>
        <v>1.0104486317784771</v>
      </c>
      <c r="AG153" s="5">
        <f t="shared" si="21"/>
        <v>1</v>
      </c>
    </row>
    <row r="154" spans="1:33" x14ac:dyDescent="0.25">
      <c r="A154" s="1" t="s">
        <v>556</v>
      </c>
      <c r="B154">
        <v>1945</v>
      </c>
      <c r="C154" s="45">
        <f t="shared" si="11"/>
        <v>0.10111088700698295</v>
      </c>
      <c r="D154" s="45">
        <f>Data!HI153/Data!K153</f>
        <v>9.0502761111626792E-2</v>
      </c>
      <c r="E154" s="44">
        <f>Data!IC153/Data!K153</f>
        <v>1.0608125895356162E-2</v>
      </c>
      <c r="F154" s="7">
        <v>0</v>
      </c>
      <c r="G154" s="46">
        <f>Data!IC153/Data!K153</f>
        <v>1.0608125895356162E-2</v>
      </c>
      <c r="H154" s="45">
        <f t="shared" si="12"/>
        <v>0.43641658502116498</v>
      </c>
      <c r="I154" s="63">
        <f t="shared" si="13"/>
        <v>0.32961864333715302</v>
      </c>
      <c r="J154" s="44">
        <f t="shared" si="14"/>
        <v>0.10679794168401198</v>
      </c>
      <c r="K154" s="7"/>
      <c r="L154" s="12"/>
      <c r="M154" s="45">
        <f t="shared" si="15"/>
        <v>0.37597810809094467</v>
      </c>
      <c r="N154" s="58">
        <f>Data!ID153/Data!K153</f>
        <v>9.0288565946671437E-2</v>
      </c>
      <c r="O154" s="7"/>
      <c r="P154" s="61">
        <v>0.01</v>
      </c>
      <c r="Q154" s="44">
        <f t="shared" si="16"/>
        <v>0.28568954214427322</v>
      </c>
      <c r="R154" s="44">
        <f t="shared" si="17"/>
        <v>0.10990358436616626</v>
      </c>
      <c r="S154" s="44">
        <f>(Data!HU153/Data!K153)/0.7</f>
        <v>0.17578595777810693</v>
      </c>
      <c r="T154" s="7"/>
      <c r="U154" s="12"/>
      <c r="V154" s="43">
        <f>Data!HK153/Data!K153</f>
        <v>0.53002498881494609</v>
      </c>
      <c r="W154" s="49">
        <f t="shared" si="18"/>
        <v>0.37287246540879038</v>
      </c>
      <c r="X154" s="44">
        <f>Data!IE153/Data!K153 - 0.3*Y154</f>
        <v>0.19708650763068342</v>
      </c>
      <c r="Y154" s="44">
        <f t="shared" si="19"/>
        <v>0.17578595777810693</v>
      </c>
      <c r="Z154" s="7">
        <f>Data!CT153/Data!K153</f>
        <v>0.10591240744311275</v>
      </c>
      <c r="AA154" s="12">
        <f>(Data!K153-Data!AN153)/Data!K153</f>
        <v>9.7102545776263524E-2</v>
      </c>
      <c r="AB154" s="7"/>
      <c r="AC154" s="7"/>
      <c r="AD154" s="7"/>
      <c r="AE154" s="12"/>
      <c r="AF154" s="5">
        <f t="shared" si="20"/>
        <v>1.0106081258953561</v>
      </c>
      <c r="AG154" s="5">
        <f t="shared" si="21"/>
        <v>1</v>
      </c>
    </row>
    <row r="155" spans="1:33" x14ac:dyDescent="0.25">
      <c r="A155" s="1" t="s">
        <v>556</v>
      </c>
      <c r="B155">
        <v>1946</v>
      </c>
      <c r="C155" s="45">
        <f t="shared" si="11"/>
        <v>8.6295917675920444E-2</v>
      </c>
      <c r="D155" s="45">
        <f>Data!HI154/Data!K154</f>
        <v>7.6752607854431984E-2</v>
      </c>
      <c r="E155" s="44">
        <f>Data!IC154/Data!K154</f>
        <v>9.5433098214884621E-3</v>
      </c>
      <c r="F155" s="7">
        <v>0</v>
      </c>
      <c r="G155" s="46">
        <f>Data!IC154/Data!K154</f>
        <v>9.5433098214884621E-3</v>
      </c>
      <c r="H155" s="45">
        <f t="shared" si="12"/>
        <v>0.45736593421896848</v>
      </c>
      <c r="I155" s="63">
        <f t="shared" si="13"/>
        <v>0.33772298920494109</v>
      </c>
      <c r="J155" s="44">
        <f t="shared" si="14"/>
        <v>0.11964294501402738</v>
      </c>
      <c r="K155" s="7"/>
      <c r="L155" s="12"/>
      <c r="M155" s="45">
        <f t="shared" si="15"/>
        <v>0.36169651957346804</v>
      </c>
      <c r="N155" s="58">
        <f>Data!ID154/Data!K154</f>
        <v>8.635258574494413E-2</v>
      </c>
      <c r="O155" s="7"/>
      <c r="P155" s="61">
        <v>0.01</v>
      </c>
      <c r="Q155" s="44">
        <f t="shared" si="16"/>
        <v>0.2753439338285239</v>
      </c>
      <c r="R155" s="44">
        <f t="shared" si="17"/>
        <v>0.10186242068729101</v>
      </c>
      <c r="S155" s="44">
        <f>(Data!HU154/Data!K154)/0.7</f>
        <v>0.17348151314123289</v>
      </c>
      <c r="T155" s="7"/>
      <c r="U155" s="12"/>
      <c r="V155" s="43">
        <f>Data!HK154/Data!K154</f>
        <v>0.5163380177466641</v>
      </c>
      <c r="W155" s="49">
        <f t="shared" si="18"/>
        <v>0.37947704390020442</v>
      </c>
      <c r="X155" s="44">
        <f>Data!IE154/Data!K154 - 0.3*Y155</f>
        <v>0.20599553075897151</v>
      </c>
      <c r="Y155" s="44">
        <f t="shared" si="19"/>
        <v>0.17348151314123289</v>
      </c>
      <c r="Z155" s="7">
        <f>Data!CT154/Data!K154</f>
        <v>9.9129050696594959E-2</v>
      </c>
      <c r="AA155" s="12">
        <f>(Data!K154-Data!AN154)/Data!K154</f>
        <v>0.10418493835313138</v>
      </c>
      <c r="AB155" s="7"/>
      <c r="AC155" s="7"/>
      <c r="AD155" s="7"/>
      <c r="AE155" s="12"/>
      <c r="AF155" s="5">
        <f t="shared" si="20"/>
        <v>1.0095433098214883</v>
      </c>
      <c r="AG155" s="5">
        <f t="shared" si="21"/>
        <v>0.99999999999999978</v>
      </c>
    </row>
    <row r="156" spans="1:33" x14ac:dyDescent="0.25">
      <c r="A156" s="1" t="s">
        <v>556</v>
      </c>
      <c r="B156">
        <v>1947</v>
      </c>
      <c r="C156" s="45">
        <f t="shared" si="11"/>
        <v>8.9448908577129893E-2</v>
      </c>
      <c r="D156" s="45">
        <f>Data!HI155/Data!K155</f>
        <v>8.0210906395279752E-2</v>
      </c>
      <c r="E156" s="44">
        <f>Data!IC155/Data!K155</f>
        <v>9.2380021818501482E-3</v>
      </c>
      <c r="F156" s="7">
        <v>0</v>
      </c>
      <c r="G156" s="46">
        <f>Data!IC155/Data!K155</f>
        <v>9.2380021818501482E-3</v>
      </c>
      <c r="H156" s="45">
        <f t="shared" si="12"/>
        <v>0.46972870960171759</v>
      </c>
      <c r="I156" s="63">
        <f t="shared" si="13"/>
        <v>0.34556575963662628</v>
      </c>
      <c r="J156" s="44">
        <f t="shared" si="14"/>
        <v>0.12416294996509132</v>
      </c>
      <c r="K156" s="7"/>
      <c r="L156" s="12"/>
      <c r="M156" s="45">
        <f t="shared" si="15"/>
        <v>0.35920824663981277</v>
      </c>
      <c r="N156" s="58">
        <f>Data!ID155/Data!K155</f>
        <v>8.311120391348277E-2</v>
      </c>
      <c r="O156" s="7"/>
      <c r="P156" s="61">
        <v>0.01</v>
      </c>
      <c r="Q156" s="44">
        <f t="shared" si="16"/>
        <v>0.27609704272633001</v>
      </c>
      <c r="R156" s="44">
        <f t="shared" si="17"/>
        <v>0.10265536817336555</v>
      </c>
      <c r="S156" s="44">
        <f>(Data!HU155/Data!K155)/0.7</f>
        <v>0.17344167455296444</v>
      </c>
      <c r="T156" s="7"/>
      <c r="U156" s="12"/>
      <c r="V156" s="43">
        <f>Data!HK155/Data!K155</f>
        <v>0.52843203420527163</v>
      </c>
      <c r="W156" s="49">
        <f t="shared" si="18"/>
        <v>0.38071582843153851</v>
      </c>
      <c r="X156" s="44">
        <f>Data!IE155/Data!K155 - 0.3*Y156</f>
        <v>0.20727415387857409</v>
      </c>
      <c r="Y156" s="44">
        <f t="shared" si="19"/>
        <v>0.17344167455296444</v>
      </c>
      <c r="Z156" s="7">
        <f>Data!CT155/Data!K155</f>
        <v>9.8239545126265898E-2</v>
      </c>
      <c r="AA156" s="12">
        <f>(Data!K155-Data!AN155)/Data!K155</f>
        <v>9.0852137363189783E-2</v>
      </c>
      <c r="AB156" s="7"/>
      <c r="AC156" s="7"/>
      <c r="AD156" s="7"/>
      <c r="AE156" s="12"/>
      <c r="AF156" s="5">
        <f t="shared" si="20"/>
        <v>1.0092380021818501</v>
      </c>
      <c r="AG156" s="5">
        <f t="shared" si="21"/>
        <v>0.99999999999999989</v>
      </c>
    </row>
    <row r="157" spans="1:33" x14ac:dyDescent="0.25">
      <c r="A157" s="1" t="s">
        <v>556</v>
      </c>
      <c r="B157">
        <v>1948</v>
      </c>
      <c r="C157" s="45">
        <f t="shared" si="11"/>
        <v>9.2611978705664705E-2</v>
      </c>
      <c r="D157" s="45">
        <f>Data!HI156/Data!K156</f>
        <v>8.3660722305891153E-2</v>
      </c>
      <c r="E157" s="44">
        <f>Data!IC156/Data!K156</f>
        <v>8.951256399773547E-3</v>
      </c>
      <c r="F157" s="7">
        <v>0</v>
      </c>
      <c r="G157" s="46">
        <f>Data!IC156/Data!K156</f>
        <v>8.951256399773547E-3</v>
      </c>
      <c r="H157" s="45">
        <f t="shared" si="12"/>
        <v>0.47319836213809091</v>
      </c>
      <c r="I157" s="63">
        <f t="shared" si="13"/>
        <v>0.35419563833737677</v>
      </c>
      <c r="J157" s="44">
        <f t="shared" si="14"/>
        <v>0.11900272380071412</v>
      </c>
      <c r="K157" s="7"/>
      <c r="L157" s="12"/>
      <c r="M157" s="45">
        <f t="shared" si="15"/>
        <v>0.35325260036067097</v>
      </c>
      <c r="N157" s="58">
        <f>Data!ID156/Data!K156</f>
        <v>8.0046934928332716E-2</v>
      </c>
      <c r="O157" s="7"/>
      <c r="P157" s="61">
        <v>0.01</v>
      </c>
      <c r="Q157" s="44">
        <f t="shared" si="16"/>
        <v>0.27320566543233826</v>
      </c>
      <c r="R157" s="44">
        <f t="shared" si="17"/>
        <v>0.10591454207812491</v>
      </c>
      <c r="S157" s="44">
        <f>(Data!HU156/Data!K156)/0.7</f>
        <v>0.16729112335421334</v>
      </c>
      <c r="T157" s="7"/>
      <c r="U157" s="12"/>
      <c r="V157" s="43">
        <f>Data!HK156/Data!K156</f>
        <v>0.54377090272139283</v>
      </c>
      <c r="W157" s="49">
        <f t="shared" si="18"/>
        <v>0.36634078208326015</v>
      </c>
      <c r="X157" s="44">
        <f>Data!IE156/Data!K156 - 0.3*Y157</f>
        <v>0.19904965872904684</v>
      </c>
      <c r="Y157" s="44">
        <f t="shared" si="19"/>
        <v>0.16729112335421334</v>
      </c>
      <c r="Z157" s="7">
        <f>Data!CT156/Data!K156</f>
        <v>9.8024973141962818E-2</v>
      </c>
      <c r="AA157" s="12">
        <f>(Data!K156-Data!AN156)/Data!K156</f>
        <v>8.9888315195346735E-2</v>
      </c>
      <c r="AB157" s="7"/>
      <c r="AC157" s="7"/>
      <c r="AD157" s="7"/>
      <c r="AE157" s="12"/>
      <c r="AF157" s="5">
        <f t="shared" si="20"/>
        <v>1.0089512563997733</v>
      </c>
      <c r="AG157" s="5">
        <f t="shared" si="21"/>
        <v>0.99999999999999978</v>
      </c>
    </row>
    <row r="158" spans="1:33" x14ac:dyDescent="0.25">
      <c r="A158" s="1" t="s">
        <v>556</v>
      </c>
      <c r="B158">
        <v>1949</v>
      </c>
      <c r="C158" s="45">
        <f t="shared" si="11"/>
        <v>9.2890324188011714E-2</v>
      </c>
      <c r="D158" s="45">
        <f>Data!HI157/Data!K157</f>
        <v>8.398683730402523E-2</v>
      </c>
      <c r="E158" s="44">
        <f>Data!IC157/Data!K157</f>
        <v>8.9034868839864816E-3</v>
      </c>
      <c r="F158" s="7">
        <v>0</v>
      </c>
      <c r="G158" s="46">
        <f>Data!IC157/Data!K157</f>
        <v>8.9034868839864816E-3</v>
      </c>
      <c r="H158" s="45">
        <f t="shared" si="12"/>
        <v>0.4477813253449302</v>
      </c>
      <c r="I158" s="63">
        <f t="shared" si="13"/>
        <v>0.34947823776728371</v>
      </c>
      <c r="J158" s="44">
        <f t="shared" si="14"/>
        <v>9.8303087577646497E-2</v>
      </c>
      <c r="K158" s="7"/>
      <c r="L158" s="12"/>
      <c r="M158" s="45">
        <f t="shared" si="15"/>
        <v>0.37958413953777426</v>
      </c>
      <c r="N158" s="58">
        <f>Data!ID157/Data!K157</f>
        <v>8.3086725059530298E-2</v>
      </c>
      <c r="O158" s="7"/>
      <c r="P158" s="61">
        <v>0.01</v>
      </c>
      <c r="Q158" s="44">
        <f t="shared" si="16"/>
        <v>0.29649741447824396</v>
      </c>
      <c r="R158" s="44">
        <f t="shared" si="17"/>
        <v>0.11852776747975094</v>
      </c>
      <c r="S158" s="44">
        <f>(Data!HU157/Data!K157)/0.7</f>
        <v>0.17796964699849302</v>
      </c>
      <c r="T158" s="7"/>
      <c r="U158" s="12"/>
      <c r="V158" s="43">
        <f>Data!HK157/Data!K157</f>
        <v>0.55199284255105985</v>
      </c>
      <c r="W158" s="49">
        <f t="shared" si="18"/>
        <v>0.35935945963566984</v>
      </c>
      <c r="X158" s="44">
        <f>Data!IE157/Data!K157 - 0.3*Y158</f>
        <v>0.18138981263717679</v>
      </c>
      <c r="Y158" s="44">
        <f t="shared" si="19"/>
        <v>0.17796964699849302</v>
      </c>
      <c r="Z158" s="7">
        <f>Data!CT157/Data!K157</f>
        <v>0.10108942996750395</v>
      </c>
      <c r="AA158" s="12">
        <f>(Data!K157-Data!AN157)/Data!K157</f>
        <v>8.8647697813270337E-2</v>
      </c>
      <c r="AB158" s="7"/>
      <c r="AC158" s="7"/>
      <c r="AD158" s="7"/>
      <c r="AE158" s="12"/>
      <c r="AF158" s="5">
        <f t="shared" si="20"/>
        <v>1.0089034868839866</v>
      </c>
      <c r="AG158" s="5">
        <f t="shared" si="21"/>
        <v>1</v>
      </c>
    </row>
    <row r="159" spans="1:33" x14ac:dyDescent="0.25">
      <c r="A159" s="1" t="s">
        <v>556</v>
      </c>
      <c r="B159">
        <v>1950</v>
      </c>
      <c r="C159" s="45">
        <f t="shared" si="11"/>
        <v>8.8813426582400226E-2</v>
      </c>
      <c r="D159" s="45">
        <f>Data!HI158/Data!K158</f>
        <v>8.0155773288413973E-2</v>
      </c>
      <c r="E159" s="44">
        <f>Data!IC158/Data!K158</f>
        <v>8.6576532939862567E-3</v>
      </c>
      <c r="F159" s="7">
        <v>0</v>
      </c>
      <c r="G159" s="46">
        <f>Data!IC158/Data!K158</f>
        <v>8.6576532939862567E-3</v>
      </c>
      <c r="H159" s="45">
        <f t="shared" si="12"/>
        <v>0.48679793303026692</v>
      </c>
      <c r="I159" s="63">
        <f t="shared" si="13"/>
        <v>0.34867380787765723</v>
      </c>
      <c r="J159" s="44">
        <f t="shared" si="14"/>
        <v>0.13812412515260969</v>
      </c>
      <c r="K159" s="7"/>
      <c r="L159" s="12"/>
      <c r="M159" s="45">
        <f t="shared" si="15"/>
        <v>0.34612535326998206</v>
      </c>
      <c r="N159" s="58">
        <f>Data!ID158/Data!K158</f>
        <v>8.0116388100588687E-2</v>
      </c>
      <c r="O159" s="7"/>
      <c r="P159" s="61">
        <v>0.01</v>
      </c>
      <c r="Q159" s="44">
        <f t="shared" si="16"/>
        <v>0.26600896516939337</v>
      </c>
      <c r="R159" s="44">
        <f t="shared" si="17"/>
        <v>9.648816674432982E-2</v>
      </c>
      <c r="S159" s="44">
        <f>(Data!HU158/Data!K158)/0.7</f>
        <v>0.16952079842506357</v>
      </c>
      <c r="T159" s="7"/>
      <c r="U159" s="12"/>
      <c r="V159" s="43">
        <f>Data!HK158/Data!K158</f>
        <v>0.52531774791040098</v>
      </c>
      <c r="W159" s="49">
        <f t="shared" si="18"/>
        <v>0.38776131167826194</v>
      </c>
      <c r="X159" s="44">
        <f>Data!IE158/Data!K158 - 0.3*Y159</f>
        <v>0.21824051325319838</v>
      </c>
      <c r="Y159" s="44">
        <f t="shared" si="19"/>
        <v>0.16952079842506357</v>
      </c>
      <c r="Z159" s="7">
        <f>Data!CT158/Data!K158</f>
        <v>9.972876617193617E-2</v>
      </c>
      <c r="AA159" s="12">
        <f>(Data!K158-Data!AN158)/Data!K158</f>
        <v>8.6920940411336897E-2</v>
      </c>
      <c r="AB159" s="7"/>
      <c r="AC159" s="7"/>
      <c r="AD159" s="7"/>
      <c r="AE159" s="12"/>
      <c r="AF159" s="5">
        <f t="shared" si="20"/>
        <v>1.0086576532939859</v>
      </c>
      <c r="AG159" s="5">
        <f t="shared" si="21"/>
        <v>0.99999999999999978</v>
      </c>
    </row>
    <row r="160" spans="1:33" x14ac:dyDescent="0.25">
      <c r="A160" s="1" t="s">
        <v>556</v>
      </c>
      <c r="B160">
        <v>1951</v>
      </c>
      <c r="C160" s="45">
        <f t="shared" si="11"/>
        <v>8.7632469915539718E-2</v>
      </c>
      <c r="D160" s="45">
        <f>Data!HI159/Data!K159</f>
        <v>7.8718129841795437E-2</v>
      </c>
      <c r="E160" s="44">
        <f>Data!IC159/Data!K159</f>
        <v>8.9143400737442743E-3</v>
      </c>
      <c r="F160" s="7">
        <v>0</v>
      </c>
      <c r="G160" s="46">
        <f>Data!IC159/Data!K159</f>
        <v>8.9143400737442743E-3</v>
      </c>
      <c r="H160" s="45">
        <f t="shared" si="12"/>
        <v>0.54438710926931078</v>
      </c>
      <c r="I160" s="63">
        <f t="shared" si="13"/>
        <v>0.35724087874688365</v>
      </c>
      <c r="J160" s="44">
        <f t="shared" si="14"/>
        <v>0.18714623052242715</v>
      </c>
      <c r="K160" s="7"/>
      <c r="L160" s="12"/>
      <c r="M160" s="45">
        <f t="shared" si="15"/>
        <v>0.2944577618710475</v>
      </c>
      <c r="N160" s="58">
        <f>Data!ID159/Data!K159</f>
        <v>6.4960005688916272E-2</v>
      </c>
      <c r="O160" s="7"/>
      <c r="P160" s="61">
        <v>0.01</v>
      </c>
      <c r="Q160" s="44">
        <f t="shared" si="16"/>
        <v>0.22949775618213122</v>
      </c>
      <c r="R160" s="44">
        <f t="shared" si="17"/>
        <v>7.6797472617956802E-2</v>
      </c>
      <c r="S160" s="44">
        <f>(Data!HU159/Data!K159)/0.7</f>
        <v>0.15270028356417442</v>
      </c>
      <c r="T160" s="7"/>
      <c r="U160" s="12"/>
      <c r="V160" s="43">
        <f>Data!HK159/Data!K159</f>
        <v>0.51275648120663586</v>
      </c>
      <c r="W160" s="49">
        <f t="shared" si="18"/>
        <v>0.40480651977551785</v>
      </c>
      <c r="X160" s="44">
        <f>Data!IE159/Data!K159 - 0.3*Y160</f>
        <v>0.25210623621134343</v>
      </c>
      <c r="Y160" s="44">
        <f t="shared" si="19"/>
        <v>0.15270028356417442</v>
      </c>
      <c r="Z160" s="7">
        <f>Data!CT159/Data!K159</f>
        <v>0.10404845652539894</v>
      </c>
      <c r="AA160" s="12">
        <f>(Data!K159-Data!AN159)/Data!K159</f>
        <v>8.2436999017846291E-2</v>
      </c>
      <c r="AB160" s="7"/>
      <c r="AC160" s="7"/>
      <c r="AD160" s="7"/>
      <c r="AE160" s="12"/>
      <c r="AF160" s="5">
        <f t="shared" si="20"/>
        <v>1.0089143400737441</v>
      </c>
      <c r="AG160" s="5">
        <f t="shared" si="21"/>
        <v>1</v>
      </c>
    </row>
    <row r="161" spans="1:33" x14ac:dyDescent="0.25">
      <c r="A161" s="1" t="s">
        <v>556</v>
      </c>
      <c r="B161">
        <v>1952</v>
      </c>
      <c r="C161" s="45">
        <f t="shared" si="11"/>
        <v>9.9133767128893921E-2</v>
      </c>
      <c r="D161" s="45">
        <f>Data!HI160/Data!K160</f>
        <v>8.9437980111077869E-2</v>
      </c>
      <c r="E161" s="44">
        <f>Data!IC160/Data!K160</f>
        <v>9.695787017816055E-3</v>
      </c>
      <c r="F161" s="7">
        <v>0</v>
      </c>
      <c r="G161" s="46">
        <f>Data!IC160/Data!K160</f>
        <v>9.695787017816055E-3</v>
      </c>
      <c r="H161" s="45">
        <f t="shared" si="12"/>
        <v>0.52033743607782612</v>
      </c>
      <c r="I161" s="63">
        <f t="shared" si="13"/>
        <v>0.36902983905627973</v>
      </c>
      <c r="J161" s="44">
        <f t="shared" si="14"/>
        <v>0.15130759702154639</v>
      </c>
      <c r="K161" s="7"/>
      <c r="L161" s="12"/>
      <c r="M161" s="45">
        <f t="shared" si="15"/>
        <v>0.32712973268202428</v>
      </c>
      <c r="N161" s="58">
        <f>Data!ID160/Data!K160</f>
        <v>6.4325943325314952E-2</v>
      </c>
      <c r="O161" s="7"/>
      <c r="P161" s="61">
        <v>0.01</v>
      </c>
      <c r="Q161" s="44">
        <f t="shared" si="16"/>
        <v>0.26280378935670934</v>
      </c>
      <c r="R161" s="44">
        <f t="shared" si="17"/>
        <v>9.6827918818857384E-2</v>
      </c>
      <c r="S161" s="44">
        <f>(Data!HU160/Data!K160)/0.7</f>
        <v>0.16597587053785195</v>
      </c>
      <c r="T161" s="7"/>
      <c r="U161" s="12"/>
      <c r="V161" s="43">
        <f>Data!HK160/Data!K160</f>
        <v>0.55529573798621501</v>
      </c>
      <c r="W161" s="49">
        <f t="shared" si="18"/>
        <v>0.38160941088471334</v>
      </c>
      <c r="X161" s="44">
        <f>Data!IE160/Data!K160 - 0.3*Y161</f>
        <v>0.21563354034686136</v>
      </c>
      <c r="Y161" s="44">
        <f t="shared" si="19"/>
        <v>0.16597587053785195</v>
      </c>
      <c r="Z161" s="7">
        <f>Data!CT160/Data!K160</f>
        <v>0.11386512575135492</v>
      </c>
      <c r="AA161" s="12">
        <f>(Data!K160-Data!AN160)/Data!K160</f>
        <v>6.3094851129071816E-2</v>
      </c>
      <c r="AB161" s="7"/>
      <c r="AC161" s="7"/>
      <c r="AD161" s="7"/>
      <c r="AE161" s="12"/>
      <c r="AF161" s="5">
        <f t="shared" si="20"/>
        <v>1.009695787017816</v>
      </c>
      <c r="AG161" s="5">
        <f t="shared" si="21"/>
        <v>1.0000000000000002</v>
      </c>
    </row>
    <row r="162" spans="1:33" x14ac:dyDescent="0.25">
      <c r="A162" s="1" t="s">
        <v>556</v>
      </c>
      <c r="B162">
        <v>1953</v>
      </c>
      <c r="C162" s="45">
        <f t="shared" si="11"/>
        <v>0.10237758297804508</v>
      </c>
      <c r="D162" s="45">
        <f>Data!HI161/Data!K161</f>
        <v>9.2350319573779913E-2</v>
      </c>
      <c r="E162" s="44">
        <f>Data!IC161/Data!K161</f>
        <v>1.0027263404265175E-2</v>
      </c>
      <c r="F162" s="7">
        <v>0</v>
      </c>
      <c r="G162" s="46">
        <f>Data!IC161/Data!K161</f>
        <v>1.0027263404265175E-2</v>
      </c>
      <c r="H162" s="45">
        <f t="shared" si="12"/>
        <v>0.48142174198058357</v>
      </c>
      <c r="I162" s="63">
        <f t="shared" si="13"/>
        <v>0.35797356998259544</v>
      </c>
      <c r="J162" s="44">
        <f t="shared" si="14"/>
        <v>0.12344817199798815</v>
      </c>
      <c r="K162" s="7"/>
      <c r="L162" s="12"/>
      <c r="M162" s="45">
        <f t="shared" si="15"/>
        <v>0.34159855106016579</v>
      </c>
      <c r="N162" s="58">
        <f>Data!ID161/Data!K161</f>
        <v>6.9613621339570539E-2</v>
      </c>
      <c r="O162" s="7"/>
      <c r="P162" s="61">
        <v>0.01</v>
      </c>
      <c r="Q162" s="44">
        <f t="shared" si="16"/>
        <v>0.27198492972059524</v>
      </c>
      <c r="R162" s="44">
        <f t="shared" si="17"/>
        <v>0.10632091117552134</v>
      </c>
      <c r="S162" s="44">
        <f>(Data!HU161/Data!K161)/0.7</f>
        <v>0.1656640185450739</v>
      </c>
      <c r="T162" s="7"/>
      <c r="U162" s="12"/>
      <c r="V162" s="43">
        <f>Data!HK161/Data!K161</f>
        <v>0.55664480073189671</v>
      </c>
      <c r="W162" s="49">
        <f t="shared" si="18"/>
        <v>0.35872581188263258</v>
      </c>
      <c r="X162" s="44">
        <f>Data!IE161/Data!K161 - 0.3*Y162</f>
        <v>0.19306179333755868</v>
      </c>
      <c r="Y162" s="44">
        <f t="shared" si="19"/>
        <v>0.1656640185450739</v>
      </c>
      <c r="Z162" s="7">
        <f>Data!CT161/Data!K161</f>
        <v>0.11440363375659562</v>
      </c>
      <c r="AA162" s="12">
        <f>(Data!K161-Data!AN161)/Data!K161</f>
        <v>8.4629387385470739E-2</v>
      </c>
      <c r="AB162" s="7"/>
      <c r="AC162" s="7"/>
      <c r="AD162" s="7"/>
      <c r="AE162" s="12"/>
      <c r="AF162" s="5">
        <f t="shared" si="20"/>
        <v>1.0100272634042651</v>
      </c>
      <c r="AG162" s="5">
        <f t="shared" si="21"/>
        <v>1</v>
      </c>
    </row>
    <row r="163" spans="1:33" x14ac:dyDescent="0.25">
      <c r="A163" s="1" t="s">
        <v>556</v>
      </c>
      <c r="B163">
        <v>1954</v>
      </c>
      <c r="C163" s="45">
        <f t="shared" si="11"/>
        <v>0.10038869582525742</v>
      </c>
      <c r="D163" s="45">
        <f>Data!HI162/Data!K162</f>
        <v>9.0363351751886214E-2</v>
      </c>
      <c r="E163" s="44">
        <f>Data!IC162/Data!K162</f>
        <v>1.002534407337121E-2</v>
      </c>
      <c r="F163" s="7">
        <v>0</v>
      </c>
      <c r="G163" s="46">
        <f>Data!IC162/Data!K162</f>
        <v>1.002534407337121E-2</v>
      </c>
      <c r="H163" s="45">
        <f t="shared" si="12"/>
        <v>0.48796642018781006</v>
      </c>
      <c r="I163" s="63">
        <f t="shared" si="13"/>
        <v>0.36064973811371731</v>
      </c>
      <c r="J163" s="44">
        <f t="shared" si="14"/>
        <v>0.12731668207409275</v>
      </c>
      <c r="K163" s="7"/>
      <c r="L163" s="12"/>
      <c r="M163" s="45">
        <f t="shared" si="15"/>
        <v>0.33428288115426807</v>
      </c>
      <c r="N163" s="58">
        <f>Data!ID162/Data!K162</f>
        <v>7.144265136803539E-2</v>
      </c>
      <c r="O163" s="7"/>
      <c r="P163" s="61">
        <v>0.01</v>
      </c>
      <c r="Q163" s="44">
        <f t="shared" si="16"/>
        <v>0.26284022978623267</v>
      </c>
      <c r="R163" s="44">
        <f t="shared" si="17"/>
        <v>0.10281214092094448</v>
      </c>
      <c r="S163" s="44">
        <f>(Data!HU162/Data!K162)/0.7</f>
        <v>0.16002808886528819</v>
      </c>
      <c r="T163" s="7"/>
      <c r="U163" s="12"/>
      <c r="V163" s="43">
        <f>Data!HK162/Data!K162</f>
        <v>0.553825230786548</v>
      </c>
      <c r="W163" s="49">
        <f t="shared" si="18"/>
        <v>0.35878742230741634</v>
      </c>
      <c r="X163" s="44">
        <f>Data!IE162/Data!K162 - 0.3*Y163</f>
        <v>0.19875933344212812</v>
      </c>
      <c r="Y163" s="44">
        <f t="shared" si="19"/>
        <v>0.16002808886528819</v>
      </c>
      <c r="Z163" s="7">
        <f>Data!CT162/Data!K162</f>
        <v>0.10969389437791853</v>
      </c>
      <c r="AA163" s="12">
        <f>(Data!K162-Data!AN162)/Data!K162</f>
        <v>8.7387346906035737E-2</v>
      </c>
      <c r="AB163" s="7"/>
      <c r="AC163" s="7"/>
      <c r="AD163" s="7"/>
      <c r="AE163" s="12"/>
      <c r="AF163" s="5">
        <f t="shared" si="20"/>
        <v>1.0100253440733713</v>
      </c>
      <c r="AG163" s="5">
        <f t="shared" si="21"/>
        <v>1</v>
      </c>
    </row>
    <row r="164" spans="1:33" x14ac:dyDescent="0.25">
      <c r="A164" s="1" t="s">
        <v>556</v>
      </c>
      <c r="B164">
        <v>1955</v>
      </c>
      <c r="C164" s="45">
        <f t="shared" si="11"/>
        <v>0.10302480376067588</v>
      </c>
      <c r="D164" s="45">
        <f>Data!HI163/Data!K163</f>
        <v>9.2692669770047309E-2</v>
      </c>
      <c r="E164" s="44">
        <f>Data!IC163/Data!K163</f>
        <v>1.0332133990628571E-2</v>
      </c>
      <c r="F164" s="7">
        <v>0</v>
      </c>
      <c r="G164" s="46">
        <f>Data!IC163/Data!K163</f>
        <v>1.0332133990628571E-2</v>
      </c>
      <c r="H164" s="45">
        <f t="shared" si="12"/>
        <v>0.46922467859470046</v>
      </c>
      <c r="I164" s="63">
        <f t="shared" si="13"/>
        <v>0.36017678377786327</v>
      </c>
      <c r="J164" s="44">
        <f t="shared" si="14"/>
        <v>0.1090478948168372</v>
      </c>
      <c r="K164" s="7"/>
      <c r="L164" s="12"/>
      <c r="M164" s="45">
        <f t="shared" si="15"/>
        <v>0.34557540860254099</v>
      </c>
      <c r="N164" s="58">
        <f>Data!ID163/Data!K163</f>
        <v>7.1778310430240397E-2</v>
      </c>
      <c r="O164" s="7"/>
      <c r="P164" s="61">
        <v>0.01</v>
      </c>
      <c r="Q164" s="44">
        <f t="shared" si="16"/>
        <v>0.27379709817230058</v>
      </c>
      <c r="R164" s="44">
        <f t="shared" si="17"/>
        <v>0.11244419297727744</v>
      </c>
      <c r="S164" s="44">
        <f>(Data!HU163/Data!K163)/0.7</f>
        <v>0.16135290519502316</v>
      </c>
      <c r="T164" s="7"/>
      <c r="U164" s="12"/>
      <c r="V164" s="43">
        <f>Data!HK163/Data!K163</f>
        <v>0.56531364652518801</v>
      </c>
      <c r="W164" s="49">
        <f t="shared" si="18"/>
        <v>0.34217911044210075</v>
      </c>
      <c r="X164" s="44">
        <f>Data!IE163/Data!K163 - 0.3*Y164</f>
        <v>0.1808262052470776</v>
      </c>
      <c r="Y164" s="44">
        <f t="shared" si="19"/>
        <v>0.16135290519502316</v>
      </c>
      <c r="Z164" s="7">
        <f>Data!CT163/Data!K163</f>
        <v>0.11085974496040187</v>
      </c>
      <c r="AA164" s="12">
        <f>(Data!K163-Data!AN163)/Data!K163</f>
        <v>9.2507243032711461E-2</v>
      </c>
      <c r="AB164" s="7"/>
      <c r="AC164" s="7"/>
      <c r="AD164" s="7"/>
      <c r="AE164" s="12"/>
      <c r="AF164" s="5">
        <f t="shared" si="20"/>
        <v>1.0103321339906288</v>
      </c>
      <c r="AG164" s="5">
        <f t="shared" si="21"/>
        <v>1.0000000000000002</v>
      </c>
    </row>
    <row r="165" spans="1:33" x14ac:dyDescent="0.25">
      <c r="A165" s="1" t="s">
        <v>556</v>
      </c>
      <c r="B165">
        <v>1956</v>
      </c>
      <c r="C165" s="45">
        <f t="shared" si="11"/>
        <v>0.10311155613634319</v>
      </c>
      <c r="D165" s="45">
        <f>Data!HI164/Data!K164</f>
        <v>9.2545992733234342E-2</v>
      </c>
      <c r="E165" s="44">
        <f>Data!IC164/Data!K164</f>
        <v>1.0565563403108857E-2</v>
      </c>
      <c r="F165" s="7">
        <v>0</v>
      </c>
      <c r="G165" s="46">
        <f>Data!IC164/Data!K164</f>
        <v>1.0565563403108857E-2</v>
      </c>
      <c r="H165" s="45">
        <f t="shared" si="12"/>
        <v>0.48412788728741035</v>
      </c>
      <c r="I165" s="63">
        <f t="shared" si="13"/>
        <v>0.36311318777629742</v>
      </c>
      <c r="J165" s="44">
        <f t="shared" si="14"/>
        <v>0.12101469951111293</v>
      </c>
      <c r="K165" s="7"/>
      <c r="L165" s="12"/>
      <c r="M165" s="45">
        <f t="shared" si="15"/>
        <v>0.33728013219259362</v>
      </c>
      <c r="N165" s="58">
        <f>Data!ID164/Data!K164</f>
        <v>7.5890201862435613E-2</v>
      </c>
      <c r="O165" s="7"/>
      <c r="P165" s="61">
        <v>0.01</v>
      </c>
      <c r="Q165" s="44">
        <f t="shared" si="16"/>
        <v>0.261389930330158</v>
      </c>
      <c r="R165" s="44">
        <f t="shared" si="17"/>
        <v>0.10532469680886462</v>
      </c>
      <c r="S165" s="44">
        <f>(Data!HU164/Data!K164)/0.7</f>
        <v>0.15606523352129337</v>
      </c>
      <c r="T165" s="7"/>
      <c r="U165" s="12"/>
      <c r="V165" s="43">
        <f>Data!HK164/Data!K164</f>
        <v>0.56098387731839638</v>
      </c>
      <c r="W165" s="49">
        <f t="shared" si="18"/>
        <v>0.35297013489484191</v>
      </c>
      <c r="X165" s="44">
        <f>Data!IE164/Data!K164 - 0.3*Y165</f>
        <v>0.19690490137354855</v>
      </c>
      <c r="Y165" s="44">
        <f t="shared" si="19"/>
        <v>0.15606523352129337</v>
      </c>
      <c r="Z165" s="7">
        <f>Data!CT164/Data!K164</f>
        <v>0.11286793031502933</v>
      </c>
      <c r="AA165" s="12">
        <f>(Data!K164-Data!AN164)/Data!K164</f>
        <v>8.6045987786761563E-2</v>
      </c>
      <c r="AB165" s="7"/>
      <c r="AC165" s="7"/>
      <c r="AD165" s="7"/>
      <c r="AE165" s="12"/>
      <c r="AF165" s="5">
        <f t="shared" si="20"/>
        <v>1.0105655634031088</v>
      </c>
      <c r="AG165" s="5">
        <f t="shared" si="21"/>
        <v>0.99999999999999978</v>
      </c>
    </row>
    <row r="166" spans="1:33" x14ac:dyDescent="0.25">
      <c r="A166" s="1" t="s">
        <v>556</v>
      </c>
      <c r="B166">
        <v>1957</v>
      </c>
      <c r="C166" s="45">
        <f t="shared" si="11"/>
        <v>0.10850196117023514</v>
      </c>
      <c r="D166" s="45">
        <f>Data!HI165/Data!K165</f>
        <v>9.7442399370676613E-2</v>
      </c>
      <c r="E166" s="44">
        <f>Data!IC165/Data!K165</f>
        <v>1.1059561799558531E-2</v>
      </c>
      <c r="F166" s="7">
        <v>0</v>
      </c>
      <c r="G166" s="46">
        <f>Data!IC165/Data!K165</f>
        <v>1.1059561799558531E-2</v>
      </c>
      <c r="H166" s="45">
        <f t="shared" si="12"/>
        <v>0.47886277194601323</v>
      </c>
      <c r="I166" s="63">
        <f t="shared" si="13"/>
        <v>0.36119965563312201</v>
      </c>
      <c r="J166" s="44">
        <f t="shared" si="14"/>
        <v>0.11766311631289121</v>
      </c>
      <c r="K166" s="7"/>
      <c r="L166" s="12"/>
      <c r="M166" s="45">
        <f t="shared" si="15"/>
        <v>0.3409786037357096</v>
      </c>
      <c r="N166" s="58">
        <f>Data!ID165/Data!K165</f>
        <v>7.5920882493569E-2</v>
      </c>
      <c r="O166" s="7"/>
      <c r="P166" s="61">
        <v>0.01</v>
      </c>
      <c r="Q166" s="44">
        <f t="shared" si="16"/>
        <v>0.26505772124214061</v>
      </c>
      <c r="R166" s="44">
        <f t="shared" si="17"/>
        <v>0.10798456606624961</v>
      </c>
      <c r="S166" s="44">
        <f>(Data!HU165/Data!K165)/0.7</f>
        <v>0.15707315517589102</v>
      </c>
      <c r="T166" s="7"/>
      <c r="U166" s="12"/>
      <c r="V166" s="43">
        <f>Data!HK165/Data!K165</f>
        <v>0.56662662107004824</v>
      </c>
      <c r="W166" s="49">
        <f t="shared" si="18"/>
        <v>0.3506571539823512</v>
      </c>
      <c r="X166" s="44">
        <f>Data!IE165/Data!K165 - 0.3*Y166</f>
        <v>0.19358399880646021</v>
      </c>
      <c r="Y166" s="44">
        <f t="shared" si="19"/>
        <v>0.15707315517589102</v>
      </c>
      <c r="Z166" s="7">
        <f>Data!CT165/Data!K165</f>
        <v>0.11505762306384958</v>
      </c>
      <c r="AA166" s="12">
        <f>(Data!K165-Data!AN165)/Data!K165</f>
        <v>8.2716224947600364E-2</v>
      </c>
      <c r="AB166" s="7"/>
      <c r="AC166" s="7"/>
      <c r="AD166" s="7"/>
      <c r="AE166" s="12"/>
      <c r="AF166" s="5">
        <f t="shared" si="20"/>
        <v>1.0110595617995584</v>
      </c>
      <c r="AG166" s="5">
        <f t="shared" si="21"/>
        <v>0.99999999999999978</v>
      </c>
    </row>
    <row r="167" spans="1:33" x14ac:dyDescent="0.25">
      <c r="A167" s="1" t="s">
        <v>556</v>
      </c>
      <c r="B167">
        <v>1958</v>
      </c>
      <c r="C167" s="45">
        <f t="shared" si="11"/>
        <v>0.11087401333289418</v>
      </c>
      <c r="D167" s="45">
        <f>Data!HI166/Data!K166</f>
        <v>9.9586180958529502E-2</v>
      </c>
      <c r="E167" s="44">
        <f>Data!IC166/Data!K166</f>
        <v>1.1287832374364679E-2</v>
      </c>
      <c r="F167" s="7">
        <v>0</v>
      </c>
      <c r="G167" s="46">
        <f>Data!IC166/Data!K166</f>
        <v>1.1287832374364679E-2</v>
      </c>
      <c r="H167" s="45">
        <f t="shared" si="12"/>
        <v>0.45922597885207406</v>
      </c>
      <c r="I167" s="63">
        <f t="shared" si="13"/>
        <v>0.35318600208341994</v>
      </c>
      <c r="J167" s="44">
        <f t="shared" si="14"/>
        <v>0.10603997676865411</v>
      </c>
      <c r="K167" s="7"/>
      <c r="L167" s="12"/>
      <c r="M167" s="45">
        <f t="shared" si="15"/>
        <v>0.34546654484887168</v>
      </c>
      <c r="N167" s="58">
        <f>Data!ID166/Data!K166</f>
        <v>7.9622667791936011E-2</v>
      </c>
      <c r="O167" s="7"/>
      <c r="P167" s="61">
        <v>0.01</v>
      </c>
      <c r="Q167" s="44">
        <f t="shared" si="16"/>
        <v>0.26584387705693568</v>
      </c>
      <c r="R167" s="44">
        <f t="shared" si="17"/>
        <v>0.11149247875686671</v>
      </c>
      <c r="S167" s="44">
        <f>(Data!HU166/Data!K166)/0.7</f>
        <v>0.15435139830006894</v>
      </c>
      <c r="T167" s="7"/>
      <c r="U167" s="12"/>
      <c r="V167" s="43">
        <f>Data!HK166/Data!K166</f>
        <v>0.56426466179881618</v>
      </c>
      <c r="W167" s="49">
        <f t="shared" si="18"/>
        <v>0.34001404286065906</v>
      </c>
      <c r="X167" s="44">
        <f>Data!IE166/Data!K166 - 0.3*Y167</f>
        <v>0.18566264456059012</v>
      </c>
      <c r="Y167" s="44">
        <f t="shared" si="19"/>
        <v>0.15435139830006894</v>
      </c>
      <c r="Z167" s="7">
        <f>Data!CT166/Data!K166</f>
        <v>0.11489252468300191</v>
      </c>
      <c r="AA167" s="12">
        <f>(Data!K166-Data!AN166)/Data!K166</f>
        <v>9.5721295340524787E-2</v>
      </c>
      <c r="AB167" s="7"/>
      <c r="AC167" s="7"/>
      <c r="AD167" s="7"/>
      <c r="AE167" s="12"/>
      <c r="AF167" s="5">
        <f t="shared" si="20"/>
        <v>1.0112878323743646</v>
      </c>
      <c r="AG167" s="5">
        <f t="shared" si="21"/>
        <v>1</v>
      </c>
    </row>
    <row r="168" spans="1:33" x14ac:dyDescent="0.25">
      <c r="A168" s="1" t="s">
        <v>556</v>
      </c>
      <c r="B168">
        <v>1959</v>
      </c>
      <c r="C168" s="45">
        <f t="shared" si="11"/>
        <v>0.11189563052705002</v>
      </c>
      <c r="D168" s="45">
        <f>Data!HI167/Data!K167</f>
        <v>0.10033568682786344</v>
      </c>
      <c r="E168" s="44">
        <f>Data!IC167/Data!K167</f>
        <v>1.1559943699186587E-2</v>
      </c>
      <c r="F168" s="7">
        <v>0</v>
      </c>
      <c r="G168" s="46">
        <f>Data!IC167/Data!K167</f>
        <v>1.1559943699186587E-2</v>
      </c>
      <c r="H168" s="45">
        <f t="shared" si="12"/>
        <v>0.47188219758266076</v>
      </c>
      <c r="I168" s="63">
        <f t="shared" si="13"/>
        <v>0.35439789678648387</v>
      </c>
      <c r="J168" s="44">
        <f t="shared" si="14"/>
        <v>0.1174843007961769</v>
      </c>
      <c r="K168" s="7"/>
      <c r="L168" s="12"/>
      <c r="M168" s="45">
        <f t="shared" si="15"/>
        <v>0.3223397809689742</v>
      </c>
      <c r="N168" s="58">
        <f>Data!ID167/Data!K167</f>
        <v>8.2568926702918863E-2</v>
      </c>
      <c r="O168" s="7"/>
      <c r="P168" s="61">
        <v>0.01</v>
      </c>
      <c r="Q168" s="44">
        <f t="shared" si="16"/>
        <v>0.23977085426605532</v>
      </c>
      <c r="R168" s="44">
        <f t="shared" si="17"/>
        <v>0.10040527509014611</v>
      </c>
      <c r="S168" s="44">
        <f>(Data!HU167/Data!K167)/0.7</f>
        <v>0.13936557917590919</v>
      </c>
      <c r="T168" s="7"/>
      <c r="U168" s="12"/>
      <c r="V168" s="43">
        <f>Data!HK167/Data!K167</f>
        <v>0.55513885870449342</v>
      </c>
      <c r="W168" s="49">
        <f t="shared" si="18"/>
        <v>0.33941880667500496</v>
      </c>
      <c r="X168" s="44">
        <f>Data!IE167/Data!K167 - 0.3*Y168</f>
        <v>0.20005322749909576</v>
      </c>
      <c r="Y168" s="44">
        <f t="shared" si="19"/>
        <v>0.13936557917590919</v>
      </c>
      <c r="Z168" s="7">
        <f>Data!CT167/Data!K167</f>
        <v>0.11330603362453562</v>
      </c>
      <c r="AA168" s="12">
        <f>(Data!K167-Data!AN167)/Data!K167</f>
        <v>0.10544233462050144</v>
      </c>
      <c r="AB168" s="7"/>
      <c r="AC168" s="7"/>
      <c r="AD168" s="7"/>
      <c r="AE168" s="12"/>
      <c r="AF168" s="5">
        <f t="shared" si="20"/>
        <v>1.0115599436991862</v>
      </c>
      <c r="AG168" s="5">
        <f t="shared" si="21"/>
        <v>0.99999999999999989</v>
      </c>
    </row>
    <row r="169" spans="1:33" x14ac:dyDescent="0.25">
      <c r="A169" s="1" t="s">
        <v>556</v>
      </c>
      <c r="B169">
        <v>1960</v>
      </c>
      <c r="C169" s="45">
        <f t="shared" si="11"/>
        <v>0.11136309092543631</v>
      </c>
      <c r="D169" s="45">
        <f>Data!HI168/Data!K168</f>
        <v>9.9500884222703159E-2</v>
      </c>
      <c r="E169" s="44">
        <f>Data!IC168/Data!K168</f>
        <v>1.1862206702733155E-2</v>
      </c>
      <c r="F169" s="7">
        <v>0</v>
      </c>
      <c r="G169" s="46">
        <f>Data!IC168/Data!K168</f>
        <v>1.1862206702733155E-2</v>
      </c>
      <c r="H169" s="45">
        <f t="shared" si="12"/>
        <v>0.4626109611243826</v>
      </c>
      <c r="I169" s="63">
        <f t="shared" si="13"/>
        <v>0.35684383276731907</v>
      </c>
      <c r="J169" s="44">
        <f t="shared" si="14"/>
        <v>0.10576712835706353</v>
      </c>
      <c r="K169" s="7"/>
      <c r="L169" s="12"/>
      <c r="M169" s="45">
        <f t="shared" si="15"/>
        <v>0.32961018380963414</v>
      </c>
      <c r="N169" s="58">
        <f>Data!ID168/Data!K168</f>
        <v>8.1813907639881805E-2</v>
      </c>
      <c r="O169" s="7"/>
      <c r="P169" s="61">
        <v>0.01</v>
      </c>
      <c r="Q169" s="44">
        <f t="shared" si="16"/>
        <v>0.24779627616975231</v>
      </c>
      <c r="R169" s="44">
        <f t="shared" si="17"/>
        <v>0.10720216289131487</v>
      </c>
      <c r="S169" s="44">
        <f>(Data!HU168/Data!K168)/0.7</f>
        <v>0.14059411327843743</v>
      </c>
      <c r="T169" s="7"/>
      <c r="U169" s="12"/>
      <c r="V169" s="43">
        <f>Data!HK168/Data!K168</f>
        <v>0.56354687988133711</v>
      </c>
      <c r="W169" s="49">
        <f t="shared" si="18"/>
        <v>0.32817514927538277</v>
      </c>
      <c r="X169" s="44">
        <f>Data!IE168/Data!K168 - 0.3*Y169</f>
        <v>0.18758103599694534</v>
      </c>
      <c r="Y169" s="44">
        <f t="shared" si="19"/>
        <v>0.14059411327843743</v>
      </c>
      <c r="Z169" s="7">
        <f>Data!CT168/Data!K168</f>
        <v>0.11568771070251239</v>
      </c>
      <c r="AA169" s="12">
        <f>(Data!K168-Data!AN168)/Data!K168</f>
        <v>0.10827797084327995</v>
      </c>
      <c r="AB169" s="7"/>
      <c r="AC169" s="7"/>
      <c r="AD169" s="7"/>
      <c r="AE169" s="12"/>
      <c r="AF169" s="5">
        <f t="shared" si="20"/>
        <v>1.011862206702733</v>
      </c>
      <c r="AG169" s="5">
        <f t="shared" si="21"/>
        <v>0.99999999999999978</v>
      </c>
    </row>
    <row r="170" spans="1:33" x14ac:dyDescent="0.25">
      <c r="A170" s="1" t="s">
        <v>556</v>
      </c>
      <c r="B170">
        <v>1961</v>
      </c>
      <c r="C170" s="45">
        <f t="shared" si="11"/>
        <v>0.11338413468315914</v>
      </c>
      <c r="D170" s="45">
        <f>Data!HI169/Data!K169</f>
        <v>0.10159707592552117</v>
      </c>
      <c r="E170" s="44">
        <f>Data!IC169/Data!K169</f>
        <v>1.1787058757637973E-2</v>
      </c>
      <c r="F170" s="7">
        <v>0</v>
      </c>
      <c r="G170" s="46">
        <f>Data!IC169/Data!K169</f>
        <v>1.1787058757637973E-2</v>
      </c>
      <c r="H170" s="45">
        <f t="shared" si="12"/>
        <v>0.46689922572539355</v>
      </c>
      <c r="I170" s="63">
        <f t="shared" si="13"/>
        <v>0.3624257666289129</v>
      </c>
      <c r="J170" s="44">
        <f t="shared" si="14"/>
        <v>0.10447345909648062</v>
      </c>
      <c r="K170" s="7"/>
      <c r="L170" s="12"/>
      <c r="M170" s="45">
        <f t="shared" si="15"/>
        <v>0.32827876833352199</v>
      </c>
      <c r="N170" s="58">
        <f>Data!ID169/Data!K169</f>
        <v>8.1290826803815247E-2</v>
      </c>
      <c r="O170" s="7"/>
      <c r="P170" s="61">
        <v>0.01</v>
      </c>
      <c r="Q170" s="44">
        <f t="shared" si="16"/>
        <v>0.24698794152970671</v>
      </c>
      <c r="R170" s="44">
        <f t="shared" si="17"/>
        <v>0.10874323826537664</v>
      </c>
      <c r="S170" s="44">
        <f>(Data!HU169/Data!K169)/0.7</f>
        <v>0.13824470326433008</v>
      </c>
      <c r="T170" s="7"/>
      <c r="U170" s="12"/>
      <c r="V170" s="43">
        <f>Data!HK169/Data!K169</f>
        <v>0.57276608081981073</v>
      </c>
      <c r="W170" s="49">
        <f t="shared" si="18"/>
        <v>0.32400898916462595</v>
      </c>
      <c r="X170" s="44">
        <f>Data!IE169/Data!K169 - 0.3*Y170</f>
        <v>0.18576428590029587</v>
      </c>
      <c r="Y170" s="44">
        <f t="shared" si="19"/>
        <v>0.13824470326433008</v>
      </c>
      <c r="Z170" s="7">
        <f>Data!CT169/Data!K169</f>
        <v>0.11580722693439488</v>
      </c>
      <c r="AA170" s="12">
        <f>(Data!K169-Data!AN169)/Data!K169</f>
        <v>0.10322493001556329</v>
      </c>
      <c r="AB170" s="7"/>
      <c r="AC170" s="7"/>
      <c r="AD170" s="7"/>
      <c r="AE170" s="12"/>
      <c r="AF170" s="5">
        <f t="shared" si="20"/>
        <v>1.0117870587576379</v>
      </c>
      <c r="AG170" s="5">
        <f t="shared" si="21"/>
        <v>1</v>
      </c>
    </row>
    <row r="171" spans="1:33" x14ac:dyDescent="0.25">
      <c r="A171" s="1" t="s">
        <v>556</v>
      </c>
      <c r="B171">
        <v>1962</v>
      </c>
      <c r="C171" s="45">
        <f t="shared" si="11"/>
        <v>0.11867682281386936</v>
      </c>
      <c r="D171" s="45">
        <f>Data!HI170/Data!K170</f>
        <v>0.10667228653057734</v>
      </c>
      <c r="E171" s="44">
        <f>Data!IC170/Data!K170</f>
        <v>1.2004536283292028E-2</v>
      </c>
      <c r="F171" s="7">
        <v>0</v>
      </c>
      <c r="G171" s="46">
        <f>Data!IC170/Data!K170</f>
        <v>1.2004536283292028E-2</v>
      </c>
      <c r="H171" s="45">
        <f t="shared" si="12"/>
        <v>0.4586320230337354</v>
      </c>
      <c r="I171" s="63">
        <f t="shared" si="13"/>
        <v>0.36738227416268021</v>
      </c>
      <c r="J171" s="44">
        <f t="shared" si="14"/>
        <v>9.1249748871055164E-2</v>
      </c>
      <c r="K171" s="7"/>
      <c r="L171" s="12"/>
      <c r="M171" s="45">
        <f t="shared" si="15"/>
        <v>0.32830024503129274</v>
      </c>
      <c r="N171" s="58">
        <f>Data!ID170/Data!K170</f>
        <v>7.6711779664602214E-2</v>
      </c>
      <c r="O171" s="7"/>
      <c r="P171" s="61">
        <v>0.01</v>
      </c>
      <c r="Q171" s="44">
        <f t="shared" si="16"/>
        <v>0.25158846536669049</v>
      </c>
      <c r="R171" s="44">
        <f t="shared" si="17"/>
        <v>0.11735782380892038</v>
      </c>
      <c r="S171" s="44">
        <f>(Data!HU170/Data!K170)/0.7</f>
        <v>0.13423064155777012</v>
      </c>
      <c r="T171" s="7"/>
      <c r="U171" s="12"/>
      <c r="V171" s="43">
        <f>Data!HK170/Data!K170</f>
        <v>0.59141238450217792</v>
      </c>
      <c r="W171" s="49">
        <f t="shared" si="18"/>
        <v>0.30219217009342747</v>
      </c>
      <c r="X171" s="44">
        <f>Data!IE170/Data!K170 - 0.3*Y171</f>
        <v>0.16796152853565738</v>
      </c>
      <c r="Y171" s="44">
        <f t="shared" si="19"/>
        <v>0.13423064155777012</v>
      </c>
      <c r="Z171" s="7">
        <f>Data!CT170/Data!K170</f>
        <v>0.11701551184982575</v>
      </c>
      <c r="AA171" s="12">
        <f>(Data!K170-Data!AN170)/Data!K170</f>
        <v>0.10639544540439455</v>
      </c>
      <c r="AB171" s="7"/>
      <c r="AC171" s="7"/>
      <c r="AD171" s="7"/>
      <c r="AE171" s="12"/>
      <c r="AF171" s="5">
        <f t="shared" si="20"/>
        <v>1.0120045362832921</v>
      </c>
      <c r="AG171" s="5">
        <f t="shared" si="21"/>
        <v>1</v>
      </c>
    </row>
    <row r="172" spans="1:33" x14ac:dyDescent="0.25">
      <c r="A172" s="1" t="s">
        <v>556</v>
      </c>
      <c r="B172">
        <v>1963</v>
      </c>
      <c r="C172" s="45">
        <f t="shared" si="11"/>
        <v>0.12439199048801591</v>
      </c>
      <c r="D172" s="45">
        <f>Data!HI171/Data!K171</f>
        <v>0.1120259622134238</v>
      </c>
      <c r="E172" s="44">
        <f>Data!IC171/Data!K171</f>
        <v>1.2366028274592114E-2</v>
      </c>
      <c r="F172" s="7">
        <v>0</v>
      </c>
      <c r="G172" s="46">
        <f>Data!IC171/Data!K171</f>
        <v>1.2366028274592114E-2</v>
      </c>
      <c r="H172" s="45">
        <f t="shared" si="12"/>
        <v>0.45708462984413945</v>
      </c>
      <c r="I172" s="63">
        <f t="shared" si="13"/>
        <v>0.37103337990395469</v>
      </c>
      <c r="J172" s="44">
        <f t="shared" si="14"/>
        <v>8.6051249940184774E-2</v>
      </c>
      <c r="K172" s="7"/>
      <c r="L172" s="12"/>
      <c r="M172" s="45">
        <f t="shared" si="15"/>
        <v>0.31331329298479155</v>
      </c>
      <c r="N172" s="58">
        <f>Data!ID171/Data!K171</f>
        <v>7.4420086770683111E-2</v>
      </c>
      <c r="O172" s="7"/>
      <c r="P172" s="61">
        <v>0.01</v>
      </c>
      <c r="Q172" s="44">
        <f t="shared" si="16"/>
        <v>0.23889320621410842</v>
      </c>
      <c r="R172" s="44">
        <f t="shared" si="17"/>
        <v>0.11720604264783768</v>
      </c>
      <c r="S172" s="44">
        <f>(Data!HU171/Data!K171)/0.7</f>
        <v>0.12168716356627073</v>
      </c>
      <c r="T172" s="7"/>
      <c r="U172" s="12"/>
      <c r="V172" s="43">
        <f>Data!HK171/Data!K171</f>
        <v>0.60026538476521618</v>
      </c>
      <c r="W172" s="49">
        <f t="shared" si="18"/>
        <v>0.28215850027713862</v>
      </c>
      <c r="X172" s="44">
        <f>Data!IE171/Data!K171 - 0.3*Y172</f>
        <v>0.16047133671086788</v>
      </c>
      <c r="Y172" s="44">
        <f t="shared" si="19"/>
        <v>0.12168716356627073</v>
      </c>
      <c r="Z172" s="7">
        <f>Data!CT171/Data!K171</f>
        <v>0.11754303610477324</v>
      </c>
      <c r="AA172" s="12">
        <f>(Data!K171-Data!AN171)/Data!K171</f>
        <v>0.11757611495764518</v>
      </c>
      <c r="AB172" s="7"/>
      <c r="AC172" s="7"/>
      <c r="AD172" s="7"/>
      <c r="AE172" s="12"/>
      <c r="AF172" s="5">
        <f t="shared" si="20"/>
        <v>1.0123660282745921</v>
      </c>
      <c r="AG172" s="5">
        <f t="shared" si="21"/>
        <v>1</v>
      </c>
    </row>
    <row r="173" spans="1:33" x14ac:dyDescent="0.25">
      <c r="A173" s="1" t="s">
        <v>556</v>
      </c>
      <c r="B173">
        <v>1964</v>
      </c>
      <c r="C173" s="45">
        <f t="shared" si="11"/>
        <v>0.12447063493746918</v>
      </c>
      <c r="D173" s="45">
        <f>Data!HI172/Data!K172</f>
        <v>0.11202346768132165</v>
      </c>
      <c r="E173" s="44">
        <f>Data!IC172/Data!K172</f>
        <v>1.2447167256147532E-2</v>
      </c>
      <c r="F173" s="7">
        <v>0</v>
      </c>
      <c r="G173" s="46">
        <f>Data!IC172/Data!K172</f>
        <v>1.2447167256147532E-2</v>
      </c>
      <c r="H173" s="45">
        <f t="shared" si="12"/>
        <v>0.4678681329042545</v>
      </c>
      <c r="I173" s="63">
        <f t="shared" si="13"/>
        <v>0.37031590569474526</v>
      </c>
      <c r="J173" s="44">
        <f t="shared" si="14"/>
        <v>9.7552227209509235E-2</v>
      </c>
      <c r="K173" s="7"/>
      <c r="L173" s="12"/>
      <c r="M173" s="45">
        <f t="shared" si="15"/>
        <v>0.30750710103376799</v>
      </c>
      <c r="N173" s="58">
        <f>Data!ID172/Data!K172</f>
        <v>7.4770410072669519E-2</v>
      </c>
      <c r="O173" s="7"/>
      <c r="P173" s="61">
        <v>0.01</v>
      </c>
      <c r="Q173" s="44">
        <f t="shared" si="16"/>
        <v>0.2327366909610985</v>
      </c>
      <c r="R173" s="44">
        <f t="shared" si="17"/>
        <v>0.11000803496882361</v>
      </c>
      <c r="S173" s="44">
        <f>(Data!HU172/Data!K172)/0.7</f>
        <v>0.12272865599227489</v>
      </c>
      <c r="T173" s="7"/>
      <c r="U173" s="12"/>
      <c r="V173" s="43">
        <f>Data!HK172/Data!K172</f>
        <v>0.59234740834489052</v>
      </c>
      <c r="W173" s="49">
        <f t="shared" si="18"/>
        <v>0.29505129327445367</v>
      </c>
      <c r="X173" s="44">
        <f>Data!IE172/Data!K172 - 0.3*Y173</f>
        <v>0.17232263728217875</v>
      </c>
      <c r="Y173" s="44">
        <f t="shared" si="19"/>
        <v>0.12272865599227489</v>
      </c>
      <c r="Z173" s="7">
        <f>Data!CT172/Data!K172</f>
        <v>0.11643266804154037</v>
      </c>
      <c r="AA173" s="12">
        <f>(Data!K172-Data!AN172)/Data!K172</f>
        <v>0.11260129838065583</v>
      </c>
      <c r="AB173" s="7"/>
      <c r="AC173" s="7"/>
      <c r="AD173" s="7"/>
      <c r="AE173" s="12"/>
      <c r="AF173" s="5">
        <f t="shared" si="20"/>
        <v>1.0124471672561475</v>
      </c>
      <c r="AG173" s="5">
        <f t="shared" si="21"/>
        <v>1</v>
      </c>
    </row>
    <row r="174" spans="1:33" x14ac:dyDescent="0.25">
      <c r="A174" s="1" t="s">
        <v>556</v>
      </c>
      <c r="B174">
        <v>1965</v>
      </c>
      <c r="C174" s="45">
        <f t="shared" si="11"/>
        <v>0.12890101566016496</v>
      </c>
      <c r="D174" s="45">
        <f>Data!HI173/Data!K173</f>
        <v>0.11599088490753817</v>
      </c>
      <c r="E174" s="44">
        <f>Data!IC173/Data!K173</f>
        <v>1.2910130752626783E-2</v>
      </c>
      <c r="F174" s="7">
        <v>0</v>
      </c>
      <c r="G174" s="46">
        <f>Data!IC173/Data!K173</f>
        <v>1.2910130752626783E-2</v>
      </c>
      <c r="H174" s="45">
        <f t="shared" si="12"/>
        <v>0.47213059798077522</v>
      </c>
      <c r="I174" s="63">
        <f t="shared" si="13"/>
        <v>0.37205028052020883</v>
      </c>
      <c r="J174" s="44">
        <f t="shared" si="14"/>
        <v>0.10008031746056638</v>
      </c>
      <c r="K174" s="7"/>
      <c r="L174" s="12"/>
      <c r="M174" s="45">
        <f t="shared" si="15"/>
        <v>0.30483191712169355</v>
      </c>
      <c r="N174" s="58">
        <f>Data!ID173/Data!K173</f>
        <v>7.6868044140338307E-2</v>
      </c>
      <c r="O174" s="7"/>
      <c r="P174" s="61">
        <v>0.01</v>
      </c>
      <c r="Q174" s="44">
        <f t="shared" si="16"/>
        <v>0.22796387298135526</v>
      </c>
      <c r="R174" s="44">
        <f t="shared" si="17"/>
        <v>0.10825759557738177</v>
      </c>
      <c r="S174" s="44">
        <f>(Data!HU173/Data!K173)/0.7</f>
        <v>0.11970627740397349</v>
      </c>
      <c r="T174" s="7"/>
      <c r="U174" s="12"/>
      <c r="V174" s="43">
        <f>Data!HK173/Data!K173</f>
        <v>0.5962987610051288</v>
      </c>
      <c r="W174" s="49">
        <f t="shared" si="18"/>
        <v>0.29665463900487821</v>
      </c>
      <c r="X174" s="44">
        <f>Data!IE173/Data!K173 - 0.3*Y174</f>
        <v>0.17694836160090469</v>
      </c>
      <c r="Y174" s="44">
        <f t="shared" si="19"/>
        <v>0.11970627740397349</v>
      </c>
      <c r="Z174" s="7">
        <f>Data!CT173/Data!K173</f>
        <v>0.11794271030868264</v>
      </c>
      <c r="AA174" s="12">
        <f>(Data!K173-Data!AN173)/Data!K173</f>
        <v>0.10704659998999311</v>
      </c>
      <c r="AB174" s="7"/>
      <c r="AC174" s="7"/>
      <c r="AD174" s="7"/>
      <c r="AE174" s="12"/>
      <c r="AF174" s="5">
        <f t="shared" si="20"/>
        <v>1.0129101307526269</v>
      </c>
      <c r="AG174" s="5">
        <f t="shared" si="21"/>
        <v>1</v>
      </c>
    </row>
    <row r="175" spans="1:33" x14ac:dyDescent="0.25">
      <c r="A175" s="1" t="s">
        <v>556</v>
      </c>
      <c r="B175">
        <v>1966</v>
      </c>
      <c r="C175" s="45">
        <f t="shared" si="11"/>
        <v>0.13755799691799822</v>
      </c>
      <c r="D175" s="45">
        <f>Data!HI174/Data!K174</f>
        <v>0.12408574111272096</v>
      </c>
      <c r="E175" s="44">
        <f>Data!IC174/Data!K174</f>
        <v>1.3472255805277255E-2</v>
      </c>
      <c r="F175" s="7">
        <v>0</v>
      </c>
      <c r="G175" s="46">
        <f>Data!IC174/Data!K174</f>
        <v>1.3472255805277255E-2</v>
      </c>
      <c r="H175" s="45">
        <f t="shared" si="12"/>
        <v>0.46019792080859262</v>
      </c>
      <c r="I175" s="63">
        <f t="shared" si="13"/>
        <v>0.37126014495760468</v>
      </c>
      <c r="J175" s="44">
        <f t="shared" si="14"/>
        <v>8.8937775850987957E-2</v>
      </c>
      <c r="K175" s="7"/>
      <c r="L175" s="12"/>
      <c r="M175" s="45">
        <f t="shared" si="15"/>
        <v>0.30196806878990656</v>
      </c>
      <c r="N175" s="58">
        <f>Data!ID174/Data!K174</f>
        <v>8.0151469866892103E-2</v>
      </c>
      <c r="O175" s="7"/>
      <c r="P175" s="61">
        <v>0.01</v>
      </c>
      <c r="Q175" s="44">
        <f t="shared" si="16"/>
        <v>0.22181659892301445</v>
      </c>
      <c r="R175" s="44">
        <f t="shared" si="17"/>
        <v>0.11188811538843463</v>
      </c>
      <c r="S175" s="44">
        <f>(Data!HU174/Data!K174)/0.7</f>
        <v>0.10992848353457982</v>
      </c>
      <c r="T175" s="7"/>
      <c r="U175" s="12"/>
      <c r="V175" s="43">
        <f>Data!HK174/Data!K174</f>
        <v>0.60723400145876028</v>
      </c>
      <c r="W175" s="49">
        <f t="shared" si="18"/>
        <v>0.27901772925245988</v>
      </c>
      <c r="X175" s="44">
        <f>Data!IE174/Data!K174 - 0.3*Y175</f>
        <v>0.16908924571788006</v>
      </c>
      <c r="Y175" s="44">
        <f t="shared" si="19"/>
        <v>0.10992848353457982</v>
      </c>
      <c r="Z175" s="7">
        <f>Data!CT174/Data!K174</f>
        <v>0.11968893195387395</v>
      </c>
      <c r="AA175" s="12">
        <f>(Data!K174-Data!AN174)/Data!K174</f>
        <v>0.11374826928877985</v>
      </c>
      <c r="AB175" s="7"/>
      <c r="AC175" s="7"/>
      <c r="AD175" s="7"/>
      <c r="AE175" s="12"/>
      <c r="AF175" s="5">
        <f t="shared" si="20"/>
        <v>1.0134722558052771</v>
      </c>
      <c r="AG175" s="5">
        <f t="shared" si="21"/>
        <v>1</v>
      </c>
    </row>
    <row r="176" spans="1:33" x14ac:dyDescent="0.25">
      <c r="A176" s="1" t="s">
        <v>556</v>
      </c>
      <c r="B176">
        <v>1967</v>
      </c>
      <c r="C176" s="45">
        <f t="shared" si="11"/>
        <v>0.14573888213149638</v>
      </c>
      <c r="D176" s="45">
        <f>Data!HI175/Data!K175</f>
        <v>0.13195224824051796</v>
      </c>
      <c r="E176" s="44">
        <f>Data!IC175/Data!K175</f>
        <v>1.3786633890978424E-2</v>
      </c>
      <c r="F176" s="7">
        <v>0</v>
      </c>
      <c r="G176" s="46">
        <f>Data!IC175/Data!K175</f>
        <v>1.3786633890978424E-2</v>
      </c>
      <c r="H176" s="45">
        <f t="shared" si="12"/>
        <v>0.46497030317422788</v>
      </c>
      <c r="I176" s="63">
        <f t="shared" si="13"/>
        <v>0.3695117531997808</v>
      </c>
      <c r="J176" s="44">
        <f t="shared" si="14"/>
        <v>9.5458549974447068E-2</v>
      </c>
      <c r="K176" s="7"/>
      <c r="L176" s="12"/>
      <c r="M176" s="45">
        <f t="shared" si="15"/>
        <v>0.29108044650347181</v>
      </c>
      <c r="N176" s="58">
        <f>Data!ID175/Data!K175</f>
        <v>7.8564610331927534E-2</v>
      </c>
      <c r="O176" s="7"/>
      <c r="P176" s="61">
        <v>0.01</v>
      </c>
      <c r="Q176" s="44">
        <f t="shared" si="16"/>
        <v>0.21251583617154429</v>
      </c>
      <c r="R176" s="44">
        <f t="shared" si="17"/>
        <v>0.10660518585044296</v>
      </c>
      <c r="S176" s="44">
        <f>(Data!HU175/Data!K175)/0.7</f>
        <v>0.10591065032110135</v>
      </c>
      <c r="T176" s="7"/>
      <c r="U176" s="12"/>
      <c r="V176" s="43">
        <f>Data!HK175/Data!K175</f>
        <v>0.60806918729074177</v>
      </c>
      <c r="W176" s="49">
        <f t="shared" si="18"/>
        <v>0.27993381062747597</v>
      </c>
      <c r="X176" s="44">
        <f>Data!IE175/Data!K175 - 0.3*Y176</f>
        <v>0.1740231603063746</v>
      </c>
      <c r="Y176" s="44">
        <f t="shared" si="19"/>
        <v>0.10591065032110135</v>
      </c>
      <c r="Z176" s="7">
        <f>Data!CT175/Data!K175</f>
        <v>0.12006623930339858</v>
      </c>
      <c r="AA176" s="12">
        <f>(Data!K175-Data!AN175)/Data!K175</f>
        <v>0.11199700208178237</v>
      </c>
      <c r="AB176" s="7"/>
      <c r="AC176" s="7"/>
      <c r="AD176" s="7"/>
      <c r="AE176" s="12"/>
      <c r="AF176" s="5">
        <f t="shared" si="20"/>
        <v>1.0137866338909785</v>
      </c>
      <c r="AG176" s="5">
        <f t="shared" si="21"/>
        <v>1.0000000000000002</v>
      </c>
    </row>
    <row r="177" spans="1:33" x14ac:dyDescent="0.25">
      <c r="A177" s="1" t="s">
        <v>556</v>
      </c>
      <c r="B177">
        <v>1968</v>
      </c>
      <c r="C177" s="45">
        <f t="shared" si="11"/>
        <v>0.15426733410519639</v>
      </c>
      <c r="D177" s="45">
        <f>Data!HI176/Data!K176</f>
        <v>0.1399495827450713</v>
      </c>
      <c r="E177" s="44">
        <f>Data!IC176/Data!K176</f>
        <v>1.4317751360125083E-2</v>
      </c>
      <c r="F177" s="7">
        <v>0</v>
      </c>
      <c r="G177" s="46">
        <f>Data!IC176/Data!K176</f>
        <v>1.4317751360125083E-2</v>
      </c>
      <c r="H177" s="45">
        <f t="shared" si="12"/>
        <v>0.47124665345129152</v>
      </c>
      <c r="I177" s="63">
        <f t="shared" si="13"/>
        <v>0.37314669184823546</v>
      </c>
      <c r="J177" s="44">
        <f t="shared" si="14"/>
        <v>9.8099961603056077E-2</v>
      </c>
      <c r="K177" s="7"/>
      <c r="L177" s="12"/>
      <c r="M177" s="45">
        <f t="shared" si="15"/>
        <v>0.28009161829191831</v>
      </c>
      <c r="N177" s="58">
        <f>Data!ID176/Data!K176</f>
        <v>7.8473807178747038E-2</v>
      </c>
      <c r="O177" s="7"/>
      <c r="P177" s="61">
        <v>0.01</v>
      </c>
      <c r="Q177" s="44">
        <f t="shared" si="16"/>
        <v>0.20161781111317129</v>
      </c>
      <c r="R177" s="44">
        <f t="shared" si="17"/>
        <v>0.1029652864755408</v>
      </c>
      <c r="S177" s="44">
        <f>(Data!HU176/Data!K176)/0.7</f>
        <v>9.8652524637630468E-2</v>
      </c>
      <c r="T177" s="7"/>
      <c r="U177" s="12"/>
      <c r="V177" s="43">
        <f>Data!HK176/Data!K176</f>
        <v>0.61606156106884757</v>
      </c>
      <c r="W177" s="49">
        <f t="shared" si="18"/>
        <v>0.27522629341943361</v>
      </c>
      <c r="X177" s="44">
        <f>Data!IE176/Data!K176 - 0.3*Y177</f>
        <v>0.17657376878180311</v>
      </c>
      <c r="Y177" s="44">
        <f t="shared" si="19"/>
        <v>9.8652524637630468E-2</v>
      </c>
      <c r="Z177" s="7">
        <f>Data!CT176/Data!K176</f>
        <v>0.12046232192284202</v>
      </c>
      <c r="AA177" s="12">
        <f>(Data!K176-Data!AN176)/Data!K176</f>
        <v>0.10871214551171876</v>
      </c>
      <c r="AB177" s="7"/>
      <c r="AC177" s="7"/>
      <c r="AD177" s="7"/>
      <c r="AE177" s="12"/>
      <c r="AF177" s="5">
        <f t="shared" si="20"/>
        <v>1.0143177513601249</v>
      </c>
      <c r="AG177" s="5">
        <f t="shared" si="21"/>
        <v>0.99999999999999978</v>
      </c>
    </row>
    <row r="178" spans="1:33" x14ac:dyDescent="0.25">
      <c r="A178" s="1" t="s">
        <v>556</v>
      </c>
      <c r="B178">
        <v>1969</v>
      </c>
      <c r="C178" s="45">
        <f t="shared" si="11"/>
        <v>0.15635862018220331</v>
      </c>
      <c r="D178" s="45">
        <f>Data!HI177/Data!K177</f>
        <v>0.14175318786693064</v>
      </c>
      <c r="E178" s="44">
        <f>Data!IC177/Data!K177</f>
        <v>1.4605432315272671E-2</v>
      </c>
      <c r="F178" s="7">
        <v>0</v>
      </c>
      <c r="G178" s="46">
        <f>Data!IC177/Data!K177</f>
        <v>1.4605432315272671E-2</v>
      </c>
      <c r="H178" s="45">
        <f t="shared" si="12"/>
        <v>0.47293940983267058</v>
      </c>
      <c r="I178" s="63">
        <f t="shared" si="13"/>
        <v>0.37250184170043005</v>
      </c>
      <c r="J178" s="44">
        <f t="shared" si="14"/>
        <v>0.10043756813224054</v>
      </c>
      <c r="K178" s="7"/>
      <c r="L178" s="12"/>
      <c r="M178" s="45">
        <f t="shared" si="15"/>
        <v>0.27043421653204841</v>
      </c>
      <c r="N178" s="58">
        <f>Data!ID177/Data!K177</f>
        <v>8.0630831335098976E-2</v>
      </c>
      <c r="O178" s="7"/>
      <c r="P178" s="61">
        <v>0.01</v>
      </c>
      <c r="Q178" s="44">
        <f t="shared" si="16"/>
        <v>0.18980338519694945</v>
      </c>
      <c r="R178" s="44">
        <f t="shared" si="17"/>
        <v>9.7612219745648654E-2</v>
      </c>
      <c r="S178" s="44">
        <f>(Data!HU177/Data!K177)/0.7</f>
        <v>9.219116545130078E-2</v>
      </c>
      <c r="T178" s="7"/>
      <c r="U178" s="12"/>
      <c r="V178" s="43">
        <f>Data!HK177/Data!K177</f>
        <v>0.61186724931300929</v>
      </c>
      <c r="W178" s="49">
        <f t="shared" si="18"/>
        <v>0.27325956491864029</v>
      </c>
      <c r="X178" s="44">
        <f>Data!IE177/Data!K177 - 0.3*Y178</f>
        <v>0.18106839946733952</v>
      </c>
      <c r="Y178" s="44">
        <f t="shared" si="19"/>
        <v>9.219116545130078E-2</v>
      </c>
      <c r="Z178" s="7">
        <f>Data!CT177/Data!K177</f>
        <v>0.11687780496506703</v>
      </c>
      <c r="AA178" s="12">
        <f>(Data!K177-Data!AN177)/Data!K177</f>
        <v>0.11487318576835041</v>
      </c>
      <c r="AB178" s="7"/>
      <c r="AC178" s="7"/>
      <c r="AD178" s="7"/>
      <c r="AE178" s="12"/>
      <c r="AF178" s="5">
        <f t="shared" si="20"/>
        <v>1.0146054323152729</v>
      </c>
      <c r="AG178" s="5">
        <f t="shared" si="21"/>
        <v>1</v>
      </c>
    </row>
    <row r="179" spans="1:33" x14ac:dyDescent="0.25">
      <c r="A179" s="1" t="s">
        <v>556</v>
      </c>
      <c r="B179">
        <v>1970</v>
      </c>
      <c r="C179" s="45">
        <f t="shared" si="11"/>
        <v>0.16034172509348935</v>
      </c>
      <c r="D179" s="45">
        <f>Data!HI178/Data!K178</f>
        <v>0.14541916775498145</v>
      </c>
      <c r="E179" s="44">
        <f>Data!IC178/Data!K178</f>
        <v>1.4922557338507886E-2</v>
      </c>
      <c r="F179" s="7">
        <v>0</v>
      </c>
      <c r="G179" s="46">
        <f>Data!IC178/Data!K178</f>
        <v>1.4922557338507886E-2</v>
      </c>
      <c r="H179" s="45">
        <f t="shared" si="12"/>
        <v>0.46109054314999903</v>
      </c>
      <c r="I179" s="63">
        <f t="shared" si="13"/>
        <v>0.36445026245787449</v>
      </c>
      <c r="J179" s="44">
        <f t="shared" si="14"/>
        <v>9.6640280692124561E-2</v>
      </c>
      <c r="K179" s="7"/>
      <c r="L179" s="12"/>
      <c r="M179" s="45">
        <f t="shared" si="15"/>
        <v>0.26652409868199262</v>
      </c>
      <c r="N179" s="58">
        <f>Data!ID178/Data!K178</f>
        <v>7.8904355852581695E-2</v>
      </c>
      <c r="O179" s="7"/>
      <c r="P179" s="61">
        <v>0.01</v>
      </c>
      <c r="Q179" s="44">
        <f t="shared" si="16"/>
        <v>0.18761974282941091</v>
      </c>
      <c r="R179" s="44">
        <f t="shared" si="17"/>
        <v>9.7638476692975859E-2</v>
      </c>
      <c r="S179" s="44">
        <f>(Data!HU178/Data!K178)/0.7</f>
        <v>8.9981266136435062E-2</v>
      </c>
      <c r="T179" s="7"/>
      <c r="U179" s="12"/>
      <c r="V179" s="43">
        <f>Data!HK178/Data!K178</f>
        <v>0.60750790690583178</v>
      </c>
      <c r="W179" s="49">
        <f t="shared" si="18"/>
        <v>0.26552590268114129</v>
      </c>
      <c r="X179" s="44">
        <f>Data!IE178/Data!K178 - 0.3*Y179</f>
        <v>0.17554463654470626</v>
      </c>
      <c r="Y179" s="44">
        <f t="shared" si="19"/>
        <v>8.9981266136435062E-2</v>
      </c>
      <c r="Z179" s="7">
        <f>Data!CT178/Data!K178</f>
        <v>0.11488686406064524</v>
      </c>
      <c r="AA179" s="12">
        <f>(Data!K178-Data!AN178)/Data!K178</f>
        <v>0.12696619041302698</v>
      </c>
      <c r="AB179" s="7"/>
      <c r="AC179" s="7"/>
      <c r="AD179" s="7"/>
      <c r="AE179" s="12"/>
      <c r="AF179" s="5">
        <f t="shared" si="20"/>
        <v>1.0149225573385079</v>
      </c>
      <c r="AG179" s="5">
        <f t="shared" si="21"/>
        <v>1</v>
      </c>
    </row>
    <row r="180" spans="1:33" x14ac:dyDescent="0.25">
      <c r="A180" s="1" t="s">
        <v>556</v>
      </c>
      <c r="B180">
        <v>1971</v>
      </c>
      <c r="C180" s="45">
        <f t="shared" si="11"/>
        <v>0.17039374463266529</v>
      </c>
      <c r="D180" s="45">
        <f>Data!HI179/Data!K179</f>
        <v>0.154719325414065</v>
      </c>
      <c r="E180" s="44">
        <f>Data!IC179/Data!K179</f>
        <v>1.5674419218600306E-2</v>
      </c>
      <c r="F180" s="7">
        <v>0</v>
      </c>
      <c r="G180" s="46">
        <f>Data!IC179/Data!K179</f>
        <v>1.5674419218600306E-2</v>
      </c>
      <c r="H180" s="45">
        <f t="shared" si="12"/>
        <v>0.45488459346515753</v>
      </c>
      <c r="I180" s="63">
        <f t="shared" si="13"/>
        <v>0.35939919749463711</v>
      </c>
      <c r="J180" s="44">
        <f t="shared" si="14"/>
        <v>9.5485395970520401E-2</v>
      </c>
      <c r="K180" s="7"/>
      <c r="L180" s="12"/>
      <c r="M180" s="45">
        <f t="shared" si="15"/>
        <v>0.27490930734390184</v>
      </c>
      <c r="N180" s="58">
        <f>Data!ID179/Data!K179</f>
        <v>7.9486486745662957E-2</v>
      </c>
      <c r="O180" s="7"/>
      <c r="P180" s="61">
        <v>0.01</v>
      </c>
      <c r="Q180" s="44">
        <f t="shared" si="16"/>
        <v>0.1954228205982389</v>
      </c>
      <c r="R180" s="44">
        <f t="shared" si="17"/>
        <v>0.10168575422422994</v>
      </c>
      <c r="S180" s="44">
        <f>(Data!HU179/Data!K179)/0.7</f>
        <v>9.3737066374008943E-2</v>
      </c>
      <c r="T180" s="7"/>
      <c r="U180" s="12"/>
      <c r="V180" s="43">
        <f>Data!HK179/Data!K179</f>
        <v>0.61580427713293207</v>
      </c>
      <c r="W180" s="49">
        <f t="shared" si="18"/>
        <v>0.26870894909019227</v>
      </c>
      <c r="X180" s="44">
        <f>Data!IE179/Data!K179 - 0.3*Y180</f>
        <v>0.17497188271618336</v>
      </c>
      <c r="Y180" s="44">
        <f t="shared" si="19"/>
        <v>9.3737066374008943E-2</v>
      </c>
      <c r="Z180" s="7">
        <f>Data!CT179/Data!K179</f>
        <v>0.11946512040384995</v>
      </c>
      <c r="AA180" s="12">
        <f>(Data!K179-Data!AN179)/Data!K179</f>
        <v>0.1154867737768757</v>
      </c>
      <c r="AB180" s="7"/>
      <c r="AC180" s="7"/>
      <c r="AD180" s="7"/>
      <c r="AE180" s="12"/>
      <c r="AF180" s="5">
        <f t="shared" si="20"/>
        <v>1.0156744192186005</v>
      </c>
      <c r="AG180" s="5">
        <f t="shared" si="21"/>
        <v>1</v>
      </c>
    </row>
    <row r="181" spans="1:33" x14ac:dyDescent="0.25">
      <c r="A181" s="1" t="s">
        <v>556</v>
      </c>
      <c r="B181">
        <v>1972</v>
      </c>
      <c r="C181" s="45">
        <f t="shared" si="11"/>
        <v>0.17352971129172357</v>
      </c>
      <c r="D181" s="45">
        <f>Data!HI180/Data!K180</f>
        <v>0.15771716646567521</v>
      </c>
      <c r="E181" s="44">
        <f>Data!IC180/Data!K180</f>
        <v>1.5812544826048349E-2</v>
      </c>
      <c r="F181" s="7">
        <v>0</v>
      </c>
      <c r="G181" s="46">
        <f>Data!IC180/Data!K180</f>
        <v>1.5812544826048349E-2</v>
      </c>
      <c r="H181" s="45">
        <f t="shared" si="12"/>
        <v>0.44260522879900366</v>
      </c>
      <c r="I181" s="63">
        <f t="shared" si="13"/>
        <v>0.35479875490903101</v>
      </c>
      <c r="J181" s="44">
        <f t="shared" si="14"/>
        <v>8.7806473889972661E-2</v>
      </c>
      <c r="K181" s="7"/>
      <c r="L181" s="12"/>
      <c r="M181" s="45">
        <f t="shared" si="15"/>
        <v>0.26694256359912633</v>
      </c>
      <c r="N181" s="58">
        <f>Data!ID180/Data!K180</f>
        <v>8.0025675920028336E-2</v>
      </c>
      <c r="O181" s="7"/>
      <c r="P181" s="61">
        <v>0.01</v>
      </c>
      <c r="Q181" s="44">
        <f t="shared" si="16"/>
        <v>0.186916887679098</v>
      </c>
      <c r="R181" s="44">
        <f t="shared" si="17"/>
        <v>0.10109817948648837</v>
      </c>
      <c r="S181" s="44">
        <f>(Data!HU180/Data!K180)/0.7</f>
        <v>8.581870819260963E-2</v>
      </c>
      <c r="T181" s="7"/>
      <c r="U181" s="12"/>
      <c r="V181" s="43">
        <f>Data!HK180/Data!K180</f>
        <v>0.61361410086119461</v>
      </c>
      <c r="W181" s="49">
        <f t="shared" si="18"/>
        <v>0.25365085800261061</v>
      </c>
      <c r="X181" s="44">
        <f>Data!IE180/Data!K180 - 0.3*Y181</f>
        <v>0.167832149810001</v>
      </c>
      <c r="Y181" s="44">
        <f t="shared" si="19"/>
        <v>8.581870819260963E-2</v>
      </c>
      <c r="Z181" s="7">
        <f>Data!CT180/Data!K180</f>
        <v>0.12063546452283802</v>
      </c>
      <c r="AA181" s="12">
        <f>(Data!K180-Data!AN180)/Data!K180</f>
        <v>0.13273504113619478</v>
      </c>
      <c r="AB181" s="7"/>
      <c r="AC181" s="7"/>
      <c r="AD181" s="7"/>
      <c r="AE181" s="12"/>
      <c r="AF181" s="5">
        <f t="shared" si="20"/>
        <v>1.0158125448260482</v>
      </c>
      <c r="AG181" s="5">
        <f t="shared" si="21"/>
        <v>1</v>
      </c>
    </row>
    <row r="182" spans="1:33" x14ac:dyDescent="0.25">
      <c r="A182" s="1" t="s">
        <v>556</v>
      </c>
      <c r="B182">
        <v>1973</v>
      </c>
      <c r="C182" s="45">
        <f t="shared" si="11"/>
        <v>0.17139303001292033</v>
      </c>
      <c r="D182" s="45">
        <f>Data!HI181/Data!K181</f>
        <v>0.15562145172991809</v>
      </c>
      <c r="E182" s="44">
        <f>Data!IC181/Data!K181</f>
        <v>1.5771578283002241E-2</v>
      </c>
      <c r="F182" s="7">
        <v>0</v>
      </c>
      <c r="G182" s="46">
        <f>Data!IC181/Data!K181</f>
        <v>1.5771578283002241E-2</v>
      </c>
      <c r="H182" s="45">
        <f t="shared" si="12"/>
        <v>0.46664421406893913</v>
      </c>
      <c r="I182" s="63">
        <f t="shared" si="13"/>
        <v>0.35466421953160138</v>
      </c>
      <c r="J182" s="44">
        <f t="shared" si="14"/>
        <v>0.11197999453733774</v>
      </c>
      <c r="K182" s="7"/>
      <c r="L182" s="12"/>
      <c r="M182" s="45">
        <f t="shared" si="15"/>
        <v>0.24962742652438119</v>
      </c>
      <c r="N182" s="58">
        <f>Data!ID181/Data!K181</f>
        <v>7.9734177468837278E-2</v>
      </c>
      <c r="O182" s="7"/>
      <c r="P182" s="61">
        <v>0.01</v>
      </c>
      <c r="Q182" s="44">
        <f t="shared" si="16"/>
        <v>0.1698932490555439</v>
      </c>
      <c r="R182" s="44">
        <f t="shared" si="17"/>
        <v>8.5394046560233416E-2</v>
      </c>
      <c r="S182" s="44">
        <f>(Data!HU181/Data!K181)/0.7</f>
        <v>8.4499202495310483E-2</v>
      </c>
      <c r="T182" s="7"/>
      <c r="U182" s="12"/>
      <c r="V182" s="43">
        <f>Data!HK181/Data!K181</f>
        <v>0.59567971782175289</v>
      </c>
      <c r="W182" s="49">
        <f t="shared" si="18"/>
        <v>0.27621337450148553</v>
      </c>
      <c r="X182" s="44">
        <f>Data!IE181/Data!K181 - 0.3*Y182</f>
        <v>0.19171417200617502</v>
      </c>
      <c r="Y182" s="44">
        <f t="shared" si="19"/>
        <v>8.4499202495310483E-2</v>
      </c>
      <c r="Z182" s="7">
        <f>Data!CT181/Data!K181</f>
        <v>0.12082665026173657</v>
      </c>
      <c r="AA182" s="12">
        <f>(Data!K181-Data!AN181)/Data!K181</f>
        <v>0.12810690767676156</v>
      </c>
      <c r="AB182" s="7"/>
      <c r="AC182" s="7"/>
      <c r="AD182" s="7"/>
      <c r="AE182" s="12"/>
      <c r="AF182" s="5">
        <f t="shared" si="20"/>
        <v>1.0157715782830021</v>
      </c>
      <c r="AG182" s="5">
        <f t="shared" si="21"/>
        <v>1</v>
      </c>
    </row>
    <row r="183" spans="1:33" x14ac:dyDescent="0.25">
      <c r="A183" s="1" t="s">
        <v>556</v>
      </c>
      <c r="B183">
        <v>1974</v>
      </c>
      <c r="C183" s="45">
        <f t="shared" si="11"/>
        <v>0.17352411268161125</v>
      </c>
      <c r="D183" s="45">
        <f>Data!HI182/Data!K182</f>
        <v>0.15732017541049836</v>
      </c>
      <c r="E183" s="44">
        <f>Data!IC182/Data!K182</f>
        <v>1.6203937271112877E-2</v>
      </c>
      <c r="F183" s="7">
        <v>0</v>
      </c>
      <c r="G183" s="46">
        <f>Data!IC182/Data!K182</f>
        <v>1.6203937271112877E-2</v>
      </c>
      <c r="H183" s="45">
        <f t="shared" si="12"/>
        <v>0.48764360328037604</v>
      </c>
      <c r="I183" s="63">
        <f t="shared" si="13"/>
        <v>0.36031019877805315</v>
      </c>
      <c r="J183" s="44">
        <f t="shared" si="14"/>
        <v>0.12733340450232286</v>
      </c>
      <c r="K183" s="7"/>
      <c r="L183" s="12"/>
      <c r="M183" s="45">
        <f t="shared" si="15"/>
        <v>0.25998499801292441</v>
      </c>
      <c r="N183" s="58">
        <f>Data!ID182/Data!K182</f>
        <v>7.5383749234613634E-2</v>
      </c>
      <c r="O183" s="7"/>
      <c r="P183" s="61">
        <v>0.01</v>
      </c>
      <c r="Q183" s="44">
        <f t="shared" si="16"/>
        <v>0.18460124877831077</v>
      </c>
      <c r="R183" s="44">
        <f t="shared" si="17"/>
        <v>8.7331172303567225E-2</v>
      </c>
      <c r="S183" s="44">
        <f>(Data!HU182/Data!K182)/0.7</f>
        <v>9.7270076474743547E-2</v>
      </c>
      <c r="T183" s="7"/>
      <c r="U183" s="12"/>
      <c r="V183" s="43">
        <f>Data!HK182/Data!K182</f>
        <v>0.60496154649211875</v>
      </c>
      <c r="W183" s="49">
        <f t="shared" si="18"/>
        <v>0.29998723021168006</v>
      </c>
      <c r="X183" s="44">
        <f>Data!IE182/Data!K182 - 0.3*Y183</f>
        <v>0.2027171537369365</v>
      </c>
      <c r="Y183" s="44">
        <f t="shared" si="19"/>
        <v>9.7270076474743547E-2</v>
      </c>
      <c r="Z183" s="7">
        <f>Data!CT182/Data!K182</f>
        <v>0.12641969409813131</v>
      </c>
      <c r="AA183" s="12">
        <f>(Data!K182-Data!AN182)/Data!K182</f>
        <v>9.5051223296201151E-2</v>
      </c>
      <c r="AB183" s="7"/>
      <c r="AC183" s="7"/>
      <c r="AD183" s="7"/>
      <c r="AE183" s="12"/>
      <c r="AF183" s="5">
        <f t="shared" si="20"/>
        <v>1.0162039372711129</v>
      </c>
      <c r="AG183" s="5">
        <f t="shared" si="21"/>
        <v>1</v>
      </c>
    </row>
    <row r="184" spans="1:33" x14ac:dyDescent="0.25">
      <c r="A184" s="1" t="s">
        <v>556</v>
      </c>
      <c r="B184">
        <v>1975</v>
      </c>
      <c r="C184" s="45">
        <f t="shared" si="11"/>
        <v>0.1805194657268572</v>
      </c>
      <c r="D184" s="45">
        <f>Data!HI183/Data!K183</f>
        <v>0.16460348094143282</v>
      </c>
      <c r="E184" s="44">
        <f>Data!IC183/Data!K183</f>
        <v>1.5915984785424383E-2</v>
      </c>
      <c r="F184" s="7">
        <v>0</v>
      </c>
      <c r="G184" s="46">
        <f>Data!IC183/Data!K183</f>
        <v>1.5915984785424383E-2</v>
      </c>
      <c r="H184" s="45">
        <f t="shared" si="12"/>
        <v>0.48260496443080092</v>
      </c>
      <c r="I184" s="63">
        <f t="shared" si="13"/>
        <v>0.3650528724322476</v>
      </c>
      <c r="J184" s="44">
        <f t="shared" si="14"/>
        <v>0.11755209199855331</v>
      </c>
      <c r="K184" s="7"/>
      <c r="L184" s="12"/>
      <c r="M184" s="45">
        <f t="shared" si="15"/>
        <v>0.25691815153937347</v>
      </c>
      <c r="N184" s="58">
        <f>Data!ID183/Data!K183</f>
        <v>7.2001107483987262E-2</v>
      </c>
      <c r="O184" s="7"/>
      <c r="P184" s="61">
        <v>0.01</v>
      </c>
      <c r="Q184" s="44">
        <f t="shared" si="16"/>
        <v>0.18491704405538623</v>
      </c>
      <c r="R184" s="44">
        <f t="shared" si="17"/>
        <v>9.1630448618710378E-2</v>
      </c>
      <c r="S184" s="44">
        <f>(Data!HU183/Data!K183)/0.7</f>
        <v>9.3286595436675862E-2</v>
      </c>
      <c r="T184" s="7"/>
      <c r="U184" s="12"/>
      <c r="V184" s="43">
        <f>Data!HK183/Data!K183</f>
        <v>0.62128680199239084</v>
      </c>
      <c r="W184" s="49">
        <f t="shared" si="18"/>
        <v>0.2828397949192164</v>
      </c>
      <c r="X184" s="44">
        <f>Data!IE183/Data!K183 - 0.3*Y184</f>
        <v>0.18955319948254057</v>
      </c>
      <c r="Y184" s="44">
        <f t="shared" si="19"/>
        <v>9.3286595436675862E-2</v>
      </c>
      <c r="Z184" s="7">
        <f>Data!CT183/Data!K183</f>
        <v>0.1259244318316366</v>
      </c>
      <c r="AA184" s="12">
        <f>(Data!K183-Data!AN183)/Data!K183</f>
        <v>9.5873403088392706E-2</v>
      </c>
      <c r="AB184" s="7"/>
      <c r="AC184" s="7"/>
      <c r="AD184" s="7"/>
      <c r="AE184" s="12"/>
      <c r="AF184" s="5">
        <f t="shared" si="20"/>
        <v>1.0159159847854242</v>
      </c>
      <c r="AG184" s="5">
        <f t="shared" si="21"/>
        <v>0.99999999999999989</v>
      </c>
    </row>
    <row r="185" spans="1:33" x14ac:dyDescent="0.25">
      <c r="A185" s="1" t="s">
        <v>556</v>
      </c>
      <c r="B185">
        <v>1976</v>
      </c>
      <c r="C185" s="45">
        <f t="shared" si="11"/>
        <v>0.19097693688431369</v>
      </c>
      <c r="D185" s="45">
        <f>Data!HI184/Data!K184</f>
        <v>0.17463394650426495</v>
      </c>
      <c r="E185" s="44">
        <f>Data!IC184/Data!K184</f>
        <v>1.6342990380048741E-2</v>
      </c>
      <c r="F185" s="7">
        <v>0</v>
      </c>
      <c r="G185" s="46">
        <f>Data!IC184/Data!K184</f>
        <v>1.6342990380048741E-2</v>
      </c>
      <c r="H185" s="45">
        <f t="shared" si="12"/>
        <v>0.45589036996398796</v>
      </c>
      <c r="I185" s="63">
        <f t="shared" si="13"/>
        <v>0.36779908265077382</v>
      </c>
      <c r="J185" s="44">
        <f t="shared" si="14"/>
        <v>8.8091287313214126E-2</v>
      </c>
      <c r="K185" s="7"/>
      <c r="L185" s="12"/>
      <c r="M185" s="45">
        <f t="shared" si="15"/>
        <v>0.27871846992025384</v>
      </c>
      <c r="N185" s="58">
        <f>Data!ID184/Data!K184</f>
        <v>7.0938744651821109E-2</v>
      </c>
      <c r="O185" s="7"/>
      <c r="P185" s="61">
        <v>0.01</v>
      </c>
      <c r="Q185" s="44">
        <f t="shared" si="16"/>
        <v>0.20777972526843275</v>
      </c>
      <c r="R185" s="44">
        <f t="shared" si="17"/>
        <v>0.11316688366524769</v>
      </c>
      <c r="S185" s="44">
        <f>(Data!HU184/Data!K184)/0.7</f>
        <v>9.4612841603185074E-2</v>
      </c>
      <c r="T185" s="7"/>
      <c r="U185" s="12"/>
      <c r="V185" s="43">
        <f>Data!HK184/Data!K184</f>
        <v>0.6555999128202864</v>
      </c>
      <c r="W185" s="49">
        <f t="shared" si="18"/>
        <v>0.2536428735682203</v>
      </c>
      <c r="X185" s="44">
        <f>Data!IE184/Data!K184 - 0.3*Y185</f>
        <v>0.15903003196503523</v>
      </c>
      <c r="Y185" s="44">
        <f t="shared" si="19"/>
        <v>9.4612841603185074E-2</v>
      </c>
      <c r="Z185" s="7">
        <f>Data!CT184/Data!K184</f>
        <v>0.1308494317343798</v>
      </c>
      <c r="AA185" s="12">
        <f>(Data!K184-Data!AN184)/Data!K184</f>
        <v>9.0757213611493318E-2</v>
      </c>
      <c r="AB185" s="7"/>
      <c r="AC185" s="7"/>
      <c r="AD185" s="7"/>
      <c r="AE185" s="12"/>
      <c r="AF185" s="5">
        <f t="shared" si="20"/>
        <v>1.0163429903800489</v>
      </c>
      <c r="AG185" s="5">
        <f t="shared" si="21"/>
        <v>1</v>
      </c>
    </row>
    <row r="186" spans="1:33" x14ac:dyDescent="0.25">
      <c r="A186" s="1" t="s">
        <v>556</v>
      </c>
      <c r="B186">
        <v>1977</v>
      </c>
      <c r="C186" s="45">
        <f t="shared" si="11"/>
        <v>0.211354912096165</v>
      </c>
      <c r="D186" s="45">
        <f>Data!HI185/Data!K185</f>
        <v>0.1940594869766728</v>
      </c>
      <c r="E186" s="44">
        <f>Data!IC185/Data!K185</f>
        <v>1.7295425119492197E-2</v>
      </c>
      <c r="F186" s="7">
        <v>0</v>
      </c>
      <c r="G186" s="46">
        <f>Data!IC185/Data!K185</f>
        <v>1.7295425119492197E-2</v>
      </c>
      <c r="H186" s="45">
        <f t="shared" si="12"/>
        <v>0.42326855905857452</v>
      </c>
      <c r="I186" s="63">
        <f t="shared" si="13"/>
        <v>0.35532226041337905</v>
      </c>
      <c r="J186" s="44">
        <f t="shared" si="14"/>
        <v>6.7946298645195441E-2</v>
      </c>
      <c r="K186" s="7"/>
      <c r="L186" s="12"/>
      <c r="M186" s="45">
        <f t="shared" si="15"/>
        <v>0.2844375257793848</v>
      </c>
      <c r="N186" s="58">
        <f>Data!ID185/Data!K185</f>
        <v>7.153733407022364E-2</v>
      </c>
      <c r="O186" s="7"/>
      <c r="P186" s="61">
        <v>0.01</v>
      </c>
      <c r="Q186" s="44">
        <f t="shared" si="16"/>
        <v>0.21290019170916116</v>
      </c>
      <c r="R186" s="44">
        <f t="shared" si="17"/>
        <v>0.12623546059782742</v>
      </c>
      <c r="S186" s="44">
        <f>(Data!HU185/Data!K185)/0.7</f>
        <v>8.6664731111333743E-2</v>
      </c>
      <c r="T186" s="7"/>
      <c r="U186" s="12"/>
      <c r="V186" s="43">
        <f>Data!HK185/Data!K185</f>
        <v>0.67561720798787928</v>
      </c>
      <c r="W186" s="49">
        <f t="shared" si="18"/>
        <v>0.22614836382675282</v>
      </c>
      <c r="X186" s="44">
        <f>Data!IE185/Data!K185 - 0.3*Y186</f>
        <v>0.13948363271541908</v>
      </c>
      <c r="Y186" s="44">
        <f t="shared" si="19"/>
        <v>8.6664731111333743E-2</v>
      </c>
      <c r="Z186" s="7">
        <f>Data!CT185/Data!K185</f>
        <v>0.13686318937578254</v>
      </c>
      <c r="AA186" s="12">
        <f>(Data!K185-Data!AN185)/Data!K185</f>
        <v>9.8234428185367803E-2</v>
      </c>
      <c r="AB186" s="7"/>
      <c r="AC186" s="7"/>
      <c r="AD186" s="7"/>
      <c r="AE186" s="12"/>
      <c r="AF186" s="5">
        <f t="shared" si="20"/>
        <v>1.0172954251194921</v>
      </c>
      <c r="AG186" s="5">
        <f t="shared" si="21"/>
        <v>0.99999999999999989</v>
      </c>
    </row>
    <row r="187" spans="1:33" x14ac:dyDescent="0.25">
      <c r="A187" s="1" t="s">
        <v>556</v>
      </c>
      <c r="B187">
        <v>1978</v>
      </c>
      <c r="C187" s="45">
        <f t="shared" ref="C187:C208" si="22">E187+F187+D187</f>
        <v>0.21876852328944729</v>
      </c>
      <c r="D187" s="45">
        <f>Data!HI186/Data!K186</f>
        <v>0.20131875227447849</v>
      </c>
      <c r="E187" s="44">
        <f>Data!IC186/Data!K186</f>
        <v>1.7449771014968821E-2</v>
      </c>
      <c r="F187" s="7">
        <v>0</v>
      </c>
      <c r="G187" s="46">
        <f>Data!IC186/Data!K186</f>
        <v>1.7449771014968821E-2</v>
      </c>
      <c r="H187" s="45">
        <f t="shared" si="12"/>
        <v>0.40502820347142821</v>
      </c>
      <c r="I187" s="63">
        <f t="shared" si="13"/>
        <v>0.34220138961350111</v>
      </c>
      <c r="J187" s="44">
        <f t="shared" si="14"/>
        <v>6.2826813857927072E-2</v>
      </c>
      <c r="K187" s="7"/>
      <c r="L187" s="12"/>
      <c r="M187" s="45">
        <f t="shared" si="15"/>
        <v>0.28692781800894551</v>
      </c>
      <c r="N187" s="58">
        <f>Data!ID186/Data!K186</f>
        <v>7.394303476714767E-2</v>
      </c>
      <c r="O187" s="7"/>
      <c r="P187" s="61">
        <v>0.01</v>
      </c>
      <c r="Q187" s="44">
        <f t="shared" si="16"/>
        <v>0.21298478324179781</v>
      </c>
      <c r="R187" s="44">
        <f t="shared" si="17"/>
        <v>0.12847958938433648</v>
      </c>
      <c r="S187" s="44">
        <f>(Data!HU186/Data!K186)/0.7</f>
        <v>8.450519385746133E-2</v>
      </c>
      <c r="T187" s="7"/>
      <c r="U187" s="12"/>
      <c r="V187" s="43">
        <f>Data!HK186/Data!K186</f>
        <v>0.67199973127231605</v>
      </c>
      <c r="W187" s="49">
        <f t="shared" si="18"/>
        <v>0.22127504248253607</v>
      </c>
      <c r="X187" s="44">
        <f>Data!IE186/Data!K186 - 0.3*Y187</f>
        <v>0.13676984862507474</v>
      </c>
      <c r="Y187" s="44">
        <f t="shared" si="19"/>
        <v>8.450519385746133E-2</v>
      </c>
      <c r="Z187" s="7">
        <f>Data!CT186/Data!K186</f>
        <v>0.13975389981441916</v>
      </c>
      <c r="AA187" s="12">
        <f>(Data!K186-Data!AN186)/Data!K186</f>
        <v>0.10672522624514784</v>
      </c>
      <c r="AB187" s="7"/>
      <c r="AC187" s="7"/>
      <c r="AD187" s="7"/>
      <c r="AE187" s="12"/>
      <c r="AF187" s="5">
        <f t="shared" si="20"/>
        <v>1.0174497710149688</v>
      </c>
      <c r="AG187" s="5">
        <f t="shared" si="21"/>
        <v>1</v>
      </c>
    </row>
    <row r="188" spans="1:33" x14ac:dyDescent="0.25">
      <c r="A188" s="1" t="s">
        <v>556</v>
      </c>
      <c r="B188">
        <v>1979</v>
      </c>
      <c r="C188" s="45">
        <f t="shared" si="22"/>
        <v>0.22102326239513209</v>
      </c>
      <c r="D188" s="45">
        <f>Data!HI187/Data!K187</f>
        <v>0.20337560390230006</v>
      </c>
      <c r="E188" s="44">
        <f>Data!IC187/Data!K187</f>
        <v>1.7647658492832043E-2</v>
      </c>
      <c r="F188" s="7">
        <v>0</v>
      </c>
      <c r="G188" s="46">
        <f>Data!IC187/Data!K187</f>
        <v>1.7647658492832043E-2</v>
      </c>
      <c r="H188" s="45">
        <f t="shared" ref="H188:H209" si="23">I188+J188</f>
        <v>0.43321926302392683</v>
      </c>
      <c r="I188" s="63">
        <f t="shared" ref="I188:I209" si="24">V188-R188-D188</f>
        <v>0.34838877079476538</v>
      </c>
      <c r="J188" s="44">
        <f t="shared" ref="J188:J209" si="25">X188-N188</f>
        <v>8.4830492229161433E-2</v>
      </c>
      <c r="K188" s="7"/>
      <c r="L188" s="12"/>
      <c r="M188" s="45">
        <f t="shared" ref="M188:M209" si="26">N188+Q188</f>
        <v>0.26066964964868683</v>
      </c>
      <c r="N188" s="58">
        <f>Data!ID187/Data!K187</f>
        <v>7.3448701784967055E-2</v>
      </c>
      <c r="O188" s="7"/>
      <c r="P188" s="61">
        <v>0.01</v>
      </c>
      <c r="Q188" s="44">
        <f t="shared" ref="Q188:Q209" si="27">R188+S188</f>
        <v>0.18722094786371979</v>
      </c>
      <c r="R188" s="44">
        <f t="shared" ref="R188:R209" si="28">(1/3)*(S188/(J188+S188))*(V188)</f>
        <v>0.10682098309822184</v>
      </c>
      <c r="S188" s="44">
        <f>(Data!HU187/Data!K187)/0.7</f>
        <v>8.0399964765497933E-2</v>
      </c>
      <c r="T188" s="7"/>
      <c r="U188" s="12"/>
      <c r="V188" s="43">
        <f>Data!HK187/Data!K187</f>
        <v>0.65858535779528726</v>
      </c>
      <c r="W188" s="49">
        <f t="shared" ref="W188:W209" si="29">X188+Y188</f>
        <v>0.23867915877962642</v>
      </c>
      <c r="X188" s="44">
        <f>Data!IE187/Data!K187 - 0.3*Y188</f>
        <v>0.15827919401412849</v>
      </c>
      <c r="Y188" s="44">
        <f t="shared" ref="Y188:Y209" si="30">S188</f>
        <v>8.0399964765497933E-2</v>
      </c>
      <c r="Z188" s="7">
        <f>Data!CT187/Data!K187</f>
        <v>0.13596940669006974</v>
      </c>
      <c r="AA188" s="12">
        <f>(Data!K187-Data!AN187)/Data!K187</f>
        <v>0.1027354834250864</v>
      </c>
      <c r="AB188" s="7"/>
      <c r="AC188" s="7"/>
      <c r="AD188" s="7"/>
      <c r="AE188" s="12"/>
      <c r="AF188" s="5">
        <f t="shared" ref="AF188:AF209" si="31">N188+Q188+H188+C188+AA188</f>
        <v>1.0176476584928322</v>
      </c>
      <c r="AG188" s="5">
        <f t="shared" ref="AG188:AG209" si="32">V188+X188+AA188+Y188</f>
        <v>1</v>
      </c>
    </row>
    <row r="189" spans="1:33" x14ac:dyDescent="0.25">
      <c r="A189" s="1" t="s">
        <v>556</v>
      </c>
      <c r="B189">
        <v>1980</v>
      </c>
      <c r="C189" s="45">
        <f t="shared" si="22"/>
        <v>0.22523302669110706</v>
      </c>
      <c r="D189" s="45">
        <f>Data!HI188/Data!K188</f>
        <v>0.20715966315819379</v>
      </c>
      <c r="E189" s="44">
        <f>Data!IC188/Data!K188</f>
        <v>1.8073363532913264E-2</v>
      </c>
      <c r="F189" s="7">
        <v>0</v>
      </c>
      <c r="G189" s="46">
        <f>Data!IC188/Data!K188</f>
        <v>1.8073363532913264E-2</v>
      </c>
      <c r="H189" s="45">
        <f t="shared" si="23"/>
        <v>0.42938920185990259</v>
      </c>
      <c r="I189" s="63">
        <f t="shared" si="24"/>
        <v>0.3410128207767148</v>
      </c>
      <c r="J189" s="44">
        <f t="shared" si="25"/>
        <v>8.8376381083187808E-2</v>
      </c>
      <c r="K189" s="7"/>
      <c r="L189" s="12"/>
      <c r="M189" s="45">
        <f t="shared" si="26"/>
        <v>0.25657736909364937</v>
      </c>
      <c r="N189" s="58">
        <f>Data!ID188/Data!K188</f>
        <v>7.2555185071929554E-2</v>
      </c>
      <c r="O189" s="7"/>
      <c r="P189" s="61">
        <v>0.01</v>
      </c>
      <c r="Q189" s="44">
        <f t="shared" si="27"/>
        <v>0.18402218402171983</v>
      </c>
      <c r="R189" s="44">
        <f t="shared" si="28"/>
        <v>0.10354051691369745</v>
      </c>
      <c r="S189" s="44">
        <f>(Data!HU188/Data!K188)/0.7</f>
        <v>8.0481667108022362E-2</v>
      </c>
      <c r="T189" s="7"/>
      <c r="U189" s="12"/>
      <c r="V189" s="43">
        <f>Data!HK188/Data!K188</f>
        <v>0.65171300084860606</v>
      </c>
      <c r="W189" s="49">
        <f t="shared" si="29"/>
        <v>0.24141323326313974</v>
      </c>
      <c r="X189" s="44">
        <f>Data!IE188/Data!K188 - 0.3*Y189</f>
        <v>0.16093156615511736</v>
      </c>
      <c r="Y189" s="44">
        <f t="shared" si="30"/>
        <v>8.0481667108022362E-2</v>
      </c>
      <c r="Z189" s="7">
        <f>Data!CT188/Data!K188</f>
        <v>0.13617371347570928</v>
      </c>
      <c r="AA189" s="12">
        <f>(Data!K188-Data!AN188)/Data!K188</f>
        <v>0.1068737658882542</v>
      </c>
      <c r="AB189" s="7"/>
      <c r="AC189" s="7"/>
      <c r="AD189" s="7"/>
      <c r="AE189" s="12"/>
      <c r="AF189" s="5">
        <f t="shared" si="31"/>
        <v>1.0180733635329131</v>
      </c>
      <c r="AG189" s="5">
        <f t="shared" si="32"/>
        <v>1</v>
      </c>
    </row>
    <row r="190" spans="1:33" x14ac:dyDescent="0.25">
      <c r="A190" s="1" t="s">
        <v>556</v>
      </c>
      <c r="B190">
        <v>1981</v>
      </c>
      <c r="C190" s="45">
        <f t="shared" si="22"/>
        <v>0.2249449346066035</v>
      </c>
      <c r="D190" s="45">
        <f>Data!HI189/Data!K189</f>
        <v>0.20626519791873671</v>
      </c>
      <c r="E190" s="44">
        <f>Data!IC189/Data!K189</f>
        <v>1.8679736687866797E-2</v>
      </c>
      <c r="F190" s="7">
        <v>0</v>
      </c>
      <c r="G190" s="46">
        <f>Data!IC189/Data!K189</f>
        <v>1.8679736687866797E-2</v>
      </c>
      <c r="H190" s="45">
        <f t="shared" si="23"/>
        <v>0.4136298031605018</v>
      </c>
      <c r="I190" s="63">
        <f t="shared" si="24"/>
        <v>0.33260231394655954</v>
      </c>
      <c r="J190" s="44">
        <f t="shared" si="25"/>
        <v>8.1027489213942261E-2</v>
      </c>
      <c r="K190" s="7"/>
      <c r="L190" s="12"/>
      <c r="M190" s="45">
        <f t="shared" si="26"/>
        <v>0.26645792833215887</v>
      </c>
      <c r="N190" s="58">
        <f>Data!ID189/Data!K189</f>
        <v>7.7479925934777649E-2</v>
      </c>
      <c r="O190" s="7"/>
      <c r="P190" s="61">
        <v>0.01</v>
      </c>
      <c r="Q190" s="44">
        <f t="shared" si="27"/>
        <v>0.18897800239738122</v>
      </c>
      <c r="R190" s="44">
        <f t="shared" si="28"/>
        <v>0.10785204603750294</v>
      </c>
      <c r="S190" s="44">
        <f>(Data!HU189/Data!K189)/0.7</f>
        <v>8.1125956359878293E-2</v>
      </c>
      <c r="T190" s="7"/>
      <c r="U190" s="12"/>
      <c r="V190" s="43">
        <f>Data!HK189/Data!K189</f>
        <v>0.64671955790279922</v>
      </c>
      <c r="W190" s="49">
        <f t="shared" si="29"/>
        <v>0.2396333715085982</v>
      </c>
      <c r="X190" s="44">
        <f>Data!IE189/Data!K189 - 0.3*Y190</f>
        <v>0.15850741514871991</v>
      </c>
      <c r="Y190" s="44">
        <f t="shared" si="30"/>
        <v>8.1125956359878293E-2</v>
      </c>
      <c r="Z190" s="7">
        <f>Data!CT189/Data!K189</f>
        <v>0.13814965653105638</v>
      </c>
      <c r="AA190" s="12">
        <f>(Data!K189-Data!AN189)/Data!K189</f>
        <v>0.11364707058860274</v>
      </c>
      <c r="AB190" s="7"/>
      <c r="AC190" s="7"/>
      <c r="AD190" s="7"/>
      <c r="AE190" s="12"/>
      <c r="AF190" s="5">
        <f t="shared" si="31"/>
        <v>1.0186797366878668</v>
      </c>
      <c r="AG190" s="5">
        <f t="shared" si="32"/>
        <v>1.0000000000000002</v>
      </c>
    </row>
    <row r="191" spans="1:33" x14ac:dyDescent="0.25">
      <c r="A191" s="1" t="s">
        <v>556</v>
      </c>
      <c r="B191">
        <v>1982</v>
      </c>
      <c r="C191" s="45">
        <f t="shared" si="22"/>
        <v>0.22407376450824573</v>
      </c>
      <c r="D191" s="45">
        <f>Data!HI190/Data!K190</f>
        <v>0.2052052180069355</v>
      </c>
      <c r="E191" s="44">
        <f>Data!IC190/Data!K190</f>
        <v>1.8868546501310229E-2</v>
      </c>
      <c r="F191" s="7">
        <v>0</v>
      </c>
      <c r="G191" s="46">
        <f>Data!IC190/Data!K190</f>
        <v>1.8868546501310229E-2</v>
      </c>
      <c r="H191" s="45">
        <f t="shared" si="23"/>
        <v>0.425234491391763</v>
      </c>
      <c r="I191" s="63">
        <f t="shared" si="24"/>
        <v>0.32603273319547577</v>
      </c>
      <c r="J191" s="44">
        <f t="shared" si="25"/>
        <v>9.9201758196287237E-2</v>
      </c>
      <c r="K191" s="7"/>
      <c r="L191" s="12"/>
      <c r="M191" s="45">
        <f t="shared" si="26"/>
        <v>0.26374682745653938</v>
      </c>
      <c r="N191" s="58">
        <f>Data!ID190/Data!K190</f>
        <v>8.4373187133668925E-2</v>
      </c>
      <c r="O191" s="7"/>
      <c r="P191" s="61">
        <v>0.01</v>
      </c>
      <c r="Q191" s="44">
        <f t="shared" si="27"/>
        <v>0.17937364032287045</v>
      </c>
      <c r="R191" s="44">
        <f t="shared" si="28"/>
        <v>9.5643662440127758E-2</v>
      </c>
      <c r="S191" s="44">
        <f>(Data!HU190/Data!K190)/0.7</f>
        <v>8.3729977882742695E-2</v>
      </c>
      <c r="T191" s="7"/>
      <c r="U191" s="12"/>
      <c r="V191" s="43">
        <f>Data!HK190/Data!K190</f>
        <v>0.62688161364253903</v>
      </c>
      <c r="W191" s="49">
        <f t="shared" si="29"/>
        <v>0.26730492321269883</v>
      </c>
      <c r="X191" s="44">
        <f>Data!IE190/Data!K190 - 0.3*Y191</f>
        <v>0.18357494532995616</v>
      </c>
      <c r="Y191" s="44">
        <f t="shared" si="30"/>
        <v>8.3729977882742695E-2</v>
      </c>
      <c r="Z191" s="7">
        <f>Data!CT190/Data!K190</f>
        <v>0.13995532029520308</v>
      </c>
      <c r="AA191" s="12">
        <f>(Data!K190-Data!AN190)/Data!K190</f>
        <v>0.10581346314476216</v>
      </c>
      <c r="AB191" s="7"/>
      <c r="AC191" s="7"/>
      <c r="AD191" s="7"/>
      <c r="AE191" s="12"/>
      <c r="AF191" s="5">
        <f t="shared" si="31"/>
        <v>1.0188685465013103</v>
      </c>
      <c r="AG191" s="5">
        <f t="shared" si="32"/>
        <v>1</v>
      </c>
    </row>
    <row r="192" spans="1:33" x14ac:dyDescent="0.25">
      <c r="A192" s="1" t="s">
        <v>556</v>
      </c>
      <c r="B192">
        <v>1983</v>
      </c>
      <c r="C192" s="45">
        <f t="shared" si="22"/>
        <v>0.21719781539757113</v>
      </c>
      <c r="D192" s="45">
        <f>Data!HI191/Data!K191</f>
        <v>0.19830527198391062</v>
      </c>
      <c r="E192" s="44">
        <f>Data!IC191/Data!K191</f>
        <v>1.8892543413660517E-2</v>
      </c>
      <c r="F192" s="7">
        <v>0</v>
      </c>
      <c r="G192" s="46">
        <f>Data!IC191/Data!K191</f>
        <v>1.8892543413660517E-2</v>
      </c>
      <c r="H192" s="45">
        <f t="shared" si="23"/>
        <v>0.44333592594372306</v>
      </c>
      <c r="I192" s="63">
        <f t="shared" si="24"/>
        <v>0.3244279907116599</v>
      </c>
      <c r="J192" s="44">
        <f t="shared" si="25"/>
        <v>0.11890793523206318</v>
      </c>
      <c r="K192" s="7"/>
      <c r="L192" s="12"/>
      <c r="M192" s="45">
        <f t="shared" si="26"/>
        <v>0.24747416472245931</v>
      </c>
      <c r="N192" s="58">
        <f>Data!ID191/Data!K191</f>
        <v>8.3656606127987823E-2</v>
      </c>
      <c r="O192" s="7"/>
      <c r="P192" s="61">
        <v>0.01</v>
      </c>
      <c r="Q192" s="44">
        <f t="shared" si="27"/>
        <v>0.1638175585944715</v>
      </c>
      <c r="R192" s="44">
        <f t="shared" si="28"/>
        <v>8.2113017975871713E-2</v>
      </c>
      <c r="S192" s="44">
        <f>(Data!HU191/Data!K191)/0.7</f>
        <v>8.1704540618599802E-2</v>
      </c>
      <c r="T192" s="7"/>
      <c r="U192" s="12"/>
      <c r="V192" s="43">
        <f>Data!HK191/Data!K191</f>
        <v>0.60484628067144219</v>
      </c>
      <c r="W192" s="49">
        <f t="shared" si="29"/>
        <v>0.28426908197865081</v>
      </c>
      <c r="X192" s="44">
        <f>Data!IE191/Data!K191 - 0.3*Y192</f>
        <v>0.202564541360051</v>
      </c>
      <c r="Y192" s="44">
        <f t="shared" si="30"/>
        <v>8.1704540618599802E-2</v>
      </c>
      <c r="Z192" s="7">
        <f>Data!CT191/Data!K191</f>
        <v>0.14016786425751743</v>
      </c>
      <c r="AA192" s="12">
        <f>(Data!K191-Data!AN191)/Data!K191</f>
        <v>0.1108846373499071</v>
      </c>
      <c r="AB192" s="7"/>
      <c r="AC192" s="7"/>
      <c r="AD192" s="7"/>
      <c r="AE192" s="12"/>
      <c r="AF192" s="5">
        <f t="shared" si="31"/>
        <v>1.0188925434136606</v>
      </c>
      <c r="AG192" s="5">
        <f t="shared" si="32"/>
        <v>1</v>
      </c>
    </row>
    <row r="193" spans="1:33" x14ac:dyDescent="0.25">
      <c r="A193" s="1" t="s">
        <v>556</v>
      </c>
      <c r="B193">
        <v>1984</v>
      </c>
      <c r="C193" s="45">
        <f t="shared" si="22"/>
        <v>0.21027128672914067</v>
      </c>
      <c r="D193" s="45">
        <f>Data!HI192/Data!K192</f>
        <v>0.19200884078557839</v>
      </c>
      <c r="E193" s="44">
        <f>Data!IC192/Data!K192</f>
        <v>1.8262445943562283E-2</v>
      </c>
      <c r="F193" s="7">
        <v>0</v>
      </c>
      <c r="G193" s="46">
        <f>Data!IC192/Data!K192</f>
        <v>1.8262445943562283E-2</v>
      </c>
      <c r="H193" s="45">
        <f t="shared" si="23"/>
        <v>0.4585484113729601</v>
      </c>
      <c r="I193" s="63">
        <f t="shared" si="24"/>
        <v>0.32889034379986587</v>
      </c>
      <c r="J193" s="44">
        <f t="shared" si="25"/>
        <v>0.12965806757309423</v>
      </c>
      <c r="K193" s="7"/>
      <c r="L193" s="12"/>
      <c r="M193" s="45">
        <f t="shared" si="26"/>
        <v>0.23593023119468876</v>
      </c>
      <c r="N193" s="58">
        <f>Data!ID192/Data!K192</f>
        <v>8.0581670779231132E-2</v>
      </c>
      <c r="O193" s="7"/>
      <c r="P193" s="61">
        <v>0.01</v>
      </c>
      <c r="Q193" s="44">
        <f t="shared" si="27"/>
        <v>0.15534856041545764</v>
      </c>
      <c r="R193" s="44">
        <f t="shared" si="28"/>
        <v>7.5683363525790248E-2</v>
      </c>
      <c r="S193" s="44">
        <f>(Data!HU192/Data!K192)/0.7</f>
        <v>7.9665196889667375E-2</v>
      </c>
      <c r="T193" s="7"/>
      <c r="U193" s="12"/>
      <c r="V193" s="43">
        <f>Data!HK192/Data!K192</f>
        <v>0.59658254811123457</v>
      </c>
      <c r="W193" s="49">
        <f t="shared" si="29"/>
        <v>0.28990493524199273</v>
      </c>
      <c r="X193" s="44">
        <f>Data!IE192/Data!K192 - 0.3*Y193</f>
        <v>0.21023973835232534</v>
      </c>
      <c r="Y193" s="44">
        <f t="shared" si="30"/>
        <v>7.9665196889667375E-2</v>
      </c>
      <c r="Z193" s="7">
        <f>Data!CT192/Data!K192</f>
        <v>0.13443176738493123</v>
      </c>
      <c r="AA193" s="12">
        <f>(Data!K192-Data!AN192)/Data!K192</f>
        <v>0.1135125166467727</v>
      </c>
      <c r="AB193" s="7"/>
      <c r="AC193" s="7"/>
      <c r="AD193" s="7"/>
      <c r="AE193" s="12"/>
      <c r="AF193" s="5">
        <f t="shared" si="31"/>
        <v>1.0182624459435621</v>
      </c>
      <c r="AG193" s="5">
        <f t="shared" si="32"/>
        <v>1</v>
      </c>
    </row>
    <row r="194" spans="1:33" x14ac:dyDescent="0.25">
      <c r="A194" s="1" t="s">
        <v>556</v>
      </c>
      <c r="B194">
        <v>1985</v>
      </c>
      <c r="C194" s="45">
        <f t="shared" si="22"/>
        <v>0.20647682608775697</v>
      </c>
      <c r="D194" s="45">
        <f>Data!HI193/Data!K193</f>
        <v>0.18825163483419252</v>
      </c>
      <c r="E194" s="44">
        <f>Data!IC193/Data!K193</f>
        <v>1.8225191253564452E-2</v>
      </c>
      <c r="F194" s="7">
        <v>0</v>
      </c>
      <c r="G194" s="46">
        <f>Data!IC193/Data!K193</f>
        <v>1.8225191253564452E-2</v>
      </c>
      <c r="H194" s="45">
        <f t="shared" si="23"/>
        <v>0.45611851388318853</v>
      </c>
      <c r="I194" s="63">
        <f t="shared" si="24"/>
        <v>0.33433437580404224</v>
      </c>
      <c r="J194" s="44">
        <f t="shared" si="25"/>
        <v>0.12178413807914627</v>
      </c>
      <c r="K194" s="7"/>
      <c r="L194" s="12"/>
      <c r="M194" s="45">
        <f t="shared" si="26"/>
        <v>0.23450119257096103</v>
      </c>
      <c r="N194" s="58">
        <f>Data!ID193/Data!K193</f>
        <v>8.0980409808214623E-2</v>
      </c>
      <c r="O194" s="7"/>
      <c r="P194" s="61">
        <v>0.01</v>
      </c>
      <c r="Q194" s="44">
        <f t="shared" si="27"/>
        <v>0.15352078276274639</v>
      </c>
      <c r="R194" s="44">
        <f t="shared" si="28"/>
        <v>7.7081588612301716E-2</v>
      </c>
      <c r="S194" s="44">
        <f>(Data!HU193/Data!K193)/0.7</f>
        <v>7.6439194150444686E-2</v>
      </c>
      <c r="T194" s="7"/>
      <c r="U194" s="12"/>
      <c r="V194" s="43">
        <f>Data!HK193/Data!K193</f>
        <v>0.59966759925053648</v>
      </c>
      <c r="W194" s="49">
        <f t="shared" si="29"/>
        <v>0.27920374203780557</v>
      </c>
      <c r="X194" s="44">
        <f>Data!IE193/Data!K193 - 0.3*Y194</f>
        <v>0.2027645478873609</v>
      </c>
      <c r="Y194" s="44">
        <f t="shared" si="30"/>
        <v>7.6439194150444686E-2</v>
      </c>
      <c r="Z194" s="7">
        <f>Data!CT193/Data!K193</f>
        <v>0.13470345585498711</v>
      </c>
      <c r="AA194" s="12">
        <f>(Data!K193-Data!AN193)/Data!K193</f>
        <v>0.12112865871165804</v>
      </c>
      <c r="AB194" s="7"/>
      <c r="AC194" s="7"/>
      <c r="AD194" s="7"/>
      <c r="AE194" s="12"/>
      <c r="AF194" s="5">
        <f t="shared" si="31"/>
        <v>1.0182251912535645</v>
      </c>
      <c r="AG194" s="5">
        <f t="shared" si="32"/>
        <v>1</v>
      </c>
    </row>
    <row r="195" spans="1:33" x14ac:dyDescent="0.25">
      <c r="A195" s="1" t="s">
        <v>556</v>
      </c>
      <c r="B195">
        <v>1986</v>
      </c>
      <c r="C195" s="45">
        <f t="shared" si="22"/>
        <v>0.20418999779050184</v>
      </c>
      <c r="D195" s="45">
        <f>Data!HI194/Data!K194</f>
        <v>0.18645760722642948</v>
      </c>
      <c r="E195" s="44">
        <f>Data!IC194/Data!K194</f>
        <v>1.7732390564072366E-2</v>
      </c>
      <c r="F195" s="7">
        <v>0</v>
      </c>
      <c r="G195" s="46">
        <f>Data!IC194/Data!K194</f>
        <v>1.7732390564072366E-2</v>
      </c>
      <c r="H195" s="45">
        <f t="shared" si="23"/>
        <v>0.46807231929556736</v>
      </c>
      <c r="I195" s="63">
        <f t="shared" si="24"/>
        <v>0.33642847420216948</v>
      </c>
      <c r="J195" s="44">
        <f t="shared" si="25"/>
        <v>0.13164384509339791</v>
      </c>
      <c r="K195" s="7"/>
      <c r="L195" s="12"/>
      <c r="M195" s="45">
        <f t="shared" si="26"/>
        <v>0.22831944975266602</v>
      </c>
      <c r="N195" s="58">
        <f>Data!ID194/Data!K194</f>
        <v>8.0110168691982925E-2</v>
      </c>
      <c r="O195" s="7"/>
      <c r="P195" s="61">
        <v>0.01</v>
      </c>
      <c r="Q195" s="44">
        <f t="shared" si="27"/>
        <v>0.1482092810606831</v>
      </c>
      <c r="R195" s="44">
        <f t="shared" si="28"/>
        <v>7.247505884705463E-2</v>
      </c>
      <c r="S195" s="44">
        <f>(Data!HU194/Data!K194)/0.7</f>
        <v>7.573422221362848E-2</v>
      </c>
      <c r="T195" s="7"/>
      <c r="U195" s="12"/>
      <c r="V195" s="43">
        <f>Data!HK194/Data!K194</f>
        <v>0.59536114027565357</v>
      </c>
      <c r="W195" s="49">
        <f t="shared" si="29"/>
        <v>0.2874882359990093</v>
      </c>
      <c r="X195" s="44">
        <f>Data!IE194/Data!K194 - 0.3*Y195</f>
        <v>0.21175401378538083</v>
      </c>
      <c r="Y195" s="44">
        <f t="shared" si="30"/>
        <v>7.573422221362848E-2</v>
      </c>
      <c r="Z195" s="7">
        <f>Data!CT194/Data!K194</f>
        <v>0.13216173899138783</v>
      </c>
      <c r="AA195" s="12">
        <f>(Data!K194-Data!AN194)/Data!K194</f>
        <v>0.11715062372533706</v>
      </c>
      <c r="AB195" s="7"/>
      <c r="AC195" s="7"/>
      <c r="AD195" s="7"/>
      <c r="AE195" s="12"/>
      <c r="AF195" s="5">
        <f t="shared" si="31"/>
        <v>1.0177323905640723</v>
      </c>
      <c r="AG195" s="5">
        <f t="shared" si="32"/>
        <v>0.99999999999999989</v>
      </c>
    </row>
    <row r="196" spans="1:33" x14ac:dyDescent="0.25">
      <c r="A196" s="1" t="s">
        <v>556</v>
      </c>
      <c r="B196">
        <v>1987</v>
      </c>
      <c r="C196" s="45">
        <f t="shared" si="22"/>
        <v>0.19766650131233607</v>
      </c>
      <c r="D196" s="45">
        <f>Data!HI195/Data!K195</f>
        <v>0.18003808292233464</v>
      </c>
      <c r="E196" s="44">
        <f>Data!IC195/Data!K195</f>
        <v>1.7628418390001434E-2</v>
      </c>
      <c r="F196" s="7">
        <v>0</v>
      </c>
      <c r="G196" s="46">
        <f>Data!IC195/Data!K195</f>
        <v>1.7628418390001434E-2</v>
      </c>
      <c r="H196" s="45">
        <f t="shared" si="23"/>
        <v>0.46804977068975728</v>
      </c>
      <c r="I196" s="63">
        <f t="shared" si="24"/>
        <v>0.34164503688198516</v>
      </c>
      <c r="J196" s="44">
        <f t="shared" si="25"/>
        <v>0.12640473380777212</v>
      </c>
      <c r="K196" s="7"/>
      <c r="L196" s="12"/>
      <c r="M196" s="45">
        <f t="shared" si="26"/>
        <v>0.23187119002534223</v>
      </c>
      <c r="N196" s="58">
        <f>Data!ID195/Data!K195</f>
        <v>8.0421464299454806E-2</v>
      </c>
      <c r="O196" s="7"/>
      <c r="P196" s="61">
        <v>0.01</v>
      </c>
      <c r="Q196" s="44">
        <f t="shared" si="27"/>
        <v>0.15144972572588744</v>
      </c>
      <c r="R196" s="44">
        <f t="shared" si="28"/>
        <v>7.4971242554111056E-2</v>
      </c>
      <c r="S196" s="44">
        <f>(Data!HU195/Data!K195)/0.7</f>
        <v>7.6478483171776399E-2</v>
      </c>
      <c r="T196" s="7"/>
      <c r="U196" s="12"/>
      <c r="V196" s="43">
        <f>Data!HK195/Data!K195</f>
        <v>0.59665436235843083</v>
      </c>
      <c r="W196" s="49">
        <f t="shared" si="29"/>
        <v>0.28330468127900332</v>
      </c>
      <c r="X196" s="44">
        <f>Data!IE195/Data!K195 - 0.3*Y196</f>
        <v>0.20682619810722691</v>
      </c>
      <c r="Y196" s="44">
        <f t="shared" si="30"/>
        <v>7.6478483171776399E-2</v>
      </c>
      <c r="Z196" s="7">
        <f>Data!CT195/Data!K195</f>
        <v>0.13237086484301178</v>
      </c>
      <c r="AA196" s="12">
        <f>(Data!K195-Data!AN195)/Data!K195</f>
        <v>0.12004095636256594</v>
      </c>
      <c r="AB196" s="7"/>
      <c r="AC196" s="7"/>
      <c r="AD196" s="7"/>
      <c r="AE196" s="12"/>
      <c r="AF196" s="5">
        <f t="shared" si="31"/>
        <v>1.0176284183900015</v>
      </c>
      <c r="AG196" s="5">
        <f t="shared" si="32"/>
        <v>1</v>
      </c>
    </row>
    <row r="197" spans="1:33" x14ac:dyDescent="0.25">
      <c r="A197" s="1" t="s">
        <v>556</v>
      </c>
      <c r="B197">
        <v>1988</v>
      </c>
      <c r="C197" s="45">
        <f t="shared" si="22"/>
        <v>0.19454807347482148</v>
      </c>
      <c r="D197" s="45">
        <f>Data!HI196/Data!K196</f>
        <v>0.17670482286673411</v>
      </c>
      <c r="E197" s="44">
        <f>Data!IC196/Data!K196</f>
        <v>1.7843250608087353E-2</v>
      </c>
      <c r="F197" s="7">
        <v>0</v>
      </c>
      <c r="G197" s="46">
        <f>Data!IC196/Data!K196</f>
        <v>1.7843250608087353E-2</v>
      </c>
      <c r="H197" s="45">
        <f t="shared" si="23"/>
        <v>0.4758997537827766</v>
      </c>
      <c r="I197" s="63">
        <f t="shared" si="24"/>
        <v>0.34768792023409739</v>
      </c>
      <c r="J197" s="44">
        <f t="shared" si="25"/>
        <v>0.12821183354867918</v>
      </c>
      <c r="K197" s="7"/>
      <c r="L197" s="12"/>
      <c r="M197" s="45">
        <f t="shared" si="26"/>
        <v>0.22975980184272138</v>
      </c>
      <c r="N197" s="58">
        <f>Data!ID196/Data!K196</f>
        <v>8.0044123189514343E-2</v>
      </c>
      <c r="O197" s="7"/>
      <c r="P197" s="61">
        <v>0.01</v>
      </c>
      <c r="Q197" s="44">
        <f t="shared" si="27"/>
        <v>0.14971567865320703</v>
      </c>
      <c r="R197" s="44">
        <f t="shared" si="28"/>
        <v>7.4039243399118493E-2</v>
      </c>
      <c r="S197" s="44">
        <f>(Data!HU196/Data!K196)/0.7</f>
        <v>7.5676435254088542E-2</v>
      </c>
      <c r="T197" s="7"/>
      <c r="U197" s="12"/>
      <c r="V197" s="43">
        <f>Data!HK196/Data!K196</f>
        <v>0.59843198649995</v>
      </c>
      <c r="W197" s="49">
        <f t="shared" si="29"/>
        <v>0.28393239199228204</v>
      </c>
      <c r="X197" s="44">
        <f>Data!IE196/Data!K196 - 0.3*Y197</f>
        <v>0.20825595673819353</v>
      </c>
      <c r="Y197" s="44">
        <f t="shared" si="30"/>
        <v>7.5676435254088542E-2</v>
      </c>
      <c r="Z197" s="7">
        <f>Data!CT196/Data!K196</f>
        <v>0.13526096681949432</v>
      </c>
      <c r="AA197" s="12">
        <f>(Data!K196-Data!AN196)/Data!K196</f>
        <v>0.11763562150776792</v>
      </c>
      <c r="AB197" s="7"/>
      <c r="AC197" s="7"/>
      <c r="AD197" s="7"/>
      <c r="AE197" s="12"/>
      <c r="AF197" s="5">
        <f t="shared" si="31"/>
        <v>1.0178432506080874</v>
      </c>
      <c r="AG197" s="5">
        <f t="shared" si="32"/>
        <v>1</v>
      </c>
    </row>
    <row r="198" spans="1:33" x14ac:dyDescent="0.25">
      <c r="A198" s="1" t="s">
        <v>556</v>
      </c>
      <c r="B198">
        <v>1989</v>
      </c>
      <c r="C198" s="45">
        <f t="shared" si="22"/>
        <v>0.19608267287327164</v>
      </c>
      <c r="D198" s="45">
        <f>Data!HI197/Data!K197</f>
        <v>0.17814486390569459</v>
      </c>
      <c r="E198" s="44">
        <f>Data!IC197/Data!K197</f>
        <v>1.7937808967577039E-2</v>
      </c>
      <c r="F198" s="7">
        <v>0</v>
      </c>
      <c r="G198" s="46">
        <f>Data!IC197/Data!K197</f>
        <v>1.7937808967577039E-2</v>
      </c>
      <c r="H198" s="45">
        <f t="shared" si="23"/>
        <v>0.47044382765732806</v>
      </c>
      <c r="I198" s="63">
        <f t="shared" si="24"/>
        <v>0.34872120451302224</v>
      </c>
      <c r="J198" s="44">
        <f t="shared" si="25"/>
        <v>0.12172262314430581</v>
      </c>
      <c r="K198" s="7"/>
      <c r="L198" s="12"/>
      <c r="M198" s="45">
        <f t="shared" si="26"/>
        <v>0.23658650954633192</v>
      </c>
      <c r="N198" s="58">
        <f>Data!ID197/Data!K197</f>
        <v>7.7545868985365182E-2</v>
      </c>
      <c r="O198" s="7"/>
      <c r="P198" s="61">
        <v>0.01</v>
      </c>
      <c r="Q198" s="44">
        <f t="shared" si="27"/>
        <v>0.15904064056096673</v>
      </c>
      <c r="R198" s="44">
        <f t="shared" si="28"/>
        <v>7.9757354162555735E-2</v>
      </c>
      <c r="S198" s="44">
        <f>(Data!HU197/Data!K197)/0.7</f>
        <v>7.9283286398410979E-2</v>
      </c>
      <c r="T198" s="7"/>
      <c r="U198" s="12"/>
      <c r="V198" s="43">
        <f>Data!HK197/Data!K197</f>
        <v>0.60662342258127255</v>
      </c>
      <c r="W198" s="49">
        <f t="shared" si="29"/>
        <v>0.27855177852808199</v>
      </c>
      <c r="X198" s="44">
        <f>Data!IE197/Data!K197 - 0.3*Y198</f>
        <v>0.19926849212967099</v>
      </c>
      <c r="Y198" s="44">
        <f t="shared" si="30"/>
        <v>7.9283286398410979E-2</v>
      </c>
      <c r="Z198" s="7">
        <f>Data!CT197/Data!K197</f>
        <v>0.13787391360366735</v>
      </c>
      <c r="AA198" s="12">
        <f>(Data!K197-Data!AN197)/Data!K197</f>
        <v>0.11482479889064542</v>
      </c>
      <c r="AB198" s="7"/>
      <c r="AC198" s="7"/>
      <c r="AD198" s="7"/>
      <c r="AE198" s="12"/>
      <c r="AF198" s="5">
        <f t="shared" si="31"/>
        <v>1.017937808967577</v>
      </c>
      <c r="AG198" s="5">
        <f t="shared" si="32"/>
        <v>1</v>
      </c>
    </row>
    <row r="199" spans="1:33" x14ac:dyDescent="0.25">
      <c r="A199" s="1" t="s">
        <v>556</v>
      </c>
      <c r="B199">
        <v>1990</v>
      </c>
      <c r="C199" s="45">
        <f t="shared" si="22"/>
        <v>0.20499361512025394</v>
      </c>
      <c r="D199" s="45">
        <f>Data!HI198/Data!K198</f>
        <v>0.18701182669060448</v>
      </c>
      <c r="E199" s="44">
        <f>Data!IC198/Data!K198</f>
        <v>1.7981788429649453E-2</v>
      </c>
      <c r="F199" s="7">
        <v>0</v>
      </c>
      <c r="G199" s="46">
        <f>Data!IC198/Data!K198</f>
        <v>1.7981788429649453E-2</v>
      </c>
      <c r="H199" s="45">
        <f t="shared" si="23"/>
        <v>0.45210065743226996</v>
      </c>
      <c r="I199" s="63">
        <f t="shared" si="24"/>
        <v>0.34477854623968507</v>
      </c>
      <c r="J199" s="44">
        <f t="shared" si="25"/>
        <v>0.10732211119258489</v>
      </c>
      <c r="K199" s="7"/>
      <c r="L199" s="12"/>
      <c r="M199" s="45">
        <f t="shared" si="26"/>
        <v>0.23669330459981844</v>
      </c>
      <c r="N199" s="58">
        <f>Data!ID198/Data!K198</f>
        <v>7.6687011535242156E-2</v>
      </c>
      <c r="O199" s="7"/>
      <c r="P199" s="61">
        <v>0.01</v>
      </c>
      <c r="Q199" s="44">
        <f t="shared" si="27"/>
        <v>0.16000629306457628</v>
      </c>
      <c r="R199" s="44">
        <f t="shared" si="28"/>
        <v>8.4723627563709408E-2</v>
      </c>
      <c r="S199" s="44">
        <f>(Data!HU198/Data!K198)/0.7</f>
        <v>7.5282665500866874E-2</v>
      </c>
      <c r="T199" s="7"/>
      <c r="U199" s="12"/>
      <c r="V199" s="43">
        <f>Data!HK198/Data!K198</f>
        <v>0.61651400049399896</v>
      </c>
      <c r="W199" s="49">
        <f t="shared" si="29"/>
        <v>0.25929178822869392</v>
      </c>
      <c r="X199" s="44">
        <f>Data!IE198/Data!K198 - 0.3*Y199</f>
        <v>0.18400912272782705</v>
      </c>
      <c r="Y199" s="44">
        <f t="shared" si="30"/>
        <v>7.5282665500866874E-2</v>
      </c>
      <c r="Z199" s="7">
        <f>Data!CT198/Data!K198</f>
        <v>0.13918814433728691</v>
      </c>
      <c r="AA199" s="12">
        <f>(Data!K198-Data!AN198)/Data!K198</f>
        <v>0.12419421127730701</v>
      </c>
      <c r="AB199" s="7"/>
      <c r="AC199" s="7"/>
      <c r="AD199" s="7"/>
      <c r="AE199" s="12"/>
      <c r="AF199" s="5">
        <f t="shared" si="31"/>
        <v>1.0179817884296494</v>
      </c>
      <c r="AG199" s="5">
        <f t="shared" si="32"/>
        <v>0.99999999999999978</v>
      </c>
    </row>
    <row r="200" spans="1:33" x14ac:dyDescent="0.25">
      <c r="A200" s="1" t="s">
        <v>556</v>
      </c>
      <c r="B200">
        <v>1991</v>
      </c>
      <c r="C200" s="45">
        <f t="shared" si="22"/>
        <v>0.20490687340674213</v>
      </c>
      <c r="D200" s="45">
        <f>Data!HI199/Data!K199</f>
        <v>0.1886907634553168</v>
      </c>
      <c r="E200" s="44">
        <f>Data!IC199/Data!K199</f>
        <v>1.6216109951425344E-2</v>
      </c>
      <c r="F200" s="7">
        <v>0</v>
      </c>
      <c r="G200" s="46">
        <f>Data!IC199/Data!K199</f>
        <v>1.6216109951425344E-2</v>
      </c>
      <c r="H200" s="45">
        <f t="shared" si="23"/>
        <v>0.43245279900725975</v>
      </c>
      <c r="I200" s="63">
        <f t="shared" si="24"/>
        <v>0.33686774031741473</v>
      </c>
      <c r="J200" s="44">
        <f t="shared" si="25"/>
        <v>9.5585058689844987E-2</v>
      </c>
      <c r="K200" s="7"/>
      <c r="L200" s="12"/>
      <c r="M200" s="45">
        <f t="shared" si="26"/>
        <v>0.24265848976026916</v>
      </c>
      <c r="N200" s="58">
        <f>Data!ID199/Data!K199</f>
        <v>8.938370213818822E-2</v>
      </c>
      <c r="O200" s="7"/>
      <c r="P200" s="61">
        <v>0.01</v>
      </c>
      <c r="Q200" s="44">
        <f t="shared" si="27"/>
        <v>0.15327478762208094</v>
      </c>
      <c r="R200" s="44">
        <f t="shared" si="28"/>
        <v>8.4873563606145397E-2</v>
      </c>
      <c r="S200" s="44">
        <f>(Data!HU199/Data!K199)/0.7</f>
        <v>6.8401224015935541E-2</v>
      </c>
      <c r="T200" s="7"/>
      <c r="U200" s="12"/>
      <c r="V200" s="43">
        <f>Data!HK199/Data!K199</f>
        <v>0.6104320673788769</v>
      </c>
      <c r="W200" s="49">
        <f t="shared" si="29"/>
        <v>0.25336998484396878</v>
      </c>
      <c r="X200" s="44">
        <f>Data!IE199/Data!K199 - 0.3*Y200</f>
        <v>0.18496876082803321</v>
      </c>
      <c r="Y200" s="44">
        <f t="shared" si="30"/>
        <v>6.8401224015935541E-2</v>
      </c>
      <c r="Z200" s="7">
        <f>Data!CT199/Data!K199</f>
        <v>0.1393679189027926</v>
      </c>
      <c r="AA200" s="12">
        <f>(Data!K199-Data!AN199)/Data!K199</f>
        <v>0.13619794777715422</v>
      </c>
      <c r="AB200" s="7"/>
      <c r="AC200" s="7"/>
      <c r="AD200" s="7"/>
      <c r="AE200" s="12"/>
      <c r="AF200" s="5">
        <f t="shared" si="31"/>
        <v>1.0162161099514253</v>
      </c>
      <c r="AG200" s="5">
        <f t="shared" si="32"/>
        <v>0.99999999999999978</v>
      </c>
    </row>
    <row r="201" spans="1:33" x14ac:dyDescent="0.25">
      <c r="A201" s="1" t="s">
        <v>556</v>
      </c>
      <c r="B201">
        <v>1992</v>
      </c>
      <c r="C201" s="45">
        <f t="shared" si="22"/>
        <v>0.20892846946695057</v>
      </c>
      <c r="D201" s="45">
        <f>Data!HI200/Data!K200</f>
        <v>0.19283844521514559</v>
      </c>
      <c r="E201" s="44">
        <f>Data!IC200/Data!K200</f>
        <v>1.6090024251804974E-2</v>
      </c>
      <c r="F201" s="7">
        <v>0</v>
      </c>
      <c r="G201" s="46">
        <f>Data!IC200/Data!K200</f>
        <v>1.6090024251804974E-2</v>
      </c>
      <c r="H201" s="45">
        <f t="shared" si="23"/>
        <v>0.42471825429673149</v>
      </c>
      <c r="I201" s="63">
        <f t="shared" si="24"/>
        <v>0.32734392447949767</v>
      </c>
      <c r="J201" s="44">
        <f t="shared" si="25"/>
        <v>9.7374329817233832E-2</v>
      </c>
      <c r="K201" s="7"/>
      <c r="L201" s="12"/>
      <c r="M201" s="45">
        <f t="shared" si="26"/>
        <v>0.25902760729000196</v>
      </c>
      <c r="N201" s="58">
        <f>Data!ID200/Data!K200</f>
        <v>0.10612518378929002</v>
      </c>
      <c r="O201" s="7"/>
      <c r="P201" s="61">
        <v>0.01</v>
      </c>
      <c r="Q201" s="44">
        <f t="shared" si="27"/>
        <v>0.15290242350071193</v>
      </c>
      <c r="R201" s="44">
        <f t="shared" si="28"/>
        <v>8.365238829792726E-2</v>
      </c>
      <c r="S201" s="44">
        <f>(Data!HU200/Data!K200)/0.7</f>
        <v>6.9250035202784679E-2</v>
      </c>
      <c r="T201" s="7"/>
      <c r="U201" s="12"/>
      <c r="V201" s="43">
        <f>Data!HK200/Data!K200</f>
        <v>0.60383475799257058</v>
      </c>
      <c r="W201" s="49">
        <f t="shared" si="29"/>
        <v>0.27274954880930852</v>
      </c>
      <c r="X201" s="44">
        <f>Data!IE200/Data!K200 - 0.3*Y201</f>
        <v>0.20349951360652385</v>
      </c>
      <c r="Y201" s="44">
        <f t="shared" si="30"/>
        <v>6.9250035202784679E-2</v>
      </c>
      <c r="Z201" s="7">
        <f>Data!CT200/Data!K200</f>
        <v>0.13901921286152313</v>
      </c>
      <c r="AA201" s="12">
        <f>(Data!K200-Data!AN200)/Data!K200</f>
        <v>0.12341569319812082</v>
      </c>
      <c r="AB201" s="7"/>
      <c r="AC201" s="7"/>
      <c r="AD201" s="7"/>
      <c r="AE201" s="12"/>
      <c r="AF201" s="5">
        <f t="shared" si="31"/>
        <v>1.0160900242518047</v>
      </c>
      <c r="AG201" s="5">
        <f t="shared" si="32"/>
        <v>1</v>
      </c>
    </row>
    <row r="202" spans="1:33" x14ac:dyDescent="0.25">
      <c r="A202" s="1" t="s">
        <v>556</v>
      </c>
      <c r="B202">
        <v>1993</v>
      </c>
      <c r="C202" s="45">
        <f t="shared" si="22"/>
        <v>0.20752036710786287</v>
      </c>
      <c r="D202" s="45">
        <f>Data!HI201/Data!K201</f>
        <v>0.19097123222242307</v>
      </c>
      <c r="E202" s="44">
        <f>Data!IC201/Data!K201</f>
        <v>1.6549134885439805E-2</v>
      </c>
      <c r="F202" s="7">
        <v>0</v>
      </c>
      <c r="G202" s="46">
        <f>Data!IC201/Data!K201</f>
        <v>1.6549134885439805E-2</v>
      </c>
      <c r="H202" s="45">
        <f t="shared" si="23"/>
        <v>0.43300984010834725</v>
      </c>
      <c r="I202" s="63">
        <f t="shared" si="24"/>
        <v>0.32073516594521556</v>
      </c>
      <c r="J202" s="44">
        <f t="shared" si="25"/>
        <v>0.11227467416313171</v>
      </c>
      <c r="K202" s="7"/>
      <c r="L202" s="12"/>
      <c r="M202" s="45">
        <f t="shared" si="26"/>
        <v>0.25503015949670532</v>
      </c>
      <c r="N202" s="58">
        <f>Data!ID201/Data!K201</f>
        <v>0.11113280999158147</v>
      </c>
      <c r="O202" s="7"/>
      <c r="P202" s="61">
        <v>0.01</v>
      </c>
      <c r="Q202" s="44">
        <f t="shared" si="27"/>
        <v>0.14389734950512387</v>
      </c>
      <c r="R202" s="44">
        <f t="shared" si="28"/>
        <v>7.4592434417566009E-2</v>
      </c>
      <c r="S202" s="44">
        <f>(Data!HU201/Data!K201)/0.7</f>
        <v>6.9304915087557858E-2</v>
      </c>
      <c r="T202" s="7"/>
      <c r="U202" s="12"/>
      <c r="V202" s="43">
        <f>Data!HK201/Data!K201</f>
        <v>0.58629883258520465</v>
      </c>
      <c r="W202" s="49">
        <f t="shared" si="29"/>
        <v>0.29271239924227105</v>
      </c>
      <c r="X202" s="44">
        <f>Data!IE201/Data!K201 - 0.3*Y202</f>
        <v>0.22340748415471318</v>
      </c>
      <c r="Y202" s="44">
        <f t="shared" si="30"/>
        <v>6.9304915087557858E-2</v>
      </c>
      <c r="Z202" s="7">
        <f>Data!CT201/Data!K201</f>
        <v>0.14168681685423626</v>
      </c>
      <c r="AA202" s="12">
        <f>(Data!K201-Data!AN201)/Data!K201</f>
        <v>0.12098876817252434</v>
      </c>
      <c r="AB202" s="7"/>
      <c r="AC202" s="7"/>
      <c r="AD202" s="7"/>
      <c r="AE202" s="12"/>
      <c r="AF202" s="5">
        <f t="shared" si="31"/>
        <v>1.0165491348854399</v>
      </c>
      <c r="AG202" s="5">
        <f t="shared" si="32"/>
        <v>1</v>
      </c>
    </row>
    <row r="203" spans="1:33" x14ac:dyDescent="0.25">
      <c r="A203" s="1" t="s">
        <v>556</v>
      </c>
      <c r="B203">
        <v>1994</v>
      </c>
      <c r="C203" s="45">
        <f t="shared" si="22"/>
        <v>0.19889971077921664</v>
      </c>
      <c r="D203" s="45">
        <f>Data!HI202/Data!K202</f>
        <v>0.18293703991604235</v>
      </c>
      <c r="E203" s="44">
        <f>Data!IC202/Data!K202</f>
        <v>1.5962670863174301E-2</v>
      </c>
      <c r="F203" s="7">
        <v>0</v>
      </c>
      <c r="G203" s="46">
        <f>Data!IC202/Data!K202</f>
        <v>1.5962670863174301E-2</v>
      </c>
      <c r="H203" s="45">
        <f t="shared" si="23"/>
        <v>0.44417051053636125</v>
      </c>
      <c r="I203" s="63">
        <f t="shared" si="24"/>
        <v>0.32363290764213115</v>
      </c>
      <c r="J203" s="44">
        <f t="shared" si="25"/>
        <v>0.12053760289423013</v>
      </c>
      <c r="K203" s="7"/>
      <c r="L203" s="12"/>
      <c r="M203" s="45">
        <f t="shared" si="26"/>
        <v>0.25590845800610662</v>
      </c>
      <c r="N203" s="58">
        <f>Data!ID202/Data!K202</f>
        <v>0.11334742269740702</v>
      </c>
      <c r="O203" s="7"/>
      <c r="P203" s="61">
        <v>0.01</v>
      </c>
      <c r="Q203" s="44">
        <f t="shared" si="27"/>
        <v>0.14256103530869957</v>
      </c>
      <c r="R203" s="44">
        <f t="shared" si="28"/>
        <v>7.1477334482480864E-2</v>
      </c>
      <c r="S203" s="44">
        <f>(Data!HU202/Data!K202)/0.7</f>
        <v>7.108370082621869E-2</v>
      </c>
      <c r="T203" s="7"/>
      <c r="U203" s="12"/>
      <c r="V203" s="43">
        <f>Data!HK202/Data!K202</f>
        <v>0.57804728204065436</v>
      </c>
      <c r="W203" s="49">
        <f t="shared" si="29"/>
        <v>0.30496872641785583</v>
      </c>
      <c r="X203" s="44">
        <f>Data!IE202/Data!K202 - 0.3*Y203</f>
        <v>0.23388502559163715</v>
      </c>
      <c r="Y203" s="44">
        <f t="shared" si="30"/>
        <v>7.108370082621869E-2</v>
      </c>
      <c r="Z203" s="7">
        <f>Data!CT202/Data!K202</f>
        <v>0.13409048991797717</v>
      </c>
      <c r="AA203" s="12">
        <f>(Data!K202-Data!AN202)/Data!K202</f>
        <v>0.11698399154148979</v>
      </c>
      <c r="AB203" s="7"/>
      <c r="AC203" s="7"/>
      <c r="AD203" s="7"/>
      <c r="AE203" s="12"/>
      <c r="AF203" s="5">
        <f t="shared" si="31"/>
        <v>1.0159626708631744</v>
      </c>
      <c r="AG203" s="5">
        <f t="shared" si="32"/>
        <v>1</v>
      </c>
    </row>
    <row r="204" spans="1:33" x14ac:dyDescent="0.25">
      <c r="A204" s="1" t="s">
        <v>556</v>
      </c>
      <c r="B204">
        <v>1995</v>
      </c>
      <c r="C204" s="45">
        <f t="shared" si="22"/>
        <v>0.18830456260352169</v>
      </c>
      <c r="D204" s="45">
        <f>Data!HI203/Data!K203</f>
        <v>0.17280658600192558</v>
      </c>
      <c r="E204" s="44">
        <f>Data!IC203/Data!K203</f>
        <v>1.5497976601596094E-2</v>
      </c>
      <c r="F204" s="7">
        <v>0</v>
      </c>
      <c r="G204" s="46">
        <f>Data!IC203/Data!K203</f>
        <v>1.5497976601596094E-2</v>
      </c>
      <c r="H204" s="45">
        <f t="shared" si="23"/>
        <v>0.47163209494001768</v>
      </c>
      <c r="I204" s="63">
        <f t="shared" si="24"/>
        <v>0.32617745377552387</v>
      </c>
      <c r="J204" s="44">
        <f t="shared" si="25"/>
        <v>0.1454546411644938</v>
      </c>
      <c r="K204" s="7"/>
      <c r="L204" s="12"/>
      <c r="M204" s="45">
        <f t="shared" si="26"/>
        <v>0.24388113647322687</v>
      </c>
      <c r="N204" s="58">
        <f>Data!ID203/Data!K203</f>
        <v>0.10743963217417102</v>
      </c>
      <c r="O204" s="7"/>
      <c r="P204" s="61">
        <v>0.01</v>
      </c>
      <c r="Q204" s="44">
        <f t="shared" si="27"/>
        <v>0.13644150429905585</v>
      </c>
      <c r="R204" s="44">
        <f t="shared" si="28"/>
        <v>6.2897099084852318E-2</v>
      </c>
      <c r="S204" s="44">
        <f>(Data!HU203/Data!K203)/0.7</f>
        <v>7.3544405214203537E-2</v>
      </c>
      <c r="T204" s="7"/>
      <c r="U204" s="12"/>
      <c r="V204" s="43">
        <f>Data!HK203/Data!K203</f>
        <v>0.56188113886230173</v>
      </c>
      <c r="W204" s="49">
        <f t="shared" si="29"/>
        <v>0.32643867855286834</v>
      </c>
      <c r="X204" s="44">
        <f>Data!IE203/Data!K203 - 0.3*Y204</f>
        <v>0.25289427333866482</v>
      </c>
      <c r="Y204" s="44">
        <f t="shared" si="30"/>
        <v>7.3544405214203537E-2</v>
      </c>
      <c r="Z204" s="7">
        <f>Data!CT203/Data!K203</f>
        <v>0.12781624800310962</v>
      </c>
      <c r="AA204" s="12">
        <f>(Data!K203-Data!AN203)/Data!K203</f>
        <v>0.11168018258483006</v>
      </c>
      <c r="AB204" s="7"/>
      <c r="AC204" s="7"/>
      <c r="AD204" s="7"/>
      <c r="AE204" s="12"/>
      <c r="AF204" s="5">
        <f t="shared" si="31"/>
        <v>1.0154979766015964</v>
      </c>
      <c r="AG204" s="5">
        <f t="shared" si="32"/>
        <v>1</v>
      </c>
    </row>
    <row r="205" spans="1:33" x14ac:dyDescent="0.25">
      <c r="A205" s="1" t="s">
        <v>556</v>
      </c>
      <c r="B205">
        <v>1996</v>
      </c>
      <c r="C205" s="45">
        <f t="shared" si="22"/>
        <v>0.19280932441084447</v>
      </c>
      <c r="D205" s="45">
        <f>Data!HI204/Data!K204</f>
        <v>0.17750098177485765</v>
      </c>
      <c r="E205" s="44">
        <f>Data!IC204/Data!K204</f>
        <v>1.5308342635986827E-2</v>
      </c>
      <c r="F205" s="7">
        <v>0</v>
      </c>
      <c r="G205" s="46">
        <f>Data!IC204/Data!K204</f>
        <v>1.5308342635986827E-2</v>
      </c>
      <c r="H205" s="45">
        <f t="shared" si="23"/>
        <v>0.46326023008184358</v>
      </c>
      <c r="I205" s="63">
        <f t="shared" si="24"/>
        <v>0.33516967549286447</v>
      </c>
      <c r="J205" s="44">
        <f t="shared" si="25"/>
        <v>0.12809055458897911</v>
      </c>
      <c r="K205" s="7"/>
      <c r="L205" s="12"/>
      <c r="M205" s="45">
        <f t="shared" si="26"/>
        <v>0.25223314205093916</v>
      </c>
      <c r="N205" s="58">
        <f>Data!ID204/Data!K204</f>
        <v>0.10996601160632147</v>
      </c>
      <c r="O205" s="7"/>
      <c r="P205" s="61">
        <v>0.01</v>
      </c>
      <c r="Q205" s="44">
        <f t="shared" si="27"/>
        <v>0.1422671304446177</v>
      </c>
      <c r="R205" s="44">
        <f t="shared" si="28"/>
        <v>7.0036412692674271E-2</v>
      </c>
      <c r="S205" s="44">
        <f>(Data!HU204/Data!K204)/0.7</f>
        <v>7.2230717751943438E-2</v>
      </c>
      <c r="T205" s="7"/>
      <c r="U205" s="12"/>
      <c r="V205" s="43">
        <f>Data!HK204/Data!K204</f>
        <v>0.58270706996039634</v>
      </c>
      <c r="W205" s="49">
        <f t="shared" si="29"/>
        <v>0.31028728394724403</v>
      </c>
      <c r="X205" s="44">
        <f>Data!IE204/Data!K204 - 0.3*Y205</f>
        <v>0.23805656619530058</v>
      </c>
      <c r="Y205" s="44">
        <f t="shared" si="30"/>
        <v>7.2230717751943438E-2</v>
      </c>
      <c r="Z205" s="7">
        <f>Data!CT204/Data!K204</f>
        <v>0.12597565862057722</v>
      </c>
      <c r="AA205" s="12">
        <f>(Data!K204-Data!AN204)/Data!K204</f>
        <v>0.10700564609235953</v>
      </c>
      <c r="AB205" s="7"/>
      <c r="AC205" s="7"/>
      <c r="AD205" s="7"/>
      <c r="AE205" s="12"/>
      <c r="AF205" s="5">
        <f t="shared" si="31"/>
        <v>1.0153083426359868</v>
      </c>
      <c r="AG205" s="5">
        <f t="shared" si="32"/>
        <v>0.99999999999999989</v>
      </c>
    </row>
    <row r="206" spans="1:33" x14ac:dyDescent="0.25">
      <c r="A206" s="1" t="s">
        <v>556</v>
      </c>
      <c r="B206">
        <v>1997</v>
      </c>
      <c r="C206" s="45">
        <f t="shared" si="22"/>
        <v>0.18925547830816181</v>
      </c>
      <c r="D206" s="45">
        <f>Data!HI205/Data!K205</f>
        <v>0.17408986529489262</v>
      </c>
      <c r="E206" s="44">
        <f>Data!IC205/Data!K205</f>
        <v>1.5165613013269184E-2</v>
      </c>
      <c r="F206" s="7">
        <v>0</v>
      </c>
      <c r="G206" s="46">
        <f>Data!IC205/Data!K205</f>
        <v>1.5165613013269184E-2</v>
      </c>
      <c r="H206" s="45">
        <f t="shared" si="23"/>
        <v>0.47230530095622497</v>
      </c>
      <c r="I206" s="63">
        <f t="shared" si="24"/>
        <v>0.33689209013723881</v>
      </c>
      <c r="J206" s="44">
        <f t="shared" si="25"/>
        <v>0.13541321081898616</v>
      </c>
      <c r="K206" s="7"/>
      <c r="L206" s="12"/>
      <c r="M206" s="45">
        <f t="shared" si="26"/>
        <v>0.2482990055167219</v>
      </c>
      <c r="N206" s="58">
        <f>Data!ID205/Data!K205</f>
        <v>0.10915659144529753</v>
      </c>
      <c r="O206" s="7"/>
      <c r="P206" s="61">
        <v>0.01</v>
      </c>
      <c r="Q206" s="44">
        <f t="shared" si="27"/>
        <v>0.13914241407142439</v>
      </c>
      <c r="R206" s="44">
        <f t="shared" si="28"/>
        <v>6.6976640639156607E-2</v>
      </c>
      <c r="S206" s="44">
        <f>(Data!HU205/Data!K205)/0.7</f>
        <v>7.216577343226778E-2</v>
      </c>
      <c r="T206" s="7"/>
      <c r="U206" s="12"/>
      <c r="V206" s="43">
        <f>Data!HK205/Data!K205</f>
        <v>0.57795859607128808</v>
      </c>
      <c r="W206" s="49">
        <f t="shared" si="29"/>
        <v>0.31673557569655147</v>
      </c>
      <c r="X206" s="44">
        <f>Data!IE205/Data!K205 - 0.3*Y206</f>
        <v>0.24456980226428371</v>
      </c>
      <c r="Y206" s="44">
        <f t="shared" si="30"/>
        <v>7.216577343226778E-2</v>
      </c>
      <c r="Z206" s="7">
        <f>Data!CT205/Data!K205</f>
        <v>0.12545915657781412</v>
      </c>
      <c r="AA206" s="12">
        <f>(Data!K205-Data!AN205)/Data!K205</f>
        <v>0.10530582823216042</v>
      </c>
      <c r="AB206" s="7"/>
      <c r="AC206" s="7"/>
      <c r="AD206" s="7"/>
      <c r="AE206" s="12"/>
      <c r="AF206" s="5">
        <f t="shared" si="31"/>
        <v>1.0151656130132691</v>
      </c>
      <c r="AG206" s="5">
        <f t="shared" si="32"/>
        <v>1</v>
      </c>
    </row>
    <row r="207" spans="1:33" x14ac:dyDescent="0.25">
      <c r="A207" s="1" t="s">
        <v>556</v>
      </c>
      <c r="B207">
        <v>1998</v>
      </c>
      <c r="C207" s="45">
        <f t="shared" si="22"/>
        <v>0.18407960291255565</v>
      </c>
      <c r="D207" s="45">
        <f>Data!HI206/Data!K206</f>
        <v>0.16908488673997357</v>
      </c>
      <c r="E207" s="44">
        <f>Data!IC206/Data!K206</f>
        <v>1.4994716172582072E-2</v>
      </c>
      <c r="F207" s="7">
        <v>0</v>
      </c>
      <c r="G207" s="46">
        <f>Data!IC206/Data!K206</f>
        <v>1.4994716172582072E-2</v>
      </c>
      <c r="H207" s="45">
        <f t="shared" si="23"/>
        <v>0.48513399831096926</v>
      </c>
      <c r="I207" s="63">
        <f>V207-R207-D207</f>
        <v>0.34569713222278919</v>
      </c>
      <c r="J207" s="44">
        <f t="shared" si="25"/>
        <v>0.13943686608818007</v>
      </c>
      <c r="K207" s="7"/>
      <c r="L207" s="12"/>
      <c r="M207" s="45">
        <f t="shared" si="26"/>
        <v>0.23985173097064688</v>
      </c>
      <c r="N207" s="58">
        <f>Data!ID206/Data!K206</f>
        <v>0.1050712704089196</v>
      </c>
      <c r="O207" s="7"/>
      <c r="P207" s="61">
        <v>0.01</v>
      </c>
      <c r="Q207" s="44">
        <f t="shared" si="27"/>
        <v>0.13478046056172727</v>
      </c>
      <c r="R207" s="44">
        <f t="shared" si="28"/>
        <v>6.4639673852144169E-2</v>
      </c>
      <c r="S207" s="44">
        <f>(Data!HU206/Data!K206)/0.7</f>
        <v>7.0140786709583111E-2</v>
      </c>
      <c r="T207" s="7"/>
      <c r="U207" s="12"/>
      <c r="V207" s="43">
        <f>Data!HK206/Data!K206</f>
        <v>0.57942169281490696</v>
      </c>
      <c r="W207" s="49">
        <f t="shared" si="29"/>
        <v>0.31464892320668275</v>
      </c>
      <c r="X207" s="44">
        <f>Data!IE206/Data!K206 - 0.3*Y207</f>
        <v>0.24450813649709965</v>
      </c>
      <c r="Y207" s="44">
        <f t="shared" si="30"/>
        <v>7.0140786709583111E-2</v>
      </c>
      <c r="Z207" s="7">
        <f>Data!CT206/Data!K206</f>
        <v>0.12535076006873425</v>
      </c>
      <c r="AA207" s="12">
        <f>(Data!K206-Data!AN206)/Data!K206</f>
        <v>0.10592938397841034</v>
      </c>
      <c r="AB207" s="7"/>
      <c r="AC207" s="7"/>
      <c r="AD207" s="7"/>
      <c r="AE207" s="12"/>
      <c r="AF207" s="5">
        <f t="shared" si="31"/>
        <v>1.0149947161725823</v>
      </c>
      <c r="AG207" s="5">
        <f t="shared" si="32"/>
        <v>1</v>
      </c>
    </row>
    <row r="208" spans="1:33" x14ac:dyDescent="0.25">
      <c r="A208" s="1" t="s">
        <v>556</v>
      </c>
      <c r="B208">
        <v>1999</v>
      </c>
      <c r="C208" s="45">
        <f t="shared" si="22"/>
        <v>0.18149188410736802</v>
      </c>
      <c r="D208" s="45">
        <f>Data!HI207/Data!K207</f>
        <v>0.16665318389880818</v>
      </c>
      <c r="E208" s="44">
        <f>Data!IC207/Data!K207</f>
        <v>1.4838700208559834E-2</v>
      </c>
      <c r="F208" s="7">
        <v>0</v>
      </c>
      <c r="G208" s="46">
        <f>Data!IC207/Data!K207</f>
        <v>1.4838700208559834E-2</v>
      </c>
      <c r="H208" s="45">
        <f t="shared" si="23"/>
        <v>0.49866311287830339</v>
      </c>
      <c r="I208" s="63">
        <f t="shared" si="24"/>
        <v>0.34802366963027725</v>
      </c>
      <c r="J208" s="44">
        <f t="shared" si="25"/>
        <v>0.15063944324802614</v>
      </c>
      <c r="K208" s="7"/>
      <c r="L208" s="12"/>
      <c r="M208" s="45">
        <f t="shared" si="26"/>
        <v>0.22660275905871521</v>
      </c>
      <c r="N208" s="58">
        <f>Data!ID207/Data!K207</f>
        <v>0.10042444837803816</v>
      </c>
      <c r="O208" s="7"/>
      <c r="P208" s="61">
        <v>0.01</v>
      </c>
      <c r="Q208" s="44">
        <f t="shared" si="27"/>
        <v>0.12617831068067706</v>
      </c>
      <c r="R208" s="44">
        <f t="shared" si="28"/>
        <v>5.8984638029414241E-2</v>
      </c>
      <c r="S208" s="44">
        <f>(Data!HU207/Data!K207)/0.7</f>
        <v>6.7193672651262817E-2</v>
      </c>
      <c r="T208" s="7"/>
      <c r="U208" s="12"/>
      <c r="V208" s="43">
        <f>Data!HK207/Data!K207</f>
        <v>0.57366149155849966</v>
      </c>
      <c r="W208" s="49">
        <f t="shared" si="29"/>
        <v>0.3182575642773271</v>
      </c>
      <c r="X208" s="44">
        <f>Data!IE207/Data!K207 - 0.3*Y208</f>
        <v>0.25106389162606429</v>
      </c>
      <c r="Y208" s="44">
        <f t="shared" si="30"/>
        <v>6.7193672651262817E-2</v>
      </c>
      <c r="Z208" s="7">
        <f>Data!CT207/Data!K207</f>
        <v>0.12493234692061644</v>
      </c>
      <c r="AA208" s="12">
        <f>(Data!K207-Data!AN207)/Data!K207</f>
        <v>0.10808094416417323</v>
      </c>
      <c r="AB208" s="7"/>
      <c r="AC208" s="7"/>
      <c r="AD208" s="7"/>
      <c r="AE208" s="12"/>
      <c r="AF208" s="5">
        <f t="shared" si="31"/>
        <v>1.0148387002085599</v>
      </c>
      <c r="AG208" s="5">
        <f t="shared" si="32"/>
        <v>1</v>
      </c>
    </row>
    <row r="209" spans="1:33" ht="13.8" thickBot="1" x14ac:dyDescent="0.3">
      <c r="A209" s="1" t="s">
        <v>556</v>
      </c>
      <c r="B209">
        <v>2000</v>
      </c>
      <c r="C209" s="45">
        <f>E209+F209+D209</f>
        <v>0.18370778830933082</v>
      </c>
      <c r="D209" s="53">
        <f>Data!HI208/Data!K208</f>
        <v>0.1690501938418979</v>
      </c>
      <c r="E209" s="54">
        <f>Data!IC208/Data!K208</f>
        <v>1.4657594467432917E-2</v>
      </c>
      <c r="F209" s="41">
        <v>0</v>
      </c>
      <c r="G209" s="55">
        <f>Data!IC208/Data!K208</f>
        <v>1.4657594467432917E-2</v>
      </c>
      <c r="H209" s="53">
        <f t="shared" si="23"/>
        <v>0.50387532099895538</v>
      </c>
      <c r="I209" s="64">
        <f t="shared" si="24"/>
        <v>0.36312009259997446</v>
      </c>
      <c r="J209" s="54">
        <f t="shared" si="25"/>
        <v>0.14075522839898091</v>
      </c>
      <c r="K209" s="41"/>
      <c r="L209" s="42"/>
      <c r="M209" s="53">
        <f t="shared" si="26"/>
        <v>0.22802853429383951</v>
      </c>
      <c r="N209" s="59">
        <f>Data!ID208/Data!K208</f>
        <v>9.7349149728700748E-2</v>
      </c>
      <c r="O209" s="41"/>
      <c r="P209" s="61">
        <v>0.01</v>
      </c>
      <c r="Q209" s="54">
        <f t="shared" si="27"/>
        <v>0.13067938456513875</v>
      </c>
      <c r="R209" s="54">
        <f t="shared" si="28"/>
        <v>6.3921685727477889E-2</v>
      </c>
      <c r="S209" s="54">
        <f>(Data!HU208/Data!K208)/0.7</f>
        <v>6.6757698837660862E-2</v>
      </c>
      <c r="T209" s="41"/>
      <c r="U209" s="42"/>
      <c r="V209" s="81">
        <f>Data!HK208/Data!K208</f>
        <v>0.59609197216935028</v>
      </c>
      <c r="W209" s="82">
        <f t="shared" si="29"/>
        <v>0.30486207696534251</v>
      </c>
      <c r="X209" s="83">
        <f>Data!IE208/Data!K208 - 0.3*Y209</f>
        <v>0.23810437812768168</v>
      </c>
      <c r="Y209" s="83">
        <f t="shared" si="30"/>
        <v>6.6757698837660862E-2</v>
      </c>
      <c r="Z209" s="84">
        <f>Data!CT208/Data!K208</f>
        <v>0.12519402861215753</v>
      </c>
      <c r="AA209" s="85">
        <f>(Data!K208-Data!AN208)/Data!K208</f>
        <v>9.9045950865307195E-2</v>
      </c>
      <c r="AB209" s="84"/>
      <c r="AC209" s="84"/>
      <c r="AD209" s="84"/>
      <c r="AE209" s="85"/>
      <c r="AF209" s="5">
        <f t="shared" si="31"/>
        <v>1.014657594467433</v>
      </c>
      <c r="AG209" s="5">
        <f t="shared" si="32"/>
        <v>1</v>
      </c>
    </row>
    <row r="210" spans="1:33" x14ac:dyDescent="0.25">
      <c r="A210" s="1" t="s">
        <v>556</v>
      </c>
      <c r="B210">
        <v>2001</v>
      </c>
      <c r="C210" s="45"/>
      <c r="D210" s="44"/>
      <c r="E210" s="44"/>
      <c r="F210" s="7"/>
      <c r="G210" s="44"/>
      <c r="H210" s="7"/>
      <c r="I210" s="44"/>
      <c r="J210" s="7"/>
      <c r="K210" s="7"/>
      <c r="L210" s="7"/>
      <c r="M210" s="7"/>
      <c r="N210" s="7"/>
      <c r="O210" s="7"/>
      <c r="P210" s="7"/>
      <c r="Q210" s="7"/>
      <c r="R210" s="7"/>
      <c r="S210" s="7"/>
      <c r="T210" s="7"/>
      <c r="U210" s="7"/>
      <c r="V210" s="43"/>
      <c r="W210" s="49"/>
      <c r="X210" s="7"/>
      <c r="Y210" s="44"/>
      <c r="Z210" s="7"/>
      <c r="AA210" s="12"/>
      <c r="AB210" s="7"/>
      <c r="AC210" s="7"/>
      <c r="AD210" s="7"/>
      <c r="AE210" s="12"/>
      <c r="AF210" s="5"/>
      <c r="AG210" s="5"/>
    </row>
    <row r="211" spans="1:33" x14ac:dyDescent="0.25">
      <c r="A211" s="1" t="s">
        <v>556</v>
      </c>
      <c r="B211">
        <v>2002</v>
      </c>
      <c r="C211" s="45"/>
      <c r="D211" s="44"/>
      <c r="E211" s="44"/>
      <c r="F211" s="7"/>
      <c r="G211" s="44"/>
      <c r="H211" s="7"/>
      <c r="I211" s="44"/>
      <c r="J211" s="7"/>
      <c r="K211" s="7"/>
      <c r="L211" s="7"/>
      <c r="M211" s="7"/>
      <c r="N211" s="7"/>
      <c r="O211" s="7"/>
      <c r="P211" s="7"/>
      <c r="Q211" s="7"/>
      <c r="R211" s="7"/>
      <c r="S211" s="7"/>
      <c r="T211" s="7"/>
      <c r="U211" s="7"/>
      <c r="V211" s="43"/>
      <c r="W211" s="49"/>
      <c r="X211" s="7"/>
      <c r="Y211" s="44"/>
      <c r="Z211" s="7"/>
      <c r="AA211" s="12"/>
      <c r="AB211" s="7"/>
      <c r="AC211" s="7"/>
      <c r="AD211" s="7"/>
      <c r="AE211" s="12"/>
      <c r="AG211" s="5"/>
    </row>
    <row r="212" spans="1:33" x14ac:dyDescent="0.25">
      <c r="A212" s="1" t="s">
        <v>556</v>
      </c>
      <c r="B212">
        <v>2003</v>
      </c>
      <c r="C212" s="45"/>
      <c r="D212" s="44"/>
      <c r="E212" s="44"/>
      <c r="F212" s="7"/>
      <c r="G212" s="44"/>
      <c r="H212" s="7"/>
      <c r="I212" s="44"/>
      <c r="J212" s="7"/>
      <c r="K212" s="7"/>
      <c r="L212" s="7"/>
      <c r="M212" s="7"/>
      <c r="N212" s="7"/>
      <c r="O212" s="7"/>
      <c r="P212" s="7"/>
      <c r="Q212" s="7"/>
      <c r="R212" s="7"/>
      <c r="S212" s="7"/>
      <c r="T212" s="7"/>
      <c r="U212" s="7"/>
      <c r="V212" s="43"/>
      <c r="W212" s="49"/>
      <c r="X212" s="7"/>
      <c r="Y212" s="44"/>
      <c r="Z212" s="7"/>
      <c r="AA212" s="12"/>
      <c r="AB212" s="7"/>
      <c r="AC212" s="7"/>
      <c r="AD212" s="7"/>
      <c r="AE212" s="12"/>
    </row>
    <row r="213" spans="1:33" x14ac:dyDescent="0.25">
      <c r="A213" s="1" t="s">
        <v>556</v>
      </c>
      <c r="B213">
        <v>2004</v>
      </c>
      <c r="C213" s="45"/>
      <c r="D213" s="44"/>
      <c r="E213" s="44"/>
      <c r="F213" s="7"/>
      <c r="G213" s="44"/>
      <c r="H213" s="7"/>
      <c r="I213" s="44"/>
      <c r="J213" s="7"/>
      <c r="K213" s="7"/>
      <c r="L213" s="7"/>
      <c r="M213" s="7"/>
      <c r="N213" s="7"/>
      <c r="O213" s="7"/>
      <c r="P213" s="7"/>
      <c r="Q213" s="7"/>
      <c r="R213" s="7"/>
      <c r="S213" s="7"/>
      <c r="T213" s="7"/>
      <c r="U213" s="7"/>
      <c r="V213" s="43"/>
      <c r="W213" s="49"/>
      <c r="X213" s="7"/>
      <c r="Y213" s="44"/>
      <c r="Z213" s="7"/>
      <c r="AA213" s="12"/>
      <c r="AB213" s="7"/>
      <c r="AC213" s="7"/>
      <c r="AD213" s="7"/>
      <c r="AE213" s="12"/>
      <c r="AG213" s="5"/>
    </row>
    <row r="214" spans="1:33" x14ac:dyDescent="0.25">
      <c r="A214" s="1" t="s">
        <v>556</v>
      </c>
      <c r="B214">
        <v>2005</v>
      </c>
      <c r="C214" s="45"/>
      <c r="D214" s="44"/>
      <c r="E214" s="44"/>
      <c r="F214" s="7"/>
      <c r="G214" s="44"/>
      <c r="H214" s="7"/>
      <c r="I214" s="44"/>
      <c r="J214" s="7"/>
      <c r="K214" s="7"/>
      <c r="L214" s="7"/>
      <c r="M214" s="7"/>
      <c r="N214" s="7"/>
      <c r="O214" s="7"/>
      <c r="P214" s="7"/>
      <c r="Q214" s="7"/>
      <c r="R214" s="7"/>
      <c r="S214" s="7"/>
      <c r="T214" s="7"/>
      <c r="U214" s="7"/>
      <c r="V214" s="43"/>
      <c r="W214" s="49"/>
      <c r="X214" s="7"/>
      <c r="Y214" s="44"/>
      <c r="Z214" s="7"/>
      <c r="AA214" s="12"/>
      <c r="AB214" s="7"/>
      <c r="AC214" s="7"/>
      <c r="AD214" s="7"/>
      <c r="AE214" s="12"/>
      <c r="AG214" s="5"/>
    </row>
    <row r="215" spans="1:33" ht="13.8" thickBot="1" x14ac:dyDescent="0.3">
      <c r="A215" s="1" t="s">
        <v>556</v>
      </c>
      <c r="B215">
        <v>2006</v>
      </c>
      <c r="C215" s="45"/>
      <c r="D215" s="44"/>
      <c r="E215" s="44"/>
      <c r="F215" s="7"/>
      <c r="G215" s="44"/>
      <c r="H215" s="7"/>
      <c r="I215" s="44"/>
      <c r="J215" s="7"/>
      <c r="K215" s="7"/>
      <c r="L215" s="7"/>
      <c r="M215" s="7"/>
      <c r="N215" s="7"/>
      <c r="O215" s="7"/>
      <c r="P215" s="7"/>
      <c r="Q215" s="7"/>
      <c r="R215" s="7"/>
      <c r="S215" s="7"/>
      <c r="T215" s="7"/>
      <c r="U215" s="7"/>
      <c r="V215" s="43"/>
      <c r="W215" s="49"/>
      <c r="X215" s="7"/>
      <c r="Y215" s="44"/>
      <c r="Z215" s="7"/>
      <c r="AA215" s="12"/>
      <c r="AB215" s="7"/>
      <c r="AC215" s="7"/>
      <c r="AD215" s="7"/>
      <c r="AE215" s="12"/>
      <c r="AG215" s="5"/>
    </row>
    <row r="216" spans="1:33" ht="13.8" thickBot="1" x14ac:dyDescent="0.3">
      <c r="A216" s="1" t="s">
        <v>556</v>
      </c>
      <c r="B216">
        <v>2007</v>
      </c>
      <c r="C216" s="45"/>
      <c r="D216" s="44"/>
      <c r="E216" s="44"/>
      <c r="F216" s="7"/>
      <c r="G216" s="44"/>
      <c r="H216" s="7"/>
      <c r="I216" s="44"/>
      <c r="J216" s="7"/>
      <c r="K216" s="56"/>
      <c r="L216" s="7"/>
      <c r="M216" s="7"/>
      <c r="N216" s="7"/>
      <c r="O216" s="7"/>
      <c r="P216" s="7"/>
      <c r="Q216" s="7"/>
      <c r="R216" s="7"/>
      <c r="S216" s="7"/>
      <c r="T216" s="7"/>
      <c r="U216" s="7"/>
      <c r="V216" s="43"/>
      <c r="W216" s="49"/>
      <c r="X216" s="7"/>
      <c r="Y216" s="44"/>
      <c r="Z216" s="7"/>
      <c r="AA216" s="12"/>
      <c r="AB216" s="7"/>
      <c r="AC216" s="7"/>
      <c r="AD216" s="7"/>
      <c r="AE216" s="12"/>
      <c r="AG216" s="5"/>
    </row>
    <row r="217" spans="1:33" x14ac:dyDescent="0.25">
      <c r="A217" s="1" t="s">
        <v>556</v>
      </c>
      <c r="B217">
        <v>2008</v>
      </c>
      <c r="C217" s="45"/>
      <c r="D217" s="44"/>
      <c r="E217" s="44"/>
      <c r="F217" s="7"/>
      <c r="G217" s="44"/>
      <c r="H217" s="7"/>
      <c r="I217" s="44"/>
      <c r="J217" s="7"/>
      <c r="K217" s="7"/>
      <c r="L217" s="7"/>
      <c r="M217" s="7"/>
      <c r="N217" s="7"/>
      <c r="O217" s="7"/>
      <c r="P217" s="7"/>
      <c r="Q217" s="7"/>
      <c r="R217" s="7"/>
      <c r="S217" s="7"/>
      <c r="T217" s="7"/>
      <c r="U217" s="7"/>
      <c r="V217" s="43"/>
      <c r="W217" s="49"/>
      <c r="X217" s="7"/>
      <c r="Y217" s="44"/>
      <c r="Z217" s="7"/>
      <c r="AA217" s="12"/>
      <c r="AB217" s="7"/>
      <c r="AC217" s="7"/>
      <c r="AD217" s="7"/>
      <c r="AE217" s="12"/>
      <c r="AG217" s="5"/>
    </row>
    <row r="218" spans="1:33" x14ac:dyDescent="0.25">
      <c r="A218" s="1" t="s">
        <v>556</v>
      </c>
      <c r="B218">
        <v>2009</v>
      </c>
      <c r="C218" s="45"/>
      <c r="D218" s="44"/>
      <c r="E218" s="44"/>
      <c r="F218" s="7"/>
      <c r="G218" s="44"/>
      <c r="H218" s="7"/>
      <c r="I218" s="44"/>
      <c r="J218" s="7"/>
      <c r="K218" s="7"/>
      <c r="L218" s="7"/>
      <c r="M218" s="7"/>
      <c r="N218" s="7"/>
      <c r="O218" s="7"/>
      <c r="P218" s="7"/>
      <c r="Q218" s="7"/>
      <c r="R218" s="7"/>
      <c r="S218" s="7"/>
      <c r="T218" s="7"/>
      <c r="U218" s="7"/>
      <c r="V218" s="43"/>
      <c r="W218" s="49"/>
      <c r="X218" s="7"/>
      <c r="Y218" s="44"/>
      <c r="Z218" s="7"/>
      <c r="AA218" s="12"/>
      <c r="AB218" s="7"/>
      <c r="AC218" s="7"/>
      <c r="AD218" s="7"/>
      <c r="AE218" s="12"/>
      <c r="AG218" s="5"/>
    </row>
    <row r="219" spans="1:33" x14ac:dyDescent="0.25">
      <c r="A219" s="1" t="s">
        <v>556</v>
      </c>
      <c r="B219">
        <v>2010</v>
      </c>
      <c r="C219" s="45"/>
      <c r="D219" s="44"/>
      <c r="E219" s="44"/>
      <c r="F219" s="7"/>
      <c r="G219" s="44"/>
      <c r="H219" s="7"/>
      <c r="I219" s="44"/>
      <c r="J219" s="7"/>
      <c r="K219" s="7"/>
      <c r="L219" s="7"/>
      <c r="M219" s="7"/>
      <c r="N219" s="7"/>
      <c r="O219" s="7"/>
      <c r="P219" s="7"/>
      <c r="Q219" s="7"/>
      <c r="R219" s="7"/>
      <c r="S219" s="7"/>
      <c r="T219" s="7"/>
      <c r="U219" s="7"/>
      <c r="V219" s="43"/>
      <c r="W219" s="49"/>
      <c r="X219" s="7"/>
      <c r="Y219" s="44"/>
      <c r="Z219" s="7"/>
      <c r="AA219" s="12"/>
      <c r="AB219" s="7"/>
      <c r="AC219" s="7"/>
      <c r="AD219" s="7"/>
      <c r="AE219" s="12"/>
      <c r="AG219" s="5"/>
    </row>
    <row r="220" spans="1:33" x14ac:dyDescent="0.25">
      <c r="A220" s="1" t="s">
        <v>556</v>
      </c>
      <c r="B220">
        <v>2011</v>
      </c>
      <c r="C220" s="45"/>
      <c r="D220" s="44"/>
      <c r="E220" s="44"/>
      <c r="F220" s="7"/>
      <c r="G220" s="44"/>
      <c r="H220" s="7"/>
      <c r="I220" s="44"/>
      <c r="J220" s="7"/>
      <c r="K220" s="7"/>
      <c r="L220" s="7"/>
      <c r="M220" s="7"/>
      <c r="N220" s="7"/>
      <c r="O220" s="7"/>
      <c r="P220" s="7"/>
      <c r="Q220" s="7"/>
      <c r="R220" s="7"/>
      <c r="S220" s="7"/>
      <c r="T220" s="7"/>
      <c r="U220" s="7"/>
      <c r="V220" s="43"/>
      <c r="W220" s="49"/>
      <c r="X220" s="7"/>
      <c r="Y220" s="44"/>
      <c r="Z220" s="7"/>
      <c r="AA220" s="12"/>
      <c r="AB220" s="7"/>
      <c r="AC220" s="7"/>
      <c r="AD220" s="7"/>
      <c r="AE220" s="12"/>
      <c r="AG220" s="5"/>
    </row>
    <row r="221" spans="1:33" x14ac:dyDescent="0.25">
      <c r="A221" s="1" t="s">
        <v>556</v>
      </c>
      <c r="B221">
        <v>2012</v>
      </c>
      <c r="C221" s="45"/>
      <c r="D221" s="44"/>
      <c r="E221" s="44"/>
      <c r="F221" s="7"/>
      <c r="G221" s="44"/>
      <c r="H221" s="7"/>
      <c r="I221" s="44"/>
      <c r="J221" s="7"/>
      <c r="K221" s="7"/>
      <c r="L221" s="7"/>
      <c r="M221" s="7"/>
      <c r="N221" s="7"/>
      <c r="O221" s="7"/>
      <c r="P221" s="7"/>
      <c r="Q221" s="7"/>
      <c r="R221" s="7"/>
      <c r="S221" s="7"/>
      <c r="T221" s="7"/>
      <c r="U221" s="7"/>
      <c r="V221" s="43"/>
      <c r="W221" s="49"/>
      <c r="X221" s="7"/>
      <c r="Y221" s="44"/>
      <c r="Z221" s="7"/>
      <c r="AA221" s="12"/>
      <c r="AB221" s="7"/>
      <c r="AC221" s="7"/>
      <c r="AD221" s="7"/>
      <c r="AE221" s="12"/>
      <c r="AG221" s="5"/>
    </row>
    <row r="222" spans="1:33" x14ac:dyDescent="0.25">
      <c r="A222" s="1" t="s">
        <v>556</v>
      </c>
      <c r="B222">
        <v>2013</v>
      </c>
      <c r="C222" s="45"/>
      <c r="D222" s="44"/>
      <c r="E222" s="44"/>
      <c r="F222" s="7"/>
      <c r="G222" s="44"/>
      <c r="H222" s="7"/>
      <c r="I222" s="44"/>
      <c r="J222" s="7"/>
      <c r="K222" s="7"/>
      <c r="L222" s="7"/>
      <c r="M222" s="7"/>
      <c r="N222" s="7"/>
      <c r="O222" s="7"/>
      <c r="P222" s="7"/>
      <c r="Q222" s="7"/>
      <c r="R222" s="7"/>
      <c r="S222" s="7"/>
      <c r="T222" s="7"/>
      <c r="U222" s="7"/>
      <c r="V222" s="43"/>
      <c r="W222" s="49"/>
      <c r="X222" s="7"/>
      <c r="Y222" s="44"/>
      <c r="Z222" s="7"/>
      <c r="AA222" s="12"/>
      <c r="AB222" s="7"/>
      <c r="AC222" s="7"/>
      <c r="AD222" s="7"/>
      <c r="AE222" s="12"/>
      <c r="AG222" s="5"/>
    </row>
    <row r="223" spans="1:33" x14ac:dyDescent="0.25">
      <c r="A223" s="1" t="s">
        <v>556</v>
      </c>
      <c r="B223">
        <v>2014</v>
      </c>
      <c r="C223" s="45"/>
      <c r="D223" s="44"/>
      <c r="E223" s="44"/>
      <c r="F223" s="7"/>
      <c r="G223" s="44"/>
      <c r="H223" s="7"/>
      <c r="I223" s="44"/>
      <c r="J223" s="7"/>
      <c r="K223" s="7"/>
      <c r="L223" s="7"/>
      <c r="M223" s="7"/>
      <c r="N223" s="7"/>
      <c r="O223" s="7"/>
      <c r="P223" s="7"/>
      <c r="Q223" s="7"/>
      <c r="R223" s="7"/>
      <c r="S223" s="7"/>
      <c r="T223" s="7"/>
      <c r="U223" s="7"/>
      <c r="V223" s="43"/>
      <c r="W223" s="49"/>
      <c r="X223" s="7"/>
      <c r="Y223" s="44"/>
      <c r="Z223" s="7"/>
      <c r="AA223" s="12"/>
      <c r="AB223" s="7"/>
      <c r="AC223" s="7"/>
      <c r="AD223" s="7"/>
      <c r="AE223" s="12"/>
      <c r="AG223" s="5"/>
    </row>
    <row r="224" spans="1:33" x14ac:dyDescent="0.25">
      <c r="A224" s="1" t="s">
        <v>556</v>
      </c>
      <c r="B224">
        <v>2015</v>
      </c>
      <c r="C224" s="45"/>
      <c r="D224" s="44"/>
      <c r="E224" s="44"/>
      <c r="F224" s="7"/>
      <c r="G224" s="44"/>
      <c r="H224" s="7"/>
      <c r="I224" s="44"/>
      <c r="J224" s="7"/>
      <c r="K224" s="7"/>
      <c r="L224" s="7"/>
      <c r="M224" s="7"/>
      <c r="N224" s="7"/>
      <c r="O224" s="7"/>
      <c r="P224" s="7"/>
      <c r="Q224" s="7"/>
      <c r="R224" s="7"/>
      <c r="S224" s="7"/>
      <c r="T224" s="7"/>
      <c r="U224" s="7"/>
      <c r="V224" s="43"/>
      <c r="W224" s="49"/>
      <c r="X224" s="7"/>
      <c r="Y224" s="44"/>
      <c r="Z224" s="7"/>
      <c r="AA224" s="12"/>
      <c r="AB224" s="7"/>
      <c r="AC224" s="7"/>
      <c r="AD224" s="7"/>
      <c r="AE224" s="12"/>
      <c r="AG224" s="5"/>
    </row>
    <row r="225" spans="1:33" x14ac:dyDescent="0.25">
      <c r="A225" s="1" t="s">
        <v>556</v>
      </c>
      <c r="B225">
        <v>2016</v>
      </c>
      <c r="C225" s="45"/>
      <c r="D225" s="44"/>
      <c r="E225" s="44"/>
      <c r="F225" s="7"/>
      <c r="G225" s="44"/>
      <c r="H225" s="7"/>
      <c r="I225" s="44"/>
      <c r="J225" s="7"/>
      <c r="K225" s="7"/>
      <c r="L225" s="7"/>
      <c r="M225" s="7"/>
      <c r="N225" s="7"/>
      <c r="O225" s="7"/>
      <c r="P225" s="7"/>
      <c r="Q225" s="7"/>
      <c r="R225" s="7"/>
      <c r="S225" s="7"/>
      <c r="T225" s="7"/>
      <c r="U225" s="7"/>
      <c r="V225" s="43"/>
      <c r="W225" s="49"/>
      <c r="X225" s="7"/>
      <c r="Y225" s="44"/>
      <c r="Z225" s="7"/>
      <c r="AA225" s="12"/>
      <c r="AB225" s="7"/>
      <c r="AC225" s="7"/>
      <c r="AD225" s="7"/>
      <c r="AE225" s="12"/>
      <c r="AG225" s="5"/>
    </row>
    <row r="226" spans="1:33" x14ac:dyDescent="0.25">
      <c r="A226" s="1" t="s">
        <v>556</v>
      </c>
      <c r="B226">
        <v>2017</v>
      </c>
      <c r="C226" s="45"/>
      <c r="D226" s="44"/>
      <c r="E226" s="44"/>
      <c r="F226" s="7"/>
      <c r="G226" s="44"/>
      <c r="H226" s="7"/>
      <c r="I226" s="44"/>
      <c r="J226" s="7"/>
      <c r="K226" s="7"/>
      <c r="L226" s="7"/>
      <c r="M226" s="7"/>
      <c r="N226" s="7"/>
      <c r="O226" s="7"/>
      <c r="P226" s="7"/>
      <c r="Q226" s="7"/>
      <c r="R226" s="7"/>
      <c r="S226" s="7"/>
      <c r="T226" s="7"/>
      <c r="U226" s="7"/>
      <c r="V226" s="43"/>
      <c r="W226" s="49"/>
      <c r="X226" s="7"/>
      <c r="Y226" s="44"/>
      <c r="Z226" s="7"/>
      <c r="AA226" s="12"/>
      <c r="AB226" s="7"/>
      <c r="AC226" s="7"/>
      <c r="AD226" s="7"/>
      <c r="AE226" s="12"/>
      <c r="AG226" s="5"/>
    </row>
    <row r="227" spans="1:33" x14ac:dyDescent="0.25">
      <c r="A227" s="1" t="s">
        <v>556</v>
      </c>
      <c r="B227">
        <v>2018</v>
      </c>
      <c r="C227" s="45"/>
      <c r="D227" s="44"/>
      <c r="E227" s="44"/>
      <c r="F227" s="7"/>
      <c r="G227" s="44"/>
      <c r="H227" s="7"/>
      <c r="I227" s="44"/>
      <c r="J227" s="7"/>
      <c r="K227" s="7"/>
      <c r="L227" s="7"/>
      <c r="M227" s="7"/>
      <c r="N227" s="7"/>
      <c r="O227" s="7"/>
      <c r="P227" s="7"/>
      <c r="Q227" s="7"/>
      <c r="R227" s="7"/>
      <c r="S227" s="7"/>
      <c r="T227" s="7"/>
      <c r="U227" s="7"/>
      <c r="V227" s="43"/>
      <c r="W227" s="49"/>
      <c r="X227" s="7"/>
      <c r="Y227" s="44"/>
      <c r="Z227" s="7"/>
      <c r="AA227" s="12"/>
      <c r="AB227" s="7"/>
      <c r="AC227" s="7"/>
      <c r="AD227" s="7"/>
      <c r="AE227" s="12"/>
      <c r="AG227" s="5"/>
    </row>
    <row r="228" spans="1:33" x14ac:dyDescent="0.25">
      <c r="A228" s="1" t="s">
        <v>556</v>
      </c>
      <c r="B228">
        <v>2019</v>
      </c>
      <c r="C228" s="45"/>
      <c r="D228" s="44"/>
      <c r="E228" s="44"/>
      <c r="F228" s="7"/>
      <c r="G228" s="44"/>
      <c r="H228" s="7"/>
      <c r="I228" s="44"/>
      <c r="J228" s="7"/>
      <c r="K228" s="7"/>
      <c r="L228" s="7"/>
      <c r="M228" s="7"/>
      <c r="N228" s="7"/>
      <c r="O228" s="7"/>
      <c r="P228" s="7"/>
      <c r="Q228" s="7"/>
      <c r="R228" s="7"/>
      <c r="S228" s="7"/>
      <c r="T228" s="7"/>
      <c r="U228" s="7"/>
      <c r="V228" s="43"/>
      <c r="W228" s="49"/>
      <c r="X228" s="7"/>
      <c r="Y228" s="44"/>
      <c r="Z228" s="7"/>
      <c r="AA228" s="12"/>
      <c r="AB228" s="7"/>
      <c r="AC228" s="7"/>
      <c r="AD228" s="7"/>
      <c r="AE228" s="12"/>
      <c r="AG228" s="5"/>
    </row>
    <row r="229" spans="1:33" x14ac:dyDescent="0.25">
      <c r="A229" s="1" t="s">
        <v>556</v>
      </c>
      <c r="B229">
        <v>2020</v>
      </c>
      <c r="C229" s="45"/>
      <c r="D229" s="44"/>
      <c r="E229" s="44"/>
      <c r="F229" s="7"/>
      <c r="G229" s="44"/>
      <c r="H229" s="7"/>
      <c r="I229" s="44"/>
      <c r="J229" s="7"/>
      <c r="K229" s="7"/>
      <c r="L229" s="7"/>
      <c r="M229" s="7"/>
      <c r="N229" s="7"/>
      <c r="O229" s="7"/>
      <c r="P229" s="7"/>
      <c r="Q229" s="7"/>
      <c r="R229" s="7"/>
      <c r="S229" s="7"/>
      <c r="T229" s="7"/>
      <c r="U229" s="7"/>
      <c r="V229" s="43"/>
      <c r="W229" s="49"/>
      <c r="X229" s="7"/>
      <c r="Y229" s="44"/>
      <c r="Z229" s="7"/>
      <c r="AA229" s="12"/>
      <c r="AB229" s="7"/>
      <c r="AC229" s="7"/>
      <c r="AD229" s="7"/>
      <c r="AE229" s="12"/>
      <c r="AG229" s="5"/>
    </row>
    <row r="230" spans="1:33" x14ac:dyDescent="0.25">
      <c r="A230" s="1" t="s">
        <v>556</v>
      </c>
      <c r="B230">
        <v>2021</v>
      </c>
      <c r="C230" s="45"/>
      <c r="D230" s="44"/>
      <c r="E230" s="44"/>
      <c r="F230" s="7"/>
      <c r="G230" s="44"/>
      <c r="H230" s="7"/>
      <c r="I230" s="44"/>
      <c r="J230" s="7"/>
      <c r="K230" s="7"/>
      <c r="L230" s="7"/>
      <c r="M230" s="7"/>
      <c r="N230" s="7"/>
      <c r="O230" s="7"/>
      <c r="P230" s="7"/>
      <c r="Q230" s="7"/>
      <c r="R230" s="7"/>
      <c r="S230" s="7"/>
      <c r="T230" s="7"/>
      <c r="U230" s="7"/>
      <c r="V230" s="43"/>
      <c r="W230" s="49"/>
      <c r="X230" s="7"/>
      <c r="Y230" s="44"/>
      <c r="Z230" s="7"/>
      <c r="AA230" s="12"/>
      <c r="AB230" s="7"/>
      <c r="AC230" s="7"/>
      <c r="AD230" s="7"/>
      <c r="AE230" s="12"/>
      <c r="AG230" s="5"/>
    </row>
    <row r="231" spans="1:33" x14ac:dyDescent="0.25">
      <c r="A231" s="1" t="s">
        <v>556</v>
      </c>
      <c r="B231">
        <v>2022</v>
      </c>
      <c r="C231" s="45"/>
      <c r="D231" s="44"/>
      <c r="E231" s="44"/>
      <c r="F231" s="7"/>
      <c r="G231" s="44"/>
      <c r="H231" s="7"/>
      <c r="I231" s="44"/>
      <c r="J231" s="7"/>
      <c r="K231" s="7"/>
      <c r="L231" s="7"/>
      <c r="M231" s="7"/>
      <c r="N231" s="7"/>
      <c r="O231" s="7"/>
      <c r="P231" s="7"/>
      <c r="Q231" s="7"/>
      <c r="R231" s="7"/>
      <c r="S231" s="7"/>
      <c r="T231" s="7"/>
      <c r="U231" s="7"/>
      <c r="V231" s="43"/>
      <c r="W231" s="49"/>
      <c r="X231" s="7"/>
      <c r="Y231" s="44"/>
      <c r="Z231" s="7"/>
      <c r="AA231" s="12"/>
      <c r="AB231" s="7"/>
      <c r="AC231" s="7"/>
      <c r="AD231" s="7"/>
      <c r="AE231" s="12"/>
      <c r="AG231" s="5"/>
    </row>
    <row r="232" spans="1:33" x14ac:dyDescent="0.25">
      <c r="A232" s="1" t="s">
        <v>556</v>
      </c>
      <c r="B232">
        <v>2023</v>
      </c>
      <c r="C232" s="45"/>
      <c r="D232" s="44"/>
      <c r="E232" s="44"/>
      <c r="F232" s="7"/>
      <c r="G232" s="44"/>
      <c r="H232" s="7"/>
      <c r="I232" s="44"/>
      <c r="J232" s="7"/>
      <c r="K232" s="7"/>
      <c r="L232" s="7"/>
      <c r="M232" s="7"/>
      <c r="N232" s="7"/>
      <c r="O232" s="7"/>
      <c r="P232" s="7"/>
      <c r="Q232" s="7"/>
      <c r="R232" s="7"/>
      <c r="S232" s="7"/>
      <c r="T232" s="7"/>
      <c r="U232" s="7"/>
      <c r="V232" s="43"/>
      <c r="W232" s="49"/>
      <c r="X232" s="7"/>
      <c r="Y232" s="44"/>
      <c r="Z232" s="7"/>
      <c r="AA232" s="12"/>
      <c r="AB232" s="7"/>
      <c r="AC232" s="7"/>
      <c r="AD232" s="7"/>
      <c r="AE232" s="12"/>
      <c r="AG232" s="5"/>
    </row>
    <row r="233" spans="1:33" x14ac:dyDescent="0.25">
      <c r="A233" s="1" t="s">
        <v>556</v>
      </c>
      <c r="B233">
        <v>2024</v>
      </c>
      <c r="C233" s="45"/>
      <c r="D233" s="44"/>
      <c r="E233" s="44"/>
      <c r="F233" s="7"/>
      <c r="G233" s="44"/>
      <c r="H233" s="7"/>
      <c r="I233" s="44"/>
      <c r="J233" s="7"/>
      <c r="K233" s="7"/>
      <c r="L233" s="7"/>
      <c r="M233" s="7"/>
      <c r="N233" s="7"/>
      <c r="O233" s="7"/>
      <c r="P233" s="7"/>
      <c r="Q233" s="7"/>
      <c r="R233" s="7"/>
      <c r="S233" s="7"/>
      <c r="T233" s="7"/>
      <c r="U233" s="7"/>
      <c r="V233" s="43"/>
      <c r="W233" s="49"/>
      <c r="X233" s="7"/>
      <c r="Y233" s="44"/>
      <c r="Z233" s="7"/>
      <c r="AA233" s="12"/>
      <c r="AB233" s="7"/>
      <c r="AC233" s="7"/>
      <c r="AD233" s="7"/>
      <c r="AE233" s="12"/>
      <c r="AG233" s="5"/>
    </row>
    <row r="234" spans="1:33" ht="13.8" thickBot="1" x14ac:dyDescent="0.3">
      <c r="A234" s="1" t="s">
        <v>556</v>
      </c>
      <c r="B234">
        <v>2025</v>
      </c>
      <c r="C234" s="45"/>
      <c r="D234" s="44"/>
      <c r="E234" s="44"/>
      <c r="F234" s="7"/>
      <c r="G234" s="44"/>
      <c r="H234" s="41"/>
      <c r="I234" s="44"/>
      <c r="J234" s="41"/>
      <c r="K234" s="41"/>
      <c r="L234" s="41"/>
      <c r="M234" s="41"/>
      <c r="N234" s="7"/>
      <c r="O234" s="41"/>
      <c r="P234" s="41"/>
      <c r="Q234" s="41"/>
      <c r="R234" s="41"/>
      <c r="S234" s="41"/>
      <c r="T234" s="41"/>
      <c r="U234" s="41"/>
      <c r="V234" s="43"/>
      <c r="W234" s="49"/>
      <c r="X234" s="41"/>
      <c r="Y234" s="44"/>
      <c r="Z234" s="7"/>
      <c r="AA234" s="42"/>
      <c r="AB234" s="41"/>
      <c r="AC234" s="41"/>
      <c r="AD234" s="41"/>
      <c r="AE234" s="42"/>
      <c r="AG234" s="5"/>
    </row>
  </sheetData>
  <mergeCells count="7">
    <mergeCell ref="N6:P6"/>
    <mergeCell ref="Q6:U6"/>
    <mergeCell ref="V5:AA5"/>
    <mergeCell ref="AB5:AE5"/>
    <mergeCell ref="D5:G5"/>
    <mergeCell ref="I5:L5"/>
    <mergeCell ref="N5:U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6D9CE-C963-4B82-A102-07B2ADD6001B}">
  <dimension ref="A1:IO221"/>
  <sheetViews>
    <sheetView topLeftCell="HB1" zoomScale="70" zoomScaleNormal="70" workbookViewId="0">
      <pane ySplit="7" topLeftCell="A154" activePane="bottomLeft" state="frozen"/>
      <selection pane="bottomLeft" activeCell="HI6" sqref="HI6"/>
    </sheetView>
  </sheetViews>
  <sheetFormatPr defaultColWidth="9.21875" defaultRowHeight="13.2" x14ac:dyDescent="0.25"/>
  <cols>
    <col min="1" max="10" width="9.21875" style="1"/>
    <col min="11" max="11" width="9.21875" style="2"/>
    <col min="12" max="39" width="9.21875" style="1"/>
    <col min="40" max="40" width="9.21875" style="2"/>
    <col min="41" max="97" width="9.21875" style="1"/>
    <col min="98" max="98" width="9.21875" style="2"/>
    <col min="99" max="218" width="9.21875" style="1"/>
    <col min="219" max="219" width="9.21875" style="2"/>
    <col min="220" max="228" width="9.21875" style="1"/>
    <col min="229" max="229" width="9.21875" style="2"/>
    <col min="230" max="238" width="9.21875" style="1"/>
    <col min="239" max="239" width="9.21875" style="2"/>
    <col min="240" max="16384" width="9.21875" style="1"/>
  </cols>
  <sheetData>
    <row r="1" spans="1:249" x14ac:dyDescent="0.25">
      <c r="A1" s="1" t="s">
        <v>518</v>
      </c>
    </row>
    <row r="2" spans="1:249" x14ac:dyDescent="0.25">
      <c r="A2" s="1" t="s">
        <v>360</v>
      </c>
      <c r="CT2" s="2" t="s">
        <v>540</v>
      </c>
      <c r="HV2" s="1" t="s">
        <v>537</v>
      </c>
    </row>
    <row r="4" spans="1:249" ht="14.25" customHeight="1" x14ac:dyDescent="0.25">
      <c r="A4" s="1" t="s">
        <v>357</v>
      </c>
      <c r="J4" s="1" t="s">
        <v>358</v>
      </c>
      <c r="U4" s="1" t="s">
        <v>404</v>
      </c>
      <c r="AE4" s="1" t="s">
        <v>359</v>
      </c>
      <c r="AP4" s="1" t="s">
        <v>361</v>
      </c>
      <c r="BA4" s="1" t="s">
        <v>362</v>
      </c>
      <c r="BL4" s="1" t="s">
        <v>363</v>
      </c>
      <c r="BT4" s="1" t="s">
        <v>364</v>
      </c>
      <c r="CB4" s="1" t="s">
        <v>365</v>
      </c>
      <c r="CL4" s="1" t="s">
        <v>366</v>
      </c>
      <c r="CV4" s="1" t="s">
        <v>400</v>
      </c>
      <c r="DF4" s="1" t="s">
        <v>444</v>
      </c>
      <c r="DQ4" s="1" t="s">
        <v>401</v>
      </c>
      <c r="EA4" s="1" t="s">
        <v>367</v>
      </c>
      <c r="EL4" s="1" t="s">
        <v>368</v>
      </c>
      <c r="EX4" s="1" t="s">
        <v>369</v>
      </c>
      <c r="FJ4" s="1" t="s">
        <v>370</v>
      </c>
      <c r="FU4" s="1" t="s">
        <v>371</v>
      </c>
      <c r="GG4" s="1" t="s">
        <v>372</v>
      </c>
      <c r="GS4" s="1" t="s">
        <v>373</v>
      </c>
      <c r="HC4" s="2" t="s">
        <v>374</v>
      </c>
      <c r="HD4" s="2"/>
      <c r="HE4" s="2"/>
      <c r="HF4" s="2"/>
      <c r="HG4" s="2"/>
      <c r="HH4" s="2"/>
      <c r="HI4" s="2"/>
      <c r="HJ4" s="2"/>
      <c r="HL4" s="2"/>
      <c r="HN4" s="2" t="s">
        <v>375</v>
      </c>
      <c r="HO4" s="2"/>
      <c r="HP4" s="2"/>
      <c r="HQ4" s="2"/>
      <c r="HR4" s="2"/>
      <c r="HS4" s="2"/>
      <c r="HT4" s="2"/>
      <c r="HW4" s="2" t="s">
        <v>376</v>
      </c>
      <c r="IH4" s="1" t="s">
        <v>474</v>
      </c>
    </row>
    <row r="5" spans="1:249" ht="14.25" customHeight="1" x14ac:dyDescent="0.25">
      <c r="A5" s="1" t="s">
        <v>399</v>
      </c>
      <c r="J5" s="1" t="s">
        <v>402</v>
      </c>
      <c r="U5" s="1" t="s">
        <v>406</v>
      </c>
      <c r="AE5" s="1" t="s">
        <v>436</v>
      </c>
      <c r="AP5" s="1" t="s">
        <v>437</v>
      </c>
      <c r="BA5" s="1" t="s">
        <v>439</v>
      </c>
      <c r="BL5" s="1" t="s">
        <v>440</v>
      </c>
      <c r="BT5" s="1" t="s">
        <v>519</v>
      </c>
      <c r="CB5" s="1" t="s">
        <v>442</v>
      </c>
      <c r="CL5" s="1" t="s">
        <v>443</v>
      </c>
      <c r="CV5" s="1" t="s">
        <v>457</v>
      </c>
      <c r="DF5" s="1" t="s">
        <v>460</v>
      </c>
      <c r="DQ5" s="1" t="s">
        <v>458</v>
      </c>
      <c r="EA5" s="1" t="s">
        <v>459</v>
      </c>
      <c r="EL5" s="1" t="s">
        <v>461</v>
      </c>
      <c r="EX5" s="1" t="s">
        <v>463</v>
      </c>
      <c r="FJ5" s="1" t="s">
        <v>464</v>
      </c>
      <c r="FU5" s="1" t="s">
        <v>468</v>
      </c>
      <c r="GG5" s="1" t="s">
        <v>469</v>
      </c>
      <c r="GS5" s="1" t="s">
        <v>470</v>
      </c>
      <c r="HC5" s="1" t="s">
        <v>471</v>
      </c>
      <c r="HN5" s="1" t="s">
        <v>472</v>
      </c>
      <c r="HW5" s="1" t="s">
        <v>473</v>
      </c>
      <c r="IH5" s="1" t="s">
        <v>477</v>
      </c>
    </row>
    <row r="6" spans="1:249" ht="12.75" customHeight="1" x14ac:dyDescent="0.25">
      <c r="A6" s="1" t="s">
        <v>337</v>
      </c>
      <c r="B6" s="1" t="s">
        <v>377</v>
      </c>
      <c r="C6" s="1" t="s">
        <v>378</v>
      </c>
      <c r="D6" s="1" t="s">
        <v>381</v>
      </c>
      <c r="E6" s="1" t="s">
        <v>382</v>
      </c>
      <c r="F6" s="1" t="s">
        <v>383</v>
      </c>
      <c r="G6" s="1" t="s">
        <v>384</v>
      </c>
      <c r="H6" s="1" t="s">
        <v>385</v>
      </c>
      <c r="J6" s="1" t="s">
        <v>302</v>
      </c>
      <c r="K6" s="2" t="s">
        <v>305</v>
      </c>
      <c r="L6" s="1" t="s">
        <v>303</v>
      </c>
      <c r="M6" s="1" t="s">
        <v>306</v>
      </c>
      <c r="N6" s="1" t="s">
        <v>304</v>
      </c>
      <c r="O6" s="1" t="s">
        <v>307</v>
      </c>
      <c r="P6" s="1" t="s">
        <v>308</v>
      </c>
      <c r="Q6" s="1" t="s">
        <v>309</v>
      </c>
      <c r="R6" s="1" t="s">
        <v>310</v>
      </c>
      <c r="S6" s="1" t="s">
        <v>301</v>
      </c>
      <c r="U6" s="1" t="s">
        <v>302</v>
      </c>
      <c r="V6" s="1" t="s">
        <v>484</v>
      </c>
      <c r="W6" s="1" t="s">
        <v>486</v>
      </c>
      <c r="X6" s="1" t="s">
        <v>487</v>
      </c>
      <c r="Y6" s="1" t="s">
        <v>494</v>
      </c>
      <c r="Z6" s="1" t="s">
        <v>485</v>
      </c>
      <c r="AA6" s="1" t="s">
        <v>495</v>
      </c>
      <c r="AB6" s="1" t="s">
        <v>426</v>
      </c>
      <c r="AC6" s="1" t="s">
        <v>99</v>
      </c>
      <c r="AE6" s="1" t="s">
        <v>302</v>
      </c>
      <c r="AF6" s="1" t="s">
        <v>312</v>
      </c>
      <c r="AG6" s="1" t="s">
        <v>313</v>
      </c>
      <c r="AH6" s="1" t="s">
        <v>314</v>
      </c>
      <c r="AI6" s="1" t="s">
        <v>315</v>
      </c>
      <c r="AJ6" s="1" t="s">
        <v>414</v>
      </c>
      <c r="AK6" s="1" t="s">
        <v>317</v>
      </c>
      <c r="AL6" s="1" t="s">
        <v>318</v>
      </c>
      <c r="AM6" s="1" t="s">
        <v>319</v>
      </c>
      <c r="AN6" s="2" t="s">
        <v>300</v>
      </c>
      <c r="AP6" s="1" t="s">
        <v>337</v>
      </c>
      <c r="AQ6" s="1" t="s">
        <v>312</v>
      </c>
      <c r="AR6" s="1" t="s">
        <v>313</v>
      </c>
      <c r="AS6" s="1" t="s">
        <v>314</v>
      </c>
      <c r="AT6" s="1" t="s">
        <v>315</v>
      </c>
      <c r="AU6" s="1" t="s">
        <v>316</v>
      </c>
      <c r="AV6" s="1" t="s">
        <v>317</v>
      </c>
      <c r="AW6" s="1" t="s">
        <v>318</v>
      </c>
      <c r="AX6" s="1" t="s">
        <v>319</v>
      </c>
      <c r="AY6" s="1" t="s">
        <v>311</v>
      </c>
      <c r="BA6" s="1" t="s">
        <v>302</v>
      </c>
      <c r="BB6" s="1" t="s">
        <v>333</v>
      </c>
      <c r="BC6" s="1" t="s">
        <v>334</v>
      </c>
      <c r="BD6" s="1" t="s">
        <v>431</v>
      </c>
      <c r="BE6" s="1" t="s">
        <v>432</v>
      </c>
      <c r="BF6" s="1" t="s">
        <v>335</v>
      </c>
      <c r="BG6" s="1" t="s">
        <v>336</v>
      </c>
      <c r="BH6" s="1" t="s">
        <v>320</v>
      </c>
      <c r="BI6" s="1" t="s">
        <v>321</v>
      </c>
      <c r="BJ6" s="1" t="s">
        <v>311</v>
      </c>
      <c r="BL6" s="1" t="s">
        <v>337</v>
      </c>
      <c r="BM6" s="1" t="s">
        <v>333</v>
      </c>
      <c r="BN6" s="1" t="s">
        <v>334</v>
      </c>
      <c r="BO6" s="1" t="s">
        <v>322</v>
      </c>
      <c r="BP6" s="1" t="s">
        <v>320</v>
      </c>
      <c r="BQ6" s="1" t="s">
        <v>321</v>
      </c>
      <c r="BR6" s="1" t="s">
        <v>311</v>
      </c>
      <c r="BT6" s="1" t="s">
        <v>337</v>
      </c>
      <c r="BU6" s="1" t="s">
        <v>333</v>
      </c>
      <c r="BV6" s="1" t="s">
        <v>334</v>
      </c>
      <c r="BW6" s="1" t="s">
        <v>322</v>
      </c>
      <c r="BX6" s="1" t="s">
        <v>320</v>
      </c>
      <c r="BY6" s="1" t="s">
        <v>321</v>
      </c>
      <c r="BZ6" s="1" t="s">
        <v>311</v>
      </c>
      <c r="CB6" s="1" t="s">
        <v>302</v>
      </c>
      <c r="CC6" s="1" t="s">
        <v>312</v>
      </c>
      <c r="CD6" s="1" t="s">
        <v>313</v>
      </c>
      <c r="CE6" s="1" t="s">
        <v>314</v>
      </c>
      <c r="CF6" s="1" t="s">
        <v>315</v>
      </c>
      <c r="CG6" s="1" t="s">
        <v>340</v>
      </c>
      <c r="CH6" s="1" t="s">
        <v>318</v>
      </c>
      <c r="CI6" s="1" t="s">
        <v>339</v>
      </c>
      <c r="CJ6" s="1" t="s">
        <v>338</v>
      </c>
      <c r="CL6" s="1" t="s">
        <v>302</v>
      </c>
      <c r="CM6" s="1" t="s">
        <v>312</v>
      </c>
      <c r="CN6" s="1" t="s">
        <v>313</v>
      </c>
      <c r="CO6" s="1" t="s">
        <v>314</v>
      </c>
      <c r="CP6" s="1" t="s">
        <v>315</v>
      </c>
      <c r="CQ6" s="1" t="s">
        <v>340</v>
      </c>
      <c r="CR6" s="1" t="s">
        <v>318</v>
      </c>
      <c r="CS6" s="1" t="s">
        <v>339</v>
      </c>
      <c r="CT6" s="2" t="s">
        <v>341</v>
      </c>
      <c r="CV6" s="1" t="s">
        <v>392</v>
      </c>
      <c r="CW6" s="1" t="s">
        <v>323</v>
      </c>
      <c r="CX6" s="1" t="s">
        <v>342</v>
      </c>
      <c r="CY6" s="1" t="s">
        <v>343</v>
      </c>
      <c r="CZ6" s="1" t="s">
        <v>324</v>
      </c>
      <c r="DA6" s="1" t="s">
        <v>325</v>
      </c>
      <c r="DB6" s="1" t="s">
        <v>344</v>
      </c>
      <c r="DC6" s="1" t="s">
        <v>345</v>
      </c>
      <c r="DD6" s="1" t="s">
        <v>346</v>
      </c>
      <c r="DF6" s="1" t="s">
        <v>347</v>
      </c>
      <c r="DG6" s="1" t="s">
        <v>326</v>
      </c>
      <c r="DH6" s="1" t="s">
        <v>323</v>
      </c>
      <c r="DI6" s="1" t="s">
        <v>342</v>
      </c>
      <c r="DJ6" s="1" t="s">
        <v>343</v>
      </c>
      <c r="DK6" s="1" t="s">
        <v>324</v>
      </c>
      <c r="DL6" s="1" t="s">
        <v>325</v>
      </c>
      <c r="DM6" s="1" t="s">
        <v>344</v>
      </c>
      <c r="DN6" s="1" t="s">
        <v>345</v>
      </c>
      <c r="DO6" s="1" t="s">
        <v>346</v>
      </c>
      <c r="DQ6" s="1" t="s">
        <v>302</v>
      </c>
      <c r="DR6" s="1" t="s">
        <v>323</v>
      </c>
      <c r="DS6" s="1" t="s">
        <v>342</v>
      </c>
      <c r="DT6" s="1" t="s">
        <v>343</v>
      </c>
      <c r="DU6" s="1" t="s">
        <v>324</v>
      </c>
      <c r="DV6" s="1" t="s">
        <v>325</v>
      </c>
      <c r="DW6" s="1" t="s">
        <v>344</v>
      </c>
      <c r="DX6" s="1" t="s">
        <v>345</v>
      </c>
      <c r="DY6" s="1" t="s">
        <v>346</v>
      </c>
      <c r="EA6" s="1" t="s">
        <v>347</v>
      </c>
      <c r="EB6" s="1" t="s">
        <v>326</v>
      </c>
      <c r="EC6" s="1" t="s">
        <v>323</v>
      </c>
      <c r="ED6" s="1" t="s">
        <v>342</v>
      </c>
      <c r="EE6" s="1" t="s">
        <v>343</v>
      </c>
      <c r="EF6" s="1" t="s">
        <v>324</v>
      </c>
      <c r="EG6" s="1" t="s">
        <v>325</v>
      </c>
      <c r="EH6" s="1" t="s">
        <v>344</v>
      </c>
      <c r="EI6" s="1" t="s">
        <v>345</v>
      </c>
      <c r="EJ6" s="1" t="s">
        <v>346</v>
      </c>
      <c r="EL6" s="1" t="s">
        <v>302</v>
      </c>
      <c r="EM6" s="1" t="s">
        <v>312</v>
      </c>
      <c r="EN6" s="1" t="s">
        <v>313</v>
      </c>
      <c r="EO6" s="1" t="s">
        <v>314</v>
      </c>
      <c r="EP6" s="1" t="s">
        <v>315</v>
      </c>
      <c r="EQ6" s="1" t="s">
        <v>348</v>
      </c>
      <c r="ER6" s="1" t="s">
        <v>349</v>
      </c>
      <c r="ES6" s="1" t="s">
        <v>318</v>
      </c>
      <c r="ET6" s="1" t="s">
        <v>319</v>
      </c>
      <c r="EU6" s="1" t="s">
        <v>355</v>
      </c>
      <c r="EV6" s="1" t="s">
        <v>354</v>
      </c>
      <c r="EX6" s="1" t="s">
        <v>302</v>
      </c>
      <c r="EY6" s="1" t="s">
        <v>312</v>
      </c>
      <c r="EZ6" s="1" t="s">
        <v>313</v>
      </c>
      <c r="FA6" s="1" t="s">
        <v>314</v>
      </c>
      <c r="FB6" s="1" t="s">
        <v>315</v>
      </c>
      <c r="FC6" s="1" t="s">
        <v>348</v>
      </c>
      <c r="FD6" s="1" t="s">
        <v>349</v>
      </c>
      <c r="FE6" s="1" t="s">
        <v>318</v>
      </c>
      <c r="FF6" s="1" t="s">
        <v>319</v>
      </c>
      <c r="FG6" s="1" t="s">
        <v>355</v>
      </c>
      <c r="FH6" s="1" t="s">
        <v>354</v>
      </c>
      <c r="FJ6" s="1" t="s">
        <v>302</v>
      </c>
      <c r="FK6" s="1" t="s">
        <v>312</v>
      </c>
      <c r="FL6" s="1" t="s">
        <v>313</v>
      </c>
      <c r="FM6" s="1" t="s">
        <v>314</v>
      </c>
      <c r="FN6" s="1" t="s">
        <v>315</v>
      </c>
      <c r="FO6" s="1" t="s">
        <v>348</v>
      </c>
      <c r="FP6" s="1" t="s">
        <v>349</v>
      </c>
      <c r="FQ6" s="1" t="s">
        <v>319</v>
      </c>
      <c r="FR6" s="1" t="s">
        <v>350</v>
      </c>
      <c r="FS6" s="1" t="s">
        <v>351</v>
      </c>
      <c r="FU6" s="1" t="s">
        <v>302</v>
      </c>
      <c r="FV6" s="1" t="s">
        <v>312</v>
      </c>
      <c r="FW6" s="1" t="s">
        <v>313</v>
      </c>
      <c r="FX6" s="1" t="s">
        <v>314</v>
      </c>
      <c r="FY6" s="1" t="s">
        <v>315</v>
      </c>
      <c r="FZ6" s="1" t="s">
        <v>348</v>
      </c>
      <c r="GA6" s="1" t="s">
        <v>349</v>
      </c>
      <c r="GB6" s="1" t="s">
        <v>318</v>
      </c>
      <c r="GC6" s="1" t="s">
        <v>319</v>
      </c>
      <c r="GD6" s="1" t="s">
        <v>355</v>
      </c>
      <c r="GE6" s="1" t="s">
        <v>354</v>
      </c>
      <c r="GG6" s="1" t="s">
        <v>302</v>
      </c>
      <c r="GH6" s="1" t="s">
        <v>312</v>
      </c>
      <c r="GI6" s="1" t="s">
        <v>313</v>
      </c>
      <c r="GJ6" s="1" t="s">
        <v>314</v>
      </c>
      <c r="GK6" s="1" t="s">
        <v>315</v>
      </c>
      <c r="GL6" s="1" t="s">
        <v>348</v>
      </c>
      <c r="GM6" s="1" t="s">
        <v>349</v>
      </c>
      <c r="GN6" s="1" t="s">
        <v>318</v>
      </c>
      <c r="GO6" s="1" t="s">
        <v>319</v>
      </c>
      <c r="GP6" s="1" t="s">
        <v>355</v>
      </c>
      <c r="GQ6" s="1" t="s">
        <v>356</v>
      </c>
      <c r="GS6" s="1" t="s">
        <v>302</v>
      </c>
      <c r="GT6" s="1" t="s">
        <v>312</v>
      </c>
      <c r="GU6" s="1" t="s">
        <v>313</v>
      </c>
      <c r="GV6" s="1" t="s">
        <v>314</v>
      </c>
      <c r="GW6" s="1" t="s">
        <v>315</v>
      </c>
      <c r="GX6" s="1" t="s">
        <v>348</v>
      </c>
      <c r="GY6" s="1" t="s">
        <v>349</v>
      </c>
      <c r="GZ6" s="1" t="s">
        <v>319</v>
      </c>
      <c r="HA6" s="1" t="s">
        <v>355</v>
      </c>
      <c r="HC6" s="1" t="s">
        <v>392</v>
      </c>
      <c r="HD6" s="1" t="s">
        <v>312</v>
      </c>
      <c r="HE6" s="1" t="s">
        <v>313</v>
      </c>
      <c r="HF6" s="1" t="s">
        <v>314</v>
      </c>
      <c r="HG6" s="1" t="s">
        <v>315</v>
      </c>
      <c r="HH6" s="1" t="s">
        <v>352</v>
      </c>
      <c r="HI6" s="1" t="s">
        <v>318</v>
      </c>
      <c r="HJ6" s="1" t="s">
        <v>319</v>
      </c>
      <c r="HK6" s="2" t="s">
        <v>355</v>
      </c>
      <c r="HL6" s="1" t="s">
        <v>354</v>
      </c>
      <c r="HN6" s="1" t="s">
        <v>302</v>
      </c>
      <c r="HO6" s="1" t="s">
        <v>312</v>
      </c>
      <c r="HP6" s="1" t="s">
        <v>313</v>
      </c>
      <c r="HQ6" s="1" t="s">
        <v>314</v>
      </c>
      <c r="HR6" s="1" t="s">
        <v>315</v>
      </c>
      <c r="HS6" s="1" t="s">
        <v>352</v>
      </c>
      <c r="HT6" s="1" t="s">
        <v>319</v>
      </c>
      <c r="HU6" s="2" t="s">
        <v>355</v>
      </c>
      <c r="HW6" s="1" t="s">
        <v>302</v>
      </c>
      <c r="HX6" s="1" t="s">
        <v>312</v>
      </c>
      <c r="HY6" s="1" t="s">
        <v>313</v>
      </c>
      <c r="HZ6" s="1" t="s">
        <v>314</v>
      </c>
      <c r="IA6" s="1" t="s">
        <v>315</v>
      </c>
      <c r="IB6" s="1" t="s">
        <v>421</v>
      </c>
      <c r="IC6" s="1" t="s">
        <v>318</v>
      </c>
      <c r="ID6" s="1" t="s">
        <v>319</v>
      </c>
      <c r="IE6" s="2" t="s">
        <v>355</v>
      </c>
      <c r="IF6" s="1" t="s">
        <v>354</v>
      </c>
      <c r="IH6" s="1" t="s">
        <v>302</v>
      </c>
      <c r="II6" s="1" t="s">
        <v>327</v>
      </c>
      <c r="IJ6" s="1" t="s">
        <v>328</v>
      </c>
      <c r="IK6" s="1" t="s">
        <v>329</v>
      </c>
      <c r="IL6" s="1" t="s">
        <v>330</v>
      </c>
      <c r="IM6" s="1" t="s">
        <v>331</v>
      </c>
      <c r="IN6" s="1" t="s">
        <v>332</v>
      </c>
      <c r="IO6" s="1" t="s">
        <v>353</v>
      </c>
    </row>
    <row r="7" spans="1:249" ht="12.75" customHeight="1" x14ac:dyDescent="0.25">
      <c r="A7" s="1" t="s">
        <v>393</v>
      </c>
      <c r="B7" s="1" t="s">
        <v>380</v>
      </c>
      <c r="C7" s="1" t="s">
        <v>388</v>
      </c>
      <c r="D7" s="1" t="s">
        <v>386</v>
      </c>
      <c r="E7" s="1" t="s">
        <v>387</v>
      </c>
      <c r="F7" s="1" t="s">
        <v>389</v>
      </c>
      <c r="G7" s="1" t="s">
        <v>390</v>
      </c>
      <c r="H7" s="1" t="s">
        <v>391</v>
      </c>
      <c r="J7" s="1" t="s">
        <v>392</v>
      </c>
      <c r="K7" s="2" t="s">
        <v>394</v>
      </c>
      <c r="L7" s="1" t="s">
        <v>395</v>
      </c>
      <c r="M7" s="1" t="s">
        <v>398</v>
      </c>
      <c r="N7" s="1" t="s">
        <v>397</v>
      </c>
      <c r="O7" s="1" t="s">
        <v>396</v>
      </c>
      <c r="P7" s="1" t="s">
        <v>403</v>
      </c>
      <c r="Q7" s="1" t="s">
        <v>423</v>
      </c>
      <c r="R7" s="1" t="s">
        <v>409</v>
      </c>
      <c r="S7" s="1" t="s">
        <v>410</v>
      </c>
      <c r="U7" s="1" t="s">
        <v>392</v>
      </c>
      <c r="V7" s="1" t="s">
        <v>489</v>
      </c>
      <c r="W7" s="1" t="s">
        <v>490</v>
      </c>
      <c r="X7" s="1" t="s">
        <v>491</v>
      </c>
      <c r="Y7" s="1" t="s">
        <v>496</v>
      </c>
      <c r="Z7" s="1" t="s">
        <v>493</v>
      </c>
      <c r="AA7" s="1" t="s">
        <v>492</v>
      </c>
      <c r="AB7" s="1" t="s">
        <v>427</v>
      </c>
      <c r="AC7" s="1" t="s">
        <v>405</v>
      </c>
      <c r="AE7" s="1" t="s">
        <v>392</v>
      </c>
      <c r="AF7" s="1" t="s">
        <v>407</v>
      </c>
      <c r="AG7" s="1" t="s">
        <v>408</v>
      </c>
      <c r="AH7" s="1" t="s">
        <v>411</v>
      </c>
      <c r="AI7" s="1" t="s">
        <v>412</v>
      </c>
      <c r="AJ7" s="1" t="s">
        <v>413</v>
      </c>
      <c r="AK7" s="1" t="s">
        <v>415</v>
      </c>
      <c r="AL7" s="1" t="s">
        <v>416</v>
      </c>
      <c r="AM7" s="1" t="s">
        <v>417</v>
      </c>
      <c r="AN7" s="2" t="s">
        <v>418</v>
      </c>
      <c r="AP7" s="1" t="s">
        <v>393</v>
      </c>
      <c r="AQ7" s="1" t="s">
        <v>407</v>
      </c>
      <c r="AR7" s="1" t="s">
        <v>408</v>
      </c>
      <c r="AS7" s="1" t="s">
        <v>411</v>
      </c>
      <c r="AT7" s="1" t="s">
        <v>412</v>
      </c>
      <c r="AU7" s="1" t="s">
        <v>413</v>
      </c>
      <c r="AV7" s="1" t="s">
        <v>415</v>
      </c>
      <c r="AW7" s="1" t="s">
        <v>416</v>
      </c>
      <c r="AX7" s="1" t="s">
        <v>417</v>
      </c>
      <c r="AY7" s="1" t="s">
        <v>425</v>
      </c>
      <c r="BA7" s="1" t="s">
        <v>392</v>
      </c>
      <c r="BB7" s="1" t="s">
        <v>428</v>
      </c>
      <c r="BC7" s="1" t="s">
        <v>429</v>
      </c>
      <c r="BD7" s="1" t="s">
        <v>430</v>
      </c>
      <c r="BE7" s="1" t="s">
        <v>433</v>
      </c>
      <c r="BF7" s="1" t="s">
        <v>434</v>
      </c>
      <c r="BG7" s="1" t="s">
        <v>435</v>
      </c>
      <c r="BH7" s="1" t="s">
        <v>320</v>
      </c>
      <c r="BI7" s="1" t="s">
        <v>321</v>
      </c>
      <c r="BJ7" s="1" t="s">
        <v>425</v>
      </c>
      <c r="BL7" s="1" t="s">
        <v>393</v>
      </c>
      <c r="BM7" s="1" t="s">
        <v>428</v>
      </c>
      <c r="BN7" s="1" t="s">
        <v>429</v>
      </c>
      <c r="BO7" s="1" t="s">
        <v>438</v>
      </c>
      <c r="BP7" s="1" t="s">
        <v>320</v>
      </c>
      <c r="BQ7" s="1" t="s">
        <v>321</v>
      </c>
      <c r="BR7" s="1" t="s">
        <v>425</v>
      </c>
      <c r="BT7" s="1" t="s">
        <v>393</v>
      </c>
      <c r="BU7" s="1" t="s">
        <v>428</v>
      </c>
      <c r="BV7" s="1" t="s">
        <v>429</v>
      </c>
      <c r="BW7" s="1" t="s">
        <v>438</v>
      </c>
      <c r="BX7" s="1" t="s">
        <v>320</v>
      </c>
      <c r="BY7" s="1" t="s">
        <v>321</v>
      </c>
      <c r="BZ7" s="1" t="s">
        <v>425</v>
      </c>
      <c r="CB7" s="1" t="s">
        <v>392</v>
      </c>
      <c r="CC7" s="1" t="s">
        <v>407</v>
      </c>
      <c r="CD7" s="1" t="s">
        <v>408</v>
      </c>
      <c r="CE7" s="1" t="s">
        <v>411</v>
      </c>
      <c r="CF7" s="1" t="s">
        <v>412</v>
      </c>
      <c r="CG7" s="1" t="s">
        <v>420</v>
      </c>
      <c r="CH7" s="1" t="s">
        <v>416</v>
      </c>
      <c r="CI7" s="1" t="s">
        <v>419</v>
      </c>
      <c r="CJ7" s="1" t="s">
        <v>441</v>
      </c>
      <c r="CL7" s="1" t="s">
        <v>392</v>
      </c>
      <c r="CM7" s="1" t="s">
        <v>407</v>
      </c>
      <c r="CN7" s="1" t="s">
        <v>408</v>
      </c>
      <c r="CO7" s="1" t="s">
        <v>411</v>
      </c>
      <c r="CP7" s="1" t="s">
        <v>412</v>
      </c>
      <c r="CQ7" s="1" t="s">
        <v>420</v>
      </c>
      <c r="CR7" s="1" t="s">
        <v>416</v>
      </c>
      <c r="CS7" s="1" t="s">
        <v>419</v>
      </c>
      <c r="CT7" s="2" t="s">
        <v>40</v>
      </c>
      <c r="CV7" s="1" t="s">
        <v>302</v>
      </c>
      <c r="CW7" s="1" t="s">
        <v>448</v>
      </c>
      <c r="CX7" s="1" t="s">
        <v>449</v>
      </c>
      <c r="CY7" s="1" t="s">
        <v>450</v>
      </c>
      <c r="CZ7" s="1" t="s">
        <v>451</v>
      </c>
      <c r="DA7" s="1" t="s">
        <v>452</v>
      </c>
      <c r="DB7" s="1" t="s">
        <v>453</v>
      </c>
      <c r="DC7" s="1" t="s">
        <v>454</v>
      </c>
      <c r="DD7" s="1" t="s">
        <v>455</v>
      </c>
      <c r="DF7" s="1" t="s">
        <v>424</v>
      </c>
      <c r="DG7" s="1" t="s">
        <v>456</v>
      </c>
      <c r="DH7" s="1" t="s">
        <v>448</v>
      </c>
      <c r="DI7" s="1" t="s">
        <v>449</v>
      </c>
      <c r="DJ7" s="1" t="s">
        <v>450</v>
      </c>
      <c r="DK7" s="1" t="s">
        <v>451</v>
      </c>
      <c r="DL7" s="1" t="s">
        <v>452</v>
      </c>
      <c r="DM7" s="1" t="s">
        <v>453</v>
      </c>
      <c r="DN7" s="1" t="s">
        <v>454</v>
      </c>
      <c r="DO7" s="1" t="s">
        <v>455</v>
      </c>
      <c r="DQ7" s="1" t="s">
        <v>392</v>
      </c>
      <c r="DR7" s="1" t="s">
        <v>448</v>
      </c>
      <c r="DS7" s="1" t="s">
        <v>449</v>
      </c>
      <c r="DT7" s="1" t="s">
        <v>450</v>
      </c>
      <c r="DU7" s="1" t="s">
        <v>451</v>
      </c>
      <c r="DV7" s="1" t="s">
        <v>452</v>
      </c>
      <c r="DW7" s="1" t="s">
        <v>453</v>
      </c>
      <c r="DX7" s="1" t="s">
        <v>454</v>
      </c>
      <c r="DY7" s="1" t="s">
        <v>455</v>
      </c>
      <c r="EA7" s="1" t="s">
        <v>424</v>
      </c>
      <c r="EB7" s="1" t="s">
        <v>456</v>
      </c>
      <c r="EC7" s="1" t="s">
        <v>448</v>
      </c>
      <c r="ED7" s="1" t="s">
        <v>449</v>
      </c>
      <c r="EE7" s="1" t="s">
        <v>450</v>
      </c>
      <c r="EF7" s="1" t="s">
        <v>451</v>
      </c>
      <c r="EG7" s="1" t="s">
        <v>452</v>
      </c>
      <c r="EH7" s="1" t="s">
        <v>453</v>
      </c>
      <c r="EI7" s="1" t="s">
        <v>454</v>
      </c>
      <c r="EJ7" s="1" t="s">
        <v>455</v>
      </c>
      <c r="EL7" s="1" t="s">
        <v>392</v>
      </c>
      <c r="EM7" s="1" t="s">
        <v>407</v>
      </c>
      <c r="EN7" s="1" t="s">
        <v>408</v>
      </c>
      <c r="EO7" s="1" t="s">
        <v>411</v>
      </c>
      <c r="EP7" s="1" t="s">
        <v>412</v>
      </c>
      <c r="EQ7" s="1" t="s">
        <v>413</v>
      </c>
      <c r="ER7" s="1" t="s">
        <v>415</v>
      </c>
      <c r="ES7" s="1" t="s">
        <v>416</v>
      </c>
      <c r="ET7" s="1" t="s">
        <v>417</v>
      </c>
      <c r="EU7" s="1" t="s">
        <v>467</v>
      </c>
      <c r="EV7" s="1" t="s">
        <v>462</v>
      </c>
      <c r="EX7" s="1" t="s">
        <v>392</v>
      </c>
      <c r="EY7" s="1" t="s">
        <v>407</v>
      </c>
      <c r="EZ7" s="1" t="s">
        <v>408</v>
      </c>
      <c r="FA7" s="1" t="s">
        <v>411</v>
      </c>
      <c r="FB7" s="1" t="s">
        <v>412</v>
      </c>
      <c r="FC7" s="1" t="s">
        <v>413</v>
      </c>
      <c r="FD7" s="1" t="s">
        <v>415</v>
      </c>
      <c r="FE7" s="1" t="s">
        <v>416</v>
      </c>
      <c r="FF7" s="1" t="s">
        <v>417</v>
      </c>
      <c r="FG7" s="1" t="s">
        <v>467</v>
      </c>
      <c r="FH7" s="1" t="s">
        <v>462</v>
      </c>
      <c r="FJ7" s="1" t="s">
        <v>392</v>
      </c>
      <c r="FK7" s="1" t="s">
        <v>407</v>
      </c>
      <c r="FL7" s="1" t="s">
        <v>408</v>
      </c>
      <c r="FM7" s="1" t="s">
        <v>411</v>
      </c>
      <c r="FN7" s="1" t="s">
        <v>412</v>
      </c>
      <c r="FO7" s="1" t="s">
        <v>413</v>
      </c>
      <c r="FP7" s="1" t="s">
        <v>415</v>
      </c>
      <c r="FQ7" s="1" t="s">
        <v>417</v>
      </c>
      <c r="FR7" s="1" t="s">
        <v>465</v>
      </c>
      <c r="FS7" s="1" t="s">
        <v>466</v>
      </c>
      <c r="FU7" s="1" t="s">
        <v>392</v>
      </c>
      <c r="FV7" s="1" t="s">
        <v>407</v>
      </c>
      <c r="FW7" s="1" t="s">
        <v>408</v>
      </c>
      <c r="FX7" s="1" t="s">
        <v>411</v>
      </c>
      <c r="FY7" s="1" t="s">
        <v>412</v>
      </c>
      <c r="FZ7" s="1" t="s">
        <v>413</v>
      </c>
      <c r="GA7" s="1" t="s">
        <v>415</v>
      </c>
      <c r="GB7" s="1" t="s">
        <v>416</v>
      </c>
      <c r="GC7" s="1" t="s">
        <v>417</v>
      </c>
      <c r="GD7" s="1" t="s">
        <v>467</v>
      </c>
      <c r="GE7" s="1" t="s">
        <v>462</v>
      </c>
      <c r="GG7" s="1" t="s">
        <v>392</v>
      </c>
      <c r="GH7" s="1" t="s">
        <v>407</v>
      </c>
      <c r="GI7" s="1" t="s">
        <v>408</v>
      </c>
      <c r="GJ7" s="1" t="s">
        <v>411</v>
      </c>
      <c r="GK7" s="1" t="s">
        <v>412</v>
      </c>
      <c r="GL7" s="1" t="s">
        <v>413</v>
      </c>
      <c r="GM7" s="1" t="s">
        <v>415</v>
      </c>
      <c r="GN7" s="1" t="s">
        <v>416</v>
      </c>
      <c r="GO7" s="1" t="s">
        <v>417</v>
      </c>
      <c r="GP7" s="1" t="s">
        <v>467</v>
      </c>
      <c r="GQ7" s="1" t="s">
        <v>462</v>
      </c>
      <c r="GS7" s="1" t="s">
        <v>392</v>
      </c>
      <c r="GT7" s="1" t="s">
        <v>407</v>
      </c>
      <c r="GU7" s="1" t="s">
        <v>408</v>
      </c>
      <c r="GV7" s="1" t="s">
        <v>411</v>
      </c>
      <c r="GW7" s="1" t="s">
        <v>412</v>
      </c>
      <c r="GX7" s="1" t="s">
        <v>413</v>
      </c>
      <c r="GY7" s="1" t="s">
        <v>415</v>
      </c>
      <c r="GZ7" s="1" t="s">
        <v>417</v>
      </c>
      <c r="HA7" s="1" t="s">
        <v>467</v>
      </c>
      <c r="HC7" s="1" t="s">
        <v>302</v>
      </c>
      <c r="HD7" s="1" t="s">
        <v>407</v>
      </c>
      <c r="HE7" s="1" t="s">
        <v>408</v>
      </c>
      <c r="HF7" s="1" t="s">
        <v>411</v>
      </c>
      <c r="HG7" s="1" t="s">
        <v>412</v>
      </c>
      <c r="HH7" s="1" t="s">
        <v>422</v>
      </c>
      <c r="HI7" s="1" t="s">
        <v>415</v>
      </c>
      <c r="HJ7" s="1" t="s">
        <v>417</v>
      </c>
      <c r="HK7" s="2" t="s">
        <v>467</v>
      </c>
      <c r="HL7" s="1" t="s">
        <v>462</v>
      </c>
      <c r="HN7" s="1" t="s">
        <v>392</v>
      </c>
      <c r="HO7" s="1" t="s">
        <v>407</v>
      </c>
      <c r="HP7" s="1" t="s">
        <v>408</v>
      </c>
      <c r="HQ7" s="1" t="s">
        <v>411</v>
      </c>
      <c r="HR7" s="1" t="s">
        <v>412</v>
      </c>
      <c r="HS7" s="1" t="s">
        <v>422</v>
      </c>
      <c r="HT7" s="1" t="s">
        <v>417</v>
      </c>
      <c r="HU7" s="2" t="s">
        <v>467</v>
      </c>
      <c r="HW7" s="1" t="s">
        <v>392</v>
      </c>
      <c r="HX7" s="1" t="s">
        <v>407</v>
      </c>
      <c r="HY7" s="1" t="s">
        <v>408</v>
      </c>
      <c r="HZ7" s="1" t="s">
        <v>411</v>
      </c>
      <c r="IA7" s="1" t="s">
        <v>412</v>
      </c>
      <c r="IB7" s="1" t="s">
        <v>422</v>
      </c>
      <c r="IC7" s="1" t="s">
        <v>416</v>
      </c>
      <c r="ID7" s="1" t="s">
        <v>417</v>
      </c>
      <c r="IE7" s="2" t="s">
        <v>467</v>
      </c>
      <c r="IF7" s="1" t="s">
        <v>462</v>
      </c>
      <c r="IH7" s="1" t="s">
        <v>392</v>
      </c>
      <c r="II7" s="1" t="s">
        <v>482</v>
      </c>
      <c r="IJ7" s="1" t="s">
        <v>481</v>
      </c>
      <c r="IK7" s="1" t="s">
        <v>480</v>
      </c>
      <c r="IL7" s="1" t="s">
        <v>479</v>
      </c>
      <c r="IM7" s="1" t="s">
        <v>478</v>
      </c>
      <c r="IN7" s="1" t="s">
        <v>476</v>
      </c>
      <c r="IO7" s="1" t="s">
        <v>475</v>
      </c>
    </row>
    <row r="8" spans="1:249" x14ac:dyDescent="0.25">
      <c r="J8" s="1">
        <v>1800</v>
      </c>
      <c r="K8" s="2">
        <v>115.34354639938081</v>
      </c>
      <c r="L8" s="1">
        <v>110.06013039943707</v>
      </c>
      <c r="M8" s="1">
        <v>111.22249632293814</v>
      </c>
      <c r="N8" s="1">
        <v>105.9390803229944</v>
      </c>
      <c r="O8" s="1">
        <v>4.121050076442665</v>
      </c>
      <c r="P8" s="1">
        <v>5.2834159999437453</v>
      </c>
      <c r="Q8" s="1">
        <v>74.955498808564286</v>
      </c>
      <c r="R8" s="1">
        <v>190.29904520794508</v>
      </c>
      <c r="S8" s="1">
        <v>185.01562920800137</v>
      </c>
      <c r="U8" s="1">
        <v>1800</v>
      </c>
      <c r="V8" s="1">
        <v>49.037641803652598</v>
      </c>
      <c r="W8" s="1">
        <v>8598.1762024106301</v>
      </c>
      <c r="Y8" s="1">
        <v>46.791428041438003</v>
      </c>
      <c r="Z8" s="1">
        <v>7957.7299104795575</v>
      </c>
      <c r="AB8" s="1">
        <v>2352143.0100822952</v>
      </c>
      <c r="AE8" s="1">
        <v>1800</v>
      </c>
      <c r="AF8" s="1">
        <v>51.555395620336803</v>
      </c>
      <c r="AG8" s="1">
        <v>12.085591908777824</v>
      </c>
      <c r="AH8" s="1">
        <v>5.4648711651237516</v>
      </c>
      <c r="AI8" s="1">
        <v>6.5083959452525502</v>
      </c>
      <c r="AJ8" s="1">
        <v>4.0596346328350936</v>
      </c>
      <c r="AK8" s="1">
        <v>14.438785072951623</v>
      </c>
      <c r="AL8" s="1">
        <v>11.188284006815842</v>
      </c>
      <c r="AM8" s="1">
        <v>4.7591720473436059</v>
      </c>
      <c r="AN8" s="2">
        <v>110.0601303994371</v>
      </c>
      <c r="BA8" s="1">
        <v>1800</v>
      </c>
      <c r="BB8" s="1">
        <v>96.132772023519863</v>
      </c>
      <c r="BC8" s="1">
        <v>13.271726029184039</v>
      </c>
      <c r="BD8" s="1">
        <v>4.5935748431137711</v>
      </c>
      <c r="BE8" s="1">
        <v>0.68449705444922726</v>
      </c>
      <c r="BF8" s="1">
        <v>0.11975270484228169</v>
      </c>
      <c r="BG8" s="1">
        <v>0.10492535224298764</v>
      </c>
      <c r="BH8" s="1">
        <v>14.856537986997498</v>
      </c>
      <c r="BI8" s="1">
        <v>14.420239594968841</v>
      </c>
      <c r="BJ8" s="1">
        <v>115.34354639938081</v>
      </c>
      <c r="CB8" s="1">
        <v>1800</v>
      </c>
      <c r="CC8" s="1">
        <v>2.1398109335650695</v>
      </c>
      <c r="CD8" s="1">
        <v>1.0130101156654139</v>
      </c>
      <c r="CE8" s="1">
        <v>1.7290176770286533E-2</v>
      </c>
      <c r="CF8" s="1">
        <v>0.63140523630120171</v>
      </c>
      <c r="CG8" s="1">
        <v>0.30451596582606766</v>
      </c>
      <c r="CH8" s="1">
        <v>0.19584580941911819</v>
      </c>
      <c r="CI8" s="1">
        <v>1.2008717171011094</v>
      </c>
      <c r="CJ8" s="1">
        <v>5.5027499546482659</v>
      </c>
      <c r="CL8" s="1">
        <v>1800</v>
      </c>
      <c r="CM8" s="1">
        <v>1.927520068682135</v>
      </c>
      <c r="CN8" s="1">
        <v>0.37002896833962617</v>
      </c>
      <c r="CO8" s="1">
        <v>1.424111776516284E-2</v>
      </c>
      <c r="CP8" s="1">
        <v>0.53382658379724413</v>
      </c>
      <c r="CQ8" s="1">
        <v>9.7090435101935213E-2</v>
      </c>
      <c r="CR8" s="1">
        <v>0.13898308560095179</v>
      </c>
      <c r="CS8" s="1">
        <v>1.0393598171556098</v>
      </c>
      <c r="CT8" s="2">
        <v>4.121050076442665</v>
      </c>
      <c r="CV8" s="1">
        <v>1800</v>
      </c>
      <c r="CW8" s="1">
        <v>32.75835404517268</v>
      </c>
      <c r="CX8" s="1">
        <v>56.115488774740001</v>
      </c>
      <c r="CY8" s="1">
        <v>5.4337141643231339</v>
      </c>
      <c r="CZ8" s="1">
        <v>17.39596966776319</v>
      </c>
      <c r="DA8" s="1">
        <v>15.68236646320851</v>
      </c>
      <c r="DB8" s="1">
        <v>127.38589311520751</v>
      </c>
      <c r="DC8" s="1">
        <v>123.51325892148098</v>
      </c>
      <c r="DD8" s="1">
        <v>18.613265621438472</v>
      </c>
      <c r="DF8" s="1">
        <v>1800</v>
      </c>
      <c r="DG8" s="1">
        <v>1.3444965500047203</v>
      </c>
      <c r="DH8" s="1">
        <v>0.49304033933688629</v>
      </c>
      <c r="DI8" s="1">
        <v>1.8415483375242587</v>
      </c>
      <c r="DJ8" s="1">
        <v>-0.68613789769554501</v>
      </c>
      <c r="DK8" s="1">
        <v>7.5105691992245482</v>
      </c>
      <c r="DL8" s="1">
        <v>0.66906581024713319</v>
      </c>
      <c r="DM8" s="1">
        <v>2.0120594229649384</v>
      </c>
      <c r="DN8" s="1">
        <v>2.0288534958951487</v>
      </c>
      <c r="DO8" s="1">
        <v>0.54484913065036267</v>
      </c>
      <c r="DQ8" s="1">
        <v>1800</v>
      </c>
      <c r="DR8" s="1">
        <v>74.535613602756172</v>
      </c>
      <c r="DS8" s="1">
        <v>131.26896622965253</v>
      </c>
      <c r="DT8" s="1">
        <v>11.756552890618602</v>
      </c>
      <c r="DU8" s="1">
        <v>17.39596966776319</v>
      </c>
      <c r="DV8" s="1">
        <v>15.68236646320851</v>
      </c>
      <c r="DW8" s="1">
        <v>250.63946885399901</v>
      </c>
      <c r="DX8" s="1">
        <v>241.84453476958015</v>
      </c>
      <c r="DY8" s="1">
        <v>28.239217072136846</v>
      </c>
      <c r="EA8" s="1">
        <v>1800</v>
      </c>
      <c r="EB8" s="1">
        <v>0.93453894390940206</v>
      </c>
      <c r="EC8" s="1">
        <v>0.55666312141345031</v>
      </c>
      <c r="ED8" s="1">
        <v>1.1490999868150737</v>
      </c>
      <c r="EE8" s="1">
        <v>-7.8224646689477595E-2</v>
      </c>
      <c r="EF8" s="1">
        <v>7.5105691992245482</v>
      </c>
      <c r="EG8" s="1">
        <v>0.66906581024713319</v>
      </c>
      <c r="EH8" s="1">
        <v>1.326580385086956</v>
      </c>
      <c r="EI8" s="1">
        <v>1.3384895766180591</v>
      </c>
      <c r="EJ8" s="1">
        <v>0.62252242802176738</v>
      </c>
    </row>
    <row r="9" spans="1:249" x14ac:dyDescent="0.25">
      <c r="A9" s="1" t="s">
        <v>100</v>
      </c>
      <c r="B9" s="1">
        <v>-4.4491680553849022</v>
      </c>
      <c r="C9" s="1">
        <v>-4.4335348781563795</v>
      </c>
      <c r="D9" s="1">
        <v>-3.8903593863468444</v>
      </c>
      <c r="E9" s="1">
        <v>-5.0047276525650375</v>
      </c>
      <c r="F9" s="1">
        <v>-4.4543025911758747</v>
      </c>
      <c r="G9" s="1">
        <v>-7.2386294123991775</v>
      </c>
      <c r="H9" s="1">
        <v>-7.5304378704045121</v>
      </c>
      <c r="J9" s="1">
        <v>1801</v>
      </c>
      <c r="K9" s="2">
        <v>118.16872887320356</v>
      </c>
      <c r="L9" s="1">
        <v>112.73240822748808</v>
      </c>
      <c r="M9" s="1">
        <v>114.03638729943111</v>
      </c>
      <c r="N9" s="1">
        <v>108.60006665371563</v>
      </c>
      <c r="O9" s="1">
        <v>4.1323415737724494</v>
      </c>
      <c r="P9" s="1">
        <v>5.4363206457154813</v>
      </c>
      <c r="Q9" s="1">
        <v>79.32078564660209</v>
      </c>
      <c r="R9" s="1">
        <v>197.48951451980565</v>
      </c>
      <c r="S9" s="1">
        <v>192.05319387409017</v>
      </c>
      <c r="U9" s="1">
        <v>1801</v>
      </c>
      <c r="V9" s="1">
        <v>50.260517650917762</v>
      </c>
      <c r="W9" s="1">
        <v>7979.2415867676145</v>
      </c>
      <c r="X9" s="1">
        <v>-7.198440705012402</v>
      </c>
      <c r="Y9" s="1">
        <v>47.948296030397387</v>
      </c>
      <c r="Z9" s="1">
        <v>7606.9714136649054</v>
      </c>
      <c r="AA9" s="1">
        <v>-4.407770818568963</v>
      </c>
      <c r="AB9" s="1">
        <v>2351124.3894052054</v>
      </c>
      <c r="AC9" s="1">
        <v>-4.3306069092039934E-2</v>
      </c>
      <c r="AE9" s="1">
        <v>1801</v>
      </c>
      <c r="AF9" s="1">
        <v>52.345831457718056</v>
      </c>
      <c r="AG9" s="1">
        <v>12.777798931895544</v>
      </c>
      <c r="AH9" s="1">
        <v>5.4206768065828204</v>
      </c>
      <c r="AI9" s="1">
        <v>6.9588320254984835</v>
      </c>
      <c r="AJ9" s="1">
        <v>5.0812014656791131</v>
      </c>
      <c r="AK9" s="1">
        <v>14.204541532257574</v>
      </c>
      <c r="AL9" s="1">
        <v>10.999162193115732</v>
      </c>
      <c r="AM9" s="1">
        <v>4.944363814740762</v>
      </c>
      <c r="AN9" s="2">
        <v>112.73240822748809</v>
      </c>
      <c r="AP9" s="1" t="s">
        <v>100</v>
      </c>
      <c r="AQ9" s="1">
        <v>-9.997145478107285</v>
      </c>
      <c r="AR9" s="1">
        <v>2.4438344678322039</v>
      </c>
      <c r="AS9" s="1">
        <v>-0.16173980028285939</v>
      </c>
      <c r="AT9" s="1">
        <v>-1.9966428053139396</v>
      </c>
      <c r="AU9" s="1">
        <v>-2.4152356776720154</v>
      </c>
      <c r="AV9" s="1">
        <v>0.33584003073754332</v>
      </c>
      <c r="AW9" s="1">
        <v>2.8294943981780136</v>
      </c>
      <c r="AX9" s="1">
        <v>0.40497629395663637</v>
      </c>
      <c r="AY9" s="1">
        <v>-4.4491680553849022</v>
      </c>
      <c r="BA9" s="1">
        <v>1801</v>
      </c>
      <c r="BB9" s="1">
        <v>99.153551079904759</v>
      </c>
      <c r="BC9" s="1">
        <v>12.586415037079824</v>
      </c>
      <c r="BD9" s="1">
        <v>4.6332199020363358</v>
      </c>
      <c r="BE9" s="1">
        <v>0.74393476727007402</v>
      </c>
      <c r="BF9" s="1">
        <v>-0.30646626237732455</v>
      </c>
      <c r="BG9" s="1">
        <v>0.15100381502298446</v>
      </c>
      <c r="BH9" s="1">
        <v>19.653271081819511</v>
      </c>
      <c r="BI9" s="1">
        <v>18.446200547552603</v>
      </c>
      <c r="BJ9" s="1">
        <v>118.16872887320356</v>
      </c>
      <c r="BL9" s="1" t="s">
        <v>100</v>
      </c>
      <c r="BM9" s="1">
        <v>-9.3201040320101356</v>
      </c>
      <c r="BN9" s="1">
        <v>-1.3922634329227321</v>
      </c>
      <c r="BO9" s="1">
        <v>-4.8820506296712693</v>
      </c>
      <c r="BP9" s="1">
        <v>32.542291273864976</v>
      </c>
      <c r="BQ9" s="1">
        <v>24.489115948467344</v>
      </c>
      <c r="BR9" s="1">
        <v>-7.238629412399149</v>
      </c>
      <c r="BT9" s="1" t="s">
        <v>100</v>
      </c>
      <c r="BU9" s="1">
        <v>13.743292069618107</v>
      </c>
      <c r="BV9" s="1">
        <v>-3.8246776801979792</v>
      </c>
      <c r="BW9" s="1">
        <v>-0.23711214864540864</v>
      </c>
      <c r="BX9" s="1">
        <v>-0.19259759744542748</v>
      </c>
      <c r="BY9" s="1">
        <v>2.7550244266209205</v>
      </c>
      <c r="BZ9" s="1">
        <v>10.443994771927805</v>
      </c>
      <c r="CB9" s="1">
        <v>1801</v>
      </c>
      <c r="CC9" s="1">
        <v>1.8577282445599801</v>
      </c>
      <c r="CD9" s="1">
        <v>0.93476082356343271</v>
      </c>
      <c r="CE9" s="1">
        <v>1.6674194044502596E-2</v>
      </c>
      <c r="CF9" s="1">
        <v>0.69684497964911674</v>
      </c>
      <c r="CG9" s="1">
        <v>0.28420025248546149</v>
      </c>
      <c r="CH9" s="1">
        <v>0.16353981783162552</v>
      </c>
      <c r="CI9" s="1">
        <v>1.2679439098179504</v>
      </c>
      <c r="CJ9" s="1">
        <v>5.2216922219520701</v>
      </c>
      <c r="CL9" s="1">
        <v>1801</v>
      </c>
      <c r="CM9" s="1">
        <v>1.9202823972793532</v>
      </c>
      <c r="CN9" s="1">
        <v>0.37386968922325681</v>
      </c>
      <c r="CO9" s="1">
        <v>1.211515685615513E-2</v>
      </c>
      <c r="CP9" s="1">
        <v>0.54165006289055506</v>
      </c>
      <c r="CQ9" s="1">
        <v>0.10221097507770263</v>
      </c>
      <c r="CR9" s="1">
        <v>0.13609163548769068</v>
      </c>
      <c r="CS9" s="1">
        <v>1.0461216569577356</v>
      </c>
      <c r="CT9" s="2">
        <v>4.1323415737724494</v>
      </c>
      <c r="CV9" s="1">
        <v>1801</v>
      </c>
      <c r="CW9" s="1">
        <v>32.919865945118175</v>
      </c>
      <c r="CX9" s="1">
        <v>57.148882625364848</v>
      </c>
      <c r="CY9" s="1">
        <v>5.1304916569373846</v>
      </c>
      <c r="CZ9" s="1">
        <v>18.702506007536655</v>
      </c>
      <c r="DA9" s="1">
        <v>17.231740112364797</v>
      </c>
      <c r="DB9" s="1">
        <v>131.13348634732185</v>
      </c>
      <c r="DC9" s="1">
        <v>127.23260115179529</v>
      </c>
      <c r="DD9" s="1">
        <v>19.641013690893733</v>
      </c>
      <c r="DF9" s="1">
        <v>1801</v>
      </c>
      <c r="DG9" s="1">
        <v>1.3231268834025087</v>
      </c>
      <c r="DH9" s="1">
        <v>0.67382489719132366</v>
      </c>
      <c r="DI9" s="1">
        <v>1.6971487953285163</v>
      </c>
      <c r="DJ9" s="1">
        <v>1.0255197075519789</v>
      </c>
      <c r="DK9" s="1">
        <v>1.6186289992648426</v>
      </c>
      <c r="DL9" s="1">
        <v>0.87631204996314693</v>
      </c>
      <c r="DM9" s="1">
        <v>1.2948808577284154</v>
      </c>
      <c r="DN9" s="1">
        <v>1.3130513268723121</v>
      </c>
      <c r="DO9" s="1">
        <v>0.35534151910758283</v>
      </c>
      <c r="DQ9" s="1">
        <v>1801</v>
      </c>
      <c r="DR9" s="1">
        <v>74.950525876001933</v>
      </c>
      <c r="DS9" s="1">
        <v>132.77737790328976</v>
      </c>
      <c r="DT9" s="1">
        <v>11.167818136792039</v>
      </c>
      <c r="DU9" s="1">
        <v>18.702506007536655</v>
      </c>
      <c r="DV9" s="1">
        <v>17.231740112364797</v>
      </c>
      <c r="DW9" s="1">
        <v>254.82996803598522</v>
      </c>
      <c r="DX9" s="1">
        <v>246.00938812618367</v>
      </c>
      <c r="DY9" s="1">
        <v>29.227788113674578</v>
      </c>
      <c r="EA9" s="1">
        <v>1801</v>
      </c>
      <c r="EB9" s="1">
        <v>0.93693300467656115</v>
      </c>
      <c r="EC9" s="1">
        <v>0.63691844842399803</v>
      </c>
      <c r="ED9" s="1">
        <v>1.1062860158345558</v>
      </c>
      <c r="EE9" s="1">
        <v>0.73706047758754778</v>
      </c>
      <c r="EF9" s="1">
        <v>1.6186289992648426</v>
      </c>
      <c r="EG9" s="1">
        <v>0.87631204996314693</v>
      </c>
      <c r="EH9" s="1">
        <v>0.97400773220024917</v>
      </c>
      <c r="EI9" s="1">
        <v>0.98526610345581389</v>
      </c>
      <c r="EJ9" s="1">
        <v>0.54432544906997293</v>
      </c>
    </row>
    <row r="10" spans="1:249" x14ac:dyDescent="0.25">
      <c r="A10" s="1" t="s">
        <v>101</v>
      </c>
      <c r="B10" s="1">
        <v>3.8116577374470921</v>
      </c>
      <c r="C10" s="1">
        <v>3.8350711608704273</v>
      </c>
      <c r="D10" s="1">
        <v>3.8207194655402503</v>
      </c>
      <c r="E10" s="1">
        <v>3.8025968002838937</v>
      </c>
      <c r="F10" s="1">
        <v>3.6531445019383426</v>
      </c>
      <c r="G10" s="1">
        <v>4.2158580443344391</v>
      </c>
      <c r="H10" s="1">
        <v>4.3608908604582268</v>
      </c>
      <c r="J10" s="1">
        <v>1802</v>
      </c>
      <c r="K10" s="2">
        <v>121.16509199112558</v>
      </c>
      <c r="L10" s="1">
        <v>115.56729710679713</v>
      </c>
      <c r="M10" s="1">
        <v>117.00879843677484</v>
      </c>
      <c r="N10" s="1">
        <v>111.41100355244639</v>
      </c>
      <c r="O10" s="1">
        <v>4.1562935543507367</v>
      </c>
      <c r="P10" s="1">
        <v>5.5977948843284553</v>
      </c>
      <c r="Q10" s="1">
        <v>79.51719635577183</v>
      </c>
      <c r="R10" s="1">
        <v>200.68228834689739</v>
      </c>
      <c r="S10" s="1">
        <v>195.08449346256896</v>
      </c>
      <c r="U10" s="1">
        <v>1802</v>
      </c>
      <c r="V10" s="1">
        <v>51.263631853459309</v>
      </c>
      <c r="W10" s="1">
        <v>8271.854457672629</v>
      </c>
      <c r="X10" s="1">
        <v>3.6671764819136428</v>
      </c>
      <c r="Y10" s="1">
        <v>48.895265755388678</v>
      </c>
      <c r="Z10" s="1">
        <v>7855.3469591993862</v>
      </c>
      <c r="AA10" s="1">
        <v>3.2651042317354779</v>
      </c>
      <c r="AB10" s="1">
        <v>2363568.2375662439</v>
      </c>
      <c r="AC10" s="1">
        <v>0.52927221618361386</v>
      </c>
      <c r="AE10" s="1">
        <v>1802</v>
      </c>
      <c r="AF10" s="1">
        <v>54.244933852525122</v>
      </c>
      <c r="AG10" s="1">
        <v>13.231085530839996</v>
      </c>
      <c r="AH10" s="1">
        <v>4.2322085733870143</v>
      </c>
      <c r="AI10" s="1">
        <v>8.3508132473929848</v>
      </c>
      <c r="AJ10" s="1">
        <v>6.0039647126546996</v>
      </c>
      <c r="AK10" s="1">
        <v>13.718799037016637</v>
      </c>
      <c r="AL10" s="1">
        <v>10.812283315224251</v>
      </c>
      <c r="AM10" s="1">
        <v>4.9732088377564434</v>
      </c>
      <c r="AN10" s="2">
        <v>115.56729710679713</v>
      </c>
      <c r="AP10" s="1" t="s">
        <v>101</v>
      </c>
      <c r="AQ10" s="1">
        <v>4.4764961244938775</v>
      </c>
      <c r="AR10" s="1">
        <v>8.9970555200872866</v>
      </c>
      <c r="AS10" s="1">
        <v>-16.975262847815046</v>
      </c>
      <c r="AT10" s="1">
        <v>13.134128631711775</v>
      </c>
      <c r="AU10" s="1">
        <v>4.3902315507888972</v>
      </c>
      <c r="AV10" s="1">
        <v>0.59931909932444682</v>
      </c>
      <c r="AW10" s="1">
        <v>3.8626133249422878</v>
      </c>
      <c r="AX10" s="1">
        <v>0.58339200140741809</v>
      </c>
      <c r="AY10" s="1">
        <v>3.8116577374470921</v>
      </c>
      <c r="BA10" s="1">
        <v>1802</v>
      </c>
      <c r="BB10" s="1">
        <v>96.614660976498186</v>
      </c>
      <c r="BC10" s="1">
        <v>12.593731146472519</v>
      </c>
      <c r="BD10" s="1">
        <v>3.6872651542195731</v>
      </c>
      <c r="BE10" s="1">
        <v>0.66018231427422935</v>
      </c>
      <c r="BF10" s="1">
        <v>0.26340701412920331</v>
      </c>
      <c r="BG10" s="1">
        <v>0.46432796588607766</v>
      </c>
      <c r="BH10" s="1">
        <v>20.975205592976497</v>
      </c>
      <c r="BI10" s="1">
        <v>14.093688173330698</v>
      </c>
      <c r="BJ10" s="1">
        <v>121.16509199112559</v>
      </c>
      <c r="BL10" s="1" t="s">
        <v>101</v>
      </c>
      <c r="BM10" s="1">
        <v>0.19039309356834622</v>
      </c>
      <c r="BN10" s="1">
        <v>4.4860490199513094</v>
      </c>
      <c r="BO10" s="1">
        <v>-3.0054465651532638</v>
      </c>
      <c r="BP10" s="1">
        <v>8.5008206201126626</v>
      </c>
      <c r="BQ10" s="1">
        <v>-15.429565527700944</v>
      </c>
      <c r="BR10" s="1">
        <v>4.2158580443344391</v>
      </c>
      <c r="BT10" s="1" t="s">
        <v>101</v>
      </c>
      <c r="BU10" s="1">
        <v>-2.7457293839278094</v>
      </c>
      <c r="BV10" s="1">
        <v>-4.2378116794603073</v>
      </c>
      <c r="BW10" s="1">
        <v>0.20584197774218183</v>
      </c>
      <c r="BX10" s="1">
        <v>-1.6355067394168259</v>
      </c>
      <c r="BY10" s="1">
        <v>-9.656030055022427</v>
      </c>
      <c r="BZ10" s="1">
        <v>-1.6122239550072521</v>
      </c>
      <c r="CB10" s="1">
        <v>1802</v>
      </c>
      <c r="CC10" s="1">
        <v>1.9532285949149117</v>
      </c>
      <c r="CD10" s="1">
        <v>0.96621726869275826</v>
      </c>
      <c r="CE10" s="1">
        <v>1.4835421073437518E-2</v>
      </c>
      <c r="CF10" s="1">
        <v>0.64641938114435216</v>
      </c>
      <c r="CG10" s="1">
        <v>0.32308317990058755</v>
      </c>
      <c r="CH10" s="1">
        <v>0.18124535780066925</v>
      </c>
      <c r="CI10" s="1">
        <v>0.99015324498236701</v>
      </c>
      <c r="CJ10" s="1">
        <v>5.075182448509084</v>
      </c>
      <c r="CL10" s="1">
        <v>1802</v>
      </c>
      <c r="CM10" s="1">
        <v>1.9118291046474429</v>
      </c>
      <c r="CN10" s="1">
        <v>0.39241431981585495</v>
      </c>
      <c r="CO10" s="1">
        <v>1.3777403567076766E-2</v>
      </c>
      <c r="CP10" s="1">
        <v>0.54723776450631845</v>
      </c>
      <c r="CQ10" s="1">
        <v>0.10537095869680119</v>
      </c>
      <c r="CR10" s="1">
        <v>0.13985094043954976</v>
      </c>
      <c r="CS10" s="1">
        <v>1.0458130626776923</v>
      </c>
      <c r="CT10" s="2">
        <v>4.1562935543507367</v>
      </c>
      <c r="CV10" s="1">
        <v>1802</v>
      </c>
      <c r="CW10" s="1">
        <v>33.141688197978389</v>
      </c>
      <c r="CX10" s="1">
        <v>58.118784198384908</v>
      </c>
      <c r="CY10" s="1">
        <v>5.2863427827848311</v>
      </c>
      <c r="CZ10" s="1">
        <v>19.005230193363893</v>
      </c>
      <c r="DA10" s="1">
        <v>17.334890097181191</v>
      </c>
      <c r="DB10" s="1">
        <v>132.88693546969321</v>
      </c>
      <c r="DC10" s="1">
        <v>128.93975379538745</v>
      </c>
      <c r="DD10" s="1">
        <v>19.741995198424661</v>
      </c>
      <c r="DF10" s="1">
        <v>1802</v>
      </c>
      <c r="DG10" s="1">
        <v>0.25599633361690621</v>
      </c>
      <c r="DH10" s="1">
        <v>-0.16794502851765003</v>
      </c>
      <c r="DI10" s="1">
        <v>0.49774489446305381</v>
      </c>
      <c r="DJ10" s="1">
        <v>-0.77105175493355205</v>
      </c>
      <c r="DK10" s="1">
        <v>-0.95177444154562352</v>
      </c>
      <c r="DL10" s="1">
        <v>2.6785746161816348</v>
      </c>
      <c r="DM10" s="1">
        <v>0.35936906375036415</v>
      </c>
      <c r="DN10" s="1">
        <v>0.33841928922011277</v>
      </c>
      <c r="DO10" s="1">
        <v>4.5163722618471951</v>
      </c>
      <c r="DQ10" s="1">
        <v>1802</v>
      </c>
      <c r="DR10" s="1">
        <v>75.427899602496993</v>
      </c>
      <c r="DS10" s="1">
        <v>134.24627546722564</v>
      </c>
      <c r="DT10" s="1">
        <v>11.476398010128973</v>
      </c>
      <c r="DU10" s="1">
        <v>19.005230193363893</v>
      </c>
      <c r="DV10" s="1">
        <v>17.334890097181191</v>
      </c>
      <c r="DW10" s="1">
        <v>257.49069337039674</v>
      </c>
      <c r="DX10" s="1">
        <v>248.57106517338062</v>
      </c>
      <c r="DY10" s="1">
        <v>29.493088199070126</v>
      </c>
      <c r="EA10" s="1">
        <v>1802</v>
      </c>
      <c r="EB10" s="1">
        <v>0.4690509139932999</v>
      </c>
      <c r="EC10" s="1">
        <v>0.25839647921901587</v>
      </c>
      <c r="ED10" s="1">
        <v>0.58740966548695894</v>
      </c>
      <c r="EE10" s="1">
        <v>-0.13820485077231126</v>
      </c>
      <c r="EF10" s="1">
        <v>-0.95177444154562352</v>
      </c>
      <c r="EG10" s="1">
        <v>2.6785746161816348</v>
      </c>
      <c r="EH10" s="1">
        <v>0.48586550092207403</v>
      </c>
      <c r="EI10" s="1">
        <v>0.47400720375223671</v>
      </c>
      <c r="EJ10" s="1">
        <v>3.3581453692808907</v>
      </c>
    </row>
    <row r="11" spans="1:249" x14ac:dyDescent="0.25">
      <c r="A11" s="1" t="s">
        <v>102</v>
      </c>
      <c r="B11" s="1">
        <v>0.54520003538618766</v>
      </c>
      <c r="C11" s="1">
        <v>0.53786317845177223</v>
      </c>
      <c r="D11" s="1">
        <v>0.59366603211297786</v>
      </c>
      <c r="E11" s="1">
        <v>0.49675738956142368</v>
      </c>
      <c r="F11" s="1">
        <v>0.60106744441401361</v>
      </c>
      <c r="G11" s="1">
        <v>-2.0367689785067711</v>
      </c>
      <c r="H11" s="1">
        <v>-2.106736426920861</v>
      </c>
      <c r="J11" s="1">
        <v>1803</v>
      </c>
      <c r="K11" s="2">
        <v>115.42131583287924</v>
      </c>
      <c r="L11" s="1">
        <v>110.11268394610217</v>
      </c>
      <c r="M11" s="1">
        <v>111.34105994380621</v>
      </c>
      <c r="N11" s="1">
        <v>106.03242805702914</v>
      </c>
      <c r="O11" s="1">
        <v>4.0802558890730296</v>
      </c>
      <c r="P11" s="1">
        <v>5.3086318867770812</v>
      </c>
      <c r="Q11" s="1">
        <v>79.093535080769371</v>
      </c>
      <c r="R11" s="1">
        <v>194.51485091364862</v>
      </c>
      <c r="S11" s="1">
        <v>189.20621902687154</v>
      </c>
      <c r="U11" s="1">
        <v>1803</v>
      </c>
      <c r="V11" s="1">
        <v>48.488133241821643</v>
      </c>
      <c r="W11" s="1">
        <v>8046.0656825172437</v>
      </c>
      <c r="X11" s="1">
        <v>-2.7296028515824844</v>
      </c>
      <c r="Y11" s="1">
        <v>46.257993614661856</v>
      </c>
      <c r="Z11" s="1">
        <v>7842.31536894499</v>
      </c>
      <c r="AA11" s="1">
        <v>-0.16589452155432127</v>
      </c>
      <c r="AB11" s="1">
        <v>2380403.3712175759</v>
      </c>
      <c r="AC11" s="1">
        <v>0.71227618410827631</v>
      </c>
      <c r="AE11" s="1">
        <v>1803</v>
      </c>
      <c r="AF11" s="1">
        <v>50.482020281512568</v>
      </c>
      <c r="AG11" s="1">
        <v>13.325406464412984</v>
      </c>
      <c r="AH11" s="1">
        <v>3.8449262879800234</v>
      </c>
      <c r="AI11" s="1">
        <v>8.0128927851893152</v>
      </c>
      <c r="AJ11" s="1">
        <v>5.4958476658392437</v>
      </c>
      <c r="AK11" s="1">
        <v>12.694968784343718</v>
      </c>
      <c r="AL11" s="1">
        <v>10.76895699558699</v>
      </c>
      <c r="AM11" s="1">
        <v>5.487664681237316</v>
      </c>
      <c r="AN11" s="2">
        <v>110.11268394610218</v>
      </c>
      <c r="AP11" s="1" t="s">
        <v>102</v>
      </c>
      <c r="AQ11" s="1">
        <v>0.54345474268269811</v>
      </c>
      <c r="AR11" s="1">
        <v>-1.800839754107372</v>
      </c>
      <c r="AS11" s="1">
        <v>-1.7714022080433551</v>
      </c>
      <c r="AT11" s="1">
        <v>2.3790325682971911</v>
      </c>
      <c r="AU11" s="1">
        <v>-4.4416055475860219</v>
      </c>
      <c r="AV11" s="1">
        <v>0.41328978633960389</v>
      </c>
      <c r="AW11" s="1">
        <v>6.1595749820622814</v>
      </c>
      <c r="AX11" s="1">
        <v>0.25205644437320984</v>
      </c>
      <c r="AY11" s="1">
        <v>0.54520003538618766</v>
      </c>
      <c r="BA11" s="1">
        <v>1803</v>
      </c>
      <c r="BB11" s="1">
        <v>91.646348462560397</v>
      </c>
      <c r="BC11" s="1">
        <v>12.976740448557264</v>
      </c>
      <c r="BD11" s="1">
        <v>3.4496477882020784</v>
      </c>
      <c r="BE11" s="1">
        <v>0.65168501544159563</v>
      </c>
      <c r="BF11" s="1">
        <v>0.14462245015537828</v>
      </c>
      <c r="BG11" s="1">
        <v>0.42727940755222454</v>
      </c>
      <c r="BH11" s="1">
        <v>19.550888426169575</v>
      </c>
      <c r="BI11" s="1">
        <v>13.425896165759267</v>
      </c>
      <c r="BJ11" s="1">
        <v>115.42131583287923</v>
      </c>
      <c r="BL11" s="1" t="s">
        <v>102</v>
      </c>
      <c r="BM11" s="1">
        <v>-1.8554295736020379</v>
      </c>
      <c r="BN11" s="1">
        <v>8.0943768448718458</v>
      </c>
      <c r="BO11" s="1">
        <v>-6.6744677723597761</v>
      </c>
      <c r="BP11" s="1">
        <v>-9.7286424968305596</v>
      </c>
      <c r="BQ11" s="1">
        <v>-5.2639907168099569</v>
      </c>
      <c r="BR11" s="1">
        <v>-2.0367689785067711</v>
      </c>
      <c r="BT11" s="1" t="s">
        <v>102</v>
      </c>
      <c r="BU11" s="1">
        <v>-3.3491110171281946</v>
      </c>
      <c r="BV11" s="1">
        <v>-4.6747180655594747</v>
      </c>
      <c r="BW11" s="1">
        <v>-1.3344696961702454</v>
      </c>
      <c r="BX11" s="1">
        <v>3.2548113309361639</v>
      </c>
      <c r="BY11" s="1">
        <v>0.55496968268005276</v>
      </c>
      <c r="BZ11" s="1">
        <v>-2.7598983597377185</v>
      </c>
      <c r="CB11" s="1">
        <v>1803</v>
      </c>
      <c r="CC11" s="1">
        <v>2.0377381263644607</v>
      </c>
      <c r="CD11" s="1">
        <v>0.43800252759388003</v>
      </c>
      <c r="CE11" s="1">
        <v>1.3201320618813461E-2</v>
      </c>
      <c r="CF11" s="1">
        <v>0.68410895092985413</v>
      </c>
      <c r="CG11" s="1">
        <v>0.13882209725322184</v>
      </c>
      <c r="CH11" s="1">
        <v>0.2172218178295986</v>
      </c>
      <c r="CI11" s="1">
        <v>1.1441398207614479</v>
      </c>
      <c r="CJ11" s="1">
        <v>4.6732346613512767</v>
      </c>
      <c r="CL11" s="1">
        <v>1803</v>
      </c>
      <c r="CM11" s="1">
        <v>1.8602900567976131</v>
      </c>
      <c r="CN11" s="1">
        <v>0.38608181269145958</v>
      </c>
      <c r="CO11" s="1">
        <v>1.5778331561614182E-2</v>
      </c>
      <c r="CP11" s="1">
        <v>0.55939310877687665</v>
      </c>
      <c r="CQ11" s="1">
        <v>9.9677337113098716E-2</v>
      </c>
      <c r="CR11" s="1">
        <v>0.14170476818134614</v>
      </c>
      <c r="CS11" s="1">
        <v>1.0173304739510205</v>
      </c>
      <c r="CT11" s="2">
        <v>4.0802558890730296</v>
      </c>
      <c r="CV11" s="1">
        <v>1803</v>
      </c>
      <c r="CW11" s="1">
        <v>32.052089993399221</v>
      </c>
      <c r="CX11" s="1">
        <v>56.582815370723381</v>
      </c>
      <c r="CY11" s="1">
        <v>5.5078367499211351</v>
      </c>
      <c r="CZ11" s="1">
        <v>18.824343269826542</v>
      </c>
      <c r="DA11" s="1">
        <v>17.90455563173041</v>
      </c>
      <c r="DB11" s="1">
        <v>130.87164101560069</v>
      </c>
      <c r="DC11" s="1">
        <v>126.97679644020033</v>
      </c>
      <c r="DD11" s="1">
        <v>20.545481431327993</v>
      </c>
      <c r="DF11" s="1">
        <v>1803</v>
      </c>
      <c r="DG11" s="1">
        <v>0.11180571602244527</v>
      </c>
      <c r="DH11" s="1">
        <v>0.39563518895815264</v>
      </c>
      <c r="DI11" s="1">
        <v>-4.8973272257072153E-2</v>
      </c>
      <c r="DJ11" s="1">
        <v>-1.4241482855172904</v>
      </c>
      <c r="DK11" s="1">
        <v>0.71111815517126331</v>
      </c>
      <c r="DL11" s="1">
        <v>2.3864284394470019</v>
      </c>
      <c r="DM11" s="1">
        <v>0.4279984305999136</v>
      </c>
      <c r="DN11" s="1">
        <v>0.38103634091397964</v>
      </c>
      <c r="DO11" s="1">
        <v>2.8292946122298446</v>
      </c>
      <c r="DQ11" s="1">
        <v>1803</v>
      </c>
      <c r="DR11" s="1">
        <v>73.259590056936872</v>
      </c>
      <c r="DS11" s="1">
        <v>130.81501196909895</v>
      </c>
      <c r="DT11" s="1">
        <v>12.02395235196172</v>
      </c>
      <c r="DU11" s="1">
        <v>18.824343269826542</v>
      </c>
      <c r="DV11" s="1">
        <v>17.90455563173041</v>
      </c>
      <c r="DW11" s="1">
        <v>252.82745327955448</v>
      </c>
      <c r="DX11" s="1">
        <v>244.04890271408712</v>
      </c>
      <c r="DY11" s="1">
        <v>30.20950854631532</v>
      </c>
      <c r="EA11" s="1">
        <v>1803</v>
      </c>
      <c r="EB11" s="1">
        <v>0.3991623635442636</v>
      </c>
      <c r="EC11" s="1">
        <v>0.50412876660101347</v>
      </c>
      <c r="ED11" s="1">
        <v>0.34037862349842385</v>
      </c>
      <c r="EE11" s="1">
        <v>-0.50620509187602636</v>
      </c>
      <c r="EF11" s="1">
        <v>0.71111815517126331</v>
      </c>
      <c r="EG11" s="1">
        <v>2.3864284394470019</v>
      </c>
      <c r="EH11" s="1">
        <v>0.51210681348077003</v>
      </c>
      <c r="EI11" s="1">
        <v>0.48618113810472607</v>
      </c>
      <c r="EJ11" s="1">
        <v>2.1920761270625775</v>
      </c>
    </row>
    <row r="12" spans="1:249" x14ac:dyDescent="0.25">
      <c r="A12" s="1" t="s">
        <v>103</v>
      </c>
      <c r="B12" s="1">
        <v>-0.7362189775421939</v>
      </c>
      <c r="C12" s="1">
        <v>-0.79674508940864541</v>
      </c>
      <c r="D12" s="1">
        <v>-0.65777754339070782</v>
      </c>
      <c r="E12" s="1">
        <v>-0.81459847369349347</v>
      </c>
      <c r="F12" s="1">
        <v>-0.71394538706215371</v>
      </c>
      <c r="G12" s="1">
        <v>1.4880478496522898</v>
      </c>
      <c r="H12" s="1">
        <v>1.5183573921475784</v>
      </c>
      <c r="J12" s="1">
        <v>1804</v>
      </c>
      <c r="K12" s="2">
        <v>113.90067665281542</v>
      </c>
      <c r="L12" s="1">
        <v>108.65990286031921</v>
      </c>
      <c r="M12" s="1">
        <v>109.53418146035106</v>
      </c>
      <c r="N12" s="1">
        <v>104.29340766785485</v>
      </c>
      <c r="O12" s="1">
        <v>4.3664951924643542</v>
      </c>
      <c r="P12" s="1">
        <v>5.240773792496217</v>
      </c>
      <c r="Q12" s="1">
        <v>77.285617272577824</v>
      </c>
      <c r="R12" s="1">
        <v>191.18629392539324</v>
      </c>
      <c r="S12" s="1">
        <v>185.94552013289703</v>
      </c>
      <c r="U12" s="1">
        <v>1804</v>
      </c>
      <c r="V12" s="1">
        <v>47.533788858594754</v>
      </c>
      <c r="W12" s="1">
        <v>8111.9479923605641</v>
      </c>
      <c r="X12" s="1">
        <v>0.81881396999369827</v>
      </c>
      <c r="Y12" s="1">
        <v>45.346674240588541</v>
      </c>
      <c r="Z12" s="1">
        <v>7733.245578727965</v>
      </c>
      <c r="AA12" s="1">
        <v>-1.390785566325647</v>
      </c>
      <c r="AB12" s="1">
        <v>2396204.4555642577</v>
      </c>
      <c r="AC12" s="1">
        <v>0.66379860395674939</v>
      </c>
      <c r="AE12" s="1">
        <v>1804</v>
      </c>
      <c r="AF12" s="1">
        <v>49.014837032114592</v>
      </c>
      <c r="AG12" s="1">
        <v>13.251896760503996</v>
      </c>
      <c r="AH12" s="1">
        <v>4.5688065487464424</v>
      </c>
      <c r="AI12" s="1">
        <v>7.7605126486507583</v>
      </c>
      <c r="AJ12" s="1">
        <v>4.6887319291259129</v>
      </c>
      <c r="AK12" s="1">
        <v>13.127684338502556</v>
      </c>
      <c r="AL12" s="1">
        <v>10.586046590875721</v>
      </c>
      <c r="AM12" s="1">
        <v>5.6613870117992233</v>
      </c>
      <c r="AN12" s="2">
        <v>108.65990286031921</v>
      </c>
      <c r="AP12" s="1" t="s">
        <v>103</v>
      </c>
      <c r="AQ12" s="1">
        <v>-1.4129765450863516</v>
      </c>
      <c r="AR12" s="1">
        <v>0.12834235447456876</v>
      </c>
      <c r="AS12" s="1">
        <v>5.7492288726722194</v>
      </c>
      <c r="AT12" s="1">
        <v>0.43498270435217989</v>
      </c>
      <c r="AU12" s="1">
        <v>3.398229263841742</v>
      </c>
      <c r="AV12" s="1">
        <v>0.46922564201818773</v>
      </c>
      <c r="AW12" s="1">
        <v>-5.6758731177589397</v>
      </c>
      <c r="AX12" s="1">
        <v>0.11344850259109762</v>
      </c>
      <c r="AY12" s="1">
        <v>-0.7362189775421939</v>
      </c>
      <c r="BA12" s="1">
        <v>1804</v>
      </c>
      <c r="BB12" s="1">
        <v>101.01625537027085</v>
      </c>
      <c r="BC12" s="1">
        <v>12.529314256116107</v>
      </c>
      <c r="BD12" s="1">
        <v>4.2006047468091525</v>
      </c>
      <c r="BE12" s="1">
        <v>0.86876780415768007</v>
      </c>
      <c r="BF12" s="1">
        <v>9.6287748646878044E-2</v>
      </c>
      <c r="BG12" s="1">
        <v>-2.1057462581274996E-2</v>
      </c>
      <c r="BH12" s="1">
        <v>17.993398011160387</v>
      </c>
      <c r="BI12" s="1">
        <v>22.782893821764361</v>
      </c>
      <c r="BJ12" s="1">
        <v>113.90067665281543</v>
      </c>
      <c r="BL12" s="1" t="s">
        <v>103</v>
      </c>
      <c r="BM12" s="1">
        <v>14.73628163422363</v>
      </c>
      <c r="BN12" s="1">
        <v>-6.1538487618508952</v>
      </c>
      <c r="BO12" s="1">
        <v>4.7053362949005475</v>
      </c>
      <c r="BP12" s="1">
        <v>-9.7067556339353871</v>
      </c>
      <c r="BQ12" s="1">
        <v>66.811424753632878</v>
      </c>
      <c r="BR12" s="1">
        <v>1.4880478496522898</v>
      </c>
      <c r="BT12" s="1" t="s">
        <v>103</v>
      </c>
      <c r="BU12" s="1">
        <v>-3.9327567230804021</v>
      </c>
      <c r="BV12" s="1">
        <v>2.883378592004604</v>
      </c>
      <c r="BW12" s="1">
        <v>5.139388716314059</v>
      </c>
      <c r="BX12" s="1">
        <v>1.9275138210329601</v>
      </c>
      <c r="BY12" s="1">
        <v>1.7278369977250492</v>
      </c>
      <c r="BZ12" s="1">
        <v>-2.7643807824018722</v>
      </c>
      <c r="CB12" s="1">
        <v>1804</v>
      </c>
      <c r="CC12" s="1">
        <v>2.117435384686142</v>
      </c>
      <c r="CD12" s="1">
        <v>0.74143033522172941</v>
      </c>
      <c r="CE12" s="1">
        <v>1.7680420882279415E-2</v>
      </c>
      <c r="CF12" s="1">
        <v>0.72025202420707801</v>
      </c>
      <c r="CG12" s="1">
        <v>0.20006911599418659</v>
      </c>
      <c r="CH12" s="1">
        <v>0.19605011359892754</v>
      </c>
      <c r="CI12" s="1">
        <v>1.1516854424420924</v>
      </c>
      <c r="CJ12" s="1">
        <v>5.1446028370324353</v>
      </c>
      <c r="CL12" s="1">
        <v>1804</v>
      </c>
      <c r="CM12" s="1">
        <v>1.9818879109677985</v>
      </c>
      <c r="CN12" s="1">
        <v>0.42344341001348818</v>
      </c>
      <c r="CO12" s="1">
        <v>1.6598665362301361E-2</v>
      </c>
      <c r="CP12" s="1">
        <v>0.5977507077213553</v>
      </c>
      <c r="CQ12" s="1">
        <v>0.10942078689080341</v>
      </c>
      <c r="CR12" s="1">
        <v>0.15163645594166422</v>
      </c>
      <c r="CS12" s="1">
        <v>1.0857572555669432</v>
      </c>
      <c r="CT12" s="2">
        <v>4.3664951924643542</v>
      </c>
      <c r="CV12" s="1">
        <v>1804</v>
      </c>
      <c r="CW12" s="1">
        <v>34.254957362158649</v>
      </c>
      <c r="CX12" s="1">
        <v>60.203821360597999</v>
      </c>
      <c r="CY12" s="1">
        <v>5.7328448688604743</v>
      </c>
      <c r="CZ12" s="1">
        <v>18.95820659241004</v>
      </c>
      <c r="DA12" s="1">
        <v>17.266883669821063</v>
      </c>
      <c r="DB12" s="1">
        <v>136.41671385384822</v>
      </c>
      <c r="DC12" s="1">
        <v>132.1921441910149</v>
      </c>
      <c r="DD12" s="1">
        <v>20.912827114252604</v>
      </c>
      <c r="DF12" s="1">
        <v>1804</v>
      </c>
      <c r="DG12" s="1">
        <v>0.64646843875830484</v>
      </c>
      <c r="DH12" s="1">
        <v>0.19246319934988776</v>
      </c>
      <c r="DI12" s="1">
        <v>0.90478975070598722</v>
      </c>
      <c r="DJ12" s="1">
        <v>1.6148775302940095</v>
      </c>
      <c r="DK12" s="1">
        <v>20.564132229518961</v>
      </c>
      <c r="DL12" s="1">
        <v>-0.12195288382048375</v>
      </c>
      <c r="DM12" s="1">
        <v>3.2893479866362298</v>
      </c>
      <c r="DN12" s="1">
        <v>3.3612453968841152</v>
      </c>
      <c r="DO12" s="1">
        <v>-0.76711115025422316</v>
      </c>
      <c r="DQ12" s="1">
        <v>1804</v>
      </c>
      <c r="DR12" s="1">
        <v>78.379165158559985</v>
      </c>
      <c r="DS12" s="1">
        <v>139.72868335817955</v>
      </c>
      <c r="DT12" s="1">
        <v>12.635333035780452</v>
      </c>
      <c r="DU12" s="1">
        <v>18.95820659241004</v>
      </c>
      <c r="DV12" s="1">
        <v>17.266883669821063</v>
      </c>
      <c r="DW12" s="1">
        <v>266.96827181475112</v>
      </c>
      <c r="DX12" s="1">
        <v>257.51284290386229</v>
      </c>
      <c r="DY12" s="1">
        <v>31.283188734647887</v>
      </c>
      <c r="EA12" s="1">
        <v>1804</v>
      </c>
      <c r="EB12" s="1">
        <v>0.6322276504942721</v>
      </c>
      <c r="EC12" s="1">
        <v>0.41091179663020228</v>
      </c>
      <c r="ED12" s="1">
        <v>0.7563721814904909</v>
      </c>
      <c r="EE12" s="1">
        <v>0.93464887848683986</v>
      </c>
      <c r="EF12" s="1">
        <v>20.564132229518961</v>
      </c>
      <c r="EG12" s="1">
        <v>-0.12195288382048375</v>
      </c>
      <c r="EH12" s="1">
        <v>1.975753880373901</v>
      </c>
      <c r="EI12" s="1">
        <v>2.0177075799333579</v>
      </c>
      <c r="EJ12" s="1">
        <v>-0.18497080531790289</v>
      </c>
    </row>
    <row r="13" spans="1:249" x14ac:dyDescent="0.25">
      <c r="A13" s="1" t="s">
        <v>104</v>
      </c>
      <c r="B13" s="1">
        <v>4.4854783984923756</v>
      </c>
      <c r="C13" s="1">
        <v>4.4786817392672589</v>
      </c>
      <c r="D13" s="1">
        <v>4.3964205778522398</v>
      </c>
      <c r="E13" s="1">
        <v>4.5746121919999041</v>
      </c>
      <c r="F13" s="1">
        <v>4.395442326421545</v>
      </c>
      <c r="G13" s="1">
        <v>3.9505491911379096</v>
      </c>
      <c r="H13" s="1">
        <v>4.1040377121987319</v>
      </c>
      <c r="J13" s="1">
        <v>1805</v>
      </c>
      <c r="K13" s="2">
        <v>123.81956402674399</v>
      </c>
      <c r="L13" s="1">
        <v>118.09242710624721</v>
      </c>
      <c r="M13" s="1">
        <v>119.19892953333047</v>
      </c>
      <c r="N13" s="1">
        <v>113.4717926128337</v>
      </c>
      <c r="O13" s="1">
        <v>4.6206344934135259</v>
      </c>
      <c r="P13" s="1">
        <v>5.7271369204967719</v>
      </c>
      <c r="Q13" s="1">
        <v>82.12897518817978</v>
      </c>
      <c r="R13" s="1">
        <v>205.94853921492376</v>
      </c>
      <c r="S13" s="1">
        <v>200.22140229442698</v>
      </c>
      <c r="U13" s="1">
        <v>1805</v>
      </c>
      <c r="V13" s="1">
        <v>51.315465683120763</v>
      </c>
      <c r="W13" s="1">
        <v>8374.0359513056319</v>
      </c>
      <c r="X13" s="1">
        <v>3.2308880578609376</v>
      </c>
      <c r="Y13" s="1">
        <v>48.941925601499982</v>
      </c>
      <c r="Z13" s="1">
        <v>8024.1790848882611</v>
      </c>
      <c r="AA13" s="1">
        <v>3.7621138912305412</v>
      </c>
      <c r="AB13" s="1">
        <v>2412909.2931036591</v>
      </c>
      <c r="AC13" s="1">
        <v>0.69713740413975245</v>
      </c>
      <c r="AE13" s="1">
        <v>1805</v>
      </c>
      <c r="AF13" s="1">
        <v>55.78823342558745</v>
      </c>
      <c r="AG13" s="1">
        <v>14.211372519426824</v>
      </c>
      <c r="AH13" s="1">
        <v>4.5485505745777841</v>
      </c>
      <c r="AI13" s="1">
        <v>7.7699051197663112</v>
      </c>
      <c r="AJ13" s="1">
        <v>5.7796913208872995</v>
      </c>
      <c r="AK13" s="1">
        <v>13.26529608233545</v>
      </c>
      <c r="AL13" s="1">
        <v>10.916955426770212</v>
      </c>
      <c r="AM13" s="1">
        <v>5.8124226368958656</v>
      </c>
      <c r="AN13" s="2">
        <v>118.0924271062472</v>
      </c>
      <c r="AP13" s="1" t="s">
        <v>104</v>
      </c>
      <c r="AQ13" s="1">
        <v>7.7020784937509035</v>
      </c>
      <c r="AR13" s="1">
        <v>4.7651022880155836</v>
      </c>
      <c r="AS13" s="1">
        <v>-5.7852275368204431</v>
      </c>
      <c r="AT13" s="1">
        <v>-1.9234833534739124</v>
      </c>
      <c r="AU13" s="1">
        <v>5.1128511429107135</v>
      </c>
      <c r="AV13" s="1">
        <v>0.80379540522395132</v>
      </c>
      <c r="AW13" s="1">
        <v>4.6680146438297783</v>
      </c>
      <c r="AX13" s="1">
        <v>0.29399774684948454</v>
      </c>
      <c r="AY13" s="1">
        <v>4.4854783984923756</v>
      </c>
      <c r="BA13" s="1">
        <v>1805</v>
      </c>
      <c r="BB13" s="1">
        <v>105.32605724700254</v>
      </c>
      <c r="BC13" s="1">
        <v>12.806465272545433</v>
      </c>
      <c r="BD13" s="1">
        <v>3.9777099612335691</v>
      </c>
      <c r="BE13" s="1">
        <v>0.74440617078200033</v>
      </c>
      <c r="BF13" s="1">
        <v>0.34292828646905277</v>
      </c>
      <c r="BG13" s="1">
        <v>0.34099195610837046</v>
      </c>
      <c r="BH13" s="1">
        <v>17.216481629186092</v>
      </c>
      <c r="BI13" s="1">
        <v>16.93547649658306</v>
      </c>
      <c r="BJ13" s="1">
        <v>123.819564026744</v>
      </c>
      <c r="BL13" s="1" t="s">
        <v>104</v>
      </c>
      <c r="BM13" s="1">
        <v>0.67885696749254976</v>
      </c>
      <c r="BN13" s="1">
        <v>3.0151387679629522</v>
      </c>
      <c r="BO13" s="1">
        <v>-0.4158476863459839</v>
      </c>
      <c r="BP13" s="1">
        <v>-6.1104551354515593</v>
      </c>
      <c r="BQ13" s="1">
        <v>-21.05737458696305</v>
      </c>
      <c r="BR13" s="1">
        <v>3.9505491911379096</v>
      </c>
      <c r="BT13" s="1" t="s">
        <v>104</v>
      </c>
      <c r="BU13" s="1">
        <v>3.5633965779217078</v>
      </c>
      <c r="BV13" s="1">
        <v>-0.77961175928254534</v>
      </c>
      <c r="BW13" s="1">
        <v>5.5205095579824217</v>
      </c>
      <c r="BX13" s="1">
        <v>1.9093386284484666</v>
      </c>
      <c r="BY13" s="1">
        <v>-5.8377193906194265</v>
      </c>
      <c r="BZ13" s="1">
        <v>4.5769998064795487</v>
      </c>
      <c r="CB13" s="1">
        <v>1805</v>
      </c>
      <c r="CC13" s="1">
        <v>2.542513838916221</v>
      </c>
      <c r="CD13" s="1">
        <v>0.57332995323358071</v>
      </c>
      <c r="CE13" s="1">
        <v>1.5673921026685196E-2</v>
      </c>
      <c r="CF13" s="1">
        <v>0.63140187026110506</v>
      </c>
      <c r="CG13" s="1">
        <v>0.16265468175820857</v>
      </c>
      <c r="CH13" s="1">
        <v>0.19854482609656599</v>
      </c>
      <c r="CI13" s="1">
        <v>1.2819172833006265</v>
      </c>
      <c r="CJ13" s="1">
        <v>5.4060363745929925</v>
      </c>
      <c r="CL13" s="1">
        <v>1805</v>
      </c>
      <c r="CM13" s="1">
        <v>2.0929488839769697</v>
      </c>
      <c r="CN13" s="1">
        <v>0.44978827235328989</v>
      </c>
      <c r="CO13" s="1">
        <v>1.7720183774696318E-2</v>
      </c>
      <c r="CP13" s="1">
        <v>0.62765876863761139</v>
      </c>
      <c r="CQ13" s="1">
        <v>0.11475511175909432</v>
      </c>
      <c r="CR13" s="1">
        <v>0.16187644092625827</v>
      </c>
      <c r="CS13" s="1">
        <v>1.1558868319856057</v>
      </c>
      <c r="CT13" s="2">
        <v>4.6206344934135259</v>
      </c>
      <c r="CV13" s="1">
        <v>1805</v>
      </c>
      <c r="CW13" s="1">
        <v>36.400939218672207</v>
      </c>
      <c r="CX13" s="1">
        <v>64.430269024335473</v>
      </c>
      <c r="CY13" s="1">
        <v>6.0589181785230348</v>
      </c>
      <c r="CZ13" s="1">
        <v>22.856797264418621</v>
      </c>
      <c r="DA13" s="1">
        <v>18.319924402426047</v>
      </c>
      <c r="DB13" s="1">
        <v>148.06684808837537</v>
      </c>
      <c r="DC13" s="1">
        <v>143.5359145443546</v>
      </c>
      <c r="DD13" s="1">
        <v>22.041614442199581</v>
      </c>
      <c r="DF13" s="1">
        <v>1805</v>
      </c>
      <c r="DG13" s="1">
        <v>0.161009870979683</v>
      </c>
      <c r="DH13" s="1">
        <v>0.34622856997702911</v>
      </c>
      <c r="DI13" s="1">
        <v>5.6367523423844546E-2</v>
      </c>
      <c r="DJ13" s="1">
        <v>-1.0187782845814866</v>
      </c>
      <c r="DK13" s="1">
        <v>-14.471072781855867</v>
      </c>
      <c r="DL13" s="1">
        <v>1.8613174848211429</v>
      </c>
      <c r="DM13" s="1">
        <v>-1.8980907116756782</v>
      </c>
      <c r="DN13" s="1">
        <v>-1.9834609585574157</v>
      </c>
      <c r="DO13" s="1">
        <v>-2.4553285168202166</v>
      </c>
      <c r="DQ13" s="1">
        <v>1805</v>
      </c>
      <c r="DR13" s="1">
        <v>83.471006175769318</v>
      </c>
      <c r="DS13" s="1">
        <v>149.31800996070399</v>
      </c>
      <c r="DT13" s="1">
        <v>13.257893956496117</v>
      </c>
      <c r="DU13" s="1">
        <v>22.856797264418621</v>
      </c>
      <c r="DV13" s="1">
        <v>18.319924402426047</v>
      </c>
      <c r="DW13" s="1">
        <v>287.22363175981411</v>
      </c>
      <c r="DX13" s="1">
        <v>277.10410550655217</v>
      </c>
      <c r="DY13" s="1">
        <v>33.162583362331802</v>
      </c>
      <c r="EA13" s="1">
        <v>1805</v>
      </c>
      <c r="EB13" s="1">
        <v>0.41544008023765855</v>
      </c>
      <c r="EC13" s="1">
        <v>0.47560212264721713</v>
      </c>
      <c r="ED13" s="1">
        <v>0.38180859656846167</v>
      </c>
      <c r="EE13" s="1">
        <v>-0.319057010972017</v>
      </c>
      <c r="EF13" s="1">
        <v>-14.471072781855867</v>
      </c>
      <c r="EG13" s="1">
        <v>1.8613174848211429</v>
      </c>
      <c r="EH13" s="1">
        <v>-0.69190955733699866</v>
      </c>
      <c r="EI13" s="1">
        <v>-0.74369292207374826</v>
      </c>
      <c r="EJ13" s="1">
        <v>-1.325268746738999</v>
      </c>
    </row>
    <row r="14" spans="1:249" x14ac:dyDescent="0.25">
      <c r="A14" s="1" t="s">
        <v>105</v>
      </c>
      <c r="B14" s="1">
        <v>0.22097275041723208</v>
      </c>
      <c r="C14" s="1">
        <v>0.23323718867294474</v>
      </c>
      <c r="D14" s="1">
        <v>0.39072938815951375</v>
      </c>
      <c r="E14" s="1">
        <v>5.1503164240699562E-2</v>
      </c>
      <c r="F14" s="1">
        <v>0.32879509379084482</v>
      </c>
      <c r="G14" s="1">
        <v>1.8260137179530176</v>
      </c>
      <c r="H14" s="1">
        <v>1.8835622095533182</v>
      </c>
      <c r="J14" s="1">
        <v>1806</v>
      </c>
      <c r="K14" s="2">
        <v>133.09498291608702</v>
      </c>
      <c r="L14" s="1">
        <v>126.96118985607096</v>
      </c>
      <c r="M14" s="1">
        <v>128.30896506845045</v>
      </c>
      <c r="N14" s="1">
        <v>122.17517200843437</v>
      </c>
      <c r="O14" s="1">
        <v>4.7860178476365807</v>
      </c>
      <c r="P14" s="1">
        <v>6.1337930600160666</v>
      </c>
      <c r="Q14" s="1">
        <v>86.99920218794071</v>
      </c>
      <c r="R14" s="1">
        <v>220.09418510402773</v>
      </c>
      <c r="S14" s="1">
        <v>213.96039204401166</v>
      </c>
      <c r="U14" s="1">
        <v>1806</v>
      </c>
      <c r="V14" s="1">
        <v>54.875835123453747</v>
      </c>
      <c r="W14" s="1">
        <v>8483.0888794342009</v>
      </c>
      <c r="X14" s="1">
        <v>1.3022744201565786</v>
      </c>
      <c r="Y14" s="1">
        <v>52.346836589714563</v>
      </c>
      <c r="Z14" s="1">
        <v>8000.5469897396706</v>
      </c>
      <c r="AA14" s="1">
        <v>-0.29451106335719146</v>
      </c>
      <c r="AB14" s="1">
        <v>2425384.1899018805</v>
      </c>
      <c r="AC14" s="1">
        <v>0.51700645498262077</v>
      </c>
      <c r="AE14" s="1">
        <v>1806</v>
      </c>
      <c r="AF14" s="1">
        <v>57.752563116016205</v>
      </c>
      <c r="AG14" s="1">
        <v>14.762946413059552</v>
      </c>
      <c r="AH14" s="1">
        <v>4.8523967140566615</v>
      </c>
      <c r="AI14" s="1">
        <v>7.3204265052212749</v>
      </c>
      <c r="AJ14" s="1">
        <v>7.1579355191691425</v>
      </c>
      <c r="AK14" s="1">
        <v>16.605811429503266</v>
      </c>
      <c r="AL14" s="1">
        <v>12.175709166969099</v>
      </c>
      <c r="AM14" s="1">
        <v>6.3334009920757479</v>
      </c>
      <c r="AN14" s="2">
        <v>126.96118985607096</v>
      </c>
      <c r="AP14" s="1" t="s">
        <v>105</v>
      </c>
      <c r="AQ14" s="1">
        <v>2.3905305369928982</v>
      </c>
      <c r="AR14" s="1">
        <v>1.1883697283721091</v>
      </c>
      <c r="AS14" s="1">
        <v>-0.74151889297996831</v>
      </c>
      <c r="AT14" s="1">
        <v>-1.6657567423471136</v>
      </c>
      <c r="AU14" s="1">
        <v>4.1275530790353656</v>
      </c>
      <c r="AV14" s="1">
        <v>-0.14326326178530735</v>
      </c>
      <c r="AW14" s="1">
        <v>-10.926473436579514</v>
      </c>
      <c r="AX14" s="1">
        <v>0.26931640931321965</v>
      </c>
      <c r="AY14" s="1">
        <v>0.22097275041723208</v>
      </c>
      <c r="BA14" s="1">
        <v>1806</v>
      </c>
      <c r="BB14" s="1">
        <v>112.45944841360776</v>
      </c>
      <c r="BC14" s="1">
        <v>14.228688744705952</v>
      </c>
      <c r="BD14" s="1">
        <v>4.1236721822670326</v>
      </c>
      <c r="BE14" s="1">
        <v>0.96032167508151767</v>
      </c>
      <c r="BF14" s="1">
        <v>7.5861617217560254E-2</v>
      </c>
      <c r="BG14" s="1">
        <v>0.49781951657431794</v>
      </c>
      <c r="BH14" s="1">
        <v>19.140004464149946</v>
      </c>
      <c r="BI14" s="1">
        <v>18.390833697517071</v>
      </c>
      <c r="BJ14" s="1">
        <v>133.09498291608699</v>
      </c>
      <c r="BL14" s="1" t="s">
        <v>105</v>
      </c>
      <c r="BM14" s="1">
        <v>0.80916134836681408</v>
      </c>
      <c r="BN14" s="1">
        <v>-7.7089432327792906</v>
      </c>
      <c r="BO14" s="1">
        <v>0.94481162207351588</v>
      </c>
      <c r="BP14" s="1">
        <v>9.6209822647990393</v>
      </c>
      <c r="BQ14" s="1">
        <v>-4.5662100456621033</v>
      </c>
      <c r="BR14" s="1">
        <v>1.8260137179529892</v>
      </c>
      <c r="BT14" s="1" t="s">
        <v>105</v>
      </c>
      <c r="BU14" s="1">
        <v>5.9156461675595295</v>
      </c>
      <c r="BV14" s="1">
        <v>20.385999879817646</v>
      </c>
      <c r="BW14" s="1">
        <v>3.675235384833698</v>
      </c>
      <c r="BX14" s="1">
        <v>1.4154079480436508</v>
      </c>
      <c r="BY14" s="1">
        <v>13.789404729525231</v>
      </c>
      <c r="BZ14" s="1">
        <v>5.5634734984525238</v>
      </c>
      <c r="CB14" s="1">
        <v>1806</v>
      </c>
      <c r="CC14" s="1">
        <v>2.6491551452609778</v>
      </c>
      <c r="CD14" s="1">
        <v>0.48668426648393576</v>
      </c>
      <c r="CE14" s="1">
        <v>1.2948422060240763E-2</v>
      </c>
      <c r="CF14" s="1">
        <v>0.70283536274033187</v>
      </c>
      <c r="CG14" s="1">
        <v>0.16670866568378989</v>
      </c>
      <c r="CH14" s="1">
        <v>0.21629477343550657</v>
      </c>
      <c r="CI14" s="1">
        <v>1.4230483554756459</v>
      </c>
      <c r="CJ14" s="1">
        <v>5.6576749911404285</v>
      </c>
      <c r="CL14" s="1">
        <v>1806</v>
      </c>
      <c r="CM14" s="1">
        <v>2.1814311236573869</v>
      </c>
      <c r="CN14" s="1">
        <v>0.454867392041721</v>
      </c>
      <c r="CO14" s="1">
        <v>1.7943038358856956E-2</v>
      </c>
      <c r="CP14" s="1">
        <v>0.65346131436430688</v>
      </c>
      <c r="CQ14" s="1">
        <v>0.11472135139326925</v>
      </c>
      <c r="CR14" s="1">
        <v>0.16770755746689228</v>
      </c>
      <c r="CS14" s="1">
        <v>1.195886070354147</v>
      </c>
      <c r="CT14" s="2">
        <v>4.7860178476365807</v>
      </c>
      <c r="CV14" s="1">
        <v>1806</v>
      </c>
      <c r="CW14" s="1">
        <v>37.570597374844006</v>
      </c>
      <c r="CX14" s="1">
        <v>66.308489250500372</v>
      </c>
      <c r="CY14" s="1">
        <v>6.3028722926421041</v>
      </c>
      <c r="CZ14" s="1">
        <v>19.549173496683363</v>
      </c>
      <c r="DA14" s="1">
        <v>20.038277712096086</v>
      </c>
      <c r="DB14" s="1">
        <v>149.76941012676593</v>
      </c>
      <c r="DC14" s="1">
        <v>145.07015066881721</v>
      </c>
      <c r="DD14" s="1">
        <v>22.670217831614117</v>
      </c>
      <c r="DF14" s="1">
        <v>1806</v>
      </c>
      <c r="DG14" s="1">
        <v>0.18460499366995009</v>
      </c>
      <c r="DH14" s="1">
        <v>0.60462782333505061</v>
      </c>
      <c r="DI14" s="1">
        <v>-5.3381255149233198E-2</v>
      </c>
      <c r="DJ14" s="1">
        <v>1.6508044530478543</v>
      </c>
      <c r="DK14" s="1">
        <v>4.1498751571418069</v>
      </c>
      <c r="DL14" s="1">
        <v>2.4843428348824972</v>
      </c>
      <c r="DM14" s="1">
        <v>1.0746235938554776</v>
      </c>
      <c r="DN14" s="1">
        <v>1.0759067838768743</v>
      </c>
      <c r="DO14" s="1">
        <v>-0.56561103440708393</v>
      </c>
      <c r="DQ14" s="1">
        <v>1806</v>
      </c>
      <c r="DR14" s="1">
        <v>86.264224511591593</v>
      </c>
      <c r="DS14" s="1">
        <v>154.17063664350061</v>
      </c>
      <c r="DT14" s="1">
        <v>13.884994052348672</v>
      </c>
      <c r="DU14" s="1">
        <v>19.549173496683363</v>
      </c>
      <c r="DV14" s="1">
        <v>20.038277712096086</v>
      </c>
      <c r="DW14" s="1">
        <v>293.90730641622037</v>
      </c>
      <c r="DX14" s="1">
        <v>283.4203638947111</v>
      </c>
      <c r="DY14" s="1">
        <v>34.221646323277632</v>
      </c>
      <c r="EA14" s="1">
        <v>1806</v>
      </c>
      <c r="EB14" s="1">
        <v>0.41966076666253116</v>
      </c>
      <c r="EC14" s="1">
        <v>0.58845193660401662</v>
      </c>
      <c r="ED14" s="1">
        <v>0.32521580816452911</v>
      </c>
      <c r="EE14" s="1">
        <v>0.95121458651206581</v>
      </c>
      <c r="EF14" s="1">
        <v>4.1498751571418069</v>
      </c>
      <c r="EG14" s="1">
        <v>2.4843428348824972</v>
      </c>
      <c r="EH14" s="1">
        <v>0.83550037377693798</v>
      </c>
      <c r="EI14" s="1">
        <v>0.83565413246012099</v>
      </c>
      <c r="EJ14" s="1">
        <v>-9.50441335201333E-2</v>
      </c>
    </row>
    <row r="15" spans="1:249" x14ac:dyDescent="0.25">
      <c r="A15" s="1" t="s">
        <v>106</v>
      </c>
      <c r="B15" s="1">
        <v>-3.1828525308468585</v>
      </c>
      <c r="C15" s="1">
        <v>-3.1532172489071968</v>
      </c>
      <c r="D15" s="1">
        <v>-3.0979268197402945</v>
      </c>
      <c r="E15" s="1">
        <v>-3.2677038124167694</v>
      </c>
      <c r="F15" s="1">
        <v>-3.1571690712158755</v>
      </c>
      <c r="G15" s="1">
        <v>-4.1642941077472813</v>
      </c>
      <c r="H15" s="1">
        <v>-4.3307297142036845</v>
      </c>
      <c r="J15" s="1">
        <v>1807</v>
      </c>
      <c r="K15" s="2">
        <v>139.55179381339426</v>
      </c>
      <c r="L15" s="1">
        <v>133.09088640470165</v>
      </c>
      <c r="M15" s="1">
        <v>134.74756689147691</v>
      </c>
      <c r="N15" s="1">
        <v>128.2866594827843</v>
      </c>
      <c r="O15" s="1">
        <v>4.8042269219173477</v>
      </c>
      <c r="P15" s="1">
        <v>6.460907408692603</v>
      </c>
      <c r="Q15" s="1">
        <v>90.247445538081223</v>
      </c>
      <c r="R15" s="1">
        <v>229.79923935147548</v>
      </c>
      <c r="S15" s="1">
        <v>223.33833194278287</v>
      </c>
      <c r="U15" s="1">
        <v>1807</v>
      </c>
      <c r="V15" s="1">
        <v>57.330565248648035</v>
      </c>
      <c r="W15" s="1">
        <v>8100.516405975427</v>
      </c>
      <c r="X15" s="1">
        <v>-4.5098251226184374</v>
      </c>
      <c r="Y15" s="1">
        <v>54.676300021109462</v>
      </c>
      <c r="Z15" s="1">
        <v>7717.9739036096234</v>
      </c>
      <c r="AA15" s="1">
        <v>-3.5319220859827993</v>
      </c>
      <c r="AB15" s="1">
        <v>2434160.4379469319</v>
      </c>
      <c r="AC15" s="1">
        <v>0.36184980843825088</v>
      </c>
      <c r="AE15" s="1">
        <v>1807</v>
      </c>
      <c r="AF15" s="1">
        <v>64.293653583750483</v>
      </c>
      <c r="AG15" s="1">
        <v>14.283500795430699</v>
      </c>
      <c r="AH15" s="1">
        <v>5.354615740096623</v>
      </c>
      <c r="AI15" s="1">
        <v>6.8757699302308986</v>
      </c>
      <c r="AJ15" s="1">
        <v>7.2426229481104416</v>
      </c>
      <c r="AK15" s="1">
        <v>16.493305241570791</v>
      </c>
      <c r="AL15" s="1">
        <v>12.183911660330763</v>
      </c>
      <c r="AM15" s="1">
        <v>6.3635065051809594</v>
      </c>
      <c r="AN15" s="2">
        <v>133.09088640470165</v>
      </c>
      <c r="AP15" s="1" t="s">
        <v>106</v>
      </c>
      <c r="AQ15" s="1">
        <v>-4.0958873685358554</v>
      </c>
      <c r="AR15" s="1">
        <v>-6.2882233622313066</v>
      </c>
      <c r="AS15" s="1">
        <v>7.1576191428455616</v>
      </c>
      <c r="AT15" s="1">
        <v>-11.47493045215225</v>
      </c>
      <c r="AU15" s="1">
        <v>-2.5633515783719076</v>
      </c>
      <c r="AV15" s="1">
        <v>-5.2391244531065695E-2</v>
      </c>
      <c r="AW15" s="1">
        <v>-0.26931134829116843</v>
      </c>
      <c r="AX15" s="1">
        <v>0.47534512883171942</v>
      </c>
      <c r="AY15" s="1">
        <v>-3.1828525308468585</v>
      </c>
      <c r="BA15" s="1">
        <v>1807</v>
      </c>
      <c r="BB15" s="1">
        <v>115.02678228917739</v>
      </c>
      <c r="BC15" s="1">
        <v>14.126976394801547</v>
      </c>
      <c r="BD15" s="1">
        <v>4.5276759074167323</v>
      </c>
      <c r="BE15" s="1">
        <v>0.87061584721498952</v>
      </c>
      <c r="BF15" s="1">
        <v>2.6067056615962798E-4</v>
      </c>
      <c r="BG15" s="1">
        <v>-7.3600776613583201E-3</v>
      </c>
      <c r="BH15" s="1">
        <v>18.723132426395861</v>
      </c>
      <c r="BI15" s="1">
        <v>13.716289644517063</v>
      </c>
      <c r="BJ15" s="1">
        <v>139.55179381339423</v>
      </c>
      <c r="BL15" s="1" t="s">
        <v>106</v>
      </c>
      <c r="BM15" s="1">
        <v>-7.6549492466942013</v>
      </c>
      <c r="BN15" s="1">
        <v>-0.51042736041212322</v>
      </c>
      <c r="BO15" s="1">
        <v>-4.770942067661494</v>
      </c>
      <c r="BP15" s="1">
        <v>-3.1392917707358521</v>
      </c>
      <c r="BQ15" s="1">
        <v>-23.165869218500802</v>
      </c>
      <c r="BR15" s="1">
        <v>-4.1642941077472528</v>
      </c>
      <c r="BT15" s="1" t="s">
        <v>106</v>
      </c>
      <c r="BU15" s="1">
        <v>10.761645168399795</v>
      </c>
      <c r="BV15" s="1">
        <v>-0.20546130905199789</v>
      </c>
      <c r="BW15" s="1">
        <v>6.3881067605663588E-2</v>
      </c>
      <c r="BX15" s="1">
        <v>0.99243281409009398</v>
      </c>
      <c r="BY15" s="1">
        <v>-2.9308899939968995</v>
      </c>
      <c r="BZ15" s="1">
        <v>9.4073231706297378</v>
      </c>
      <c r="CB15" s="1">
        <v>1807</v>
      </c>
      <c r="CC15" s="1">
        <v>2.8245608075732442</v>
      </c>
      <c r="CD15" s="1">
        <v>0.11611579117744712</v>
      </c>
      <c r="CE15" s="1">
        <v>1.3470019240710505E-2</v>
      </c>
      <c r="CF15" s="1">
        <v>0.65347018019966852</v>
      </c>
      <c r="CG15" s="1">
        <v>1.4941279707085704E-2</v>
      </c>
      <c r="CH15" s="1">
        <v>0.21060312632007849</v>
      </c>
      <c r="CI15" s="1">
        <v>1.5580311433182885</v>
      </c>
      <c r="CJ15" s="1">
        <v>5.3911923475365233</v>
      </c>
      <c r="CL15" s="1">
        <v>1807</v>
      </c>
      <c r="CM15" s="1">
        <v>2.2073528450523119</v>
      </c>
      <c r="CN15" s="1">
        <v>0.44100763233571261</v>
      </c>
      <c r="CO15" s="1">
        <v>1.7294099081240983E-2</v>
      </c>
      <c r="CP15" s="1">
        <v>0.65275707296357033</v>
      </c>
      <c r="CQ15" s="1">
        <v>0.11147552321949411</v>
      </c>
      <c r="CR15" s="1">
        <v>0.16819636712968855</v>
      </c>
      <c r="CS15" s="1">
        <v>1.2061433821353296</v>
      </c>
      <c r="CT15" s="2">
        <v>4.8042269219173477</v>
      </c>
      <c r="CV15" s="1">
        <v>1807</v>
      </c>
      <c r="CW15" s="1">
        <v>37.7977596599655</v>
      </c>
      <c r="CX15" s="1">
        <v>66.273092946667987</v>
      </c>
      <c r="CY15" s="1">
        <v>6.3581317998546005</v>
      </c>
      <c r="CZ15" s="1">
        <v>20.360439791048776</v>
      </c>
      <c r="DA15" s="1">
        <v>21.217493432823957</v>
      </c>
      <c r="DB15" s="1">
        <v>152.00691763036082</v>
      </c>
      <c r="DC15" s="1">
        <v>147.26268847408829</v>
      </c>
      <c r="DD15" s="1">
        <v>22.961143823752202</v>
      </c>
      <c r="DF15" s="1">
        <v>1807</v>
      </c>
      <c r="DG15" s="1">
        <v>0.55340010639308446</v>
      </c>
      <c r="DH15" s="1">
        <v>0.93097518040379157</v>
      </c>
      <c r="DI15" s="1">
        <v>0.33805642366301925</v>
      </c>
      <c r="DJ15" s="1">
        <v>0.26804564528555375</v>
      </c>
      <c r="DK15" s="1">
        <v>-37.726499633814591</v>
      </c>
      <c r="DL15" s="1">
        <v>-3.4688723645231789E-2</v>
      </c>
      <c r="DM15" s="1">
        <v>-6.0366478861355546</v>
      </c>
      <c r="DN15" s="1">
        <v>-6.2498765037214241</v>
      </c>
      <c r="DO15" s="1">
        <v>-6.8041973213928628</v>
      </c>
      <c r="DQ15" s="1">
        <v>1807</v>
      </c>
      <c r="DR15" s="1">
        <v>86.771848011326497</v>
      </c>
      <c r="DS15" s="1">
        <v>154.67202392541319</v>
      </c>
      <c r="DT15" s="1">
        <v>13.90669075259845</v>
      </c>
      <c r="DU15" s="1">
        <v>20.360439791048776</v>
      </c>
      <c r="DV15" s="1">
        <v>21.217493432823957</v>
      </c>
      <c r="DW15" s="1">
        <v>296.9284959132109</v>
      </c>
      <c r="DX15" s="1">
        <v>286.36259608331693</v>
      </c>
      <c r="DY15" s="1">
        <v>34.593418330470762</v>
      </c>
      <c r="EA15" s="1">
        <v>1807</v>
      </c>
      <c r="EB15" s="1">
        <v>0.57768035278505181</v>
      </c>
      <c r="EC15" s="1">
        <v>0.73442307759850678</v>
      </c>
      <c r="ED15" s="1">
        <v>0.48974683029526034</v>
      </c>
      <c r="EE15" s="1">
        <v>0.31184158311599219</v>
      </c>
      <c r="EF15" s="1">
        <v>-37.726499633814591</v>
      </c>
      <c r="EG15" s="1">
        <v>-3.4688723645231789E-2</v>
      </c>
      <c r="EH15" s="1">
        <v>-2.8794724271329954</v>
      </c>
      <c r="EI15" s="1">
        <v>-3.0109071637430986</v>
      </c>
      <c r="EJ15" s="1">
        <v>-4.2611095436363513</v>
      </c>
    </row>
    <row r="16" spans="1:249" x14ac:dyDescent="0.25">
      <c r="A16" s="1" t="s">
        <v>107</v>
      </c>
      <c r="B16" s="1">
        <v>-3.6381447239864428</v>
      </c>
      <c r="C16" s="1">
        <v>-3.6703096368803187</v>
      </c>
      <c r="D16" s="1">
        <v>-3.2650780378477577</v>
      </c>
      <c r="E16" s="1">
        <v>-4.0097726458248957</v>
      </c>
      <c r="F16" s="1">
        <v>-3.5664494477293687</v>
      </c>
      <c r="G16" s="1">
        <v>-2.3922434732504172</v>
      </c>
      <c r="H16" s="1">
        <v>-2.5124802250226992</v>
      </c>
      <c r="J16" s="1">
        <v>1808</v>
      </c>
      <c r="K16" s="2">
        <v>155.54693287522014</v>
      </c>
      <c r="L16" s="1">
        <v>148.42290233002208</v>
      </c>
      <c r="M16" s="1">
        <v>149.8508973314791</v>
      </c>
      <c r="N16" s="1">
        <v>142.72686678628105</v>
      </c>
      <c r="O16" s="1">
        <v>5.6960355437410346</v>
      </c>
      <c r="P16" s="1">
        <v>7.1240305451980639</v>
      </c>
      <c r="Q16" s="1">
        <v>95.133185005138273</v>
      </c>
      <c r="R16" s="1">
        <v>250.68011788035841</v>
      </c>
      <c r="S16" s="1">
        <v>243.55608733516036</v>
      </c>
      <c r="U16" s="1">
        <v>1808</v>
      </c>
      <c r="V16" s="1">
        <v>63.916705214659217</v>
      </c>
      <c r="W16" s="1">
        <v>7908.5918746184379</v>
      </c>
      <c r="X16" s="1">
        <v>-2.3692876075828195</v>
      </c>
      <c r="Y16" s="1">
        <v>60.989327915211398</v>
      </c>
      <c r="Z16" s="1">
        <v>7438.9319559750675</v>
      </c>
      <c r="AA16" s="1">
        <v>-3.6154818754187659</v>
      </c>
      <c r="AB16" s="1">
        <v>2433588.0948936283</v>
      </c>
      <c r="AC16" s="1">
        <v>-2.3512955201354657E-2</v>
      </c>
      <c r="AE16" s="1">
        <v>1808</v>
      </c>
      <c r="AF16" s="1">
        <v>69.046518655547317</v>
      </c>
      <c r="AG16" s="1">
        <v>14.428376978721813</v>
      </c>
      <c r="AH16" s="1">
        <v>7.3918544903398757</v>
      </c>
      <c r="AI16" s="1">
        <v>4.6694123430546126</v>
      </c>
      <c r="AJ16" s="1">
        <v>9.5817332002385864</v>
      </c>
      <c r="AK16" s="1">
        <v>20.66058381899277</v>
      </c>
      <c r="AL16" s="1">
        <v>15.106492308803958</v>
      </c>
      <c r="AM16" s="1">
        <v>7.5379305343231495</v>
      </c>
      <c r="AN16" s="2">
        <v>148.42290233002208</v>
      </c>
      <c r="AP16" s="1" t="s">
        <v>107</v>
      </c>
      <c r="AQ16" s="1">
        <v>-3.8337798632444162</v>
      </c>
      <c r="AR16" s="1">
        <v>-3.2653487644674186</v>
      </c>
      <c r="AS16" s="1">
        <v>8.733919328862342</v>
      </c>
      <c r="AT16" s="1">
        <v>-26.96639236409753</v>
      </c>
      <c r="AU16" s="1">
        <v>-2.5916916301349318</v>
      </c>
      <c r="AV16" s="1">
        <v>-0.52345617741271155</v>
      </c>
      <c r="AW16" s="1">
        <v>-4.2872077781408962</v>
      </c>
      <c r="AX16" s="1">
        <v>0.76766938790832739</v>
      </c>
      <c r="AY16" s="1">
        <v>-3.6381447239864428</v>
      </c>
      <c r="BA16" s="1">
        <v>1808</v>
      </c>
      <c r="BB16" s="1">
        <v>133.10256781858436</v>
      </c>
      <c r="BC16" s="1">
        <v>17.744000478722167</v>
      </c>
      <c r="BD16" s="1">
        <v>5.8886895107784358</v>
      </c>
      <c r="BE16" s="1">
        <v>1.0014946085415424</v>
      </c>
      <c r="BF16" s="1">
        <v>0.22397473509498894</v>
      </c>
      <c r="BG16" s="1">
        <v>-0.42693092349315642</v>
      </c>
      <c r="BH16" s="1">
        <v>11.918125555915678</v>
      </c>
      <c r="BI16" s="1">
        <v>13.904988908923881</v>
      </c>
      <c r="BJ16" s="1">
        <v>155.54693287522016</v>
      </c>
      <c r="BL16" s="1" t="s">
        <v>107</v>
      </c>
      <c r="BM16" s="1">
        <v>4.5655455211876443</v>
      </c>
      <c r="BN16" s="1">
        <v>-0.96498895767844317</v>
      </c>
      <c r="BO16" s="1">
        <v>4.6553456110422218</v>
      </c>
      <c r="BP16" s="1">
        <v>-44.717499120593459</v>
      </c>
      <c r="BQ16" s="1">
        <v>1.7067404716600549</v>
      </c>
      <c r="BR16" s="1">
        <v>-2.3922434732504314</v>
      </c>
      <c r="BT16" s="1" t="s">
        <v>107</v>
      </c>
      <c r="BU16" s="1">
        <v>10.662086708316082</v>
      </c>
      <c r="BV16" s="1">
        <v>26.827539391945066</v>
      </c>
      <c r="BW16" s="1">
        <v>18.522248794638912</v>
      </c>
      <c r="BX16" s="1">
        <v>15.144120220655367</v>
      </c>
      <c r="BY16" s="1">
        <v>-0.32545469015688866</v>
      </c>
      <c r="BZ16" s="1">
        <v>14.193582474627476</v>
      </c>
      <c r="CB16" s="1">
        <v>1808</v>
      </c>
      <c r="CC16" s="1">
        <v>4.2914450829462734</v>
      </c>
      <c r="CD16" s="1">
        <v>-0.1099186236708671</v>
      </c>
      <c r="CE16" s="1">
        <v>1.8358238915329863E-2</v>
      </c>
      <c r="CF16" s="1">
        <v>0.25680590238655171</v>
      </c>
      <c r="CG16" s="1">
        <v>-0.13350885488059003</v>
      </c>
      <c r="CH16" s="1">
        <v>7.2133466596719986E-2</v>
      </c>
      <c r="CI16" s="1">
        <v>2.2919127186283923</v>
      </c>
      <c r="CJ16" s="1">
        <v>6.6872279309218108</v>
      </c>
      <c r="CL16" s="1">
        <v>1808</v>
      </c>
      <c r="CM16" s="1">
        <v>2.656433408630817</v>
      </c>
      <c r="CN16" s="1">
        <v>0.47684347783510883</v>
      </c>
      <c r="CO16" s="1">
        <v>1.3460463099642198E-2</v>
      </c>
      <c r="CP16" s="1">
        <v>0.73028427593739698</v>
      </c>
      <c r="CQ16" s="1">
        <v>0.13236163040459656</v>
      </c>
      <c r="CR16" s="1">
        <v>0.19043194483020948</v>
      </c>
      <c r="CS16" s="1">
        <v>1.4962203430032635</v>
      </c>
      <c r="CT16" s="2">
        <v>5.6960355437410346</v>
      </c>
      <c r="CV16" s="1">
        <v>1808</v>
      </c>
      <c r="CW16" s="1">
        <v>46.627346848070331</v>
      </c>
      <c r="CX16" s="1">
        <v>81.274274148875293</v>
      </c>
      <c r="CY16" s="1">
        <v>6.0999119879439965</v>
      </c>
      <c r="CZ16" s="1">
        <v>25.358317095671438</v>
      </c>
      <c r="DA16" s="1">
        <v>24.351918820663826</v>
      </c>
      <c r="DB16" s="1">
        <v>183.71176890122487</v>
      </c>
      <c r="DC16" s="1">
        <v>177.95708474538444</v>
      </c>
      <c r="DD16" s="1">
        <v>24.85747585265019</v>
      </c>
      <c r="DF16" s="1">
        <v>1808</v>
      </c>
      <c r="DG16" s="1">
        <v>0.80104747807574483</v>
      </c>
      <c r="DH16" s="1">
        <v>1.7064929261744197</v>
      </c>
      <c r="DI16" s="1">
        <v>0.28159012945438633</v>
      </c>
      <c r="DJ16" s="1">
        <v>2.8419433358372004</v>
      </c>
      <c r="DK16" s="1">
        <v>6.6485087570299868</v>
      </c>
      <c r="DL16" s="1">
        <v>-1.7531715945557522</v>
      </c>
      <c r="DM16" s="1">
        <v>1.4825460969923938</v>
      </c>
      <c r="DN16" s="1">
        <v>1.5951738963093618</v>
      </c>
      <c r="DO16" s="1">
        <v>3.0285666480056648</v>
      </c>
      <c r="DQ16" s="1">
        <v>1808</v>
      </c>
      <c r="DR16" s="1">
        <v>106.83336948530933</v>
      </c>
      <c r="DS16" s="1">
        <v>189.96941976215061</v>
      </c>
      <c r="DT16" s="1">
        <v>13.359006830144432</v>
      </c>
      <c r="DU16" s="1">
        <v>25.358317095671438</v>
      </c>
      <c r="DV16" s="1">
        <v>24.351918820663826</v>
      </c>
      <c r="DW16" s="1">
        <v>359.87203199393969</v>
      </c>
      <c r="DX16" s="1">
        <v>347.07620111405237</v>
      </c>
      <c r="DY16" s="1">
        <v>38.744911367745132</v>
      </c>
      <c r="EA16" s="1">
        <v>1808</v>
      </c>
      <c r="EB16" s="1">
        <v>0.68618351099776476</v>
      </c>
      <c r="EC16" s="1">
        <v>1.085650557730844</v>
      </c>
      <c r="ED16" s="1">
        <v>0.46153466670340038</v>
      </c>
      <c r="EE16" s="1">
        <v>1.5834576147124153</v>
      </c>
      <c r="EF16" s="1">
        <v>6.6485087570299868</v>
      </c>
      <c r="EG16" s="1">
        <v>-1.7531715945557522</v>
      </c>
      <c r="EH16" s="1">
        <v>1.0528886887680926</v>
      </c>
      <c r="EI16" s="1">
        <v>1.1124051230697773</v>
      </c>
      <c r="EJ16" s="1">
        <v>2.142887721403568</v>
      </c>
    </row>
    <row r="17" spans="1:140" x14ac:dyDescent="0.25">
      <c r="A17" s="1" t="s">
        <v>108</v>
      </c>
      <c r="B17" s="1">
        <v>-4.1354473104561436</v>
      </c>
      <c r="C17" s="1">
        <v>-4.1767353224968247</v>
      </c>
      <c r="D17" s="1">
        <v>-3.974572104971827</v>
      </c>
      <c r="E17" s="1">
        <v>-4.2960529953321469</v>
      </c>
      <c r="F17" s="1">
        <v>-4.2806174285377523</v>
      </c>
      <c r="G17" s="1">
        <v>0.75883840112879852</v>
      </c>
      <c r="H17" s="1">
        <v>0.77953293203310636</v>
      </c>
      <c r="J17" s="1">
        <v>1809</v>
      </c>
      <c r="K17" s="2">
        <v>166.61586078876437</v>
      </c>
      <c r="L17" s="1">
        <v>158.74448654135443</v>
      </c>
      <c r="M17" s="1">
        <v>160.28759028241487</v>
      </c>
      <c r="N17" s="1">
        <v>152.41621603500494</v>
      </c>
      <c r="O17" s="1">
        <v>6.3282705063494937</v>
      </c>
      <c r="P17" s="1">
        <v>7.8713742474099213</v>
      </c>
      <c r="Q17" s="1">
        <v>100.38571104078912</v>
      </c>
      <c r="R17" s="1">
        <v>267.00157182955348</v>
      </c>
      <c r="S17" s="1">
        <v>259.13019758214352</v>
      </c>
      <c r="U17" s="1">
        <v>1809</v>
      </c>
      <c r="V17" s="1">
        <v>69.112604294721422</v>
      </c>
      <c r="W17" s="1">
        <v>8043.9674696643133</v>
      </c>
      <c r="X17" s="1">
        <v>1.7117534599344424</v>
      </c>
      <c r="Y17" s="1">
        <v>65.847541946866073</v>
      </c>
      <c r="Z17" s="1">
        <v>7198.7422783769816</v>
      </c>
      <c r="AA17" s="1">
        <v>-3.2288193926167281</v>
      </c>
      <c r="AB17" s="1">
        <v>2410788.3430098132</v>
      </c>
      <c r="AC17" s="1">
        <v>-0.9368780169353812</v>
      </c>
      <c r="AE17" s="1">
        <v>1809</v>
      </c>
      <c r="AF17" s="1">
        <v>82.27861782955631</v>
      </c>
      <c r="AG17" s="1">
        <v>14.966813116263765</v>
      </c>
      <c r="AH17" s="1">
        <v>7.3202909010460484</v>
      </c>
      <c r="AI17" s="1">
        <v>9.0151659559608408</v>
      </c>
      <c r="AJ17" s="1">
        <v>7.8741225522684068</v>
      </c>
      <c r="AK17" s="1">
        <v>17.518470310506878</v>
      </c>
      <c r="AL17" s="1">
        <v>11.442569467810621</v>
      </c>
      <c r="AM17" s="1">
        <v>8.3284364079415845</v>
      </c>
      <c r="AN17" s="2">
        <v>158.74448654135443</v>
      </c>
      <c r="AP17" s="1" t="s">
        <v>108</v>
      </c>
      <c r="AQ17" s="1">
        <v>-6.5924154542329489</v>
      </c>
      <c r="AR17" s="1">
        <v>-5.5014133842384894</v>
      </c>
      <c r="AS17" s="1">
        <v>-10.508542991952311</v>
      </c>
      <c r="AT17" s="1">
        <v>26.042962948314454</v>
      </c>
      <c r="AU17" s="1">
        <v>-1.2463790931088994</v>
      </c>
      <c r="AV17" s="1">
        <v>-0.68578139140055328</v>
      </c>
      <c r="AW17" s="1">
        <v>-7.6275635109738857</v>
      </c>
      <c r="AX17" s="1">
        <v>1.317992050857498</v>
      </c>
      <c r="AY17" s="1">
        <v>-4.1354473104561436</v>
      </c>
      <c r="BA17" s="1">
        <v>1809</v>
      </c>
      <c r="BB17" s="1">
        <v>149.07399523678075</v>
      </c>
      <c r="BC17" s="1">
        <v>13.303648659744328</v>
      </c>
      <c r="BD17" s="1">
        <v>5.3741266729792079</v>
      </c>
      <c r="BE17" s="1">
        <v>0.95541149841471018</v>
      </c>
      <c r="BF17" s="1">
        <v>-0.20687606757330432</v>
      </c>
      <c r="BG17" s="1">
        <v>-0.31225504312532781</v>
      </c>
      <c r="BH17" s="1">
        <v>20.845734417359846</v>
      </c>
      <c r="BI17" s="1">
        <v>22.417924585815847</v>
      </c>
      <c r="BJ17" s="1">
        <v>166.61586078876437</v>
      </c>
      <c r="BL17" s="1" t="s">
        <v>108</v>
      </c>
      <c r="BM17" s="1">
        <v>1.1910215253347616</v>
      </c>
      <c r="BN17" s="1">
        <v>-15.335022820711785</v>
      </c>
      <c r="BO17" s="1">
        <v>-22.882587525372344</v>
      </c>
      <c r="BP17" s="1">
        <v>76.546955967533989</v>
      </c>
      <c r="BQ17" s="1">
        <v>35.183400419524929</v>
      </c>
      <c r="BR17" s="1">
        <v>0.75883840112882694</v>
      </c>
      <c r="BT17" s="1" t="s">
        <v>108</v>
      </c>
      <c r="BU17" s="1">
        <v>10.681102558815354</v>
      </c>
      <c r="BV17" s="1">
        <v>-11.444522171164479</v>
      </c>
      <c r="BW17" s="1">
        <v>12.669919364484457</v>
      </c>
      <c r="BX17" s="1">
        <v>-0.92843802153520016</v>
      </c>
      <c r="BY17" s="1">
        <v>19.261808437850789</v>
      </c>
      <c r="BZ17" s="1">
        <v>6.3094171497337612</v>
      </c>
      <c r="CB17" s="1">
        <v>1809</v>
      </c>
      <c r="CC17" s="1">
        <v>3.2492654018951632</v>
      </c>
      <c r="CD17" s="1">
        <v>0.13245068502656207</v>
      </c>
      <c r="CE17" s="1">
        <v>1.8643173991266832E-2</v>
      </c>
      <c r="CF17" s="1">
        <v>0.34507330759796256</v>
      </c>
      <c r="CG17" s="1">
        <v>-8.1618364392283954E-3</v>
      </c>
      <c r="CH17" s="1">
        <v>6.4324156754167888E-2</v>
      </c>
      <c r="CI17" s="1">
        <v>2.0088121718693919</v>
      </c>
      <c r="CJ17" s="1">
        <v>5.8104070606952858</v>
      </c>
      <c r="CL17" s="1">
        <v>1809</v>
      </c>
      <c r="CM17" s="1">
        <v>2.9858766364860081</v>
      </c>
      <c r="CN17" s="1">
        <v>0.52136856325712366</v>
      </c>
      <c r="CO17" s="1">
        <v>1.5108656397724241E-2</v>
      </c>
      <c r="CP17" s="1">
        <v>0.77545469186237959</v>
      </c>
      <c r="CQ17" s="1">
        <v>0.14546691802055536</v>
      </c>
      <c r="CR17" s="1">
        <v>0.20814013782300952</v>
      </c>
      <c r="CS17" s="1">
        <v>1.6768549025026935</v>
      </c>
      <c r="CT17" s="2">
        <v>6.3282705063494937</v>
      </c>
      <c r="CV17" s="1">
        <v>1809</v>
      </c>
      <c r="CW17" s="1">
        <v>52.812020953660856</v>
      </c>
      <c r="CX17" s="1">
        <v>90.764854310239684</v>
      </c>
      <c r="CY17" s="1">
        <v>6.7735017620211577</v>
      </c>
      <c r="CZ17" s="1">
        <v>40.566400542618872</v>
      </c>
      <c r="DA17" s="1">
        <v>23.582802497529688</v>
      </c>
      <c r="DB17" s="1">
        <v>214.49958006607028</v>
      </c>
      <c r="DC17" s="1">
        <v>208.22866690540476</v>
      </c>
      <c r="DD17" s="1">
        <v>26.583411879334847</v>
      </c>
      <c r="DF17" s="1">
        <v>1809</v>
      </c>
      <c r="DG17" s="1">
        <v>-3.1527876931789933E-2</v>
      </c>
      <c r="DH17" s="1">
        <v>0.6285638446935593</v>
      </c>
      <c r="DI17" s="1">
        <v>-0.41560581214953629</v>
      </c>
      <c r="DJ17" s="1">
        <v>0.70707622196164266</v>
      </c>
      <c r="DK17" s="1">
        <v>26.191916337691652</v>
      </c>
      <c r="DL17" s="1">
        <v>-1.3240794564515284</v>
      </c>
      <c r="DM17" s="1">
        <v>4.5641404620134551</v>
      </c>
      <c r="DN17" s="1">
        <v>4.7751696296898274</v>
      </c>
      <c r="DO17" s="1">
        <v>-5.1230545189540067E-2</v>
      </c>
      <c r="DQ17" s="1">
        <v>1809</v>
      </c>
      <c r="DR17" s="1">
        <v>120.26516184753395</v>
      </c>
      <c r="DS17" s="1">
        <v>212.53326204622556</v>
      </c>
      <c r="DT17" s="1">
        <v>14.643308203010898</v>
      </c>
      <c r="DU17" s="1">
        <v>40.566400542618872</v>
      </c>
      <c r="DV17" s="1">
        <v>23.582802497529688</v>
      </c>
      <c r="DW17" s="1">
        <v>411.59093513691897</v>
      </c>
      <c r="DX17" s="1">
        <v>397.43576839070363</v>
      </c>
      <c r="DY17" s="1">
        <v>42.117927979322772</v>
      </c>
      <c r="EA17" s="1">
        <v>1809</v>
      </c>
      <c r="EB17" s="1">
        <v>0.31795870975545881</v>
      </c>
      <c r="EC17" s="1">
        <v>0.61555494752309414</v>
      </c>
      <c r="ED17" s="1">
        <v>0.14955937613703441</v>
      </c>
      <c r="EE17" s="1">
        <v>0.62276404607555946</v>
      </c>
      <c r="EF17" s="1">
        <v>26.191916337691652</v>
      </c>
      <c r="EG17" s="1">
        <v>-1.3240794564515284</v>
      </c>
      <c r="EH17" s="1">
        <v>2.6378084750924984</v>
      </c>
      <c r="EI17" s="1">
        <v>2.7578037705940943</v>
      </c>
      <c r="EJ17" s="1">
        <v>0.17413016181986052</v>
      </c>
    </row>
    <row r="18" spans="1:140" x14ac:dyDescent="0.25">
      <c r="A18" s="1" t="s">
        <v>109</v>
      </c>
      <c r="B18" s="1">
        <v>9.3868344865134929</v>
      </c>
      <c r="C18" s="1">
        <v>9.2717128291169217</v>
      </c>
      <c r="D18" s="1">
        <v>9.5883573365491088</v>
      </c>
      <c r="E18" s="1">
        <v>9.1856822183542022</v>
      </c>
      <c r="F18" s="1">
        <v>9.0795991167961603</v>
      </c>
      <c r="G18" s="1">
        <v>12.424375212626188</v>
      </c>
      <c r="H18" s="1">
        <v>12.939705652506134</v>
      </c>
      <c r="J18" s="1">
        <v>1810</v>
      </c>
      <c r="K18" s="2">
        <v>177.75129168608333</v>
      </c>
      <c r="L18" s="1">
        <v>169.28694547611431</v>
      </c>
      <c r="M18" s="1">
        <v>170.41502877273223</v>
      </c>
      <c r="N18" s="1">
        <v>161.95068256276321</v>
      </c>
      <c r="O18" s="1">
        <v>7.3362629133510957</v>
      </c>
      <c r="P18" s="1">
        <v>8.4643462099690314</v>
      </c>
      <c r="Q18" s="1">
        <v>106.89291174909368</v>
      </c>
      <c r="R18" s="1">
        <v>284.64420343517702</v>
      </c>
      <c r="S18" s="1">
        <v>276.17985722520802</v>
      </c>
      <c r="U18" s="1">
        <v>1810</v>
      </c>
      <c r="V18" s="1">
        <v>74.210663750455865</v>
      </c>
      <c r="W18" s="1">
        <v>9102.138128172106</v>
      </c>
      <c r="X18" s="1">
        <v>13.1548351295353</v>
      </c>
      <c r="Y18" s="1">
        <v>70.676823042480649</v>
      </c>
      <c r="Z18" s="1">
        <v>7925.6394879123836</v>
      </c>
      <c r="AA18" s="1">
        <v>10.097558454326091</v>
      </c>
      <c r="AB18" s="1">
        <v>2395225.7358025778</v>
      </c>
      <c r="AC18" s="1">
        <v>-0.64554017163554533</v>
      </c>
      <c r="AE18" s="1">
        <v>1810</v>
      </c>
      <c r="AF18" s="1">
        <v>87.344632928867455</v>
      </c>
      <c r="AG18" s="1">
        <v>16.037533338918429</v>
      </c>
      <c r="AH18" s="1">
        <v>8.7273801682173211</v>
      </c>
      <c r="AI18" s="1">
        <v>12.101478350817855</v>
      </c>
      <c r="AJ18" s="1">
        <v>7.9171236878687248</v>
      </c>
      <c r="AK18" s="1">
        <v>16.691161148159964</v>
      </c>
      <c r="AL18" s="1">
        <v>10.888375631352099</v>
      </c>
      <c r="AM18" s="1">
        <v>9.5792602219124632</v>
      </c>
      <c r="AN18" s="2">
        <v>169.28694547611428</v>
      </c>
      <c r="AP18" s="1" t="s">
        <v>109</v>
      </c>
      <c r="AQ18" s="1">
        <v>12.853349856206336</v>
      </c>
      <c r="AR18" s="1">
        <v>2.7237087641146758</v>
      </c>
      <c r="AS18" s="1">
        <v>-1.6063001895109039</v>
      </c>
      <c r="AT18" s="1">
        <v>29.747910468387687</v>
      </c>
      <c r="AU18" s="1">
        <v>7.8963304621722159</v>
      </c>
      <c r="AV18" s="1">
        <v>1.7288493163629397</v>
      </c>
      <c r="AW18" s="1">
        <v>4.0170547688474585</v>
      </c>
      <c r="AX18" s="1">
        <v>1.1660927230137332</v>
      </c>
      <c r="AY18" s="1">
        <v>9.3868344865134929</v>
      </c>
      <c r="BA18" s="1">
        <v>1810</v>
      </c>
      <c r="BB18" s="1">
        <v>161.51458982322603</v>
      </c>
      <c r="BC18" s="1">
        <v>13.700488386716399</v>
      </c>
      <c r="BD18" s="1">
        <v>6.8531007697621735</v>
      </c>
      <c r="BE18" s="1">
        <v>1.2606461554501263</v>
      </c>
      <c r="BF18" s="1">
        <v>1.3603639769031837</v>
      </c>
      <c r="BG18" s="1">
        <v>-3.2214509007191951E-2</v>
      </c>
      <c r="BH18" s="1">
        <v>21.816153022894163</v>
      </c>
      <c r="BI18" s="1">
        <v>28.721835939861538</v>
      </c>
      <c r="BJ18" s="1">
        <v>177.75129168608333</v>
      </c>
      <c r="BL18" s="1" t="s">
        <v>109</v>
      </c>
      <c r="BM18" s="1">
        <v>12.764999871519251</v>
      </c>
      <c r="BN18" s="1">
        <v>11.602474963005278</v>
      </c>
      <c r="BO18" s="1">
        <v>41.35517536354385</v>
      </c>
      <c r="BP18" s="1">
        <v>0.34814347216874353</v>
      </c>
      <c r="BQ18" s="1">
        <v>10.912140910044016</v>
      </c>
      <c r="BR18" s="1">
        <v>12.424375212626202</v>
      </c>
      <c r="BT18" s="1" t="s">
        <v>109</v>
      </c>
      <c r="BU18" s="1">
        <v>-3.9194358973832237</v>
      </c>
      <c r="BV18" s="1">
        <v>-7.7234272319998922</v>
      </c>
      <c r="BW18" s="1">
        <v>14.958465467420851</v>
      </c>
      <c r="BX18" s="1">
        <v>4.292151947531579</v>
      </c>
      <c r="BY18" s="1">
        <v>15.514819771923641</v>
      </c>
      <c r="BZ18" s="1">
        <v>-5.1066144322362703</v>
      </c>
      <c r="CB18" s="1">
        <v>1810</v>
      </c>
      <c r="CC18" s="1">
        <v>5.0031747876769526</v>
      </c>
      <c r="CD18" s="1">
        <v>0.29868339295466856</v>
      </c>
      <c r="CE18" s="1">
        <v>1.5130677668717205E-2</v>
      </c>
      <c r="CF18" s="1">
        <v>1.6219106006398141</v>
      </c>
      <c r="CG18" s="1">
        <v>7.3446527986537224E-2</v>
      </c>
      <c r="CH18" s="1">
        <v>0.28296077177303214</v>
      </c>
      <c r="CI18" s="1">
        <v>2.1465896344085693</v>
      </c>
      <c r="CJ18" s="1">
        <v>9.4418963931082907</v>
      </c>
      <c r="CL18" s="1">
        <v>1810</v>
      </c>
      <c r="CM18" s="1">
        <v>3.4586019281438549</v>
      </c>
      <c r="CN18" s="1">
        <v>0.58721513911470635</v>
      </c>
      <c r="CO18" s="1">
        <v>1.5945672354928282E-2</v>
      </c>
      <c r="CP18" s="1">
        <v>0.90921555497557516</v>
      </c>
      <c r="CQ18" s="1">
        <v>0.16641562793502171</v>
      </c>
      <c r="CR18" s="1">
        <v>0.24128821729223446</v>
      </c>
      <c r="CS18" s="1">
        <v>1.9575807735347741</v>
      </c>
      <c r="CT18" s="2">
        <v>7.3362629133510957</v>
      </c>
      <c r="CV18" s="1">
        <v>1810</v>
      </c>
      <c r="CW18" s="1">
        <v>61.820546096174908</v>
      </c>
      <c r="CX18" s="1">
        <v>105.1447944310046</v>
      </c>
      <c r="CY18" s="1">
        <v>7.3941543279025481</v>
      </c>
      <c r="CZ18" s="1">
        <v>51.191518233954497</v>
      </c>
      <c r="DA18" s="1">
        <v>23.42984589588988</v>
      </c>
      <c r="DB18" s="1">
        <v>248.98085898492644</v>
      </c>
      <c r="DC18" s="1">
        <v>241.87408308908732</v>
      </c>
      <c r="DD18" s="1">
        <v>28.456476451985839</v>
      </c>
      <c r="DF18" s="1">
        <v>1810</v>
      </c>
      <c r="DG18" s="1">
        <v>0.31556859290819261</v>
      </c>
      <c r="DH18" s="1">
        <v>0.30573793473087107</v>
      </c>
      <c r="DI18" s="1">
        <v>0.32134859048484543</v>
      </c>
      <c r="DJ18" s="1">
        <v>3.3001000224139858</v>
      </c>
      <c r="DK18" s="1">
        <v>2.155169968496466</v>
      </c>
      <c r="DL18" s="1">
        <v>-0.13749347371015119</v>
      </c>
      <c r="DM18" s="1">
        <v>0.73213783341634553</v>
      </c>
      <c r="DN18" s="1">
        <v>0.73600179642274099</v>
      </c>
      <c r="DO18" s="1">
        <v>1.5205125107337096</v>
      </c>
      <c r="DQ18" s="1">
        <v>1810</v>
      </c>
      <c r="DR18" s="1">
        <v>140.76145347105481</v>
      </c>
      <c r="DS18" s="1">
        <v>247.60232962490724</v>
      </c>
      <c r="DT18" s="1">
        <v>15.957136411603109</v>
      </c>
      <c r="DU18" s="1">
        <v>51.191518233954497</v>
      </c>
      <c r="DV18" s="1">
        <v>23.42984589588988</v>
      </c>
      <c r="DW18" s="1">
        <v>478.9422836374095</v>
      </c>
      <c r="DX18" s="1">
        <v>462.63508482816576</v>
      </c>
      <c r="DY18" s="1">
        <v>46.539783493595394</v>
      </c>
      <c r="EA18" s="1">
        <v>1810</v>
      </c>
      <c r="EB18" s="1">
        <v>0.46421050262397046</v>
      </c>
      <c r="EC18" s="1">
        <v>0.47043507281601649</v>
      </c>
      <c r="ED18" s="1">
        <v>0.46067184630844338</v>
      </c>
      <c r="EE18" s="1">
        <v>1.9508841789439515</v>
      </c>
      <c r="EF18" s="1">
        <v>2.155169968496466</v>
      </c>
      <c r="EG18" s="1">
        <v>-0.13749347371015119</v>
      </c>
      <c r="EH18" s="1">
        <v>0.66060203501862702</v>
      </c>
      <c r="EI18" s="1">
        <v>0.66297645342191913</v>
      </c>
      <c r="EJ18" s="1">
        <v>1.1069492974854285</v>
      </c>
    </row>
    <row r="19" spans="1:140" x14ac:dyDescent="0.25">
      <c r="A19" s="1" t="s">
        <v>110</v>
      </c>
      <c r="B19" s="1">
        <v>3.2249951078164258</v>
      </c>
      <c r="C19" s="1">
        <v>3.1163891415904459</v>
      </c>
      <c r="D19" s="1">
        <v>3.6116735311939863</v>
      </c>
      <c r="E19" s="1">
        <v>2.8397597670376484</v>
      </c>
      <c r="F19" s="1">
        <v>3.2691660218820999</v>
      </c>
      <c r="G19" s="1">
        <v>3.9879327664657183</v>
      </c>
      <c r="H19" s="1">
        <v>4.1369711224250096</v>
      </c>
      <c r="J19" s="1">
        <v>1811</v>
      </c>
      <c r="K19" s="2">
        <v>191.78195022892697</v>
      </c>
      <c r="L19" s="1">
        <v>182.69689871129603</v>
      </c>
      <c r="M19" s="1">
        <v>183.56560913667391</v>
      </c>
      <c r="N19" s="1">
        <v>174.48055761904297</v>
      </c>
      <c r="O19" s="1">
        <v>8.216341092253062</v>
      </c>
      <c r="P19" s="1">
        <v>9.0850515176309585</v>
      </c>
      <c r="Q19" s="1">
        <v>117.05449901777092</v>
      </c>
      <c r="R19" s="1">
        <v>308.8364492466979</v>
      </c>
      <c r="S19" s="1">
        <v>299.75139772906698</v>
      </c>
      <c r="U19" s="1">
        <v>1811</v>
      </c>
      <c r="V19" s="1">
        <v>79.781005943237673</v>
      </c>
      <c r="W19" s="1">
        <v>9431.1487166541883</v>
      </c>
      <c r="X19" s="1">
        <v>3.6146516768819339</v>
      </c>
      <c r="Y19" s="1">
        <v>76.001638029533936</v>
      </c>
      <c r="Z19" s="1">
        <v>8151.8731185303204</v>
      </c>
      <c r="AA19" s="1">
        <v>2.85445270331779</v>
      </c>
      <c r="AB19" s="1">
        <v>2403854.7516607572</v>
      </c>
      <c r="AC19" s="1">
        <v>0.3602589822411062</v>
      </c>
      <c r="AE19" s="1">
        <v>1811</v>
      </c>
      <c r="AF19" s="1">
        <v>88.598921942887173</v>
      </c>
      <c r="AG19" s="1">
        <v>16.777165351739356</v>
      </c>
      <c r="AH19" s="1">
        <v>10.208411618756402</v>
      </c>
      <c r="AI19" s="1">
        <v>13.375516907788155</v>
      </c>
      <c r="AJ19" s="1">
        <v>7.221159206891989</v>
      </c>
      <c r="AK19" s="1">
        <v>22.663582069740286</v>
      </c>
      <c r="AL19" s="1">
        <v>12.682684776632847</v>
      </c>
      <c r="AM19" s="1">
        <v>11.169456836859844</v>
      </c>
      <c r="AN19" s="2">
        <v>182.69689871129606</v>
      </c>
      <c r="AP19" s="1" t="s">
        <v>110</v>
      </c>
      <c r="AQ19" s="1">
        <v>5.3185348048447167</v>
      </c>
      <c r="AR19" s="1">
        <v>-0.73708942531446553</v>
      </c>
      <c r="AS19" s="1">
        <v>4.8366987382083124</v>
      </c>
      <c r="AT19" s="1">
        <v>19.02372560231116</v>
      </c>
      <c r="AU19" s="1">
        <v>5.2558708198078108</v>
      </c>
      <c r="AV19" s="1">
        <v>0.62441836109066173</v>
      </c>
      <c r="AW19" s="1">
        <v>-16.000186385391373</v>
      </c>
      <c r="AX19" s="1">
        <v>0.46702122464945717</v>
      </c>
      <c r="AY19" s="1">
        <v>3.2249951078164258</v>
      </c>
      <c r="BA19" s="1">
        <v>1811</v>
      </c>
      <c r="BB19" s="1">
        <v>158.67603625656488</v>
      </c>
      <c r="BC19" s="1">
        <v>16.627419076933709</v>
      </c>
      <c r="BD19" s="1">
        <v>7.9228146508949422</v>
      </c>
      <c r="BE19" s="1">
        <v>1.2763046999725447</v>
      </c>
      <c r="BF19" s="1">
        <v>0.77134357610518445</v>
      </c>
      <c r="BG19" s="1">
        <v>0.41559910570204323</v>
      </c>
      <c r="BH19" s="1">
        <v>25.712636618202577</v>
      </c>
      <c r="BI19" s="1">
        <v>19.620203755448909</v>
      </c>
      <c r="BJ19" s="1">
        <v>191.78195022892697</v>
      </c>
      <c r="BL19" s="1" t="s">
        <v>110</v>
      </c>
      <c r="BM19" s="1">
        <v>-2.9665258072151062</v>
      </c>
      <c r="BN19" s="1">
        <v>-8.5423782683119072</v>
      </c>
      <c r="BO19" s="1">
        <v>0.5368644081897429</v>
      </c>
      <c r="BP19" s="1">
        <v>12.837470493596072</v>
      </c>
      <c r="BQ19" s="1">
        <v>-35.531440238968486</v>
      </c>
      <c r="BR19" s="1">
        <v>3.9879327664656756</v>
      </c>
      <c r="BT19" s="1" t="s">
        <v>110</v>
      </c>
      <c r="BU19" s="1">
        <v>1.2460300712652526</v>
      </c>
      <c r="BV19" s="1">
        <v>32.699378911933707</v>
      </c>
      <c r="BW19" s="1">
        <v>9.4123498519629152</v>
      </c>
      <c r="BX19" s="1">
        <v>4.4516005349838537</v>
      </c>
      <c r="BY19" s="1">
        <v>5.9603411630457543</v>
      </c>
      <c r="BZ19" s="1">
        <v>3.7557133367103432</v>
      </c>
      <c r="CB19" s="1">
        <v>1811</v>
      </c>
      <c r="CC19" s="1">
        <v>5.0729329550219253</v>
      </c>
      <c r="CD19" s="1">
        <v>0.63573951936231365</v>
      </c>
      <c r="CE19" s="1">
        <v>1.562648634887813E-2</v>
      </c>
      <c r="CF19" s="1">
        <v>1.5537870104143028</v>
      </c>
      <c r="CG19" s="1">
        <v>0.20423459322978829</v>
      </c>
      <c r="CH19" s="1">
        <v>0.37316353058502028</v>
      </c>
      <c r="CI19" s="1">
        <v>2.5305779377124851</v>
      </c>
      <c r="CJ19" s="1">
        <v>10.386062032674714</v>
      </c>
      <c r="CL19" s="1">
        <v>1811</v>
      </c>
      <c r="CM19" s="1">
        <v>3.8758662808309077</v>
      </c>
      <c r="CN19" s="1">
        <v>0.65420328440806652</v>
      </c>
      <c r="CO19" s="1">
        <v>2.0672797493010247E-2</v>
      </c>
      <c r="CP19" s="1">
        <v>1.0336725903758264</v>
      </c>
      <c r="CQ19" s="1">
        <v>0.18116492002668269</v>
      </c>
      <c r="CR19" s="1">
        <v>0.27577552441798653</v>
      </c>
      <c r="CS19" s="1">
        <v>2.1749856947005823</v>
      </c>
      <c r="CT19" s="2">
        <v>8.216341092253062</v>
      </c>
      <c r="CV19" s="1">
        <v>1811</v>
      </c>
      <c r="CW19" s="1">
        <v>68.536876531474888</v>
      </c>
      <c r="CX19" s="1">
        <v>116.58611529807439</v>
      </c>
      <c r="CY19" s="1">
        <v>8.8769331895333874</v>
      </c>
      <c r="CZ19" s="1">
        <v>52.294782461350081</v>
      </c>
      <c r="DA19" s="1">
        <v>23.023350644758544</v>
      </c>
      <c r="DB19" s="1">
        <v>269.31805812519127</v>
      </c>
      <c r="DC19" s="1">
        <v>261.37640628240786</v>
      </c>
      <c r="DD19" s="1">
        <v>30.138554165185052</v>
      </c>
      <c r="DF19" s="1">
        <v>1811</v>
      </c>
      <c r="DG19" s="1">
        <v>0.48439554744280144</v>
      </c>
      <c r="DH19" s="1">
        <v>0.51883345289103033</v>
      </c>
      <c r="DI19" s="1">
        <v>0.46415071410501696</v>
      </c>
      <c r="DJ19" s="1">
        <v>1.0058848299127732</v>
      </c>
      <c r="DK19" s="1">
        <v>-3.5702611150153132</v>
      </c>
      <c r="DL19" s="1">
        <v>1.8051199936732729</v>
      </c>
      <c r="DM19" s="1">
        <v>-0.10698848810449135</v>
      </c>
      <c r="DN19" s="1">
        <v>-0.14772135978623169</v>
      </c>
      <c r="DO19" s="1">
        <v>-9.007463483100878</v>
      </c>
      <c r="DQ19" s="1">
        <v>1811</v>
      </c>
      <c r="DR19" s="1">
        <v>156.31034416110282</v>
      </c>
      <c r="DS19" s="1">
        <v>274.92643372706078</v>
      </c>
      <c r="DT19" s="1">
        <v>18.889654062890244</v>
      </c>
      <c r="DU19" s="1">
        <v>52.294782461350081</v>
      </c>
      <c r="DV19" s="1">
        <v>23.023350644758544</v>
      </c>
      <c r="DW19" s="1">
        <v>525.44456505716255</v>
      </c>
      <c r="DX19" s="1">
        <v>507.22958825467794</v>
      </c>
      <c r="DY19" s="1">
        <v>50.378509037409138</v>
      </c>
      <c r="EA19" s="1">
        <v>1811</v>
      </c>
      <c r="EB19" s="1">
        <v>0.53507963420516091</v>
      </c>
      <c r="EC19" s="1">
        <v>0.56316110134837061</v>
      </c>
      <c r="ED19" s="1">
        <v>0.51911382206336043</v>
      </c>
      <c r="EE19" s="1">
        <v>0.90413067318897333</v>
      </c>
      <c r="EF19" s="1">
        <v>-3.5702611150153132</v>
      </c>
      <c r="EG19" s="1">
        <v>1.8051199936732729</v>
      </c>
      <c r="EH19" s="1">
        <v>0.23044628131638945</v>
      </c>
      <c r="EI19" s="1">
        <v>0.20725397883074947</v>
      </c>
      <c r="EJ19" s="1">
        <v>-5.3196913673960751</v>
      </c>
    </row>
    <row r="20" spans="1:140" x14ac:dyDescent="0.25">
      <c r="A20" s="1" t="s">
        <v>111</v>
      </c>
      <c r="B20" s="1">
        <v>-3.0046986701924965</v>
      </c>
      <c r="C20" s="1">
        <v>-3.079774942632028</v>
      </c>
      <c r="D20" s="1">
        <v>-2.9976101323857023</v>
      </c>
      <c r="E20" s="1">
        <v>-3.0117866899979333</v>
      </c>
      <c r="F20" s="1">
        <v>-2.9282328760154286</v>
      </c>
      <c r="G20" s="1">
        <v>-6.7785227599579514</v>
      </c>
      <c r="H20" s="1">
        <v>-7.1208913662518967</v>
      </c>
      <c r="J20" s="1">
        <v>1812</v>
      </c>
      <c r="K20" s="2">
        <v>228.99697406170137</v>
      </c>
      <c r="L20" s="1">
        <v>218.19418309940687</v>
      </c>
      <c r="M20" s="1">
        <v>219.17071377949421</v>
      </c>
      <c r="N20" s="1">
        <v>208.36792281719971</v>
      </c>
      <c r="O20" s="1">
        <v>9.826260282207171</v>
      </c>
      <c r="P20" s="1">
        <v>10.802790962294505</v>
      </c>
      <c r="Q20" s="1">
        <v>145.54365728786692</v>
      </c>
      <c r="R20" s="1">
        <v>374.54063134956829</v>
      </c>
      <c r="S20" s="1">
        <v>363.73784038727376</v>
      </c>
      <c r="U20" s="1">
        <v>1812</v>
      </c>
      <c r="V20" s="1">
        <v>94.81969452020671</v>
      </c>
      <c r="W20" s="1">
        <v>8750.9984062368894</v>
      </c>
      <c r="X20" s="1">
        <v>-7.2117440923844356</v>
      </c>
      <c r="Y20" s="1">
        <v>90.346633934111722</v>
      </c>
      <c r="Z20" s="1">
        <v>7870.1885815049072</v>
      </c>
      <c r="AA20" s="1">
        <v>-3.4554578184626763</v>
      </c>
      <c r="AB20" s="1">
        <v>2415078.1672567041</v>
      </c>
      <c r="AC20" s="1">
        <v>0.46689241886153354</v>
      </c>
      <c r="AE20" s="1">
        <v>1812</v>
      </c>
      <c r="AF20" s="1">
        <v>102.79209273030345</v>
      </c>
      <c r="AG20" s="1">
        <v>18.721721686643303</v>
      </c>
      <c r="AH20" s="1">
        <v>14.741378599442609</v>
      </c>
      <c r="AI20" s="1">
        <v>10.739608360541341</v>
      </c>
      <c r="AJ20" s="1">
        <v>13.018031900186543</v>
      </c>
      <c r="AK20" s="1">
        <v>29.061755487121644</v>
      </c>
      <c r="AL20" s="1">
        <v>16.034843640437249</v>
      </c>
      <c r="AM20" s="1">
        <v>13.084750694730717</v>
      </c>
      <c r="AN20" s="2">
        <v>218.1941830994069</v>
      </c>
      <c r="AP20" s="1" t="s">
        <v>111</v>
      </c>
      <c r="AQ20" s="1">
        <v>-4.4662862429552206</v>
      </c>
      <c r="AR20" s="1">
        <v>-3.2112784160775902</v>
      </c>
      <c r="AS20" s="1">
        <v>18.697850456344483</v>
      </c>
      <c r="AT20" s="1">
        <v>-21.346351118316051</v>
      </c>
      <c r="AU20" s="1">
        <v>-3.9993640384907678</v>
      </c>
      <c r="AV20" s="1">
        <v>0.91062180536842163</v>
      </c>
      <c r="AW20" s="1">
        <v>-1.6384877406433276</v>
      </c>
      <c r="AX20" s="1">
        <v>0.41222916473144267</v>
      </c>
      <c r="AY20" s="1">
        <v>-3.0046986701924965</v>
      </c>
      <c r="BA20" s="1">
        <v>1812</v>
      </c>
      <c r="BB20" s="1">
        <v>210.6078805885617</v>
      </c>
      <c r="BC20" s="1">
        <v>20.520534065914305</v>
      </c>
      <c r="BD20" s="1">
        <v>11.634481510891794</v>
      </c>
      <c r="BE20" s="1">
        <v>1.44471585801513</v>
      </c>
      <c r="BF20" s="1">
        <v>-0.10798290440745659</v>
      </c>
      <c r="BG20" s="1">
        <v>8.24488243534343E-2</v>
      </c>
      <c r="BH20" s="1">
        <v>21.798822006393554</v>
      </c>
      <c r="BI20" s="1">
        <v>36.983925888021091</v>
      </c>
      <c r="BJ20" s="1">
        <v>228.99697406170139</v>
      </c>
      <c r="BL20" s="1" t="s">
        <v>111</v>
      </c>
      <c r="BM20" s="1">
        <v>2.6944202006191205</v>
      </c>
      <c r="BN20" s="1">
        <v>-0.32185756117657149</v>
      </c>
      <c r="BO20" s="1">
        <v>5.9738013922380588</v>
      </c>
      <c r="BP20" s="1">
        <v>-26.005902510982921</v>
      </c>
      <c r="BQ20" s="1">
        <v>61.46041055718473</v>
      </c>
      <c r="BR20" s="1">
        <v>-6.7785227599579514</v>
      </c>
      <c r="BT20" s="1" t="s">
        <v>111</v>
      </c>
      <c r="BU20" s="1">
        <v>29.245796473966493</v>
      </c>
      <c r="BV20" s="1">
        <v>23.812325439449751</v>
      </c>
      <c r="BW20" s="1">
        <v>18.599533495763282</v>
      </c>
      <c r="BX20" s="1">
        <v>14.574860091071002</v>
      </c>
      <c r="BY20" s="1">
        <v>16.74638574475911</v>
      </c>
      <c r="BZ20" s="1">
        <v>28.087288554764484</v>
      </c>
      <c r="CB20" s="1">
        <v>1812</v>
      </c>
      <c r="CC20" s="1">
        <v>6.1391660934508021</v>
      </c>
      <c r="CD20" s="1">
        <v>0.82835805428497344</v>
      </c>
      <c r="CE20" s="1">
        <v>2.1593496463126808E-2</v>
      </c>
      <c r="CF20" s="1">
        <v>1.6200160900013534</v>
      </c>
      <c r="CG20" s="1">
        <v>0.26421742259852055</v>
      </c>
      <c r="CH20" s="1">
        <v>0.4343301688185488</v>
      </c>
      <c r="CI20" s="1">
        <v>3.7459819632355771</v>
      </c>
      <c r="CJ20" s="1">
        <v>13.053663288852903</v>
      </c>
      <c r="CL20" s="1">
        <v>1812</v>
      </c>
      <c r="CM20" s="1">
        <v>4.6253751393224549</v>
      </c>
      <c r="CN20" s="1">
        <v>0.76505872577742895</v>
      </c>
      <c r="CO20" s="1">
        <v>2.2233034933144494E-2</v>
      </c>
      <c r="CP20" s="1">
        <v>1.2476281360395629</v>
      </c>
      <c r="CQ20" s="1">
        <v>0.21636134345404925</v>
      </c>
      <c r="CR20" s="1">
        <v>0.32868167473705301</v>
      </c>
      <c r="CS20" s="1">
        <v>2.6209222279434767</v>
      </c>
      <c r="CT20" s="2">
        <v>9.826260282207171</v>
      </c>
      <c r="CV20" s="1">
        <v>1812</v>
      </c>
      <c r="CW20" s="1">
        <v>82.014843779150951</v>
      </c>
      <c r="CX20" s="1">
        <v>139.43720307711629</v>
      </c>
      <c r="CY20" s="1">
        <v>10.111237650757539</v>
      </c>
      <c r="CZ20" s="1">
        <v>50.427722177950649</v>
      </c>
      <c r="DA20" s="1">
        <v>32.136043915879107</v>
      </c>
      <c r="DB20" s="1">
        <v>314.12705060085455</v>
      </c>
      <c r="DC20" s="1">
        <v>304.58490105646592</v>
      </c>
      <c r="DD20" s="1">
        <v>35.089588860638031</v>
      </c>
      <c r="DF20" s="1">
        <v>1812</v>
      </c>
      <c r="DG20" s="1">
        <v>1.4283266696454575</v>
      </c>
      <c r="DH20" s="1">
        <v>1.3717757462559348</v>
      </c>
      <c r="DI20" s="1">
        <v>1.4615890633611173</v>
      </c>
      <c r="DJ20" s="1">
        <v>0.93347497362059073</v>
      </c>
      <c r="DK20" s="1">
        <v>5.4700996773267434</v>
      </c>
      <c r="DL20" s="1">
        <v>0.25656183620255035</v>
      </c>
      <c r="DM20" s="1">
        <v>1.8977612452221564</v>
      </c>
      <c r="DN20" s="1">
        <v>1.9229929173394424</v>
      </c>
      <c r="DO20" s="1">
        <v>2.7585872131019187</v>
      </c>
      <c r="DQ20" s="1">
        <v>1812</v>
      </c>
      <c r="DR20" s="1">
        <v>187.13169430571656</v>
      </c>
      <c r="DS20" s="1">
        <v>328.9923986250522</v>
      </c>
      <c r="DT20" s="1">
        <v>21.500037108186429</v>
      </c>
      <c r="DU20" s="1">
        <v>50.427722177950649</v>
      </c>
      <c r="DV20" s="1">
        <v>32.136043915879107</v>
      </c>
      <c r="DW20" s="1">
        <v>620.18789613278489</v>
      </c>
      <c r="DX20" s="1">
        <v>598.37177924451737</v>
      </c>
      <c r="DY20" s="1">
        <v>59.175316630989855</v>
      </c>
      <c r="EA20" s="1">
        <v>1812</v>
      </c>
      <c r="EB20" s="1">
        <v>0.95112633422571946</v>
      </c>
      <c r="EC20" s="1">
        <v>0.94565577980890225</v>
      </c>
      <c r="ED20" s="1">
        <v>0.95423799917931262</v>
      </c>
      <c r="EE20" s="1">
        <v>0.88349480477383224</v>
      </c>
      <c r="EF20" s="1">
        <v>5.4700996773267434</v>
      </c>
      <c r="EG20" s="1">
        <v>0.25656183620255035</v>
      </c>
      <c r="EH20" s="1">
        <v>1.2542835985455838</v>
      </c>
      <c r="EI20" s="1">
        <v>1.2698834943888642</v>
      </c>
      <c r="EJ20" s="1">
        <v>1.7910064998572892</v>
      </c>
    </row>
    <row r="21" spans="1:140" x14ac:dyDescent="0.25">
      <c r="A21" s="1" t="s">
        <v>112</v>
      </c>
      <c r="B21" s="1">
        <v>-4.2126341830498291</v>
      </c>
      <c r="C21" s="1">
        <v>-4.3240257859864784</v>
      </c>
      <c r="D21" s="1">
        <v>-3.8959109154927205</v>
      </c>
      <c r="E21" s="1">
        <v>-4.5283136487336861</v>
      </c>
      <c r="F21" s="1">
        <v>-4.2804591005178025</v>
      </c>
      <c r="G21" s="1">
        <v>-6.7121306906672515</v>
      </c>
      <c r="H21" s="1">
        <v>-7.0430468500580758</v>
      </c>
      <c r="J21" s="1">
        <v>1813</v>
      </c>
      <c r="K21" s="2">
        <v>239.03180062399895</v>
      </c>
      <c r="L21" s="1">
        <v>227.74449882364999</v>
      </c>
      <c r="M21" s="1">
        <v>228.20062561719408</v>
      </c>
      <c r="N21" s="1">
        <v>216.91332381684512</v>
      </c>
      <c r="O21" s="1">
        <v>10.831175006804866</v>
      </c>
      <c r="P21" s="1">
        <v>11.287301800348967</v>
      </c>
      <c r="Q21" s="1">
        <v>164.91209442618648</v>
      </c>
      <c r="R21" s="1">
        <v>403.94389505018546</v>
      </c>
      <c r="S21" s="1">
        <v>392.65659324983648</v>
      </c>
      <c r="U21" s="1">
        <v>1813</v>
      </c>
      <c r="V21" s="1">
        <v>98.717866222494834</v>
      </c>
      <c r="W21" s="1">
        <v>8142.4302510513771</v>
      </c>
      <c r="X21" s="1">
        <v>-6.9542711235301198</v>
      </c>
      <c r="Y21" s="1">
        <v>94.056317649330211</v>
      </c>
      <c r="Z21" s="1">
        <v>7519.07881952355</v>
      </c>
      <c r="AA21" s="1">
        <v>-4.4612623744044981</v>
      </c>
      <c r="AB21" s="1">
        <v>2421363.1206863625</v>
      </c>
      <c r="AC21" s="1">
        <v>0.26023809559742972</v>
      </c>
      <c r="AE21" s="1">
        <v>1813</v>
      </c>
      <c r="AF21" s="1">
        <v>104.91551351218824</v>
      </c>
      <c r="AG21" s="1">
        <v>21.59670729906399</v>
      </c>
      <c r="AH21" s="1">
        <v>15.067126780873471</v>
      </c>
      <c r="AI21" s="1">
        <v>13.541601213329859</v>
      </c>
      <c r="AJ21" s="1">
        <v>13.299073524504724</v>
      </c>
      <c r="AK21" s="1">
        <v>29.277528366051822</v>
      </c>
      <c r="AL21" s="1">
        <v>16.518207007305698</v>
      </c>
      <c r="AM21" s="1">
        <v>13.528741120332167</v>
      </c>
      <c r="AN21" s="2">
        <v>227.74449882365002</v>
      </c>
      <c r="AP21" s="1" t="s">
        <v>112</v>
      </c>
      <c r="AQ21" s="1">
        <v>-10.214632295168585</v>
      </c>
      <c r="AR21" s="1">
        <v>1.4342942865532677</v>
      </c>
      <c r="AS21" s="1">
        <v>-4.2009801349378364</v>
      </c>
      <c r="AT21" s="1">
        <v>6.2263813995418076</v>
      </c>
      <c r="AU21" s="1">
        <v>-0.35403599436391175</v>
      </c>
      <c r="AV21" s="1">
        <v>0.79808457959360624</v>
      </c>
      <c r="AW21" s="1">
        <v>5.7757195217441222</v>
      </c>
      <c r="AX21" s="1">
        <v>0.94440372334526046</v>
      </c>
      <c r="AY21" s="1">
        <v>-4.2126341830498291</v>
      </c>
      <c r="BA21" s="1">
        <v>1813</v>
      </c>
      <c r="BB21" s="1">
        <v>225.6266633783834</v>
      </c>
      <c r="BC21" s="1">
        <v>20.429436150411487</v>
      </c>
      <c r="BD21" s="1">
        <v>11.145632642137556</v>
      </c>
      <c r="BE21" s="1">
        <v>1.5352187838543949</v>
      </c>
      <c r="BF21" s="1">
        <v>-0.51278922654210068</v>
      </c>
      <c r="BG21" s="1">
        <v>-8.6170307879309085E-2</v>
      </c>
      <c r="BH21" s="1">
        <v>26.825696018825777</v>
      </c>
      <c r="BI21" s="1">
        <v>45.931886815192243</v>
      </c>
      <c r="BJ21" s="1">
        <v>239.031800623999</v>
      </c>
      <c r="BL21" s="1" t="s">
        <v>112</v>
      </c>
      <c r="BM21" s="1">
        <v>-4.6737343700707186</v>
      </c>
      <c r="BN21" s="1">
        <v>-1.7365095815144969</v>
      </c>
      <c r="BO21" s="1">
        <v>-15.818094805346959</v>
      </c>
      <c r="BP21" s="1">
        <v>27.392934839098785</v>
      </c>
      <c r="BQ21" s="1">
        <v>24.861055614079675</v>
      </c>
      <c r="BR21" s="1">
        <v>-6.7121306906672231</v>
      </c>
      <c r="BT21" s="1" t="s">
        <v>112</v>
      </c>
      <c r="BU21" s="1">
        <v>12.383673347914709</v>
      </c>
      <c r="BV21" s="1">
        <v>1.3154165127853474</v>
      </c>
      <c r="BW21" s="1">
        <v>9.9471025386917375</v>
      </c>
      <c r="BX21" s="1">
        <v>-3.4009999423592916</v>
      </c>
      <c r="BY21" s="1">
        <v>-0.53408696222993512</v>
      </c>
      <c r="BZ21" s="1">
        <v>11.892445404929688</v>
      </c>
      <c r="CB21" s="1">
        <v>1813</v>
      </c>
      <c r="CC21" s="1">
        <v>4.9139908898592752</v>
      </c>
      <c r="CD21" s="1">
        <v>1.6886895462741236</v>
      </c>
      <c r="CE21" s="1">
        <v>2.8300349335495661E-2</v>
      </c>
      <c r="CF21" s="1">
        <v>1.7405176873576931</v>
      </c>
      <c r="CG21" s="1">
        <v>0.50968930690326686</v>
      </c>
      <c r="CH21" s="1">
        <v>0.40435261048772064</v>
      </c>
      <c r="CI21" s="1">
        <v>2.7963515013529672</v>
      </c>
      <c r="CJ21" s="1">
        <v>12.081891891570542</v>
      </c>
      <c r="CL21" s="1">
        <v>1813</v>
      </c>
      <c r="CM21" s="1">
        <v>5.07361239372102</v>
      </c>
      <c r="CN21" s="1">
        <v>0.85090976748424085</v>
      </c>
      <c r="CO21" s="1">
        <v>2.1634501152499777E-2</v>
      </c>
      <c r="CP21" s="1">
        <v>1.4139439581057212</v>
      </c>
      <c r="CQ21" s="1">
        <v>0.24685488386759288</v>
      </c>
      <c r="CR21" s="1">
        <v>0.35693770337256714</v>
      </c>
      <c r="CS21" s="1">
        <v>2.8672817991012232</v>
      </c>
      <c r="CT21" s="2">
        <v>10.831175006804866</v>
      </c>
      <c r="CV21" s="1">
        <v>1813</v>
      </c>
      <c r="CW21" s="1">
        <v>90.899627842457718</v>
      </c>
      <c r="CX21" s="1">
        <v>154.67955417305251</v>
      </c>
      <c r="CY21" s="1">
        <v>11.199097296990582</v>
      </c>
      <c r="CZ21" s="1">
        <v>49.387156785654959</v>
      </c>
      <c r="DA21" s="1">
        <v>35.150317363299351</v>
      </c>
      <c r="DB21" s="1">
        <v>341.31575346145513</v>
      </c>
      <c r="DC21" s="1">
        <v>330.80732314408618</v>
      </c>
      <c r="DD21" s="1">
        <v>39.267084627752546</v>
      </c>
      <c r="DF21" s="1">
        <v>1813</v>
      </c>
      <c r="DG21" s="1">
        <v>0.73678216570330335</v>
      </c>
      <c r="DH21" s="1">
        <v>-7.8031450108028366E-2</v>
      </c>
      <c r="DI21" s="1">
        <v>1.2156189119959322</v>
      </c>
      <c r="DJ21" s="1">
        <v>0.3418175097724685</v>
      </c>
      <c r="DK21" s="1">
        <v>-2.0006383615041301</v>
      </c>
      <c r="DL21" s="1">
        <v>-0.245148022388193</v>
      </c>
      <c r="DM21" s="1">
        <v>0.22296068159481308</v>
      </c>
      <c r="DN21" s="1">
        <v>0.21532424640786019</v>
      </c>
      <c r="DO21" s="1">
        <v>2.3647845275744714</v>
      </c>
      <c r="DQ21" s="1">
        <v>1813</v>
      </c>
      <c r="DR21" s="1">
        <v>206.53210548105835</v>
      </c>
      <c r="DS21" s="1">
        <v>363.13073422381075</v>
      </c>
      <c r="DT21" s="1">
        <v>23.78840040501683</v>
      </c>
      <c r="DU21" s="1">
        <v>49.387156785654959</v>
      </c>
      <c r="DV21" s="1">
        <v>35.150317363299351</v>
      </c>
      <c r="DW21" s="1">
        <v>677.98871425884022</v>
      </c>
      <c r="DX21" s="1">
        <v>654.01921276278904</v>
      </c>
      <c r="DY21" s="1">
        <v>65.559055972066815</v>
      </c>
      <c r="EA21" s="1">
        <v>1813</v>
      </c>
      <c r="EB21" s="1">
        <v>0.65756153349880719</v>
      </c>
      <c r="EC21" s="1">
        <v>0.30122584025207289</v>
      </c>
      <c r="ED21" s="1">
        <v>0.86022893134827427</v>
      </c>
      <c r="EE21" s="1">
        <v>0.59287083580005628</v>
      </c>
      <c r="EF21" s="1">
        <v>-2.0006383615041301</v>
      </c>
      <c r="EG21" s="1">
        <v>-0.245148022388193</v>
      </c>
      <c r="EH21" s="1">
        <v>0.41278329235889544</v>
      </c>
      <c r="EI21" s="1">
        <v>0.40770031806169982</v>
      </c>
      <c r="EJ21" s="1">
        <v>1.6157038196020324</v>
      </c>
    </row>
    <row r="22" spans="1:140" x14ac:dyDescent="0.25">
      <c r="A22" s="1" t="s">
        <v>113</v>
      </c>
      <c r="B22" s="1">
        <v>4.4317271973597343</v>
      </c>
      <c r="C22" s="1">
        <v>4.3775922573221777</v>
      </c>
      <c r="D22" s="1">
        <v>4.3734829143249385</v>
      </c>
      <c r="E22" s="1">
        <v>4.4900039828694105</v>
      </c>
      <c r="F22" s="1">
        <v>4.3222435703084443</v>
      </c>
      <c r="G22" s="1">
        <v>6.4115663988170581</v>
      </c>
      <c r="H22" s="1">
        <v>6.7247463248896793</v>
      </c>
      <c r="J22" s="1">
        <v>1814</v>
      </c>
      <c r="K22" s="2">
        <v>248.82374381960742</v>
      </c>
      <c r="L22" s="1">
        <v>236.97664661197865</v>
      </c>
      <c r="M22" s="1">
        <v>237.9773303623314</v>
      </c>
      <c r="N22" s="1">
        <v>226.13023315470264</v>
      </c>
      <c r="O22" s="1">
        <v>10.846413457276014</v>
      </c>
      <c r="P22" s="1">
        <v>11.847097207628766</v>
      </c>
      <c r="Q22" s="1">
        <v>166.70835034255265</v>
      </c>
      <c r="R22" s="1">
        <v>415.53209416216009</v>
      </c>
      <c r="S22" s="1">
        <v>403.6849969545313</v>
      </c>
      <c r="U22" s="1">
        <v>1814</v>
      </c>
      <c r="V22" s="1">
        <v>102.35092366443494</v>
      </c>
      <c r="W22" s="1">
        <v>8629.8401767412925</v>
      </c>
      <c r="X22" s="1">
        <v>5.9860497500359884</v>
      </c>
      <c r="Y22" s="1">
        <v>97.477749893598059</v>
      </c>
      <c r="Z22" s="1">
        <v>7820.9042296985599</v>
      </c>
      <c r="AA22" s="1">
        <v>4.0141274938003022</v>
      </c>
      <c r="AB22" s="1">
        <v>2431084.4974432709</v>
      </c>
      <c r="AC22" s="1">
        <v>0.40148363844548385</v>
      </c>
      <c r="AE22" s="1">
        <v>1814</v>
      </c>
      <c r="AF22" s="1">
        <v>116.04032334895781</v>
      </c>
      <c r="AG22" s="1">
        <v>23.701030312163581</v>
      </c>
      <c r="AH22" s="1">
        <v>11.537589785601014</v>
      </c>
      <c r="AI22" s="1">
        <v>14.883167526898369</v>
      </c>
      <c r="AJ22" s="1">
        <v>14.29070654229354</v>
      </c>
      <c r="AK22" s="1">
        <v>27.09590217788103</v>
      </c>
      <c r="AL22" s="1">
        <v>15.274555517203082</v>
      </c>
      <c r="AM22" s="1">
        <v>14.153371400980227</v>
      </c>
      <c r="AN22" s="2">
        <v>236.97664661197868</v>
      </c>
      <c r="AP22" s="1" t="s">
        <v>113</v>
      </c>
      <c r="AQ22" s="1">
        <v>9.6011615233428103</v>
      </c>
      <c r="AR22" s="1">
        <v>3.6106203747897894</v>
      </c>
      <c r="AS22" s="1">
        <v>-14.839776804223348</v>
      </c>
      <c r="AT22" s="1">
        <v>1.677003394477893</v>
      </c>
      <c r="AU22" s="1">
        <v>0.7086722369197247</v>
      </c>
      <c r="AV22" s="1">
        <v>0.94853686409237525</v>
      </c>
      <c r="AW22" s="1">
        <v>3.7170791768722893</v>
      </c>
      <c r="AX22" s="1">
        <v>0.64426157493575431</v>
      </c>
      <c r="AY22" s="1">
        <v>4.4317271973597343</v>
      </c>
      <c r="BA22" s="1">
        <v>1814</v>
      </c>
      <c r="BB22" s="1">
        <v>227.71068168161918</v>
      </c>
      <c r="BC22" s="1">
        <v>19.058985153783588</v>
      </c>
      <c r="BD22" s="1">
        <v>8.7052109571987408</v>
      </c>
      <c r="BE22" s="1">
        <v>1.5526230729357997</v>
      </c>
      <c r="BF22" s="1">
        <v>1.0020596771450079</v>
      </c>
      <c r="BG22" s="1">
        <v>0.44249996471355696</v>
      </c>
      <c r="BH22" s="1">
        <v>30.938974195402324</v>
      </c>
      <c r="BI22" s="1">
        <v>40.587290883190789</v>
      </c>
      <c r="BJ22" s="1">
        <v>248.82374381960733</v>
      </c>
      <c r="BL22" s="1" t="s">
        <v>113</v>
      </c>
      <c r="BM22" s="1">
        <v>1.1333012321833849</v>
      </c>
      <c r="BN22" s="1">
        <v>0.33963522670180168</v>
      </c>
      <c r="BO22" s="1">
        <v>-3.4266037085146479</v>
      </c>
      <c r="BP22" s="1">
        <v>7.786109489974649</v>
      </c>
      <c r="BQ22" s="1">
        <v>-21.964914322287825</v>
      </c>
      <c r="BR22" s="1">
        <v>6.4115663988170581</v>
      </c>
      <c r="BT22" s="1" t="s">
        <v>113</v>
      </c>
      <c r="BU22" s="1">
        <v>-0.2072941525609906</v>
      </c>
      <c r="BV22" s="1">
        <v>-7.0239966893057186</v>
      </c>
      <c r="BW22" s="1">
        <v>0.29568607669332891</v>
      </c>
      <c r="BX22" s="1">
        <v>7.002054090260998</v>
      </c>
      <c r="BY22" s="1">
        <v>13.236351153356068</v>
      </c>
      <c r="BZ22" s="1">
        <v>-2.17557562895378</v>
      </c>
      <c r="CB22" s="1">
        <v>1814</v>
      </c>
      <c r="CC22" s="1">
        <v>6.05527267822771</v>
      </c>
      <c r="CD22" s="1">
        <v>0.65801327477998539</v>
      </c>
      <c r="CE22" s="1">
        <v>2.2866756036075877E-2</v>
      </c>
      <c r="CF22" s="1">
        <v>1.7641859751210536</v>
      </c>
      <c r="CG22" s="1">
        <v>0.23462969502810022</v>
      </c>
      <c r="CH22" s="1">
        <v>0.39604510451828512</v>
      </c>
      <c r="CI22" s="1">
        <v>2.5713801882818963</v>
      </c>
      <c r="CJ22" s="1">
        <v>11.702393671993105</v>
      </c>
      <c r="CL22" s="1">
        <v>1814</v>
      </c>
      <c r="CM22" s="1">
        <v>5.0830746280167061</v>
      </c>
      <c r="CN22" s="1">
        <v>0.84549847875635964</v>
      </c>
      <c r="CO22" s="1">
        <v>2.5306343223275962E-2</v>
      </c>
      <c r="CP22" s="1">
        <v>1.4631149892701762</v>
      </c>
      <c r="CQ22" s="1">
        <v>0.23905025436896213</v>
      </c>
      <c r="CR22" s="1">
        <v>0.36180101767171169</v>
      </c>
      <c r="CS22" s="1">
        <v>2.8285677459688223</v>
      </c>
      <c r="CT22" s="2">
        <v>10.846413457276014</v>
      </c>
      <c r="CV22" s="1">
        <v>1814</v>
      </c>
      <c r="CW22" s="1">
        <v>89.721030501481309</v>
      </c>
      <c r="CX22" s="1">
        <v>154.65060140258856</v>
      </c>
      <c r="CY22" s="1">
        <v>12.281223319205626</v>
      </c>
      <c r="CZ22" s="1">
        <v>48.399098381344956</v>
      </c>
      <c r="DA22" s="1">
        <v>37.311705848846238</v>
      </c>
      <c r="DB22" s="1">
        <v>342.36365945346677</v>
      </c>
      <c r="DC22" s="1">
        <v>331.88071127149607</v>
      </c>
      <c r="DD22" s="1">
        <v>41.48998725413675</v>
      </c>
      <c r="DF22" s="1">
        <v>1814</v>
      </c>
      <c r="DG22" s="1">
        <v>-0.20951584439816884</v>
      </c>
      <c r="DH22" s="1">
        <v>-0.28665247852082132</v>
      </c>
      <c r="DI22" s="1">
        <v>-0.16476478465359889</v>
      </c>
      <c r="DJ22" s="1">
        <v>-0.7052867498446318</v>
      </c>
      <c r="DK22" s="1">
        <v>-5.1073537114765344</v>
      </c>
      <c r="DL22" s="1">
        <v>1.1859547952757055</v>
      </c>
      <c r="DM22" s="1">
        <v>-0.77024515014491612</v>
      </c>
      <c r="DN22" s="1">
        <v>-0.80496489484509937</v>
      </c>
      <c r="DO22" s="1">
        <v>0.40574753765388039</v>
      </c>
      <c r="DQ22" s="1">
        <v>1814</v>
      </c>
      <c r="DR22" s="1">
        <v>204.62796241031592</v>
      </c>
      <c r="DS22" s="1">
        <v>361.78797168921869</v>
      </c>
      <c r="DT22" s="1">
        <v>26.167589561023451</v>
      </c>
      <c r="DU22" s="1">
        <v>48.399098381344956</v>
      </c>
      <c r="DV22" s="1">
        <v>37.311705848846238</v>
      </c>
      <c r="DW22" s="1">
        <v>678.29432789074929</v>
      </c>
      <c r="DX22" s="1">
        <v>654.37638909133705</v>
      </c>
      <c r="DY22" s="1">
        <v>67.772253143921247</v>
      </c>
      <c r="EA22" s="1">
        <v>1814</v>
      </c>
      <c r="EB22" s="1">
        <v>0.23839508034993173</v>
      </c>
      <c r="EC22" s="1">
        <v>0.20086824314043383</v>
      </c>
      <c r="ED22" s="1">
        <v>0.25962033059255418</v>
      </c>
      <c r="EE22" s="1">
        <v>3.5641402659322807E-2</v>
      </c>
      <c r="EF22" s="1">
        <v>-5.1073537114765344</v>
      </c>
      <c r="EG22" s="1">
        <v>1.1859547952757055</v>
      </c>
      <c r="EH22" s="1">
        <v>-0.10138939049757312</v>
      </c>
      <c r="EI22" s="1">
        <v>-0.12316044964077832</v>
      </c>
      <c r="EJ22" s="1">
        <v>0.4031773359211428</v>
      </c>
    </row>
    <row r="23" spans="1:140" x14ac:dyDescent="0.25">
      <c r="A23" s="1" t="s">
        <v>114</v>
      </c>
      <c r="B23" s="1">
        <v>6.0185848605158299</v>
      </c>
      <c r="C23" s="1">
        <v>5.9486832314663758</v>
      </c>
      <c r="D23" s="1">
        <v>6.0689292826129986</v>
      </c>
      <c r="E23" s="1">
        <v>5.9682643338313284</v>
      </c>
      <c r="F23" s="1">
        <v>5.9717039444414155</v>
      </c>
      <c r="G23" s="1">
        <v>4.9813563186108496</v>
      </c>
      <c r="H23" s="1">
        <v>5.2167262457581671</v>
      </c>
      <c r="J23" s="1">
        <v>1815</v>
      </c>
      <c r="K23" s="2">
        <v>250.65345604033672</v>
      </c>
      <c r="L23" s="1">
        <v>238.68881618648737</v>
      </c>
      <c r="M23" s="1">
        <v>239.94477620882523</v>
      </c>
      <c r="N23" s="1">
        <v>227.98013635497588</v>
      </c>
      <c r="O23" s="1">
        <v>10.708679831511477</v>
      </c>
      <c r="P23" s="1">
        <v>11.964639853849359</v>
      </c>
      <c r="Q23" s="1">
        <v>164.79453369796869</v>
      </c>
      <c r="R23" s="1">
        <v>415.44798973830541</v>
      </c>
      <c r="S23" s="1">
        <v>403.48334988445606</v>
      </c>
      <c r="U23" s="1">
        <v>1815</v>
      </c>
      <c r="V23" s="1">
        <v>102.240062515619</v>
      </c>
      <c r="W23" s="1">
        <v>8983.8479985032354</v>
      </c>
      <c r="X23" s="1">
        <v>4.1021364765948505</v>
      </c>
      <c r="Y23" s="1">
        <v>97.359756670414285</v>
      </c>
      <c r="Z23" s="1">
        <v>8222.1696595992671</v>
      </c>
      <c r="AA23" s="1">
        <v>5.1306782197507346</v>
      </c>
      <c r="AB23" s="1">
        <v>2451616.8111893018</v>
      </c>
      <c r="AC23" s="1">
        <v>0.84457425349158655</v>
      </c>
      <c r="AE23" s="1">
        <v>1815</v>
      </c>
      <c r="AF23" s="1">
        <v>117.65437595039285</v>
      </c>
      <c r="AG23" s="1">
        <v>25.43497544325</v>
      </c>
      <c r="AH23" s="1">
        <v>11.867955916682433</v>
      </c>
      <c r="AI23" s="1">
        <v>13.762926699914573</v>
      </c>
      <c r="AJ23" s="1">
        <v>14.674721969277217</v>
      </c>
      <c r="AK23" s="1">
        <v>26.379227536099442</v>
      </c>
      <c r="AL23" s="1">
        <v>14.787076519305511</v>
      </c>
      <c r="AM23" s="1">
        <v>14.127556151565381</v>
      </c>
      <c r="AN23" s="2">
        <v>238.68881618648743</v>
      </c>
      <c r="AP23" s="1" t="s">
        <v>114</v>
      </c>
      <c r="AQ23" s="1">
        <v>9.3817536638507733</v>
      </c>
      <c r="AR23" s="1">
        <v>5.2977920846341391</v>
      </c>
      <c r="AS23" s="1">
        <v>9.2684173282458175</v>
      </c>
      <c r="AT23" s="1">
        <v>1.525813777835296</v>
      </c>
      <c r="AU23" s="1">
        <v>0.52478117581335937</v>
      </c>
      <c r="AV23" s="1">
        <v>1.2629025039799302</v>
      </c>
      <c r="AW23" s="1">
        <v>3.4738293473675697</v>
      </c>
      <c r="AX23" s="1">
        <v>-0.18239646712764568</v>
      </c>
      <c r="AY23" s="1">
        <v>6.0185848605158299</v>
      </c>
      <c r="BA23" s="1">
        <v>1815</v>
      </c>
      <c r="BB23" s="1">
        <v>212.24828646138303</v>
      </c>
      <c r="BC23" s="1">
        <v>19.11592249431617</v>
      </c>
      <c r="BD23" s="1">
        <v>9.5858823613895652</v>
      </c>
      <c r="BE23" s="1">
        <v>1.1458230476993405</v>
      </c>
      <c r="BF23" s="1">
        <v>0.97018008027030245</v>
      </c>
      <c r="BG23" s="1">
        <v>0.73486299699631752</v>
      </c>
      <c r="BH23" s="1">
        <v>33.52802095825885</v>
      </c>
      <c r="BI23" s="1">
        <v>26.675522359976839</v>
      </c>
      <c r="BJ23" s="1">
        <v>250.65345604033675</v>
      </c>
      <c r="BL23" s="1" t="s">
        <v>114</v>
      </c>
      <c r="BM23" s="1">
        <v>-1.5467355906415037</v>
      </c>
      <c r="BN23" s="1">
        <v>4.7855854178690436</v>
      </c>
      <c r="BO23" s="1">
        <v>7.2127470960349171</v>
      </c>
      <c r="BP23" s="1">
        <v>6.5464489821538194</v>
      </c>
      <c r="BQ23" s="1">
        <v>-29.989188383104064</v>
      </c>
      <c r="BR23" s="1">
        <v>4.9813563186108496</v>
      </c>
      <c r="BT23" s="1" t="s">
        <v>114</v>
      </c>
      <c r="BU23" s="1">
        <v>-5.3260126020265801</v>
      </c>
      <c r="BV23" s="1">
        <v>-4.2819273549298913</v>
      </c>
      <c r="BW23" s="1">
        <v>-0.87442406236563386</v>
      </c>
      <c r="BX23" s="1">
        <v>1.7098535742237573</v>
      </c>
      <c r="BY23" s="1">
        <v>-6.1233126468923444</v>
      </c>
      <c r="BZ23" s="1">
        <v>-4.0445387297387327</v>
      </c>
      <c r="CB23" s="1">
        <v>1815</v>
      </c>
      <c r="CC23" s="1">
        <v>5.5286363108481957</v>
      </c>
      <c r="CD23" s="1">
        <v>1.7001977035204545</v>
      </c>
      <c r="CE23" s="1">
        <v>3.5182287659136266E-2</v>
      </c>
      <c r="CF23" s="1">
        <v>1.5448381328621967</v>
      </c>
      <c r="CG23" s="1">
        <v>0.60288191747211606</v>
      </c>
      <c r="CH23" s="1">
        <v>0.44888099872742138</v>
      </c>
      <c r="CI23" s="1">
        <v>2.5761311352660057</v>
      </c>
      <c r="CJ23" s="1">
        <v>12.436748486355526</v>
      </c>
      <c r="CL23" s="1">
        <v>1815</v>
      </c>
      <c r="CM23" s="1">
        <v>5.0518557121652234</v>
      </c>
      <c r="CN23" s="1">
        <v>0.88124948167113204</v>
      </c>
      <c r="CO23" s="1">
        <v>3.2154650948493353E-2</v>
      </c>
      <c r="CP23" s="1">
        <v>1.3777706474977438</v>
      </c>
      <c r="CQ23" s="1">
        <v>0.24015396998769586</v>
      </c>
      <c r="CR23" s="1">
        <v>0.3690997313155216</v>
      </c>
      <c r="CS23" s="1">
        <v>2.7563956379256673</v>
      </c>
      <c r="CT23" s="2">
        <v>10.708679831511477</v>
      </c>
      <c r="CV23" s="1">
        <v>1815</v>
      </c>
      <c r="CW23" s="1">
        <v>87.254859167404405</v>
      </c>
      <c r="CX23" s="1">
        <v>150.5835499025377</v>
      </c>
      <c r="CY23" s="1">
        <v>12.955249320811808</v>
      </c>
      <c r="CZ23" s="1">
        <v>45.927185233844156</v>
      </c>
      <c r="DA23" s="1">
        <v>38.59114037894777</v>
      </c>
      <c r="DB23" s="1">
        <v>335.31198400354583</v>
      </c>
      <c r="DC23" s="1">
        <v>324.95110292007814</v>
      </c>
      <c r="DD23" s="1">
        <v>41.964176449928978</v>
      </c>
      <c r="DF23" s="1">
        <v>1815</v>
      </c>
      <c r="DG23" s="1">
        <v>0.23434525431676434</v>
      </c>
      <c r="DH23" s="1">
        <v>-0.2065953740338955</v>
      </c>
      <c r="DI23" s="1">
        <v>0.48984602085353401</v>
      </c>
      <c r="DJ23" s="1">
        <v>-4.088065457874535</v>
      </c>
      <c r="DK23" s="1">
        <v>-8.6535057794861103</v>
      </c>
      <c r="DL23" s="1">
        <v>1.9042272132419242</v>
      </c>
      <c r="DM23" s="1">
        <v>-0.93156664151747748</v>
      </c>
      <c r="DN23" s="1">
        <v>-0.9860124074127441</v>
      </c>
      <c r="DO23" s="1">
        <v>2.9048846067760223</v>
      </c>
      <c r="DQ23" s="1">
        <v>1815</v>
      </c>
      <c r="DR23" s="1">
        <v>199.97630376873212</v>
      </c>
      <c r="DS23" s="1">
        <v>353.77101850088428</v>
      </c>
      <c r="DT23" s="1">
        <v>27.868217109728146</v>
      </c>
      <c r="DU23" s="1">
        <v>45.927185233844156</v>
      </c>
      <c r="DV23" s="1">
        <v>38.59114037894777</v>
      </c>
      <c r="DW23" s="1">
        <v>666.13386499213652</v>
      </c>
      <c r="DX23" s="1">
        <v>642.484260568472</v>
      </c>
      <c r="DY23" s="1">
        <v>68.040461011043107</v>
      </c>
      <c r="EA23" s="1">
        <v>1815</v>
      </c>
      <c r="EB23" s="1">
        <v>0.42487167913675705</v>
      </c>
      <c r="EC23" s="1">
        <v>0.22873442382029907</v>
      </c>
      <c r="ED23" s="1">
        <v>0.53574227423447951</v>
      </c>
      <c r="EE23" s="1">
        <v>-1.7412480375171242</v>
      </c>
      <c r="EF23" s="1">
        <v>-8.6535057794861103</v>
      </c>
      <c r="EG23" s="1">
        <v>1.9042272132419242</v>
      </c>
      <c r="EH23" s="1">
        <v>-0.19087548951115707</v>
      </c>
      <c r="EI23" s="1">
        <v>-0.2233571347821055</v>
      </c>
      <c r="EJ23" s="1">
        <v>1.9388624358302735</v>
      </c>
    </row>
    <row r="24" spans="1:140" x14ac:dyDescent="0.25">
      <c r="A24" s="1" t="s">
        <v>115</v>
      </c>
      <c r="B24" s="1">
        <v>2.4690551714981552</v>
      </c>
      <c r="C24" s="1">
        <v>2.3535230991102765</v>
      </c>
      <c r="D24" s="1">
        <v>2.4588117211671374</v>
      </c>
      <c r="E24" s="1">
        <v>2.4792996459312064</v>
      </c>
      <c r="F24" s="1">
        <v>2.3831197270787925</v>
      </c>
      <c r="G24" s="1">
        <v>2.1065535721012765</v>
      </c>
      <c r="H24" s="1">
        <v>2.1810963326732775</v>
      </c>
      <c r="J24" s="1">
        <v>1816</v>
      </c>
      <c r="K24" s="2">
        <v>259.71351779951107</v>
      </c>
      <c r="L24" s="1">
        <v>247.44609312098885</v>
      </c>
      <c r="M24" s="1">
        <v>248.21787689670958</v>
      </c>
      <c r="N24" s="1">
        <v>235.95045221818737</v>
      </c>
      <c r="O24" s="1">
        <v>11.495640902801497</v>
      </c>
      <c r="P24" s="1">
        <v>12.2674246785222</v>
      </c>
      <c r="Q24" s="1">
        <v>169.64320145026085</v>
      </c>
      <c r="R24" s="1">
        <v>429.35671924977191</v>
      </c>
      <c r="S24" s="1">
        <v>417.0892945712497</v>
      </c>
      <c r="U24" s="1">
        <v>1816</v>
      </c>
      <c r="V24" s="1">
        <v>104.67161418027834</v>
      </c>
      <c r="W24" s="1">
        <v>9063.6467431282326</v>
      </c>
      <c r="X24" s="1">
        <v>0.88824682517214626</v>
      </c>
      <c r="Y24" s="1">
        <v>99.727508252272159</v>
      </c>
      <c r="Z24" s="1">
        <v>8324.6526862607952</v>
      </c>
      <c r="AA24" s="1">
        <v>1.2464231572001125</v>
      </c>
      <c r="AB24" s="1">
        <v>2481222.0565568088</v>
      </c>
      <c r="AC24" s="1">
        <v>1.207580451903695</v>
      </c>
      <c r="AE24" s="1">
        <v>1816</v>
      </c>
      <c r="AF24" s="1">
        <v>113.68726907916948</v>
      </c>
      <c r="AG24" s="1">
        <v>27.377241840091241</v>
      </c>
      <c r="AH24" s="1">
        <v>14.729257347092208</v>
      </c>
      <c r="AI24" s="1">
        <v>14.063508514237146</v>
      </c>
      <c r="AJ24" s="1">
        <v>15.251944382560113</v>
      </c>
      <c r="AK24" s="1">
        <v>29.866517411510877</v>
      </c>
      <c r="AL24" s="1">
        <v>17.878152898070212</v>
      </c>
      <c r="AM24" s="1">
        <v>14.592201648257534</v>
      </c>
      <c r="AN24" s="2">
        <v>247.44609312098882</v>
      </c>
      <c r="AP24" s="1" t="s">
        <v>115</v>
      </c>
      <c r="AQ24" s="1">
        <v>1.8320499673272224</v>
      </c>
      <c r="AR24" s="1">
        <v>2.4115168460428862</v>
      </c>
      <c r="AS24" s="1">
        <v>12.632884122347576</v>
      </c>
      <c r="AT24" s="1">
        <v>4.7134956587595411</v>
      </c>
      <c r="AU24" s="1">
        <v>0.67308820761749644</v>
      </c>
      <c r="AV24" s="1">
        <v>1.1157792160426396</v>
      </c>
      <c r="AW24" s="1">
        <v>3.7726259813937872</v>
      </c>
      <c r="AX24" s="1">
        <v>-0.24663195750962075</v>
      </c>
      <c r="AY24" s="1">
        <v>2.4690551714981552</v>
      </c>
      <c r="BA24" s="1">
        <v>1816</v>
      </c>
      <c r="BB24" s="1">
        <v>217.00107605161833</v>
      </c>
      <c r="BC24" s="1">
        <v>22.465109041514197</v>
      </c>
      <c r="BD24" s="1">
        <v>12.204812652620019</v>
      </c>
      <c r="BE24" s="1">
        <v>1.3535854537601826</v>
      </c>
      <c r="BF24" s="1">
        <v>0.45323078250084853</v>
      </c>
      <c r="BG24" s="1">
        <v>0.74452447344790029</v>
      </c>
      <c r="BH24" s="1">
        <v>30.235641567072822</v>
      </c>
      <c r="BI24" s="1">
        <v>24.744462223023245</v>
      </c>
      <c r="BJ24" s="1">
        <v>259.71351779951107</v>
      </c>
      <c r="BL24" s="1" t="s">
        <v>115</v>
      </c>
      <c r="BM24" s="1">
        <v>2.9148127191618585</v>
      </c>
      <c r="BN24" s="1">
        <v>3.8783967766804466</v>
      </c>
      <c r="BO24" s="1">
        <v>11.863525768722226</v>
      </c>
      <c r="BP24" s="1">
        <v>-17.897690816623694</v>
      </c>
      <c r="BQ24" s="1">
        <v>-11.576761275893304</v>
      </c>
      <c r="BR24" s="1">
        <v>2.1065535721013049</v>
      </c>
      <c r="BT24" s="1" t="s">
        <v>115</v>
      </c>
      <c r="BU24" s="1">
        <v>-0.65641996115012091</v>
      </c>
      <c r="BV24" s="1">
        <v>13.132668645355167</v>
      </c>
      <c r="BW24" s="1">
        <v>6.0663942680678957</v>
      </c>
      <c r="BX24" s="1">
        <v>9.8388296733855469</v>
      </c>
      <c r="BY24" s="1">
        <v>4.9055992941419788</v>
      </c>
      <c r="BZ24" s="1">
        <v>1.476911334822546</v>
      </c>
      <c r="CB24" s="1">
        <v>1816</v>
      </c>
      <c r="CC24" s="1">
        <v>6.1274931390812597</v>
      </c>
      <c r="CD24" s="1">
        <v>2.6085153862335271</v>
      </c>
      <c r="CE24" s="1">
        <v>4.4203700545636979E-2</v>
      </c>
      <c r="CF24" s="1">
        <v>2.1271463529970314</v>
      </c>
      <c r="CG24" s="1">
        <v>0.87382147024582757</v>
      </c>
      <c r="CH24" s="1">
        <v>0.49190484535427764</v>
      </c>
      <c r="CI24" s="1">
        <v>2.4830684678713877</v>
      </c>
      <c r="CJ24" s="1">
        <v>14.756153362328947</v>
      </c>
      <c r="CL24" s="1">
        <v>1816</v>
      </c>
      <c r="CM24" s="1">
        <v>5.3526760498832591</v>
      </c>
      <c r="CN24" s="1">
        <v>1.0215935281292048</v>
      </c>
      <c r="CO24" s="1">
        <v>4.2329970795900562E-2</v>
      </c>
      <c r="CP24" s="1">
        <v>1.4767962540744488</v>
      </c>
      <c r="CQ24" s="1">
        <v>0.27054806339299414</v>
      </c>
      <c r="CR24" s="1">
        <v>0.40886322977265233</v>
      </c>
      <c r="CS24" s="1">
        <v>2.9228338067530388</v>
      </c>
      <c r="CT24" s="2">
        <v>11.495640902801497</v>
      </c>
      <c r="CV24" s="1">
        <v>1816</v>
      </c>
      <c r="CW24" s="1">
        <v>92.585644959981721</v>
      </c>
      <c r="CX24" s="1">
        <v>160.8984671405417</v>
      </c>
      <c r="CY24" s="1">
        <v>13.620717192608083</v>
      </c>
      <c r="CZ24" s="1">
        <v>41.952873605278164</v>
      </c>
      <c r="DA24" s="1">
        <v>40.916792014101816</v>
      </c>
      <c r="DB24" s="1">
        <v>349.97449491251149</v>
      </c>
      <c r="DC24" s="1">
        <v>338.75704860818905</v>
      </c>
      <c r="DD24" s="1">
        <v>45.651285147872343</v>
      </c>
      <c r="DF24" s="1">
        <v>1816</v>
      </c>
      <c r="DG24" s="1">
        <v>0.98433069508716642</v>
      </c>
      <c r="DH24" s="1">
        <v>-0.47498220601232788</v>
      </c>
      <c r="DI24" s="1">
        <v>1.8240616667234661</v>
      </c>
      <c r="DJ24" s="1">
        <v>-3.1735215834034562</v>
      </c>
      <c r="DK24" s="1">
        <v>6.8508053724662261</v>
      </c>
      <c r="DL24" s="1">
        <v>1.819606173405063</v>
      </c>
      <c r="DM24" s="1">
        <v>1.6261871931288852</v>
      </c>
      <c r="DN24" s="1">
        <v>1.6555413916212274</v>
      </c>
      <c r="DO24" s="1">
        <v>2.4613858987816712</v>
      </c>
      <c r="DQ24" s="1">
        <v>1816</v>
      </c>
      <c r="DR24" s="1">
        <v>213.11939679562664</v>
      </c>
      <c r="DS24" s="1">
        <v>378.17684594534938</v>
      </c>
      <c r="DT24" s="1">
        <v>30.032064141641413</v>
      </c>
      <c r="DU24" s="1">
        <v>41.952873605278164</v>
      </c>
      <c r="DV24" s="1">
        <v>40.916792014101816</v>
      </c>
      <c r="DW24" s="1">
        <v>704.19797250199736</v>
      </c>
      <c r="DX24" s="1">
        <v>678.64154234802731</v>
      </c>
      <c r="DY24" s="1">
        <v>73.874271913086432</v>
      </c>
      <c r="EA24" s="1">
        <v>1816</v>
      </c>
      <c r="EB24" s="1">
        <v>0.75239810756188774</v>
      </c>
      <c r="EC24" s="1">
        <v>0.10162561898266631</v>
      </c>
      <c r="ED24" s="1">
        <v>1.1191372183884738</v>
      </c>
      <c r="EE24" s="1">
        <v>-1.4265956008925116</v>
      </c>
      <c r="EF24" s="1">
        <v>6.8508053724662261</v>
      </c>
      <c r="EG24" s="1">
        <v>1.819606173405063</v>
      </c>
      <c r="EH24" s="1">
        <v>1.0869171477777115</v>
      </c>
      <c r="EI24" s="1">
        <v>1.102482562046589</v>
      </c>
      <c r="EJ24" s="1">
        <v>1.715095926811145</v>
      </c>
    </row>
    <row r="25" spans="1:140" x14ac:dyDescent="0.25">
      <c r="A25" s="1" t="s">
        <v>116</v>
      </c>
      <c r="B25" s="1">
        <v>-1.9818188258037566</v>
      </c>
      <c r="C25" s="1">
        <v>-2.0307581151046605</v>
      </c>
      <c r="D25" s="1">
        <v>-1.9874602199585212</v>
      </c>
      <c r="E25" s="1">
        <v>-1.976177106942302</v>
      </c>
      <c r="F25" s="1">
        <v>-2.0414808288659003</v>
      </c>
      <c r="G25" s="1">
        <v>-2.8463115567159889</v>
      </c>
      <c r="H25" s="1">
        <v>-2.9731338195425252</v>
      </c>
      <c r="J25" s="1">
        <v>1817</v>
      </c>
      <c r="K25" s="2">
        <v>267.40611930860211</v>
      </c>
      <c r="L25" s="1">
        <v>254.77690204847102</v>
      </c>
      <c r="M25" s="1">
        <v>256.02157623672832</v>
      </c>
      <c r="N25" s="1">
        <v>243.39235897659722</v>
      </c>
      <c r="O25" s="1">
        <v>11.384543071873793</v>
      </c>
      <c r="P25" s="1">
        <v>12.629217260131075</v>
      </c>
      <c r="Q25" s="1">
        <v>174.75175154107285</v>
      </c>
      <c r="R25" s="1">
        <v>442.15787084967496</v>
      </c>
      <c r="S25" s="1">
        <v>429.52865358954386</v>
      </c>
      <c r="U25" s="1">
        <v>1817</v>
      </c>
      <c r="V25" s="1">
        <v>106.56031429786476</v>
      </c>
      <c r="W25" s="1">
        <v>8706.6692799556895</v>
      </c>
      <c r="X25" s="1">
        <v>-3.9385632879303358</v>
      </c>
      <c r="Y25" s="1">
        <v>101.52761959343846</v>
      </c>
      <c r="Z25" s="1">
        <v>8067.9379100796059</v>
      </c>
      <c r="AA25" s="1">
        <v>-3.0837896289040145</v>
      </c>
      <c r="AB25" s="1">
        <v>2509434.408771825</v>
      </c>
      <c r="AC25" s="1">
        <v>1.1370345568411722</v>
      </c>
      <c r="AE25" s="1">
        <v>1817</v>
      </c>
      <c r="AF25" s="1">
        <v>119.95467543289526</v>
      </c>
      <c r="AG25" s="1">
        <v>27.227987414857523</v>
      </c>
      <c r="AH25" s="1">
        <v>13.182487053545078</v>
      </c>
      <c r="AI25" s="1">
        <v>14.010385010253518</v>
      </c>
      <c r="AJ25" s="1">
        <v>15.779768750722134</v>
      </c>
      <c r="AK25" s="1">
        <v>31.818406741603546</v>
      </c>
      <c r="AL25" s="1">
        <v>18.438512450526147</v>
      </c>
      <c r="AM25" s="1">
        <v>14.364679194067786</v>
      </c>
      <c r="AN25" s="2">
        <v>254.77690204847102</v>
      </c>
      <c r="AP25" s="1" t="s">
        <v>116</v>
      </c>
      <c r="AQ25" s="1">
        <v>-1.9677228469135599</v>
      </c>
      <c r="AR25" s="1">
        <v>-2.3474181094025823</v>
      </c>
      <c r="AS25" s="1">
        <v>-8.5988190781030767</v>
      </c>
      <c r="AT25" s="1">
        <v>-4.2347978185454167</v>
      </c>
      <c r="AU25" s="1">
        <v>-0.44494854727507516</v>
      </c>
      <c r="AV25" s="1">
        <v>0.61282096205590619</v>
      </c>
      <c r="AW25" s="1">
        <v>-1.4428395314722451</v>
      </c>
      <c r="AX25" s="1">
        <v>-0.34087913732189179</v>
      </c>
      <c r="AY25" s="1">
        <v>-1.9818188258037566</v>
      </c>
      <c r="BA25" s="1">
        <v>1817</v>
      </c>
      <c r="BB25" s="1">
        <v>227.64925417103532</v>
      </c>
      <c r="BC25" s="1">
        <v>22.646130510387763</v>
      </c>
      <c r="BD25" s="1">
        <v>10.623483276900568</v>
      </c>
      <c r="BE25" s="1">
        <v>1.430031681186382</v>
      </c>
      <c r="BF25" s="1">
        <v>0.16831838420717007</v>
      </c>
      <c r="BG25" s="1">
        <v>0.25295840106080264</v>
      </c>
      <c r="BH25" s="1">
        <v>28.355553413332494</v>
      </c>
      <c r="BI25" s="1">
        <v>23.71961052950838</v>
      </c>
      <c r="BJ25" s="1">
        <v>267.40611930860211</v>
      </c>
      <c r="BL25" s="1" t="s">
        <v>116</v>
      </c>
      <c r="BM25" s="1">
        <v>-1.4465151450548177</v>
      </c>
      <c r="BN25" s="1">
        <v>-2.1488015880193387</v>
      </c>
      <c r="BO25" s="1">
        <v>-14.840918090371233</v>
      </c>
      <c r="BP25" s="1">
        <v>-5.1639899571337651</v>
      </c>
      <c r="BQ25" s="1">
        <v>0.59018367961456875</v>
      </c>
      <c r="BR25" s="1">
        <v>-2.8463115567159889</v>
      </c>
      <c r="BT25" s="1" t="s">
        <v>116</v>
      </c>
      <c r="BU25" s="1">
        <v>6.4467383847255775</v>
      </c>
      <c r="BV25" s="1">
        <v>3.0194734890619515</v>
      </c>
      <c r="BW25" s="1">
        <v>-0.72745102563577291</v>
      </c>
      <c r="BX25" s="1">
        <v>-1.1115281827150056</v>
      </c>
      <c r="BY25" s="1">
        <v>-4.7041621145896215</v>
      </c>
      <c r="BZ25" s="1">
        <v>5.9784329173475612</v>
      </c>
      <c r="CB25" s="1">
        <v>1817</v>
      </c>
      <c r="CC25" s="1">
        <v>5.5293944059489109</v>
      </c>
      <c r="CD25" s="1">
        <v>1.0813213012703564</v>
      </c>
      <c r="CE25" s="1">
        <v>3.1577992369324584E-2</v>
      </c>
      <c r="CF25" s="1">
        <v>2.1117212749806407</v>
      </c>
      <c r="CG25" s="1">
        <v>0.326715913524393</v>
      </c>
      <c r="CH25" s="1">
        <v>0.46803644798910332</v>
      </c>
      <c r="CI25" s="1">
        <v>2.9260244072721937</v>
      </c>
      <c r="CJ25" s="1">
        <v>12.47479174335492</v>
      </c>
      <c r="CL25" s="1">
        <v>1817</v>
      </c>
      <c r="CM25" s="1">
        <v>5.2989382287893587</v>
      </c>
      <c r="CN25" s="1">
        <v>1.0152869830767388</v>
      </c>
      <c r="CO25" s="1">
        <v>4.1830439884849371E-2</v>
      </c>
      <c r="CP25" s="1">
        <v>1.4656667792686928</v>
      </c>
      <c r="CQ25" s="1">
        <v>0.26815697183239379</v>
      </c>
      <c r="CR25" s="1">
        <v>0.40612387221155261</v>
      </c>
      <c r="CS25" s="1">
        <v>2.8885397968102073</v>
      </c>
      <c r="CT25" s="2">
        <v>11.384543071873793</v>
      </c>
      <c r="CV25" s="1">
        <v>1817</v>
      </c>
      <c r="CW25" s="1">
        <v>91.048904863706014</v>
      </c>
      <c r="CX25" s="1">
        <v>161.88295732578374</v>
      </c>
      <c r="CY25" s="1">
        <v>13.23458524835441</v>
      </c>
      <c r="CZ25" s="1">
        <v>44.826983324132527</v>
      </c>
      <c r="DA25" s="1">
        <v>42.895097817005492</v>
      </c>
      <c r="DB25" s="1">
        <v>353.88852857898218</v>
      </c>
      <c r="DC25" s="1">
        <v>342.70867807792246</v>
      </c>
      <c r="DD25" s="1">
        <v>47.33498760204678</v>
      </c>
      <c r="DF25" s="1">
        <v>1817</v>
      </c>
      <c r="DG25" s="1">
        <v>0.39098977233693688</v>
      </c>
      <c r="DH25" s="1">
        <v>4.1169754340359077E-2</v>
      </c>
      <c r="DI25" s="1">
        <v>0.58774136412984035</v>
      </c>
      <c r="DJ25" s="1">
        <v>-2.4426453179202952</v>
      </c>
      <c r="DK25" s="1">
        <v>-16.073800168293289</v>
      </c>
      <c r="DL25" s="1">
        <v>0.58971400913910088</v>
      </c>
      <c r="DM25" s="1">
        <v>-1.771438041138822</v>
      </c>
      <c r="DN25" s="1">
        <v>-1.8469126747226454</v>
      </c>
      <c r="DO25" s="1">
        <v>1.3074076453651031</v>
      </c>
      <c r="DQ25" s="1">
        <v>1817</v>
      </c>
      <c r="DR25" s="1">
        <v>210.7962666458186</v>
      </c>
      <c r="DS25" s="1">
        <v>377.85667373465554</v>
      </c>
      <c r="DT25" s="1">
        <v>29.707658533384059</v>
      </c>
      <c r="DU25" s="1">
        <v>44.826983324132527</v>
      </c>
      <c r="DV25" s="1">
        <v>42.895097817005492</v>
      </c>
      <c r="DW25" s="1">
        <v>706.08268005499622</v>
      </c>
      <c r="DX25" s="1">
        <v>680.63103960858803</v>
      </c>
      <c r="DY25" s="1">
        <v>75.407807985248979</v>
      </c>
      <c r="EA25" s="1">
        <v>1817</v>
      </c>
      <c r="EB25" s="1">
        <v>0.49554977806573675</v>
      </c>
      <c r="EC25" s="1">
        <v>0.32176517345700972</v>
      </c>
      <c r="ED25" s="1">
        <v>0.5924996228043824</v>
      </c>
      <c r="EE25" s="1">
        <v>-1.1868507834406614</v>
      </c>
      <c r="EF25" s="1">
        <v>-16.073800168293289</v>
      </c>
      <c r="EG25" s="1">
        <v>0.58971400913910088</v>
      </c>
      <c r="EH25" s="1">
        <v>-0.6205199957082641</v>
      </c>
      <c r="EI25" s="1">
        <v>-0.66544636510887756</v>
      </c>
      <c r="EJ25" s="1">
        <v>0.99091769780874017</v>
      </c>
    </row>
    <row r="26" spans="1:140" x14ac:dyDescent="0.25">
      <c r="A26" s="1" t="s">
        <v>117</v>
      </c>
      <c r="B26" s="1">
        <v>-3.0770537171346604</v>
      </c>
      <c r="C26" s="1">
        <v>-3.125158131577308</v>
      </c>
      <c r="D26" s="1">
        <v>-3.1304189795986872</v>
      </c>
      <c r="E26" s="1">
        <v>-3.0236590558520504</v>
      </c>
      <c r="F26" s="1">
        <v>-2.9284306288518138</v>
      </c>
      <c r="G26" s="1">
        <v>-6.1847658147140407</v>
      </c>
      <c r="H26" s="1">
        <v>-6.4630341258592523</v>
      </c>
      <c r="J26" s="1">
        <v>1818</v>
      </c>
      <c r="K26" s="2">
        <v>268.14153503225862</v>
      </c>
      <c r="L26" s="1">
        <v>255.56774151069564</v>
      </c>
      <c r="M26" s="1">
        <v>256.6556080579681</v>
      </c>
      <c r="N26" s="1">
        <v>244.08181453640509</v>
      </c>
      <c r="O26" s="1">
        <v>11.485926974290548</v>
      </c>
      <c r="P26" s="1">
        <v>12.573793521562994</v>
      </c>
      <c r="Q26" s="1">
        <v>189.20760872204289</v>
      </c>
      <c r="R26" s="1">
        <v>457.34914375430151</v>
      </c>
      <c r="S26" s="1">
        <v>444.77535023273856</v>
      </c>
      <c r="U26" s="1">
        <v>1818</v>
      </c>
      <c r="V26" s="1">
        <v>105.82184985327648</v>
      </c>
      <c r="W26" s="1">
        <v>8089.3294247831782</v>
      </c>
      <c r="X26" s="1">
        <v>-7.0904249986127041</v>
      </c>
      <c r="Y26" s="1">
        <v>100.85961194423764</v>
      </c>
      <c r="Z26" s="1">
        <v>7744.194663675974</v>
      </c>
      <c r="AA26" s="1">
        <v>-4.0127136575898277</v>
      </c>
      <c r="AB26" s="1">
        <v>2533895.744631574</v>
      </c>
      <c r="AC26" s="1">
        <v>0.97477486457680129</v>
      </c>
      <c r="AE26" s="1">
        <v>1818</v>
      </c>
      <c r="AF26" s="1">
        <v>112.01884795389073</v>
      </c>
      <c r="AG26" s="1">
        <v>28.156130935588813</v>
      </c>
      <c r="AH26" s="1">
        <v>15.175772505059175</v>
      </c>
      <c r="AI26" s="1">
        <v>15.546774845821465</v>
      </c>
      <c r="AJ26" s="1">
        <v>15.632778307739301</v>
      </c>
      <c r="AK26" s="1">
        <v>34.260038350942857</v>
      </c>
      <c r="AL26" s="1">
        <v>20.266530769434905</v>
      </c>
      <c r="AM26" s="1">
        <v>14.510867842218408</v>
      </c>
      <c r="AN26" s="2">
        <v>255.56774151069564</v>
      </c>
      <c r="AP26" s="1" t="s">
        <v>117</v>
      </c>
      <c r="AQ26" s="1">
        <v>-7.7716669960492339</v>
      </c>
      <c r="AR26" s="1">
        <v>-2.8983728873012922</v>
      </c>
      <c r="AS26" s="1">
        <v>12.189688829956083</v>
      </c>
      <c r="AT26" s="1">
        <v>4.709839859742786</v>
      </c>
      <c r="AU26" s="1">
        <v>-1.9086652972817433</v>
      </c>
      <c r="AV26" s="1">
        <v>0.98913769028135334</v>
      </c>
      <c r="AW26" s="1">
        <v>-0.37584183061241561</v>
      </c>
      <c r="AX26" s="1">
        <v>-0.2172399663545832</v>
      </c>
      <c r="AY26" s="1">
        <v>-3.0770537171346604</v>
      </c>
      <c r="BA26" s="1">
        <v>1818</v>
      </c>
      <c r="BB26" s="1">
        <v>220.73905080655388</v>
      </c>
      <c r="BC26" s="1">
        <v>25.469828208718539</v>
      </c>
      <c r="BD26" s="1">
        <v>12.177025443812255</v>
      </c>
      <c r="BE26" s="1">
        <v>1.3636335835303144</v>
      </c>
      <c r="BF26" s="1">
        <v>-0.31431299724680961</v>
      </c>
      <c r="BG26" s="1">
        <v>-0.25182999306704362</v>
      </c>
      <c r="BH26" s="1">
        <v>36.98506545508733</v>
      </c>
      <c r="BI26" s="1">
        <v>28.026925475129847</v>
      </c>
      <c r="BJ26" s="1">
        <v>268.14153503225867</v>
      </c>
      <c r="BL26" s="1" t="s">
        <v>117</v>
      </c>
      <c r="BM26" s="1">
        <v>-9.4806750835428488</v>
      </c>
      <c r="BN26" s="1">
        <v>5.3457315617476979</v>
      </c>
      <c r="BO26" s="1">
        <v>3.5925250078539364</v>
      </c>
      <c r="BP26" s="1">
        <v>17.104834360594793</v>
      </c>
      <c r="BQ26" s="1">
        <v>6.3401784110638744</v>
      </c>
      <c r="BR26" s="1">
        <v>-6.184765814714055</v>
      </c>
      <c r="BT26" s="1" t="s">
        <v>117</v>
      </c>
      <c r="BU26" s="1">
        <v>7.1202635595946475</v>
      </c>
      <c r="BV26" s="1">
        <v>6.7615982013747669</v>
      </c>
      <c r="BW26" s="1">
        <v>0.39901317893939847</v>
      </c>
      <c r="BX26" s="1">
        <v>11.381596783381937</v>
      </c>
      <c r="BY26" s="1">
        <v>11.114444743299615</v>
      </c>
      <c r="BZ26" s="1">
        <v>6.8856451257014442</v>
      </c>
      <c r="CB26" s="1">
        <v>1818</v>
      </c>
      <c r="CC26" s="1">
        <v>4.8895673184316921</v>
      </c>
      <c r="CD26" s="1">
        <v>1.563336914587409</v>
      </c>
      <c r="CE26" s="1">
        <v>3.6908013971518078E-2</v>
      </c>
      <c r="CF26" s="1">
        <v>1.5521569321972803</v>
      </c>
      <c r="CG26" s="1">
        <v>0.41522804047587403</v>
      </c>
      <c r="CH26" s="1">
        <v>0.56956134103953493</v>
      </c>
      <c r="CI26" s="1">
        <v>3.9477574763254073</v>
      </c>
      <c r="CJ26" s="1">
        <v>12.974516037028714</v>
      </c>
      <c r="CL26" s="1">
        <v>1818</v>
      </c>
      <c r="CM26" s="1">
        <v>5.3111080991269901</v>
      </c>
      <c r="CN26" s="1">
        <v>1.0478028557753627</v>
      </c>
      <c r="CO26" s="1">
        <v>4.3646135621731003E-2</v>
      </c>
      <c r="CP26" s="1">
        <v>1.4768167693071583</v>
      </c>
      <c r="CQ26" s="1">
        <v>0.2745898840452235</v>
      </c>
      <c r="CR26" s="1">
        <v>0.41481479300264645</v>
      </c>
      <c r="CS26" s="1">
        <v>2.9171484374114356</v>
      </c>
      <c r="CT26" s="2">
        <v>11.485926974290548</v>
      </c>
      <c r="CV26" s="1">
        <v>1818</v>
      </c>
      <c r="CW26" s="1">
        <v>91.086389474168001</v>
      </c>
      <c r="CX26" s="1">
        <v>162.83441042746398</v>
      </c>
      <c r="CY26" s="1">
        <v>13.44109647934714</v>
      </c>
      <c r="CZ26" s="1">
        <v>37.62158360313731</v>
      </c>
      <c r="DA26" s="1">
        <v>44.835931397788841</v>
      </c>
      <c r="DB26" s="1">
        <v>349.8194113819053</v>
      </c>
      <c r="DC26" s="1">
        <v>338.53726371142079</v>
      </c>
      <c r="DD26" s="1">
        <v>49.119335843992722</v>
      </c>
      <c r="DF26" s="1">
        <v>1818</v>
      </c>
      <c r="DG26" s="1">
        <v>0.97073855386472019</v>
      </c>
      <c r="DH26" s="1">
        <v>1.1314632678532774</v>
      </c>
      <c r="DI26" s="1">
        <v>0.88083228738173602</v>
      </c>
      <c r="DJ26" s="1">
        <v>-3.0551254511538843</v>
      </c>
      <c r="DK26" s="1">
        <v>1.0686978639524796</v>
      </c>
      <c r="DL26" s="1">
        <v>-0.56167003832881335</v>
      </c>
      <c r="DM26" s="1">
        <v>0.62259398724849291</v>
      </c>
      <c r="DN26" s="1">
        <v>0.59784190624189648</v>
      </c>
      <c r="DO26" s="1">
        <v>-2.0030849870912704</v>
      </c>
      <c r="DQ26" s="1">
        <v>1818</v>
      </c>
      <c r="DR26" s="1">
        <v>211.47453561883245</v>
      </c>
      <c r="DS26" s="1">
        <v>380.09547310127459</v>
      </c>
      <c r="DT26" s="1">
        <v>30.570156300098219</v>
      </c>
      <c r="DU26" s="1">
        <v>37.62158360313731</v>
      </c>
      <c r="DV26" s="1">
        <v>44.835931397788841</v>
      </c>
      <c r="DW26" s="1">
        <v>704.5976800211314</v>
      </c>
      <c r="DX26" s="1">
        <v>678.91002919913842</v>
      </c>
      <c r="DY26" s="1">
        <v>77.463235512583353</v>
      </c>
      <c r="EA26" s="1">
        <v>1818</v>
      </c>
      <c r="EB26" s="1">
        <v>0.7496120143274112</v>
      </c>
      <c r="EC26" s="1">
        <v>0.79823698748407423</v>
      </c>
      <c r="ED26" s="1">
        <v>0.72255843346292181</v>
      </c>
      <c r="EE26" s="1">
        <v>-1.5760056575018382</v>
      </c>
      <c r="EF26" s="1">
        <v>1.0686978639524796</v>
      </c>
      <c r="EG26" s="1">
        <v>-0.56167003832881335</v>
      </c>
      <c r="EH26" s="1">
        <v>0.57852921443432592</v>
      </c>
      <c r="EI26" s="1">
        <v>0.56469245397221357</v>
      </c>
      <c r="EJ26" s="1">
        <v>-1.0950846081883014</v>
      </c>
    </row>
    <row r="27" spans="1:140" x14ac:dyDescent="0.25">
      <c r="A27" s="1" t="s">
        <v>118</v>
      </c>
      <c r="B27" s="1">
        <v>0.8100900514794489</v>
      </c>
      <c r="C27" s="1">
        <v>0.82169879729696049</v>
      </c>
      <c r="D27" s="1">
        <v>0.81479770437063337</v>
      </c>
      <c r="E27" s="1">
        <v>0.80538261841707026</v>
      </c>
      <c r="F27" s="1">
        <v>1.0019110685920651</v>
      </c>
      <c r="G27" s="1">
        <v>-0.95635657195974488</v>
      </c>
      <c r="H27" s="1">
        <v>-1.0475894916111059</v>
      </c>
      <c r="J27" s="1">
        <v>1819</v>
      </c>
      <c r="K27" s="2">
        <v>278.55026148765648</v>
      </c>
      <c r="L27" s="1">
        <v>265.47411037399229</v>
      </c>
      <c r="M27" s="1">
        <v>267.05140296173147</v>
      </c>
      <c r="N27" s="1">
        <v>253.97525184806727</v>
      </c>
      <c r="O27" s="1">
        <v>11.498858525925028</v>
      </c>
      <c r="P27" s="1">
        <v>13.076151113664217</v>
      </c>
      <c r="Q27" s="1">
        <v>199.12121900919908</v>
      </c>
      <c r="R27" s="1">
        <v>477.67148049685557</v>
      </c>
      <c r="S27" s="1">
        <v>464.59532938319137</v>
      </c>
      <c r="U27" s="1">
        <v>1819</v>
      </c>
      <c r="V27" s="1">
        <v>109.0607309909737</v>
      </c>
      <c r="W27" s="1">
        <v>7948.6377621209713</v>
      </c>
      <c r="X27" s="1">
        <v>-1.7392252840040356</v>
      </c>
      <c r="Y27" s="1">
        <v>103.94102802825418</v>
      </c>
      <c r="Z27" s="1">
        <v>7745.2214548551574</v>
      </c>
      <c r="AA27" s="1">
        <v>1.3258850323055071E-2</v>
      </c>
      <c r="AB27" s="1">
        <v>2554083.9398069908</v>
      </c>
      <c r="AC27" s="1">
        <v>0.79672556450628917</v>
      </c>
      <c r="AE27" s="1">
        <v>1819</v>
      </c>
      <c r="AF27" s="1">
        <v>120.15288688130882</v>
      </c>
      <c r="AG27" s="1">
        <v>29.342895019076558</v>
      </c>
      <c r="AH27" s="1">
        <v>16.628159055481685</v>
      </c>
      <c r="AI27" s="1">
        <v>13.188809993977621</v>
      </c>
      <c r="AJ27" s="1">
        <v>18.720760079828391</v>
      </c>
      <c r="AK27" s="1">
        <v>32.92936971075784</v>
      </c>
      <c r="AL27" s="1">
        <v>20.771969878018293</v>
      </c>
      <c r="AM27" s="1">
        <v>13.739259755543099</v>
      </c>
      <c r="AN27" s="2">
        <v>265.47411037399229</v>
      </c>
      <c r="AP27" s="1" t="s">
        <v>118</v>
      </c>
      <c r="AQ27" s="1">
        <v>0.2724742167475398</v>
      </c>
      <c r="AR27" s="1">
        <v>1.2781146502510978</v>
      </c>
      <c r="AS27" s="1">
        <v>10.52740681244002</v>
      </c>
      <c r="AT27" s="1">
        <v>-11.293853441646647</v>
      </c>
      <c r="AU27" s="1">
        <v>2.1021114465379753</v>
      </c>
      <c r="AV27" s="1">
        <v>0.38797578743255201</v>
      </c>
      <c r="AW27" s="1">
        <v>4.886617898976624</v>
      </c>
      <c r="AX27" s="1">
        <v>0.58483923675647986</v>
      </c>
      <c r="AY27" s="1">
        <v>0.8100900514794489</v>
      </c>
      <c r="BA27" s="1">
        <v>1819</v>
      </c>
      <c r="BB27" s="1">
        <v>233.62765795714077</v>
      </c>
      <c r="BC27" s="1">
        <v>25.294507009119751</v>
      </c>
      <c r="BD27" s="1">
        <v>13.59028199063215</v>
      </c>
      <c r="BE27" s="1">
        <v>1.8708988723963504</v>
      </c>
      <c r="BF27" s="1">
        <v>0.33001443934021346</v>
      </c>
      <c r="BG27" s="1">
        <v>9.289532467575301E-3</v>
      </c>
      <c r="BH27" s="1">
        <v>32.192387940477779</v>
      </c>
      <c r="BI27" s="1">
        <v>28.364776253918102</v>
      </c>
      <c r="BJ27" s="1">
        <v>278.55026148765654</v>
      </c>
      <c r="BL27" s="1" t="s">
        <v>118</v>
      </c>
      <c r="BM27" s="1">
        <v>-0.14978886182423423</v>
      </c>
      <c r="BN27" s="1">
        <v>-1.164623177749661</v>
      </c>
      <c r="BO27" s="1">
        <v>23.334559780646671</v>
      </c>
      <c r="BP27" s="1">
        <v>-13.113284412432236</v>
      </c>
      <c r="BQ27" s="1">
        <v>0.48980970611418684</v>
      </c>
      <c r="BR27" s="1">
        <v>-0.95635657195977331</v>
      </c>
      <c r="BT27" s="1" t="s">
        <v>118</v>
      </c>
      <c r="BU27" s="1">
        <v>5.9976158644155362</v>
      </c>
      <c r="BV27" s="1">
        <v>0.48188676746264036</v>
      </c>
      <c r="BW27" s="1">
        <v>-1.2596964072828456</v>
      </c>
      <c r="BX27" s="1">
        <v>0.17824526220373116</v>
      </c>
      <c r="BY27" s="1">
        <v>0.71215283393544837</v>
      </c>
      <c r="BZ27" s="1">
        <v>4.8848765230939932</v>
      </c>
      <c r="CB27" s="1">
        <v>1819</v>
      </c>
      <c r="CC27" s="1">
        <v>6.8410700256751369</v>
      </c>
      <c r="CD27" s="1">
        <v>1.9050818882882401</v>
      </c>
      <c r="CE27" s="1">
        <v>4.1531600777428491E-2</v>
      </c>
      <c r="CF27" s="1">
        <v>1.8969962533241405</v>
      </c>
      <c r="CG27" s="1">
        <v>0.55079340823468315</v>
      </c>
      <c r="CH27" s="1">
        <v>0.52251470999871508</v>
      </c>
      <c r="CI27" s="1">
        <v>4.0424969485379449</v>
      </c>
      <c r="CJ27" s="1">
        <v>15.80048483483629</v>
      </c>
      <c r="CL27" s="1">
        <v>1819</v>
      </c>
      <c r="CM27" s="1">
        <v>5.3154095716010374</v>
      </c>
      <c r="CN27" s="1">
        <v>1.0703403935160689</v>
      </c>
      <c r="CO27" s="1">
        <v>4.2816474151496073E-2</v>
      </c>
      <c r="CP27" s="1">
        <v>1.4630972572835788</v>
      </c>
      <c r="CQ27" s="1">
        <v>0.28212322669494611</v>
      </c>
      <c r="CR27" s="1">
        <v>0.4122527322751714</v>
      </c>
      <c r="CS27" s="1">
        <v>2.9128188704027287</v>
      </c>
      <c r="CT27" s="2">
        <v>11.498858525925028</v>
      </c>
      <c r="CV27" s="1">
        <v>1819</v>
      </c>
      <c r="CW27" s="1">
        <v>91.007155157502666</v>
      </c>
      <c r="CX27" s="1">
        <v>162.28956742333855</v>
      </c>
      <c r="CY27" s="1">
        <v>13.027724333194417</v>
      </c>
      <c r="CZ27" s="1">
        <v>38.023644663489129</v>
      </c>
      <c r="DA27" s="1">
        <v>48.157420070233883</v>
      </c>
      <c r="DB27" s="1">
        <v>352.50551164775868</v>
      </c>
      <c r="DC27" s="1">
        <v>341.2009387294213</v>
      </c>
      <c r="DD27" s="1">
        <v>50.072614794978357</v>
      </c>
      <c r="DF27" s="1">
        <v>1819</v>
      </c>
      <c r="DG27" s="1">
        <v>1.5242697061278676</v>
      </c>
      <c r="DH27" s="1">
        <v>1.2413068798603035</v>
      </c>
      <c r="DI27" s="1">
        <v>1.6829468302510975</v>
      </c>
      <c r="DJ27" s="1">
        <v>0.86425651919199709</v>
      </c>
      <c r="DK27" s="1">
        <v>30.741184354140415</v>
      </c>
      <c r="DL27" s="1">
        <v>1.9289929680681439E-2</v>
      </c>
      <c r="DM27" s="1">
        <v>4.4741921452788489</v>
      </c>
      <c r="DN27" s="1">
        <v>4.5892862144303592</v>
      </c>
      <c r="DO27" s="1">
        <v>3.4216582013972641</v>
      </c>
      <c r="DQ27" s="1">
        <v>1819</v>
      </c>
      <c r="DR27" s="1">
        <v>210.59437944171896</v>
      </c>
      <c r="DS27" s="1">
        <v>378.22933216608487</v>
      </c>
      <c r="DT27" s="1">
        <v>30.084861763999584</v>
      </c>
      <c r="DU27" s="1">
        <v>38.023644663489129</v>
      </c>
      <c r="DV27" s="1">
        <v>48.157420070233883</v>
      </c>
      <c r="DW27" s="1">
        <v>705.08963810552643</v>
      </c>
      <c r="DX27" s="1">
        <v>679.45932883352532</v>
      </c>
      <c r="DY27" s="1">
        <v>78.241051396211233</v>
      </c>
      <c r="EA27" s="1">
        <v>1819</v>
      </c>
      <c r="EB27" s="1">
        <v>1.0004284038060121</v>
      </c>
      <c r="EC27" s="1">
        <v>0.85420155209037318</v>
      </c>
      <c r="ED27" s="1">
        <v>1.0818460794749285</v>
      </c>
      <c r="EE27" s="1">
        <v>0.17270039713557139</v>
      </c>
      <c r="EF27" s="1">
        <v>30.741184354140415</v>
      </c>
      <c r="EG27" s="1">
        <v>1.9289929680681439E-2</v>
      </c>
      <c r="EH27" s="1">
        <v>2.5193577866565136</v>
      </c>
      <c r="EI27" s="1">
        <v>2.5849912057475564</v>
      </c>
      <c r="EJ27" s="1">
        <v>2.4113050745870481</v>
      </c>
    </row>
    <row r="28" spans="1:140" x14ac:dyDescent="0.25">
      <c r="A28" s="1" t="s">
        <v>119</v>
      </c>
      <c r="B28" s="1">
        <v>5.1304422502342248</v>
      </c>
      <c r="C28" s="1">
        <v>5.1591017255117038</v>
      </c>
      <c r="D28" s="1">
        <v>5.1125582162174936</v>
      </c>
      <c r="E28" s="1">
        <v>5.1483293270716786</v>
      </c>
      <c r="F28" s="1">
        <v>5.0464984172656386</v>
      </c>
      <c r="G28" s="1">
        <v>6.7128391964917711</v>
      </c>
      <c r="H28" s="1">
        <v>6.9701034395060617</v>
      </c>
      <c r="J28" s="1">
        <v>1820</v>
      </c>
      <c r="K28" s="2">
        <v>278.43314062318143</v>
      </c>
      <c r="L28" s="1">
        <v>265.22355074394773</v>
      </c>
      <c r="M28" s="1">
        <v>267.13311120718168</v>
      </c>
      <c r="N28" s="1">
        <v>253.92352132794798</v>
      </c>
      <c r="O28" s="1">
        <v>11.300029415999745</v>
      </c>
      <c r="P28" s="1">
        <v>13.209589879233725</v>
      </c>
      <c r="Q28" s="1">
        <v>191.81710478392938</v>
      </c>
      <c r="R28" s="1">
        <v>470.25024540711081</v>
      </c>
      <c r="S28" s="1">
        <v>457.04065552787711</v>
      </c>
      <c r="U28" s="1">
        <v>1820</v>
      </c>
      <c r="V28" s="1">
        <v>108.20461383312943</v>
      </c>
      <c r="W28" s="1">
        <v>8419.1723490280783</v>
      </c>
      <c r="X28" s="1">
        <v>5.9196883917572336</v>
      </c>
      <c r="Y28" s="1">
        <v>103.07110649065794</v>
      </c>
      <c r="Z28" s="1">
        <v>8082.0652195100974</v>
      </c>
      <c r="AA28" s="1">
        <v>4.3490527239061265</v>
      </c>
      <c r="AB28" s="1">
        <v>2573209.5033634552</v>
      </c>
      <c r="AC28" s="1">
        <v>0.7488228267826571</v>
      </c>
      <c r="AE28" s="1">
        <v>1820</v>
      </c>
      <c r="AF28" s="1">
        <v>127.89077341410841</v>
      </c>
      <c r="AG28" s="1">
        <v>31.737475346008285</v>
      </c>
      <c r="AH28" s="1">
        <v>13.850228286151623</v>
      </c>
      <c r="AI28" s="1">
        <v>14.242072669245275</v>
      </c>
      <c r="AJ28" s="1">
        <v>18.694714681653512</v>
      </c>
      <c r="AK28" s="1">
        <v>27.38727705784903</v>
      </c>
      <c r="AL28" s="1">
        <v>18.02428771733258</v>
      </c>
      <c r="AM28" s="1">
        <v>13.396721571599016</v>
      </c>
      <c r="AN28" s="2">
        <v>265.22355074394773</v>
      </c>
      <c r="AP28" s="1" t="s">
        <v>119</v>
      </c>
      <c r="AQ28" s="1">
        <v>8.1441220566746324</v>
      </c>
      <c r="AR28" s="1">
        <v>6.7289584092741848</v>
      </c>
      <c r="AS28" s="1">
        <v>-11.629863008477145</v>
      </c>
      <c r="AT28" s="1">
        <v>3.8613210715842996</v>
      </c>
      <c r="AU28" s="1">
        <v>2.8543696920859958</v>
      </c>
      <c r="AV28" s="1">
        <v>0.82428594122727361</v>
      </c>
      <c r="AW28" s="1">
        <v>10.828317700133198</v>
      </c>
      <c r="AX28" s="1">
        <v>1.1863701686647659</v>
      </c>
      <c r="AY28" s="1">
        <v>5.1304422502342248</v>
      </c>
      <c r="BA28" s="1">
        <v>1820</v>
      </c>
      <c r="BB28" s="1">
        <v>234.83760174043215</v>
      </c>
      <c r="BC28" s="1">
        <v>22.220147785890642</v>
      </c>
      <c r="BD28" s="1">
        <v>11.374539866204302</v>
      </c>
      <c r="BE28" s="1">
        <v>2.1104443593209625</v>
      </c>
      <c r="BF28" s="1">
        <v>0.98059906282640186</v>
      </c>
      <c r="BG28" s="1">
        <v>0.93876236580024575</v>
      </c>
      <c r="BH28" s="1">
        <v>31.255616937505174</v>
      </c>
      <c r="BI28" s="1">
        <v>25.284571494798449</v>
      </c>
      <c r="BJ28" s="1">
        <v>278.43314062318143</v>
      </c>
      <c r="BL28" s="1" t="s">
        <v>119</v>
      </c>
      <c r="BM28" s="1">
        <v>6.4502361501622687</v>
      </c>
      <c r="BN28" s="1">
        <v>6.5003088949872563</v>
      </c>
      <c r="BO28" s="1">
        <v>-0.33983528061570212</v>
      </c>
      <c r="BP28" s="1">
        <v>-0.81737706960807088</v>
      </c>
      <c r="BQ28" s="1">
        <v>-8.0956916353857196</v>
      </c>
      <c r="BR28" s="1">
        <v>6.7128391964917995</v>
      </c>
      <c r="BT28" s="1" t="s">
        <v>119</v>
      </c>
      <c r="BU28" s="1">
        <v>-5.572878272568218</v>
      </c>
      <c r="BV28" s="1">
        <v>-17.51597289630557</v>
      </c>
      <c r="BW28" s="1">
        <v>-2.1746881480297162</v>
      </c>
      <c r="BX28" s="1">
        <v>-2.1097824274441308</v>
      </c>
      <c r="BY28" s="1">
        <v>-3.0070061602233977</v>
      </c>
      <c r="BZ28" s="1">
        <v>-6.3299653813781731</v>
      </c>
      <c r="CB28" s="1">
        <v>1820</v>
      </c>
      <c r="CC28" s="1">
        <v>6.4429102845911421</v>
      </c>
      <c r="CD28" s="1">
        <v>1.9404227469551345</v>
      </c>
      <c r="CE28" s="1">
        <v>3.7223883229665536E-2</v>
      </c>
      <c r="CF28" s="1">
        <v>2.2144926070713171</v>
      </c>
      <c r="CG28" s="1">
        <v>0.68173924242794881</v>
      </c>
      <c r="CH28" s="1">
        <v>0.49136949037540623</v>
      </c>
      <c r="CI28" s="1">
        <v>3.5961873995012974</v>
      </c>
      <c r="CJ28" s="1">
        <v>15.404345654151914</v>
      </c>
      <c r="CL28" s="1">
        <v>1820</v>
      </c>
      <c r="CM28" s="1">
        <v>5.2574633570270635</v>
      </c>
      <c r="CN28" s="1">
        <v>1.0423459723750581</v>
      </c>
      <c r="CO28" s="1">
        <v>3.8631047750335323E-2</v>
      </c>
      <c r="CP28" s="1">
        <v>1.4220876170320738</v>
      </c>
      <c r="CQ28" s="1">
        <v>0.27791142128038465</v>
      </c>
      <c r="CR28" s="1">
        <v>0.39852046542950192</v>
      </c>
      <c r="CS28" s="1">
        <v>2.863069535105327</v>
      </c>
      <c r="CT28" s="2">
        <v>11.300029415999745</v>
      </c>
      <c r="CV28" s="1">
        <v>1820</v>
      </c>
      <c r="CW28" s="1">
        <v>89.889593400622346</v>
      </c>
      <c r="CX28" s="1">
        <v>160.99591663816372</v>
      </c>
      <c r="CY28" s="1">
        <v>12.701089600308311</v>
      </c>
      <c r="CZ28" s="1">
        <v>49.712563367655598</v>
      </c>
      <c r="DA28" s="1">
        <v>48.165389417090786</v>
      </c>
      <c r="DB28" s="1">
        <v>361.46455242384081</v>
      </c>
      <c r="DC28" s="1">
        <v>350.36401099265493</v>
      </c>
      <c r="DD28" s="1">
        <v>51.142559656375468</v>
      </c>
      <c r="DF28" s="1">
        <v>1820</v>
      </c>
      <c r="DG28" s="1">
        <v>0.72590536182653409</v>
      </c>
      <c r="DH28" s="1">
        <v>0.81557590446379891</v>
      </c>
      <c r="DI28" s="1">
        <v>0.67583919377707957</v>
      </c>
      <c r="DJ28" s="1">
        <v>2.7762291271823614</v>
      </c>
      <c r="DK28" s="1">
        <v>-6.5262202879013671</v>
      </c>
      <c r="DL28" s="1">
        <v>1.949039293902473</v>
      </c>
      <c r="DM28" s="1">
        <v>-4.0149103515702222E-2</v>
      </c>
      <c r="DN28" s="1">
        <v>-6.7908958336971637E-2</v>
      </c>
      <c r="DO28" s="1">
        <v>3.1318091564832287</v>
      </c>
      <c r="DQ28" s="1">
        <v>1820</v>
      </c>
      <c r="DR28" s="1">
        <v>207.21295599953683</v>
      </c>
      <c r="DS28" s="1">
        <v>372.99628426102237</v>
      </c>
      <c r="DT28" s="1">
        <v>29.084827791353739</v>
      </c>
      <c r="DU28" s="1">
        <v>49.712563367655598</v>
      </c>
      <c r="DV28" s="1">
        <v>48.165389417090786</v>
      </c>
      <c r="DW28" s="1">
        <v>707.17202083665927</v>
      </c>
      <c r="DX28" s="1">
        <v>682.05529916563103</v>
      </c>
      <c r="DY28" s="1">
        <v>78.652667163025825</v>
      </c>
      <c r="EA28" s="1">
        <v>1820</v>
      </c>
      <c r="EB28" s="1">
        <v>0.65912120478832037</v>
      </c>
      <c r="EC28" s="1">
        <v>0.67344268724274059</v>
      </c>
      <c r="ED28" s="1">
        <v>0.65116510217042389</v>
      </c>
      <c r="EE28" s="1">
        <v>1.1154096891893914</v>
      </c>
      <c r="EF28" s="1">
        <v>-6.5262202879013671</v>
      </c>
      <c r="EG28" s="1">
        <v>1.949039293902473</v>
      </c>
      <c r="EH28" s="1">
        <v>0.26016262244530708</v>
      </c>
      <c r="EI28" s="1">
        <v>0.24382714884805523</v>
      </c>
      <c r="EJ28" s="1">
        <v>2.2391069128192385</v>
      </c>
    </row>
    <row r="29" spans="1:140" x14ac:dyDescent="0.25">
      <c r="A29" s="1" t="s">
        <v>120</v>
      </c>
      <c r="B29" s="1">
        <v>5.2774521849117946</v>
      </c>
      <c r="C29" s="1">
        <v>5.2299479369878554</v>
      </c>
      <c r="D29" s="1">
        <v>5.46253346168848</v>
      </c>
      <c r="E29" s="1">
        <v>5.0926957161772464</v>
      </c>
      <c r="F29" s="1">
        <v>5.1798453949325278</v>
      </c>
      <c r="G29" s="1">
        <v>5.9262869347685552</v>
      </c>
      <c r="H29" s="1">
        <v>6.1810289570930763</v>
      </c>
      <c r="J29" s="1">
        <v>1821</v>
      </c>
      <c r="K29" s="2">
        <v>263.22048263499477</v>
      </c>
      <c r="L29" s="1">
        <v>250.7888553709256</v>
      </c>
      <c r="M29" s="1">
        <v>251.59780069278028</v>
      </c>
      <c r="N29" s="1">
        <v>239.16617342871112</v>
      </c>
      <c r="O29" s="1">
        <v>11.622681942214488</v>
      </c>
      <c r="P29" s="1">
        <v>12.431627264069171</v>
      </c>
      <c r="Q29" s="1">
        <v>177.32220261629854</v>
      </c>
      <c r="R29" s="1">
        <v>440.54268525129328</v>
      </c>
      <c r="S29" s="1">
        <v>428.11105798722417</v>
      </c>
      <c r="U29" s="1">
        <v>1821</v>
      </c>
      <c r="V29" s="1">
        <v>101.32644965080623</v>
      </c>
      <c r="W29" s="1">
        <v>8833.878882045934</v>
      </c>
      <c r="X29" s="1">
        <v>4.9257399162962798</v>
      </c>
      <c r="Y29" s="1">
        <v>96.5409077300544</v>
      </c>
      <c r="Z29" s="1">
        <v>8428.2228093893555</v>
      </c>
      <c r="AA29" s="1">
        <v>4.2830338592620336</v>
      </c>
      <c r="AB29" s="1">
        <v>2597747.0200733556</v>
      </c>
      <c r="AC29" s="1">
        <v>0.95357632862102548</v>
      </c>
      <c r="AE29" s="1">
        <v>1821</v>
      </c>
      <c r="AF29" s="1">
        <v>118.1295139108127</v>
      </c>
      <c r="AG29" s="1">
        <v>30.398172039598141</v>
      </c>
      <c r="AH29" s="1">
        <v>12.352847823433926</v>
      </c>
      <c r="AI29" s="1">
        <v>15.949491706791939</v>
      </c>
      <c r="AJ29" s="1">
        <v>16.863086462449605</v>
      </c>
      <c r="AK29" s="1">
        <v>24.537639167721149</v>
      </c>
      <c r="AL29" s="1">
        <v>18.148090139405678</v>
      </c>
      <c r="AM29" s="1">
        <v>14.410014120712464</v>
      </c>
      <c r="AN29" s="2">
        <v>250.78885537092563</v>
      </c>
      <c r="AP29" s="1" t="s">
        <v>120</v>
      </c>
      <c r="AQ29" s="1">
        <v>6.7231788093702107</v>
      </c>
      <c r="AR29" s="1">
        <v>1.8487172009154449</v>
      </c>
      <c r="AS29" s="1">
        <v>-12.349253032741089</v>
      </c>
      <c r="AT29" s="1">
        <v>19.380069802229855</v>
      </c>
      <c r="AU29" s="1">
        <v>3.9707270960644507</v>
      </c>
      <c r="AV29" s="1">
        <v>1.4139019101844497</v>
      </c>
      <c r="AW29" s="1">
        <v>15.145510209658909</v>
      </c>
      <c r="AX29" s="1">
        <v>1.0282171396370785</v>
      </c>
      <c r="AY29" s="1">
        <v>5.2774521849117946</v>
      </c>
      <c r="BA29" s="1">
        <v>1821</v>
      </c>
      <c r="BB29" s="1">
        <v>224.73149435989382</v>
      </c>
      <c r="BC29" s="1">
        <v>22.237161939115396</v>
      </c>
      <c r="BD29" s="1">
        <v>9.7197172880442473</v>
      </c>
      <c r="BE29" s="1">
        <v>2.1344889730689007</v>
      </c>
      <c r="BF29" s="1">
        <v>0.92845264274879669</v>
      </c>
      <c r="BG29" s="1">
        <v>1.0976476856608119</v>
      </c>
      <c r="BH29" s="1">
        <v>29.461728513848652</v>
      </c>
      <c r="BI29" s="1">
        <v>27.090208767385832</v>
      </c>
      <c r="BJ29" s="1">
        <v>263.22048263499482</v>
      </c>
      <c r="BL29" s="1" t="s">
        <v>120</v>
      </c>
      <c r="BM29" s="1">
        <v>9.3836664116098802</v>
      </c>
      <c r="BN29" s="1">
        <v>13.375301697528414</v>
      </c>
      <c r="BO29" s="1">
        <v>-10.430136077758121</v>
      </c>
      <c r="BP29" s="1">
        <v>-1.6412861851959946</v>
      </c>
      <c r="BQ29" s="1">
        <v>24.237990733967308</v>
      </c>
      <c r="BR29" s="1">
        <v>5.9262869347685552</v>
      </c>
      <c r="BT29" s="1" t="s">
        <v>120</v>
      </c>
      <c r="BU29" s="1">
        <v>-12.512939097580372</v>
      </c>
      <c r="BV29" s="1">
        <v>-11.729830625400851</v>
      </c>
      <c r="BW29" s="1">
        <v>0.59905230497616913</v>
      </c>
      <c r="BX29" s="1">
        <v>-4.1665095020931489</v>
      </c>
      <c r="BY29" s="1">
        <v>-13.761273437085777</v>
      </c>
      <c r="BZ29" s="1">
        <v>-10.752716514313832</v>
      </c>
      <c r="CB29" s="1">
        <v>1821</v>
      </c>
      <c r="CC29" s="1">
        <v>6.2211080682567825</v>
      </c>
      <c r="CD29" s="1">
        <v>1.3580647251917015</v>
      </c>
      <c r="CE29" s="1">
        <v>2.8561958965403342E-2</v>
      </c>
      <c r="CF29" s="1">
        <v>1.9852963387185323</v>
      </c>
      <c r="CG29" s="1">
        <v>0.50092380022622385</v>
      </c>
      <c r="CH29" s="1">
        <v>0.50232946226577857</v>
      </c>
      <c r="CI29" s="1">
        <v>3.2840222358983344</v>
      </c>
      <c r="CJ29" s="1">
        <v>13.880306589522755</v>
      </c>
      <c r="CL29" s="1">
        <v>1821</v>
      </c>
      <c r="CM29" s="1">
        <v>5.3856804771748239</v>
      </c>
      <c r="CN29" s="1">
        <v>1.0703132601205114</v>
      </c>
      <c r="CO29" s="1">
        <v>4.1917201149976387E-2</v>
      </c>
      <c r="CP29" s="1">
        <v>1.4834108426516579</v>
      </c>
      <c r="CQ29" s="1">
        <v>0.27918540666095021</v>
      </c>
      <c r="CR29" s="1">
        <v>0.41543327053264389</v>
      </c>
      <c r="CS29" s="1">
        <v>2.9467414839239252</v>
      </c>
      <c r="CT29" s="2">
        <v>11.622681942214488</v>
      </c>
      <c r="CV29" s="1">
        <v>1821</v>
      </c>
      <c r="CW29" s="1">
        <v>92.88827904664376</v>
      </c>
      <c r="CX29" s="1">
        <v>166.13608989676473</v>
      </c>
      <c r="CY29" s="1">
        <v>13.409194922270503</v>
      </c>
      <c r="CZ29" s="1">
        <v>46.468211971519835</v>
      </c>
      <c r="DA29" s="1">
        <v>44.766426209838144</v>
      </c>
      <c r="DB29" s="1">
        <v>363.66820204703697</v>
      </c>
      <c r="DC29" s="1">
        <v>352.1495604963946</v>
      </c>
      <c r="DD29" s="1">
        <v>50.715798717130241</v>
      </c>
      <c r="DF29" s="1">
        <v>1821</v>
      </c>
      <c r="DG29" s="1">
        <v>-2.7302351645460021E-2</v>
      </c>
      <c r="DH29" s="1">
        <v>0.36310367189065573</v>
      </c>
      <c r="DI29" s="1">
        <v>-0.24558209855801749</v>
      </c>
      <c r="DJ29" s="1">
        <v>2.2098951609363553</v>
      </c>
      <c r="DK29" s="1">
        <v>-6.4454688655722805</v>
      </c>
      <c r="DL29" s="1">
        <v>2.4519439646928589</v>
      </c>
      <c r="DM29" s="1">
        <v>-0.47734268345688236</v>
      </c>
      <c r="DN29" s="1">
        <v>-0.51707844341287057</v>
      </c>
      <c r="DO29" s="1">
        <v>1.1912396687084055</v>
      </c>
      <c r="DQ29" s="1">
        <v>1821</v>
      </c>
      <c r="DR29" s="1">
        <v>213.82362691120358</v>
      </c>
      <c r="DS29" s="1">
        <v>384.81073354393556</v>
      </c>
      <c r="DT29" s="1">
        <v>30.283558314956714</v>
      </c>
      <c r="DU29" s="1">
        <v>46.468211971519835</v>
      </c>
      <c r="DV29" s="1">
        <v>44.766426209838144</v>
      </c>
      <c r="DW29" s="1">
        <v>720.1525569514539</v>
      </c>
      <c r="DX29" s="1">
        <v>694.12122000951535</v>
      </c>
      <c r="DY29" s="1">
        <v>79.271645480271587</v>
      </c>
      <c r="EA29" s="1">
        <v>1821</v>
      </c>
      <c r="EB29" s="1">
        <v>0.3245806589169149</v>
      </c>
      <c r="EC29" s="1">
        <v>0.47455415763121778</v>
      </c>
      <c r="ED29" s="1">
        <v>0.24124650360286637</v>
      </c>
      <c r="EE29" s="1">
        <v>0.9536577284383867</v>
      </c>
      <c r="EF29" s="1">
        <v>-6.4454688655722805</v>
      </c>
      <c r="EG29" s="1">
        <v>2.4519439646928589</v>
      </c>
      <c r="EH29" s="1">
        <v>3.7126346991399828E-2</v>
      </c>
      <c r="EI29" s="1">
        <v>1.4005274188093608E-2</v>
      </c>
      <c r="EJ29" s="1">
        <v>0.9662101357116768</v>
      </c>
    </row>
    <row r="30" spans="1:140" x14ac:dyDescent="0.25">
      <c r="A30" s="1" t="s">
        <v>121</v>
      </c>
      <c r="B30" s="1">
        <v>3.6109889004684277</v>
      </c>
      <c r="C30" s="1">
        <v>3.63493392000467</v>
      </c>
      <c r="D30" s="1">
        <v>3.7500669617637357</v>
      </c>
      <c r="E30" s="1">
        <v>3.4720972747841756</v>
      </c>
      <c r="F30" s="1">
        <v>3.4871976459811833</v>
      </c>
      <c r="G30" s="1">
        <v>6.8350515089997685</v>
      </c>
      <c r="H30" s="1">
        <v>7.1487803578409626</v>
      </c>
      <c r="J30" s="1">
        <v>1822</v>
      </c>
      <c r="K30" s="2">
        <v>262.09850166607009</v>
      </c>
      <c r="L30" s="1">
        <v>249.72333744327565</v>
      </c>
      <c r="M30" s="1">
        <v>250.81067687711447</v>
      </c>
      <c r="N30" s="1">
        <v>238.43551265432004</v>
      </c>
      <c r="O30" s="1">
        <v>11.287824788955612</v>
      </c>
      <c r="P30" s="1">
        <v>12.375164222794456</v>
      </c>
      <c r="Q30" s="1">
        <v>165.33353092586216</v>
      </c>
      <c r="R30" s="1">
        <v>427.43203259193228</v>
      </c>
      <c r="S30" s="1">
        <v>415.05686836913782</v>
      </c>
      <c r="U30" s="1">
        <v>1822</v>
      </c>
      <c r="V30" s="1">
        <v>99.712872396217278</v>
      </c>
      <c r="W30" s="1">
        <v>9327.1454290683232</v>
      </c>
      <c r="X30" s="1">
        <v>5.5838047318591748</v>
      </c>
      <c r="Y30" s="1">
        <v>95.004859327901897</v>
      </c>
      <c r="Z30" s="1">
        <v>8630.2896352547887</v>
      </c>
      <c r="AA30" s="1">
        <v>2.3975021832636259</v>
      </c>
      <c r="AB30" s="1">
        <v>2628532.2583487537</v>
      </c>
      <c r="AC30" s="1">
        <v>1.1850745294870393</v>
      </c>
      <c r="AE30" s="1">
        <v>1822</v>
      </c>
      <c r="AF30" s="1">
        <v>115.75830334139089</v>
      </c>
      <c r="AG30" s="1">
        <v>28.434663066335503</v>
      </c>
      <c r="AH30" s="1">
        <v>13.658450133907174</v>
      </c>
      <c r="AI30" s="1">
        <v>15.57386287080841</v>
      </c>
      <c r="AJ30" s="1">
        <v>15.479269600135369</v>
      </c>
      <c r="AK30" s="1">
        <v>28.368166603395693</v>
      </c>
      <c r="AL30" s="1">
        <v>18.139200185747029</v>
      </c>
      <c r="AM30" s="1">
        <v>14.311421641555608</v>
      </c>
      <c r="AN30" s="2">
        <v>249.72333744327565</v>
      </c>
      <c r="AP30" s="1" t="s">
        <v>121</v>
      </c>
      <c r="AQ30" s="1">
        <v>6.0925962058345391</v>
      </c>
      <c r="AR30" s="1">
        <v>-2.3992858623675346</v>
      </c>
      <c r="AS30" s="1">
        <v>9.9787237495996663</v>
      </c>
      <c r="AT30" s="1">
        <v>7.8549262710824337</v>
      </c>
      <c r="AU30" s="1">
        <v>1.4349950000010665</v>
      </c>
      <c r="AV30" s="1">
        <v>1.1716808312285565</v>
      </c>
      <c r="AW30" s="1">
        <v>-2.0636275379746962</v>
      </c>
      <c r="AX30" s="1">
        <v>0.58908537332003164</v>
      </c>
      <c r="AY30" s="1">
        <v>3.6109889004684277</v>
      </c>
      <c r="BA30" s="1">
        <v>1822</v>
      </c>
      <c r="BB30" s="1">
        <v>223.52164774593527</v>
      </c>
      <c r="BC30" s="1">
        <v>22.180216372133746</v>
      </c>
      <c r="BD30" s="1">
        <v>10.80433234095849</v>
      </c>
      <c r="BE30" s="1">
        <v>1.4442714135405692</v>
      </c>
      <c r="BF30" s="1">
        <v>0.86331883868644621</v>
      </c>
      <c r="BG30" s="1">
        <v>0.40980534135116947</v>
      </c>
      <c r="BH30" s="1">
        <v>29.697323616392659</v>
      </c>
      <c r="BI30" s="1">
        <v>26.822414002928252</v>
      </c>
      <c r="BJ30" s="1">
        <v>262.09850166607004</v>
      </c>
      <c r="BL30" s="1" t="s">
        <v>121</v>
      </c>
      <c r="BM30" s="1">
        <v>8.4790136628016626</v>
      </c>
      <c r="BN30" s="1">
        <v>-1.9004943386648563</v>
      </c>
      <c r="BO30" s="1">
        <v>0.74708727705437639</v>
      </c>
      <c r="BP30" s="1">
        <v>0.52290035042324234</v>
      </c>
      <c r="BQ30" s="1">
        <v>2.6496565260058844</v>
      </c>
      <c r="BR30" s="1">
        <v>6.8350515089997828</v>
      </c>
      <c r="BT30" s="1" t="s">
        <v>121</v>
      </c>
      <c r="BU30" s="1">
        <v>-8.3125439764600486</v>
      </c>
      <c r="BV30" s="1">
        <v>1.6762688429735562</v>
      </c>
      <c r="BW30" s="1">
        <v>-3.3057530582376984</v>
      </c>
      <c r="BX30" s="1">
        <v>0.27532487715593845</v>
      </c>
      <c r="BY30" s="1">
        <v>-3.5442751272537407</v>
      </c>
      <c r="BZ30" s="1">
        <v>-6.7967420781376973</v>
      </c>
      <c r="CB30" s="1">
        <v>1822</v>
      </c>
      <c r="CC30" s="1">
        <v>5.6620356377201899</v>
      </c>
      <c r="CD30" s="1">
        <v>0.87076617054547356</v>
      </c>
      <c r="CE30" s="1">
        <v>2.5127089258844135E-2</v>
      </c>
      <c r="CF30" s="1">
        <v>2.2651641304275758</v>
      </c>
      <c r="CG30" s="1">
        <v>0.26434319391908984</v>
      </c>
      <c r="CH30" s="1">
        <v>0.50442015439791865</v>
      </c>
      <c r="CI30" s="1">
        <v>3.9298715582675823</v>
      </c>
      <c r="CJ30" s="1">
        <v>13.521727934536672</v>
      </c>
      <c r="CL30" s="1">
        <v>1822</v>
      </c>
      <c r="CM30" s="1">
        <v>5.2022287341092932</v>
      </c>
      <c r="CN30" s="1">
        <v>1.0424423423985456</v>
      </c>
      <c r="CO30" s="1">
        <v>4.4330379568604611E-2</v>
      </c>
      <c r="CP30" s="1">
        <v>1.4539864185166624</v>
      </c>
      <c r="CQ30" s="1">
        <v>0.2633375257253564</v>
      </c>
      <c r="CR30" s="1">
        <v>0.41095113613047118</v>
      </c>
      <c r="CS30" s="1">
        <v>2.8705482525066794</v>
      </c>
      <c r="CT30" s="2">
        <v>11.287824788955612</v>
      </c>
      <c r="CV30" s="1">
        <v>1822</v>
      </c>
      <c r="CW30" s="1">
        <v>89.814868586473622</v>
      </c>
      <c r="CX30" s="1">
        <v>159.66486661778032</v>
      </c>
      <c r="CY30" s="1">
        <v>13.740833916892312</v>
      </c>
      <c r="CZ30" s="1">
        <v>43.473117836507392</v>
      </c>
      <c r="DA30" s="1">
        <v>42.917417553615785</v>
      </c>
      <c r="DB30" s="1">
        <v>349.61110451126945</v>
      </c>
      <c r="DC30" s="1">
        <v>338.35494297593993</v>
      </c>
      <c r="DD30" s="1">
        <v>48.886188745700913</v>
      </c>
      <c r="DF30" s="1">
        <v>1822</v>
      </c>
      <c r="DG30" s="1">
        <v>0.53257911196386942</v>
      </c>
      <c r="DH30" s="1">
        <v>1.1794520466742</v>
      </c>
      <c r="DI30" s="1">
        <v>0.16869938780234861</v>
      </c>
      <c r="DJ30" s="1">
        <v>-2.6799772731465623</v>
      </c>
      <c r="DK30" s="1">
        <v>21.796550279518726</v>
      </c>
      <c r="DL30" s="1">
        <v>0.95486952550022863</v>
      </c>
      <c r="DM30" s="1">
        <v>3.0829975133111418</v>
      </c>
      <c r="DN30" s="1">
        <v>3.1587041735613184</v>
      </c>
      <c r="DO30" s="1">
        <v>-0.73457868400650739</v>
      </c>
      <c r="DQ30" s="1">
        <v>1822</v>
      </c>
      <c r="DR30" s="1">
        <v>206.97839670724366</v>
      </c>
      <c r="DS30" s="1">
        <v>371.62667076516851</v>
      </c>
      <c r="DT30" s="1">
        <v>30.663642253739447</v>
      </c>
      <c r="DU30" s="1">
        <v>43.473117836507392</v>
      </c>
      <c r="DV30" s="1">
        <v>42.917417553615785</v>
      </c>
      <c r="DW30" s="1">
        <v>695.65924511627486</v>
      </c>
      <c r="DX30" s="1">
        <v>670.23590912370014</v>
      </c>
      <c r="DY30" s="1">
        <v>76.863311002048491</v>
      </c>
      <c r="EA30" s="1">
        <v>1822</v>
      </c>
      <c r="EB30" s="1">
        <v>0.5650781815406134</v>
      </c>
      <c r="EC30" s="1">
        <v>0.83520646206586946</v>
      </c>
      <c r="ED30" s="1">
        <v>0.41462956520933858</v>
      </c>
      <c r="EE30" s="1">
        <v>-1.3449092090139629</v>
      </c>
      <c r="EF30" s="1">
        <v>21.796550279518726</v>
      </c>
      <c r="EG30" s="1">
        <v>0.95486952550022863</v>
      </c>
      <c r="EH30" s="1">
        <v>1.8212602375578228</v>
      </c>
      <c r="EI30" s="1">
        <v>1.8647686977235907</v>
      </c>
      <c r="EJ30" s="1">
        <v>-0.2869606203225743</v>
      </c>
    </row>
    <row r="31" spans="1:140" x14ac:dyDescent="0.25">
      <c r="A31" s="1" t="s">
        <v>122</v>
      </c>
      <c r="B31" s="1">
        <v>1.4008524939497704</v>
      </c>
      <c r="C31" s="1">
        <v>1.4104760596691506</v>
      </c>
      <c r="D31" s="1">
        <v>1.4180093953463597</v>
      </c>
      <c r="E31" s="1">
        <v>1.3836984949890336</v>
      </c>
      <c r="F31" s="1">
        <v>1.2821429973476626</v>
      </c>
      <c r="G31" s="1">
        <v>1.8069022053165611</v>
      </c>
      <c r="H31" s="1">
        <v>1.9153230154608281</v>
      </c>
      <c r="J31" s="1">
        <v>1823</v>
      </c>
      <c r="K31" s="2">
        <v>265.70217456007043</v>
      </c>
      <c r="L31" s="1">
        <v>253.09816768743912</v>
      </c>
      <c r="M31" s="1">
        <v>254.27101307747213</v>
      </c>
      <c r="N31" s="1">
        <v>241.66700620484082</v>
      </c>
      <c r="O31" s="1">
        <v>11.431161482598295</v>
      </c>
      <c r="P31" s="1">
        <v>12.604006872631336</v>
      </c>
      <c r="Q31" s="1">
        <v>167.25430559038301</v>
      </c>
      <c r="R31" s="1">
        <v>432.95648015045344</v>
      </c>
      <c r="S31" s="1">
        <v>420.35247327782213</v>
      </c>
      <c r="U31" s="1">
        <v>1823</v>
      </c>
      <c r="V31" s="1">
        <v>99.603939796169797</v>
      </c>
      <c r="W31" s="1">
        <v>9356.6566023166361</v>
      </c>
      <c r="X31" s="1">
        <v>0.31640091250577029</v>
      </c>
      <c r="Y31" s="1">
        <v>94.879067883432555</v>
      </c>
      <c r="Z31" s="1">
        <v>8623.0657342814466</v>
      </c>
      <c r="AA31" s="1">
        <v>-8.3704038666695624E-2</v>
      </c>
      <c r="AB31" s="1">
        <v>2667586.9960947852</v>
      </c>
      <c r="AC31" s="1">
        <v>1.485800207396565</v>
      </c>
      <c r="AE31" s="1">
        <v>1823</v>
      </c>
      <c r="AF31" s="1">
        <v>119.37864968325832</v>
      </c>
      <c r="AG31" s="1">
        <v>28.978929291157137</v>
      </c>
      <c r="AH31" s="1">
        <v>11.526294721571272</v>
      </c>
      <c r="AI31" s="1">
        <v>17.335531326591777</v>
      </c>
      <c r="AJ31" s="1">
        <v>16.189664097258042</v>
      </c>
      <c r="AK31" s="1">
        <v>27.850965284522072</v>
      </c>
      <c r="AL31" s="1">
        <v>17.231555734941679</v>
      </c>
      <c r="AM31" s="1">
        <v>14.606577548138807</v>
      </c>
      <c r="AN31" s="2">
        <v>253.09816768743906</v>
      </c>
      <c r="AP31" s="1" t="s">
        <v>122</v>
      </c>
      <c r="AQ31" s="1">
        <v>2.7369631495840423</v>
      </c>
      <c r="AR31" s="1">
        <v>1.2178278257907778</v>
      </c>
      <c r="AS31" s="1">
        <v>-12.154736848739319</v>
      </c>
      <c r="AT31" s="1">
        <v>-5.3262132444089616E-2</v>
      </c>
      <c r="AU31" s="1">
        <v>0.25971829342641684</v>
      </c>
      <c r="AV31" s="1">
        <v>1.890389093533031</v>
      </c>
      <c r="AW31" s="1">
        <v>5.4180795702955038</v>
      </c>
      <c r="AX31" s="1">
        <v>0.77045120086273755</v>
      </c>
      <c r="AY31" s="1">
        <v>1.4008524939497704</v>
      </c>
      <c r="BA31" s="1">
        <v>1823</v>
      </c>
      <c r="BB31" s="1">
        <v>233.47141371538243</v>
      </c>
      <c r="BC31" s="1">
        <v>21.209599857470248</v>
      </c>
      <c r="BD31" s="1">
        <v>8.8507627585380479</v>
      </c>
      <c r="BE31" s="1">
        <v>1.3454264581197557</v>
      </c>
      <c r="BF31" s="1">
        <v>0.55567507230137902</v>
      </c>
      <c r="BG31" s="1">
        <v>0.11260894354068345</v>
      </c>
      <c r="BH31" s="1">
        <v>32.946292268618606</v>
      </c>
      <c r="BI31" s="1">
        <v>32.789604513900706</v>
      </c>
      <c r="BJ31" s="1">
        <v>265.70217456007038</v>
      </c>
      <c r="BL31" s="1" t="s">
        <v>122</v>
      </c>
      <c r="BM31" s="1">
        <v>3.60834547730758</v>
      </c>
      <c r="BN31" s="1">
        <v>3.1853922253012144</v>
      </c>
      <c r="BO31" s="1">
        <v>-20.931877696891405</v>
      </c>
      <c r="BP31" s="1">
        <v>3.8086664469468161</v>
      </c>
      <c r="BQ31" s="1">
        <v>8.2934990439770502</v>
      </c>
      <c r="BR31" s="1">
        <v>1.8069022053165469</v>
      </c>
      <c r="BT31" s="1" t="s">
        <v>122</v>
      </c>
      <c r="BU31" s="1">
        <v>0.81366054356723794</v>
      </c>
      <c r="BV31" s="1">
        <v>-7.328012480775925</v>
      </c>
      <c r="BW31" s="1">
        <v>1.6190324384996728</v>
      </c>
      <c r="BX31" s="1">
        <v>6.8699541758377762</v>
      </c>
      <c r="BY31" s="1">
        <v>12.884920293056481</v>
      </c>
      <c r="BZ31" s="1">
        <v>-0.42430468487373219</v>
      </c>
      <c r="CB31" s="1">
        <v>1823</v>
      </c>
      <c r="CC31" s="1">
        <v>5.0883676968700247</v>
      </c>
      <c r="CD31" s="1">
        <v>0.6968080391870608</v>
      </c>
      <c r="CE31" s="1">
        <v>2.7095370964361071E-2</v>
      </c>
      <c r="CF31" s="1">
        <v>1.9907987961254239</v>
      </c>
      <c r="CG31" s="1">
        <v>0.16919854862268113</v>
      </c>
      <c r="CH31" s="1">
        <v>0.49940430555700699</v>
      </c>
      <c r="CI31" s="1">
        <v>2.3928004751733067</v>
      </c>
      <c r="CJ31" s="1">
        <v>10.864473232499865</v>
      </c>
      <c r="CL31" s="1">
        <v>1823</v>
      </c>
      <c r="CM31" s="1">
        <v>5.2558965534643587</v>
      </c>
      <c r="CN31" s="1">
        <v>1.060462331462015</v>
      </c>
      <c r="CO31" s="1">
        <v>4.7392318625677742E-2</v>
      </c>
      <c r="CP31" s="1">
        <v>1.4820059597940691</v>
      </c>
      <c r="CQ31" s="1">
        <v>0.26104336489307312</v>
      </c>
      <c r="CR31" s="1">
        <v>0.42233700030401067</v>
      </c>
      <c r="CS31" s="1">
        <v>2.9020239540550912</v>
      </c>
      <c r="CT31" s="2">
        <v>11.431161482598295</v>
      </c>
      <c r="CV31" s="1">
        <v>1823</v>
      </c>
      <c r="CW31" s="1">
        <v>92.024498118718498</v>
      </c>
      <c r="CX31" s="1">
        <v>161.95870407118986</v>
      </c>
      <c r="CY31" s="1">
        <v>14.040258630068784</v>
      </c>
      <c r="CZ31" s="1">
        <v>52.948757823816145</v>
      </c>
      <c r="DA31" s="1">
        <v>44.062183147286255</v>
      </c>
      <c r="DB31" s="1">
        <v>365.03440179107952</v>
      </c>
      <c r="DC31" s="1">
        <v>353.48034874034732</v>
      </c>
      <c r="DD31" s="1">
        <v>49.461771869896808</v>
      </c>
      <c r="DF31" s="1">
        <v>1823</v>
      </c>
      <c r="DG31" s="1">
        <v>-0.28950197900145724</v>
      </c>
      <c r="DH31" s="1">
        <v>-0.55335643148507074</v>
      </c>
      <c r="DI31" s="1">
        <v>-0.1395805919080999</v>
      </c>
      <c r="DJ31" s="1">
        <v>-3.5632866499281448</v>
      </c>
      <c r="DK31" s="1">
        <v>2.9887325592804075</v>
      </c>
      <c r="DL31" s="1">
        <v>0.25556823447504939</v>
      </c>
      <c r="DM31" s="1">
        <v>0.10837298203298928</v>
      </c>
      <c r="DN31" s="1">
        <v>8.9610222037862286E-2</v>
      </c>
      <c r="DO31" s="1">
        <v>1.0150388114014959</v>
      </c>
      <c r="DQ31" s="1">
        <v>1823</v>
      </c>
      <c r="DR31" s="1">
        <v>211.34895559658011</v>
      </c>
      <c r="DS31" s="1">
        <v>377.89118462214083</v>
      </c>
      <c r="DT31" s="1">
        <v>31.758310454082949</v>
      </c>
      <c r="DU31" s="1">
        <v>52.948757823816145</v>
      </c>
      <c r="DV31" s="1">
        <v>44.062183147286255</v>
      </c>
      <c r="DW31" s="1">
        <v>718.00939164390627</v>
      </c>
      <c r="DX31" s="1">
        <v>691.93971268174698</v>
      </c>
      <c r="DY31" s="1">
        <v>78.194629201412909</v>
      </c>
      <c r="EA31" s="1">
        <v>1823</v>
      </c>
      <c r="EB31" s="1">
        <v>0.19881010968445878</v>
      </c>
      <c r="EC31" s="1">
        <v>6.7834769653771332E-2</v>
      </c>
      <c r="ED31" s="1">
        <v>0.27206268198800387</v>
      </c>
      <c r="EE31" s="1">
        <v>-1.8665432889286677</v>
      </c>
      <c r="EF31" s="1">
        <v>2.9887325592804075</v>
      </c>
      <c r="EG31" s="1">
        <v>0.25556823447504939</v>
      </c>
      <c r="EH31" s="1">
        <v>0.30974973861022193</v>
      </c>
      <c r="EI31" s="1">
        <v>0.29835406123501684</v>
      </c>
      <c r="EJ31" s="1">
        <v>0.79764950044199168</v>
      </c>
    </row>
    <row r="32" spans="1:140" x14ac:dyDescent="0.25">
      <c r="A32" s="1" t="s">
        <v>123</v>
      </c>
      <c r="B32" s="1">
        <v>4.4667987945128544</v>
      </c>
      <c r="C32" s="1">
        <v>4.4490940038372457</v>
      </c>
      <c r="D32" s="1">
        <v>4.4323291134664231</v>
      </c>
      <c r="E32" s="1">
        <v>4.5012798528686062</v>
      </c>
      <c r="F32" s="1">
        <v>4.3833139106398562</v>
      </c>
      <c r="G32" s="1">
        <v>4.6005106541647365</v>
      </c>
      <c r="H32" s="1">
        <v>4.8206922773816814</v>
      </c>
      <c r="J32" s="1">
        <v>1824</v>
      </c>
      <c r="K32" s="2">
        <v>266.47253605309078</v>
      </c>
      <c r="L32" s="1">
        <v>253.92389740153638</v>
      </c>
      <c r="M32" s="1">
        <v>254.74155808997651</v>
      </c>
      <c r="N32" s="1">
        <v>242.19291943842211</v>
      </c>
      <c r="O32" s="1">
        <v>11.730977963114265</v>
      </c>
      <c r="P32" s="1">
        <v>12.54863865155439</v>
      </c>
      <c r="Q32" s="1">
        <v>165.75319185818933</v>
      </c>
      <c r="R32" s="1">
        <v>432.2257279112801</v>
      </c>
      <c r="S32" s="1">
        <v>419.67708925972568</v>
      </c>
      <c r="U32" s="1">
        <v>1824</v>
      </c>
      <c r="V32" s="1">
        <v>98.406044703296843</v>
      </c>
      <c r="W32" s="1">
        <v>9641.4512189392044</v>
      </c>
      <c r="X32" s="1">
        <v>3.0437647626402793</v>
      </c>
      <c r="Y32" s="1">
        <v>93.771939011202718</v>
      </c>
      <c r="Z32" s="1">
        <v>8874.1731083232517</v>
      </c>
      <c r="AA32" s="1">
        <v>2.9120429065444142</v>
      </c>
      <c r="AB32" s="1">
        <v>2707887.882868676</v>
      </c>
      <c r="AC32" s="1">
        <v>1.5107618545483064</v>
      </c>
      <c r="AE32" s="1">
        <v>1824</v>
      </c>
      <c r="AF32" s="1">
        <v>118.69270514304466</v>
      </c>
      <c r="AG32" s="1">
        <v>30.432696485543726</v>
      </c>
      <c r="AH32" s="1">
        <v>13.391467228262716</v>
      </c>
      <c r="AI32" s="1">
        <v>17.722843901215501</v>
      </c>
      <c r="AJ32" s="1">
        <v>15.566428349596423</v>
      </c>
      <c r="AK32" s="1">
        <v>24.372574327855034</v>
      </c>
      <c r="AL32" s="1">
        <v>19.093425372416341</v>
      </c>
      <c r="AM32" s="1">
        <v>14.651756593601966</v>
      </c>
      <c r="AN32" s="2">
        <v>253.92389740153635</v>
      </c>
      <c r="AP32" s="1" t="s">
        <v>123</v>
      </c>
      <c r="AQ32" s="1">
        <v>3.1438366762380383</v>
      </c>
      <c r="AR32" s="1">
        <v>6.2683036710657234</v>
      </c>
      <c r="AS32" s="1">
        <v>9.6053434967819697</v>
      </c>
      <c r="AT32" s="1">
        <v>7.8574771868032514</v>
      </c>
      <c r="AU32" s="1">
        <v>2.9171146102219438</v>
      </c>
      <c r="AV32" s="1">
        <v>2.5874285437926545</v>
      </c>
      <c r="AW32" s="1">
        <v>11.348269037822135</v>
      </c>
      <c r="AX32" s="1">
        <v>0.30930616918483622</v>
      </c>
      <c r="AY32" s="1">
        <v>4.4667987945128544</v>
      </c>
      <c r="BA32" s="1">
        <v>1824</v>
      </c>
      <c r="BB32" s="1">
        <v>224.38547944020121</v>
      </c>
      <c r="BC32" s="1">
        <v>23.173121333489146</v>
      </c>
      <c r="BD32" s="1">
        <v>10.868934558596358</v>
      </c>
      <c r="BE32" s="1">
        <v>1.5120102828836153</v>
      </c>
      <c r="BF32" s="1">
        <v>0.56110757862793825</v>
      </c>
      <c r="BG32" s="1">
        <v>0.74145585623791144</v>
      </c>
      <c r="BH32" s="1">
        <v>32.743231727854493</v>
      </c>
      <c r="BI32" s="1">
        <v>27.512804724799899</v>
      </c>
      <c r="BJ32" s="1">
        <v>266.47253605309078</v>
      </c>
      <c r="BL32" s="1" t="s">
        <v>123</v>
      </c>
      <c r="BM32" s="1">
        <v>3.2007841775081545</v>
      </c>
      <c r="BN32" s="1">
        <v>8.7288171743522724</v>
      </c>
      <c r="BO32" s="1">
        <v>23.375254669557052</v>
      </c>
      <c r="BP32" s="1">
        <v>1.984736961425341</v>
      </c>
      <c r="BQ32" s="1">
        <v>1.0505407194879837</v>
      </c>
      <c r="BR32" s="1">
        <v>4.6005106541647649</v>
      </c>
      <c r="BT32" s="1" t="s">
        <v>123</v>
      </c>
      <c r="BU32" s="1">
        <v>-6.872479779537386</v>
      </c>
      <c r="BV32" s="1">
        <v>0.48642530071967371</v>
      </c>
      <c r="BW32" s="1">
        <v>2.0847155048749215</v>
      </c>
      <c r="BX32" s="1">
        <v>-2.5504552009056169</v>
      </c>
      <c r="BY32" s="1">
        <v>-16.965218836142512</v>
      </c>
      <c r="BZ32" s="1">
        <v>-4.1209898690942595</v>
      </c>
      <c r="CB32" s="1">
        <v>1824</v>
      </c>
      <c r="CC32" s="1">
        <v>5.4072207160941081</v>
      </c>
      <c r="CD32" s="1">
        <v>1.1833840769167774</v>
      </c>
      <c r="CE32" s="1">
        <v>3.1576365147583711E-2</v>
      </c>
      <c r="CF32" s="1">
        <v>2.5352231870775692</v>
      </c>
      <c r="CG32" s="1">
        <v>0.41449364689459745</v>
      </c>
      <c r="CH32" s="1">
        <v>0.53638294493790128</v>
      </c>
      <c r="CI32" s="1">
        <v>3.5752273392772862</v>
      </c>
      <c r="CJ32" s="1">
        <v>13.683508276345822</v>
      </c>
      <c r="CL32" s="1">
        <v>1824</v>
      </c>
      <c r="CM32" s="1">
        <v>5.3640695307080026</v>
      </c>
      <c r="CN32" s="1">
        <v>1.0631234664245535</v>
      </c>
      <c r="CO32" s="1">
        <v>4.5084438941466277E-2</v>
      </c>
      <c r="CP32" s="1">
        <v>1.5303353471217436</v>
      </c>
      <c r="CQ32" s="1">
        <v>0.26757379714401874</v>
      </c>
      <c r="CR32" s="1">
        <v>0.43292255005143676</v>
      </c>
      <c r="CS32" s="1">
        <v>3.0278688327230445</v>
      </c>
      <c r="CT32" s="2">
        <v>11.730977963114265</v>
      </c>
      <c r="CV32" s="1">
        <v>1824</v>
      </c>
      <c r="CW32" s="1">
        <v>94.947097438830596</v>
      </c>
      <c r="CX32" s="1">
        <v>167.79761519665317</v>
      </c>
      <c r="CY32" s="1">
        <v>13.19937861317918</v>
      </c>
      <c r="CZ32" s="1">
        <v>50.895837616055665</v>
      </c>
      <c r="DA32" s="1">
        <v>42.819766350042812</v>
      </c>
      <c r="DB32" s="1">
        <v>369.65969521476143</v>
      </c>
      <c r="DC32" s="1">
        <v>357.6212116286116</v>
      </c>
      <c r="DD32" s="1">
        <v>49.792656015616281</v>
      </c>
      <c r="DF32" s="1">
        <v>1824</v>
      </c>
      <c r="DG32" s="1">
        <v>0.34189873260702086</v>
      </c>
      <c r="DH32" s="1">
        <v>0.57648787726959938</v>
      </c>
      <c r="DI32" s="1">
        <v>0.20915811915867266</v>
      </c>
      <c r="DJ32" s="1">
        <v>-1.8614931546708959</v>
      </c>
      <c r="DK32" s="1">
        <v>1.325620359827326</v>
      </c>
      <c r="DL32" s="1">
        <v>1.7315738021003426</v>
      </c>
      <c r="DM32" s="1">
        <v>0.55673298078491484</v>
      </c>
      <c r="DN32" s="1">
        <v>0.54647617458722664</v>
      </c>
      <c r="DO32" s="1">
        <v>-0.6645843078474627</v>
      </c>
      <c r="DQ32" s="1">
        <v>1824</v>
      </c>
      <c r="DR32" s="1">
        <v>219.42328581154129</v>
      </c>
      <c r="DS32" s="1">
        <v>393.12875872079582</v>
      </c>
      <c r="DT32" s="1">
        <v>30.36776033856577</v>
      </c>
      <c r="DU32" s="1">
        <v>50.895837616055665</v>
      </c>
      <c r="DV32" s="1">
        <v>42.819766350042812</v>
      </c>
      <c r="DW32" s="1">
        <v>736.63540883700125</v>
      </c>
      <c r="DX32" s="1">
        <v>709.49643833982486</v>
      </c>
      <c r="DY32" s="1">
        <v>79.600312940878354</v>
      </c>
      <c r="EA32" s="1">
        <v>1824</v>
      </c>
      <c r="EB32" s="1">
        <v>0.46848345969515037</v>
      </c>
      <c r="EC32" s="1">
        <v>0.5595175617746122</v>
      </c>
      <c r="ED32" s="1">
        <v>0.41767313011207818</v>
      </c>
      <c r="EE32" s="1">
        <v>-1.1831040059517903</v>
      </c>
      <c r="EF32" s="1">
        <v>1.325620359827326</v>
      </c>
      <c r="EG32" s="1">
        <v>1.7315738021003426</v>
      </c>
      <c r="EH32" s="1">
        <v>0.53066905619394333</v>
      </c>
      <c r="EI32" s="1">
        <v>0.52439531848594356</v>
      </c>
      <c r="EJ32" s="1">
        <v>-0.28304673359473043</v>
      </c>
    </row>
    <row r="33" spans="1:140" x14ac:dyDescent="0.25">
      <c r="A33" s="1" t="s">
        <v>124</v>
      </c>
      <c r="B33" s="1">
        <v>0.73727731228045457</v>
      </c>
      <c r="C33" s="1">
        <v>0.71644511018081403</v>
      </c>
      <c r="D33" s="1">
        <v>0.76356744103520668</v>
      </c>
      <c r="E33" s="1">
        <v>0.7109940428587862</v>
      </c>
      <c r="F33" s="1">
        <v>0.70594395799503218</v>
      </c>
      <c r="G33" s="1">
        <v>-1.3739656803035842</v>
      </c>
      <c r="H33" s="1">
        <v>-1.4166423752095199</v>
      </c>
      <c r="J33" s="1">
        <v>1825</v>
      </c>
      <c r="K33" s="2">
        <v>276.95379149240705</v>
      </c>
      <c r="L33" s="1">
        <v>263.90275770882863</v>
      </c>
      <c r="M33" s="1">
        <v>264.60035440001246</v>
      </c>
      <c r="N33" s="1">
        <v>251.54932061643404</v>
      </c>
      <c r="O33" s="1">
        <v>12.353437092394598</v>
      </c>
      <c r="P33" s="1">
        <v>13.051033783578402</v>
      </c>
      <c r="Q33" s="1">
        <v>178.68690202864082</v>
      </c>
      <c r="R33" s="1">
        <v>455.64069352104787</v>
      </c>
      <c r="S33" s="1">
        <v>442.58965973746945</v>
      </c>
      <c r="U33" s="1">
        <v>1825</v>
      </c>
      <c r="V33" s="1">
        <v>100.74802257276392</v>
      </c>
      <c r="W33" s="1">
        <v>9366.8566483727955</v>
      </c>
      <c r="X33" s="1">
        <v>-2.8480626446256139</v>
      </c>
      <c r="Y33" s="1">
        <v>96.000422479836828</v>
      </c>
      <c r="Z33" s="1">
        <v>8805.9861824517084</v>
      </c>
      <c r="AA33" s="1">
        <v>-0.76837498028508833</v>
      </c>
      <c r="AB33" s="1">
        <v>2748974.9616909935</v>
      </c>
      <c r="AC33" s="1">
        <v>1.5173109301257739</v>
      </c>
      <c r="AE33" s="1">
        <v>1825</v>
      </c>
      <c r="AF33" s="1">
        <v>121.79023385921168</v>
      </c>
      <c r="AG33" s="1">
        <v>32.152487389404946</v>
      </c>
      <c r="AH33" s="1">
        <v>12.388614010676321</v>
      </c>
      <c r="AI33" s="1">
        <v>19.166410694348553</v>
      </c>
      <c r="AJ33" s="1">
        <v>17.133582725518266</v>
      </c>
      <c r="AK33" s="1">
        <v>25.686268608776189</v>
      </c>
      <c r="AL33" s="1">
        <v>19.67065341709521</v>
      </c>
      <c r="AM33" s="1">
        <v>15.914507003797471</v>
      </c>
      <c r="AN33" s="2">
        <v>263.90275770882863</v>
      </c>
      <c r="AP33" s="1" t="s">
        <v>124</v>
      </c>
      <c r="AQ33" s="1">
        <v>1.8716177942682748</v>
      </c>
      <c r="AR33" s="1">
        <v>-1.7698995342030202</v>
      </c>
      <c r="AS33" s="1">
        <v>-9.8133030570810433</v>
      </c>
      <c r="AT33" s="1">
        <v>3.3383989082234109</v>
      </c>
      <c r="AU33" s="1">
        <v>1.9113221823563009</v>
      </c>
      <c r="AV33" s="1">
        <v>1.9606807257791559</v>
      </c>
      <c r="AW33" s="1">
        <v>0.83296475194973141</v>
      </c>
      <c r="AX33" s="1">
        <v>9.9702094940425923E-3</v>
      </c>
      <c r="AY33" s="1">
        <v>0.73727731228045457</v>
      </c>
      <c r="BA33" s="1">
        <v>1825</v>
      </c>
      <c r="BB33" s="1">
        <v>231.19082891769588</v>
      </c>
      <c r="BC33" s="1">
        <v>23.602709327469775</v>
      </c>
      <c r="BD33" s="1">
        <v>9.5232724518431464</v>
      </c>
      <c r="BE33" s="1">
        <v>1.6022596138727754</v>
      </c>
      <c r="BF33" s="1">
        <v>0.49368217688278615</v>
      </c>
      <c r="BG33" s="1">
        <v>1.3126344724295271</v>
      </c>
      <c r="BH33" s="1">
        <v>39.159271687136332</v>
      </c>
      <c r="BI33" s="1">
        <v>29.930867154923181</v>
      </c>
      <c r="BJ33" s="1">
        <v>276.95379149240699</v>
      </c>
      <c r="BL33" s="1" t="s">
        <v>124</v>
      </c>
      <c r="BM33" s="1">
        <v>-1.6655573210856573</v>
      </c>
      <c r="BN33" s="1">
        <v>-7.2866714390173115E-2</v>
      </c>
      <c r="BO33" s="1">
        <v>-10.73172110359981</v>
      </c>
      <c r="BP33" s="1">
        <v>5.6432668730844284</v>
      </c>
      <c r="BQ33" s="1">
        <v>1.3104442405975618</v>
      </c>
      <c r="BR33" s="1">
        <v>-1.3739656803035984</v>
      </c>
      <c r="BT33" s="1" t="s">
        <v>124</v>
      </c>
      <c r="BU33" s="1">
        <v>4.7780211886751403</v>
      </c>
      <c r="BV33" s="1">
        <v>1.9280918072214916</v>
      </c>
      <c r="BW33" s="1">
        <v>5.8683134409080822</v>
      </c>
      <c r="BX33" s="1">
        <v>13.206468189276592</v>
      </c>
      <c r="BY33" s="1">
        <v>7.3816848608679209</v>
      </c>
      <c r="BZ33" s="1">
        <v>5.3812362363035504</v>
      </c>
      <c r="CB33" s="1">
        <v>1825</v>
      </c>
      <c r="CC33" s="1">
        <v>5.5879038092724107</v>
      </c>
      <c r="CD33" s="1">
        <v>1.450267166081568</v>
      </c>
      <c r="CE33" s="1">
        <v>2.9943542794076888E-2</v>
      </c>
      <c r="CF33" s="1">
        <v>2.5092188062161926</v>
      </c>
      <c r="CG33" s="1">
        <v>0.55705492838913417</v>
      </c>
      <c r="CH33" s="1">
        <v>0.53461236049042626</v>
      </c>
      <c r="CI33" s="1">
        <v>2.2628481017844271</v>
      </c>
      <c r="CJ33" s="1">
        <v>12.931848715028234</v>
      </c>
      <c r="CL33" s="1">
        <v>1825</v>
      </c>
      <c r="CM33" s="1">
        <v>5.6551090995688309</v>
      </c>
      <c r="CN33" s="1">
        <v>1.0816950180662404</v>
      </c>
      <c r="CO33" s="1">
        <v>4.4895324169161532E-2</v>
      </c>
      <c r="CP33" s="1">
        <v>1.6905257525902175</v>
      </c>
      <c r="CQ33" s="1">
        <v>0.27542345840736676</v>
      </c>
      <c r="CR33" s="1">
        <v>0.45256145878387799</v>
      </c>
      <c r="CS33" s="1">
        <v>3.1532269808089044</v>
      </c>
      <c r="CT33" s="2">
        <v>12.353437092394598</v>
      </c>
      <c r="CV33" s="1">
        <v>1825</v>
      </c>
      <c r="CW33" s="1">
        <v>100.09659840058411</v>
      </c>
      <c r="CX33" s="1">
        <v>176.25212343777673</v>
      </c>
      <c r="CY33" s="1">
        <v>14.404348688940761</v>
      </c>
      <c r="CZ33" s="1">
        <v>51.570523201798757</v>
      </c>
      <c r="DA33" s="1">
        <v>47.086918660905823</v>
      </c>
      <c r="DB33" s="1">
        <v>389.41051239000626</v>
      </c>
      <c r="DC33" s="1">
        <v>376.69153669066776</v>
      </c>
      <c r="DD33" s="1">
        <v>52.730460358423542</v>
      </c>
      <c r="DF33" s="1">
        <v>1825</v>
      </c>
      <c r="DG33" s="1">
        <v>-0.32934180949982306</v>
      </c>
      <c r="DH33" s="1">
        <v>-0.88951961730128914</v>
      </c>
      <c r="DI33" s="1">
        <v>-1.1207242002171824E-2</v>
      </c>
      <c r="DJ33" s="1">
        <v>-2.1574149864301688</v>
      </c>
      <c r="DK33" s="1">
        <v>-20.5980685799382</v>
      </c>
      <c r="DL33" s="1">
        <v>2.7876839465380954</v>
      </c>
      <c r="DM33" s="1">
        <v>-2.7444915976264355</v>
      </c>
      <c r="DN33" s="1">
        <v>-2.8584405025240187</v>
      </c>
      <c r="DO33" s="1">
        <v>-0.96619283265273737</v>
      </c>
      <c r="DQ33" s="1">
        <v>1825</v>
      </c>
      <c r="DR33" s="1">
        <v>231.28478064860658</v>
      </c>
      <c r="DS33" s="1">
        <v>413.79584839043696</v>
      </c>
      <c r="DT33" s="1">
        <v>33.417665275448137</v>
      </c>
      <c r="DU33" s="1">
        <v>51.570523201798757</v>
      </c>
      <c r="DV33" s="1">
        <v>47.086918660905823</v>
      </c>
      <c r="DW33" s="1">
        <v>777.15573617719622</v>
      </c>
      <c r="DX33" s="1">
        <v>748.53234790146757</v>
      </c>
      <c r="DY33" s="1">
        <v>84.048701840385831</v>
      </c>
      <c r="EA33" s="1">
        <v>1825</v>
      </c>
      <c r="EB33" s="1">
        <v>0.16976139999913187</v>
      </c>
      <c r="EC33" s="1">
        <v>-9.1108728865833655E-2</v>
      </c>
      <c r="ED33" s="1">
        <v>0.3155707182100258</v>
      </c>
      <c r="EE33" s="1">
        <v>-1.3928632919420352</v>
      </c>
      <c r="EF33" s="1">
        <v>-20.5980685799382</v>
      </c>
      <c r="EG33" s="1">
        <v>2.7876839465380954</v>
      </c>
      <c r="EH33" s="1">
        <v>-1.1418909852671391</v>
      </c>
      <c r="EI33" s="1">
        <v>-1.2083819340316495</v>
      </c>
      <c r="EJ33" s="1">
        <v>-0.4992271680180238</v>
      </c>
    </row>
    <row r="34" spans="1:140" x14ac:dyDescent="0.25">
      <c r="A34" s="1" t="s">
        <v>125</v>
      </c>
      <c r="B34" s="1">
        <v>1.51424637331192</v>
      </c>
      <c r="C34" s="1">
        <v>1.5791006033603452</v>
      </c>
      <c r="D34" s="1">
        <v>1.5745146453627967</v>
      </c>
      <c r="E34" s="1">
        <v>1.454013860866965</v>
      </c>
      <c r="F34" s="1">
        <v>1.7604291323669798</v>
      </c>
      <c r="G34" s="1">
        <v>3.6794065326091641E-2</v>
      </c>
      <c r="H34" s="1">
        <v>1.0313354613657566E-2</v>
      </c>
      <c r="J34" s="1">
        <v>1826</v>
      </c>
      <c r="K34" s="2">
        <v>288.36130372701331</v>
      </c>
      <c r="L34" s="1">
        <v>274.93377836501236</v>
      </c>
      <c r="M34" s="1">
        <v>276.53849598376462</v>
      </c>
      <c r="N34" s="1">
        <v>263.11097062176367</v>
      </c>
      <c r="O34" s="1">
        <v>11.822807743248692</v>
      </c>
      <c r="P34" s="1">
        <v>13.427525362000962</v>
      </c>
      <c r="Q34" s="1">
        <v>194.14654236578798</v>
      </c>
      <c r="R34" s="1">
        <v>482.50784609280129</v>
      </c>
      <c r="S34" s="1">
        <v>469.08032073080034</v>
      </c>
      <c r="U34" s="1">
        <v>1826</v>
      </c>
      <c r="V34" s="1">
        <v>103.42803328797422</v>
      </c>
      <c r="W34" s="1">
        <v>9239.015790266456</v>
      </c>
      <c r="X34" s="1">
        <v>-1.3648213366065249</v>
      </c>
      <c r="Y34" s="1">
        <v>98.611913641661033</v>
      </c>
      <c r="Z34" s="1">
        <v>8814.0815597922137</v>
      </c>
      <c r="AA34" s="1">
        <v>9.1930388860220091E-2</v>
      </c>
      <c r="AB34" s="1">
        <v>2788038.1610286469</v>
      </c>
      <c r="AC34" s="1">
        <v>1.4210096447595362</v>
      </c>
      <c r="AE34" s="1">
        <v>1826</v>
      </c>
      <c r="AF34" s="1">
        <v>122.35588546033578</v>
      </c>
      <c r="AG34" s="1">
        <v>32.181389698592824</v>
      </c>
      <c r="AH34" s="1">
        <v>14.634676955002657</v>
      </c>
      <c r="AI34" s="1">
        <v>13.785175185357341</v>
      </c>
      <c r="AJ34" s="1">
        <v>18.609907228742117</v>
      </c>
      <c r="AK34" s="1">
        <v>34.747362850458209</v>
      </c>
      <c r="AL34" s="1">
        <v>23.656153237837003</v>
      </c>
      <c r="AM34" s="1">
        <v>14.96322774868643</v>
      </c>
      <c r="AN34" s="2">
        <v>274.93377836501236</v>
      </c>
      <c r="AP34" s="1" t="s">
        <v>125</v>
      </c>
      <c r="AQ34" s="1">
        <v>-2.9948735095459256E-2</v>
      </c>
      <c r="AR34" s="1">
        <v>2.9760205629791443</v>
      </c>
      <c r="AS34" s="1">
        <v>20.990753773912843</v>
      </c>
      <c r="AT34" s="1">
        <v>0.22625954352713507</v>
      </c>
      <c r="AU34" s="1">
        <v>1.5340265282837322</v>
      </c>
      <c r="AV34" s="1">
        <v>-0.3443567853065872</v>
      </c>
      <c r="AW34" s="1">
        <v>1.8230659723884344</v>
      </c>
      <c r="AX34" s="1">
        <v>-0.15920659008727966</v>
      </c>
      <c r="AY34" s="1">
        <v>1.51424637331192</v>
      </c>
      <c r="BA34" s="1">
        <v>1826</v>
      </c>
      <c r="BB34" s="1">
        <v>246.27367899997489</v>
      </c>
      <c r="BC34" s="1">
        <v>28.371790280989156</v>
      </c>
      <c r="BD34" s="1">
        <v>11.980782413263391</v>
      </c>
      <c r="BE34" s="1">
        <v>2.0045695225130218</v>
      </c>
      <c r="BF34" s="1">
        <v>0.34429784749780473</v>
      </c>
      <c r="BG34" s="1">
        <v>0.87535595139074607</v>
      </c>
      <c r="BH34" s="1">
        <v>30.049594388767986</v>
      </c>
      <c r="BI34" s="1">
        <v>31.538765677383662</v>
      </c>
      <c r="BJ34" s="1">
        <v>288.36130372701331</v>
      </c>
      <c r="BL34" s="1" t="s">
        <v>125</v>
      </c>
      <c r="BM34" s="1">
        <v>1.4285578889433452</v>
      </c>
      <c r="BN34" s="1">
        <v>6.3499282785269457</v>
      </c>
      <c r="BO34" s="1">
        <v>22.370605463872195</v>
      </c>
      <c r="BP34" s="1">
        <v>-11.923328827668229</v>
      </c>
      <c r="BQ34" s="1">
        <v>11.507782520588108</v>
      </c>
      <c r="BR34" s="1">
        <v>3.6794065326063219E-2</v>
      </c>
      <c r="BT34" s="1" t="s">
        <v>125</v>
      </c>
      <c r="BU34" s="1">
        <v>5.0236591054800215</v>
      </c>
      <c r="BV34" s="1">
        <v>13.02842647707088</v>
      </c>
      <c r="BW34" s="1">
        <v>-3.9164890386363425</v>
      </c>
      <c r="BX34" s="1">
        <v>-12.874934801247917</v>
      </c>
      <c r="BY34" s="1">
        <v>-5.5025229246182477</v>
      </c>
      <c r="BZ34" s="1">
        <v>4.0806270790974253</v>
      </c>
      <c r="CB34" s="1">
        <v>1826</v>
      </c>
      <c r="CC34" s="1">
        <v>6.8986673281967805</v>
      </c>
      <c r="CD34" s="1">
        <v>1.2782899011666287</v>
      </c>
      <c r="CE34" s="1">
        <v>3.5012977555646092E-2</v>
      </c>
      <c r="CF34" s="1">
        <v>2.0955475979730953</v>
      </c>
      <c r="CG34" s="1">
        <v>0.46348781544491158</v>
      </c>
      <c r="CH34" s="1">
        <v>0.62905051499543518</v>
      </c>
      <c r="CI34" s="1">
        <v>3.8049495993324656</v>
      </c>
      <c r="CJ34" s="1">
        <v>15.205005734664963</v>
      </c>
      <c r="CL34" s="1">
        <v>1826</v>
      </c>
      <c r="CM34" s="1">
        <v>5.4365821876903446</v>
      </c>
      <c r="CN34" s="1">
        <v>0.9873243613042304</v>
      </c>
      <c r="CO34" s="1">
        <v>3.6906883543794608E-2</v>
      </c>
      <c r="CP34" s="1">
        <v>1.6454929273584586</v>
      </c>
      <c r="CQ34" s="1">
        <v>0.25909704429983466</v>
      </c>
      <c r="CR34" s="1">
        <v>0.42694575611666208</v>
      </c>
      <c r="CS34" s="1">
        <v>3.0304585829353647</v>
      </c>
      <c r="CT34" s="2">
        <v>11.822807743248692</v>
      </c>
      <c r="CV34" s="1">
        <v>1826</v>
      </c>
      <c r="CW34" s="1">
        <v>94.645014026315494</v>
      </c>
      <c r="CX34" s="1">
        <v>168.12973271458429</v>
      </c>
      <c r="CY34" s="1">
        <v>13.16883292094816</v>
      </c>
      <c r="CZ34" s="1">
        <v>40.947991465659307</v>
      </c>
      <c r="DA34" s="1">
        <v>48.493933108803652</v>
      </c>
      <c r="DB34" s="1">
        <v>365.38550423631091</v>
      </c>
      <c r="DC34" s="1">
        <v>353.2389916781546</v>
      </c>
      <c r="DD34" s="1">
        <v>51.037113244643628</v>
      </c>
      <c r="DF34" s="1">
        <v>1826</v>
      </c>
      <c r="DG34" s="1">
        <v>0.74610985136094143</v>
      </c>
      <c r="DH34" s="1">
        <v>0.81831148144979693</v>
      </c>
      <c r="DI34" s="1">
        <v>0.70546549784805279</v>
      </c>
      <c r="DJ34" s="1">
        <v>1.5605320994882703</v>
      </c>
      <c r="DK34" s="1">
        <v>5.499564388981355</v>
      </c>
      <c r="DL34" s="1">
        <v>1.8050834305948058</v>
      </c>
      <c r="DM34" s="1">
        <v>1.5159500449275072</v>
      </c>
      <c r="DN34" s="1">
        <v>1.5104960778491403</v>
      </c>
      <c r="DO34" s="1">
        <v>-0.41380755553316817</v>
      </c>
      <c r="DQ34" s="1">
        <v>1826</v>
      </c>
      <c r="DR34" s="1">
        <v>220.44996531110908</v>
      </c>
      <c r="DS34" s="1">
        <v>396.01653280980975</v>
      </c>
      <c r="DT34" s="1">
        <v>30.765076601715609</v>
      </c>
      <c r="DU34" s="1">
        <v>40.947991465659307</v>
      </c>
      <c r="DV34" s="1">
        <v>48.493933108803652</v>
      </c>
      <c r="DW34" s="1">
        <v>736.67349929709735</v>
      </c>
      <c r="DX34" s="1">
        <v>709.37516241408082</v>
      </c>
      <c r="DY34" s="1">
        <v>80.682279964023607</v>
      </c>
      <c r="EA34" s="1">
        <v>1826</v>
      </c>
      <c r="EB34" s="1">
        <v>0.63204333447824013</v>
      </c>
      <c r="EC34" s="1">
        <v>0.64965162360348927</v>
      </c>
      <c r="ED34" s="1">
        <v>0.62224135298187377</v>
      </c>
      <c r="EE34" s="1">
        <v>0.28922551211627479</v>
      </c>
      <c r="EF34" s="1">
        <v>5.499564388981355</v>
      </c>
      <c r="EG34" s="1">
        <v>1.8050834305948058</v>
      </c>
      <c r="EH34" s="1">
        <v>1.0056653437855232</v>
      </c>
      <c r="EI34" s="1">
        <v>1.0027841026473965</v>
      </c>
      <c r="EJ34" s="1">
        <v>-0.15841077939307979</v>
      </c>
    </row>
    <row r="35" spans="1:140" x14ac:dyDescent="0.25">
      <c r="A35" s="1" t="s">
        <v>126</v>
      </c>
      <c r="B35" s="1">
        <v>-5.9683878192327455</v>
      </c>
      <c r="C35" s="1">
        <v>-5.9225469810775309</v>
      </c>
      <c r="D35" s="1">
        <v>-5.3509444885469861</v>
      </c>
      <c r="E35" s="1">
        <v>-6.581803256934819</v>
      </c>
      <c r="F35" s="1">
        <v>-6.1936302810293142</v>
      </c>
      <c r="G35" s="1">
        <v>-6.7754665754140291</v>
      </c>
      <c r="H35" s="1">
        <v>-7.0834886250979707</v>
      </c>
      <c r="J35" s="1">
        <v>1827</v>
      </c>
      <c r="K35" s="2">
        <v>306.77667881179906</v>
      </c>
      <c r="L35" s="1">
        <v>292.33554754391838</v>
      </c>
      <c r="M35" s="1">
        <v>294.68542257137449</v>
      </c>
      <c r="N35" s="1">
        <v>280.24429130349381</v>
      </c>
      <c r="O35" s="1">
        <v>12.091256240424572</v>
      </c>
      <c r="P35" s="1">
        <v>14.441131267880651</v>
      </c>
      <c r="Q35" s="1">
        <v>206.46286892311281</v>
      </c>
      <c r="R35" s="1">
        <v>513.23954773491187</v>
      </c>
      <c r="S35" s="1">
        <v>498.79841646703119</v>
      </c>
      <c r="U35" s="1">
        <v>1827</v>
      </c>
      <c r="V35" s="1">
        <v>108.92899891927895</v>
      </c>
      <c r="W35" s="1">
        <v>8526.598483899832</v>
      </c>
      <c r="X35" s="1">
        <v>-7.7109653510623417</v>
      </c>
      <c r="Y35" s="1">
        <v>103.80130153900588</v>
      </c>
      <c r="Z35" s="1">
        <v>8204.8535161313357</v>
      </c>
      <c r="AA35" s="1">
        <v>-6.9119855486706001</v>
      </c>
      <c r="AB35" s="1">
        <v>2816299.4414291247</v>
      </c>
      <c r="AC35" s="1">
        <v>1.0136618929939942</v>
      </c>
      <c r="AE35" s="1">
        <v>1827</v>
      </c>
      <c r="AF35" s="1">
        <v>140.11573919132843</v>
      </c>
      <c r="AG35" s="1">
        <v>34.966553137555827</v>
      </c>
      <c r="AH35" s="1">
        <v>14.090597892698177</v>
      </c>
      <c r="AI35" s="1">
        <v>17.050059015080869</v>
      </c>
      <c r="AJ35" s="1">
        <v>20.95741940065329</v>
      </c>
      <c r="AK35" s="1">
        <v>27.923023336303299</v>
      </c>
      <c r="AL35" s="1">
        <v>22.089685308429534</v>
      </c>
      <c r="AM35" s="1">
        <v>15.14247026186893</v>
      </c>
      <c r="AN35" s="2">
        <v>292.33554754391838</v>
      </c>
      <c r="AP35" s="1" t="s">
        <v>126</v>
      </c>
      <c r="AQ35" s="1">
        <v>-10.21059677859391</v>
      </c>
      <c r="AR35" s="1">
        <v>0.82017505944280344</v>
      </c>
      <c r="AS35" s="1">
        <v>-5.9739136847371128</v>
      </c>
      <c r="AT35" s="1">
        <v>-13.640208511632864</v>
      </c>
      <c r="AU35" s="1">
        <v>1.13045695380724</v>
      </c>
      <c r="AV35" s="1">
        <v>0.67601490097490569</v>
      </c>
      <c r="AW35" s="1">
        <v>-3.5643996456501128</v>
      </c>
      <c r="AX35" s="1">
        <v>-3.9251291824342616E-2</v>
      </c>
      <c r="AY35" s="1">
        <v>-5.9683878192327455</v>
      </c>
      <c r="BA35" s="1">
        <v>1827</v>
      </c>
      <c r="BB35" s="1">
        <v>265.73130860541409</v>
      </c>
      <c r="BC35" s="1">
        <v>25.968910076836433</v>
      </c>
      <c r="BD35" s="1">
        <v>11.274091520593807</v>
      </c>
      <c r="BE35" s="1">
        <v>2.3356582089481188</v>
      </c>
      <c r="BF35" s="1">
        <v>-0.66108218446694944</v>
      </c>
      <c r="BG35" s="1">
        <v>1.3267021503319609</v>
      </c>
      <c r="BH35" s="1">
        <v>32.426861161581108</v>
      </c>
      <c r="BI35" s="1">
        <v>31.625770727439502</v>
      </c>
      <c r="BJ35" s="1">
        <v>306.77667881179906</v>
      </c>
      <c r="BL35" s="1" t="s">
        <v>126</v>
      </c>
      <c r="BM35" s="1">
        <v>-7.8025641030566817</v>
      </c>
      <c r="BN35" s="1">
        <v>-7.5399343594043557</v>
      </c>
      <c r="BO35" s="1">
        <v>-8.2051293019119242</v>
      </c>
      <c r="BP35" s="1">
        <v>8.9757928139761987</v>
      </c>
      <c r="BQ35" s="1">
        <v>-1.9681385817028882</v>
      </c>
      <c r="BR35" s="1">
        <v>-6.7754665754140291</v>
      </c>
      <c r="BT35" s="1" t="s">
        <v>126</v>
      </c>
      <c r="BU35" s="1">
        <v>17.032339017857595</v>
      </c>
      <c r="BV35" s="1">
        <v>-1.00510846212876</v>
      </c>
      <c r="BW35" s="1">
        <v>2.278031666861736</v>
      </c>
      <c r="BX35" s="1">
        <v>-0.97695872569819642</v>
      </c>
      <c r="BY35" s="1">
        <v>2.2890574144385454</v>
      </c>
      <c r="BZ35" s="1">
        <v>14.11826036868014</v>
      </c>
      <c r="CB35" s="1">
        <v>1827</v>
      </c>
      <c r="CC35" s="1">
        <v>5.2436567179257327</v>
      </c>
      <c r="CD35" s="1">
        <v>2.2241049323813207</v>
      </c>
      <c r="CE35" s="1">
        <v>3.8926685263431869E-2</v>
      </c>
      <c r="CF35" s="1">
        <v>2.1047710710249774</v>
      </c>
      <c r="CG35" s="1">
        <v>0.8356759920827832</v>
      </c>
      <c r="CH35" s="1">
        <v>0.55902383672199074</v>
      </c>
      <c r="CI35" s="1">
        <v>3.2692104600066978</v>
      </c>
      <c r="CJ35" s="1">
        <v>14.275369695406933</v>
      </c>
      <c r="CL35" s="1">
        <v>1827</v>
      </c>
      <c r="CM35" s="1">
        <v>5.5796091806062655</v>
      </c>
      <c r="CN35" s="1">
        <v>0.99434936030933019</v>
      </c>
      <c r="CO35" s="1">
        <v>3.2284220854053094E-2</v>
      </c>
      <c r="CP35" s="1">
        <v>1.6701013166530214</v>
      </c>
      <c r="CQ35" s="1">
        <v>0.2694642423830777</v>
      </c>
      <c r="CR35" s="1">
        <v>0.43076343683497348</v>
      </c>
      <c r="CS35" s="1">
        <v>3.1146844827838489</v>
      </c>
      <c r="CT35" s="2">
        <v>12.091256240424572</v>
      </c>
      <c r="CV35" s="1">
        <v>1827</v>
      </c>
      <c r="CW35" s="1">
        <v>97.71877022446472</v>
      </c>
      <c r="CX35" s="1">
        <v>173.39572948787145</v>
      </c>
      <c r="CY35" s="1">
        <v>12.763921564058331</v>
      </c>
      <c r="CZ35" s="1">
        <v>57.59993682974379</v>
      </c>
      <c r="DA35" s="1">
        <v>54.041455395083496</v>
      </c>
      <c r="DB35" s="1">
        <v>395.51981350122179</v>
      </c>
      <c r="DC35" s="1">
        <v>382.94432144808798</v>
      </c>
      <c r="DD35" s="1">
        <v>53.941838515658311</v>
      </c>
      <c r="DF35" s="1">
        <v>1827</v>
      </c>
      <c r="DG35" s="1">
        <v>0.35351504191218908</v>
      </c>
      <c r="DH35" s="1">
        <v>0.15813336257497213</v>
      </c>
      <c r="DI35" s="1">
        <v>0.46362419791977061</v>
      </c>
      <c r="DJ35" s="1">
        <v>4.3977090182325753</v>
      </c>
      <c r="DK35" s="1">
        <v>6.5610458170474004</v>
      </c>
      <c r="DL35" s="1">
        <v>2.4549711709885855</v>
      </c>
      <c r="DM35" s="1">
        <v>1.6649573453830726</v>
      </c>
      <c r="DN35" s="1">
        <v>1.6861902702622871</v>
      </c>
      <c r="DO35" s="1">
        <v>4.5177156585808547</v>
      </c>
      <c r="DQ35" s="1">
        <v>1827</v>
      </c>
      <c r="DR35" s="1">
        <v>227.22867924878085</v>
      </c>
      <c r="DS35" s="1">
        <v>408.0826562956118</v>
      </c>
      <c r="DT35" s="1">
        <v>29.365560727990268</v>
      </c>
      <c r="DU35" s="1">
        <v>57.59993682974379</v>
      </c>
      <c r="DV35" s="1">
        <v>54.041455395083496</v>
      </c>
      <c r="DW35" s="1">
        <v>776.31828849721023</v>
      </c>
      <c r="DX35" s="1">
        <v>748.24805148373855</v>
      </c>
      <c r="DY35" s="1">
        <v>84.039864350351635</v>
      </c>
      <c r="EA35" s="1">
        <v>1827</v>
      </c>
      <c r="EB35" s="1">
        <v>0.4605356762070727</v>
      </c>
      <c r="EC35" s="1">
        <v>0.36055046528913692</v>
      </c>
      <c r="ED35" s="1">
        <v>0.51620946452129601</v>
      </c>
      <c r="EE35" s="1">
        <v>1.7365243715331786</v>
      </c>
      <c r="EF35" s="1">
        <v>6.5610458170474004</v>
      </c>
      <c r="EG35" s="1">
        <v>2.4549711709885855</v>
      </c>
      <c r="EH35" s="1">
        <v>1.0935512096215092</v>
      </c>
      <c r="EI35" s="1">
        <v>1.1044580843670957</v>
      </c>
      <c r="EJ35" s="1">
        <v>3.0036465474800593</v>
      </c>
    </row>
    <row r="36" spans="1:140" x14ac:dyDescent="0.25">
      <c r="A36" s="1" t="s">
        <v>127</v>
      </c>
      <c r="B36" s="1">
        <v>6.7238435312006146</v>
      </c>
      <c r="C36" s="1">
        <v>6.6842944503573847</v>
      </c>
      <c r="D36" s="1">
        <v>7.0039975709214559</v>
      </c>
      <c r="E36" s="1">
        <v>6.4444229807675981</v>
      </c>
      <c r="F36" s="1">
        <v>6.4617661770638222</v>
      </c>
      <c r="G36" s="1">
        <v>9.2320109825782879</v>
      </c>
      <c r="H36" s="1">
        <v>9.6186638438539092</v>
      </c>
      <c r="J36" s="1">
        <v>1828</v>
      </c>
      <c r="K36" s="2">
        <v>290.20090138792949</v>
      </c>
      <c r="L36" s="1">
        <v>276.50938774398855</v>
      </c>
      <c r="M36" s="1">
        <v>277.96630199456519</v>
      </c>
      <c r="N36" s="1">
        <v>264.27478835062425</v>
      </c>
      <c r="O36" s="1">
        <v>12.23459939336429</v>
      </c>
      <c r="P36" s="1">
        <v>13.691513643940926</v>
      </c>
      <c r="Q36" s="1">
        <v>182.96851749656736</v>
      </c>
      <c r="R36" s="1">
        <v>473.16941888449685</v>
      </c>
      <c r="S36" s="1">
        <v>459.47790524055591</v>
      </c>
      <c r="U36" s="1">
        <v>1828</v>
      </c>
      <c r="V36" s="1">
        <v>102.28290844803333</v>
      </c>
      <c r="W36" s="1">
        <v>9245.0418746089053</v>
      </c>
      <c r="X36" s="1">
        <v>8.4259085503516786</v>
      </c>
      <c r="Y36" s="1">
        <v>97.457258941568853</v>
      </c>
      <c r="Z36" s="1">
        <v>8691.914189620773</v>
      </c>
      <c r="AA36" s="1">
        <v>5.9362506902998433</v>
      </c>
      <c r="AB36" s="1">
        <v>2837237.4797630175</v>
      </c>
      <c r="AC36" s="1">
        <v>0.7434592368227726</v>
      </c>
      <c r="AE36" s="1">
        <v>1828</v>
      </c>
      <c r="AF36" s="1">
        <v>133.86470862928533</v>
      </c>
      <c r="AG36" s="1">
        <v>33.967611724258752</v>
      </c>
      <c r="AH36" s="1">
        <v>13.075724891349155</v>
      </c>
      <c r="AI36" s="1">
        <v>17.054240699196999</v>
      </c>
      <c r="AJ36" s="1">
        <v>18.580532285487202</v>
      </c>
      <c r="AK36" s="1">
        <v>24.458666541162494</v>
      </c>
      <c r="AL36" s="1">
        <v>20.29158587099235</v>
      </c>
      <c r="AM36" s="1">
        <v>15.216317102256301</v>
      </c>
      <c r="AN36" s="2">
        <v>276.50938774398861</v>
      </c>
      <c r="AP36" s="1" t="s">
        <v>127</v>
      </c>
      <c r="AQ36" s="1">
        <v>11.705390495818222</v>
      </c>
      <c r="AR36" s="1">
        <v>2.3996312779638771</v>
      </c>
      <c r="AS36" s="1">
        <v>-8.208728117191086</v>
      </c>
      <c r="AT36" s="1">
        <v>14.10721424645152</v>
      </c>
      <c r="AU36" s="1">
        <v>-1.3586291919737619</v>
      </c>
      <c r="AV36" s="1">
        <v>0.3543976077411628</v>
      </c>
      <c r="AW36" s="1">
        <v>7.5118419410832047</v>
      </c>
      <c r="AX36" s="1">
        <v>0.48768027349757403</v>
      </c>
      <c r="AY36" s="1">
        <v>6.7238435312006146</v>
      </c>
      <c r="BA36" s="1">
        <v>1828</v>
      </c>
      <c r="BB36" s="1">
        <v>245.91188421862813</v>
      </c>
      <c r="BC36" s="1">
        <v>23.939165162880009</v>
      </c>
      <c r="BD36" s="1">
        <v>10.379330074108085</v>
      </c>
      <c r="BE36" s="1">
        <v>2.2288019160579964</v>
      </c>
      <c r="BF36" s="1">
        <v>1.6558918328074308</v>
      </c>
      <c r="BG36" s="1">
        <v>0.96198563422323258</v>
      </c>
      <c r="BH36" s="1">
        <v>32.794838274126029</v>
      </c>
      <c r="BI36" s="1">
        <v>27.670995724901424</v>
      </c>
      <c r="BJ36" s="1">
        <v>290.20090138792949</v>
      </c>
      <c r="BL36" s="1" t="s">
        <v>127</v>
      </c>
      <c r="BM36" s="1">
        <v>8.7865046968734362</v>
      </c>
      <c r="BN36" s="1">
        <v>4.6392114030529257</v>
      </c>
      <c r="BO36" s="1">
        <v>7.332127324331708</v>
      </c>
      <c r="BP36" s="1">
        <v>3.3787226498305643</v>
      </c>
      <c r="BQ36" s="1">
        <v>-5.0999881670808094</v>
      </c>
      <c r="BR36" s="1">
        <v>9.2320109825783163</v>
      </c>
      <c r="BT36" s="1" t="s">
        <v>127</v>
      </c>
      <c r="BU36" s="1">
        <v>-14.932872488008414</v>
      </c>
      <c r="BV36" s="1">
        <v>-11.903060641799897</v>
      </c>
      <c r="BW36" s="1">
        <v>-0.62686435750069336</v>
      </c>
      <c r="BX36" s="1">
        <v>-2.1705932903120555</v>
      </c>
      <c r="BY36" s="1">
        <v>-7.8028699197734426</v>
      </c>
      <c r="BZ36" s="1">
        <v>-13.398286218845385</v>
      </c>
      <c r="CB36" s="1">
        <v>1828</v>
      </c>
      <c r="CC36" s="1">
        <v>7.0285035886384861</v>
      </c>
      <c r="CD36" s="1">
        <v>1.2950687819363778</v>
      </c>
      <c r="CE36" s="1">
        <v>3.2631887525769829E-2</v>
      </c>
      <c r="CF36" s="1">
        <v>2.3572705261892528</v>
      </c>
      <c r="CG36" s="1">
        <v>0.48141872310114997</v>
      </c>
      <c r="CH36" s="1">
        <v>0.52966802251694745</v>
      </c>
      <c r="CI36" s="1">
        <v>3.5014479272887602</v>
      </c>
      <c r="CJ36" s="1">
        <v>15.226009457196744</v>
      </c>
      <c r="CL36" s="1">
        <v>1828</v>
      </c>
      <c r="CM36" s="1">
        <v>5.6468122666706915</v>
      </c>
      <c r="CN36" s="1">
        <v>0.98805675496592038</v>
      </c>
      <c r="CO36" s="1">
        <v>3.0622774865212581E-2</v>
      </c>
      <c r="CP36" s="1">
        <v>1.7029443964067088</v>
      </c>
      <c r="CQ36" s="1">
        <v>0.27147489909056355</v>
      </c>
      <c r="CR36" s="1">
        <v>0.4343601204894838</v>
      </c>
      <c r="CS36" s="1">
        <v>3.1603281808757111</v>
      </c>
      <c r="CT36" s="2">
        <v>12.23459939336429</v>
      </c>
      <c r="CV36" s="1">
        <v>1828</v>
      </c>
      <c r="CW36" s="1">
        <v>99.02474674523684</v>
      </c>
      <c r="CX36" s="1">
        <v>176.24904150732425</v>
      </c>
      <c r="CY36" s="1">
        <v>13.009206865886799</v>
      </c>
      <c r="CZ36" s="1">
        <v>61.379095075733638</v>
      </c>
      <c r="DA36" s="1">
        <v>51.414555605139078</v>
      </c>
      <c r="DB36" s="1">
        <v>401.0766457993206</v>
      </c>
      <c r="DC36" s="1">
        <v>388.25187704454964</v>
      </c>
      <c r="DD36" s="1">
        <v>54.032734450483346</v>
      </c>
      <c r="DF36" s="1">
        <v>1828</v>
      </c>
      <c r="DG36" s="1">
        <v>-2.3894815932095526E-2</v>
      </c>
      <c r="DH36" s="1">
        <v>0.34447929191946969</v>
      </c>
      <c r="DI36" s="1">
        <v>-0.23086418396685815</v>
      </c>
      <c r="DJ36" s="1">
        <v>3.3646630336256607</v>
      </c>
      <c r="DK36" s="1">
        <v>15.82250680081556</v>
      </c>
      <c r="DL36" s="1">
        <v>1.8710375357733824</v>
      </c>
      <c r="DM36" s="1">
        <v>2.4953673314984712</v>
      </c>
      <c r="DN36" s="1">
        <v>2.5544916503714745</v>
      </c>
      <c r="DO36" s="1">
        <v>0.4684413580329192</v>
      </c>
      <c r="DQ36" s="1">
        <v>1828</v>
      </c>
      <c r="DR36" s="1">
        <v>230.7308704068366</v>
      </c>
      <c r="DS36" s="1">
        <v>415.01497309154411</v>
      </c>
      <c r="DT36" s="1">
        <v>29.141797932454036</v>
      </c>
      <c r="DU36" s="1">
        <v>61.379095075733638</v>
      </c>
      <c r="DV36" s="1">
        <v>51.414555605139078</v>
      </c>
      <c r="DW36" s="1">
        <v>787.68129211170742</v>
      </c>
      <c r="DX36" s="1">
        <v>759.12744179430331</v>
      </c>
      <c r="DY36" s="1">
        <v>84.452907776127248</v>
      </c>
      <c r="EA36" s="1">
        <v>1828</v>
      </c>
      <c r="EB36" s="1">
        <v>0.2905653617024484</v>
      </c>
      <c r="EC36" s="1">
        <v>0.43880913104368346</v>
      </c>
      <c r="ED36" s="1">
        <v>0.20814806076101888</v>
      </c>
      <c r="EE36" s="1">
        <v>1.4723487365668291</v>
      </c>
      <c r="EF36" s="1">
        <v>15.82250680081556</v>
      </c>
      <c r="EG36" s="1">
        <v>1.8710375357733824</v>
      </c>
      <c r="EH36" s="1">
        <v>1.5059390908591581</v>
      </c>
      <c r="EI36" s="1">
        <v>1.5372479894500373</v>
      </c>
      <c r="EJ36" s="1">
        <v>0.40722508532110169</v>
      </c>
    </row>
    <row r="37" spans="1:140" x14ac:dyDescent="0.25">
      <c r="A37" s="1" t="s">
        <v>128</v>
      </c>
      <c r="B37" s="1">
        <v>2.3814634845914497</v>
      </c>
      <c r="C37" s="1">
        <v>2.3715513178442365</v>
      </c>
      <c r="D37" s="1">
        <v>2.6793936522091002</v>
      </c>
      <c r="E37" s="1">
        <v>2.0843977784944485</v>
      </c>
      <c r="F37" s="1">
        <v>2.2648731125152182</v>
      </c>
      <c r="G37" s="1">
        <v>4.6325560173385014</v>
      </c>
      <c r="H37" s="1">
        <v>4.8295079608381428</v>
      </c>
      <c r="J37" s="1">
        <v>1829</v>
      </c>
      <c r="K37" s="2">
        <v>289.56202614884927</v>
      </c>
      <c r="L37" s="1">
        <v>275.9340318364919</v>
      </c>
      <c r="M37" s="1">
        <v>277.26756706003749</v>
      </c>
      <c r="N37" s="1">
        <v>263.63957274768012</v>
      </c>
      <c r="O37" s="1">
        <v>12.294459088811772</v>
      </c>
      <c r="P37" s="1">
        <v>13.627994312357353</v>
      </c>
      <c r="Q37" s="1">
        <v>175.38833355241388</v>
      </c>
      <c r="R37" s="1">
        <v>464.95035970126315</v>
      </c>
      <c r="S37" s="1">
        <v>451.32236538890578</v>
      </c>
      <c r="U37" s="1">
        <v>1829</v>
      </c>
      <c r="V37" s="1">
        <v>101.42461273867686</v>
      </c>
      <c r="W37" s="1">
        <v>9613.314637840007</v>
      </c>
      <c r="X37" s="1">
        <v>3.9834623598898702</v>
      </c>
      <c r="Y37" s="1">
        <v>96.651148262277573</v>
      </c>
      <c r="Z37" s="1">
        <v>8843.704094522318</v>
      </c>
      <c r="AA37" s="1">
        <v>1.7463346000677404</v>
      </c>
      <c r="AB37" s="1">
        <v>2854948.3042633189</v>
      </c>
      <c r="AC37" s="1">
        <v>0.62422777883861613</v>
      </c>
      <c r="AE37" s="1">
        <v>1829</v>
      </c>
      <c r="AF37" s="1">
        <v>127.34988212984068</v>
      </c>
      <c r="AG37" s="1">
        <v>33.368273077296145</v>
      </c>
      <c r="AH37" s="1">
        <v>13.475512423586251</v>
      </c>
      <c r="AI37" s="1">
        <v>17.587005310879494</v>
      </c>
      <c r="AJ37" s="1">
        <v>18.113798183237325</v>
      </c>
      <c r="AK37" s="1">
        <v>28.798485482159823</v>
      </c>
      <c r="AL37" s="1">
        <v>20.904906682375977</v>
      </c>
      <c r="AM37" s="1">
        <v>16.336168547116216</v>
      </c>
      <c r="AN37" s="2">
        <v>275.93403183649195</v>
      </c>
      <c r="AP37" s="1" t="s">
        <v>128</v>
      </c>
      <c r="AQ37" s="1">
        <v>3.5344149674274945</v>
      </c>
      <c r="AR37" s="1">
        <v>1.12721808427996</v>
      </c>
      <c r="AS37" s="1">
        <v>1.7727216940056252</v>
      </c>
      <c r="AT37" s="1">
        <v>12.260746488422143</v>
      </c>
      <c r="AU37" s="1">
        <v>9.5804037512728542</v>
      </c>
      <c r="AV37" s="1">
        <v>0.64645947527375824</v>
      </c>
      <c r="AW37" s="1">
        <v>-11.612162397119619</v>
      </c>
      <c r="AX37" s="1">
        <v>0.25126303003970918</v>
      </c>
      <c r="AY37" s="1">
        <v>2.3814634845914497</v>
      </c>
      <c r="BA37" s="1">
        <v>1829</v>
      </c>
      <c r="BB37" s="1">
        <v>247.81521551256427</v>
      </c>
      <c r="BC37" s="1">
        <v>24.72318118561207</v>
      </c>
      <c r="BD37" s="1">
        <v>10.279154473141279</v>
      </c>
      <c r="BE37" s="1">
        <v>2.1747453871879245</v>
      </c>
      <c r="BF37" s="1">
        <v>0.68063842536519326</v>
      </c>
      <c r="BG37" s="1">
        <v>1.25947996992823</v>
      </c>
      <c r="BH37" s="1">
        <v>29.868971476817581</v>
      </c>
      <c r="BI37" s="1">
        <v>27.239360281767269</v>
      </c>
      <c r="BJ37" s="1">
        <v>289.56202614884921</v>
      </c>
      <c r="BL37" s="1" t="s">
        <v>128</v>
      </c>
      <c r="BM37" s="1">
        <v>8.2464297900266814</v>
      </c>
      <c r="BN37" s="1">
        <v>-9.343880333112935</v>
      </c>
      <c r="BO37" s="1">
        <v>-2.9294943415902424</v>
      </c>
      <c r="BP37" s="1">
        <v>-9.4131112936532872</v>
      </c>
      <c r="BQ37" s="1">
        <v>1.8162926018287635</v>
      </c>
      <c r="BR37" s="1">
        <v>4.6325560173385014</v>
      </c>
      <c r="BT37" s="1" t="s">
        <v>128</v>
      </c>
      <c r="BU37" s="1">
        <v>-6.9031751513361996</v>
      </c>
      <c r="BV37" s="1">
        <v>13.919540475117387</v>
      </c>
      <c r="BW37" s="1">
        <v>-2.6112790692146604</v>
      </c>
      <c r="BX37" s="1">
        <v>0.54244238795023136</v>
      </c>
      <c r="BY37" s="1">
        <v>-3.3159492897627132</v>
      </c>
      <c r="BZ37" s="1">
        <v>-4.6378541223231053</v>
      </c>
      <c r="CB37" s="1">
        <v>1829</v>
      </c>
      <c r="CC37" s="1">
        <v>6.50143743369678</v>
      </c>
      <c r="CD37" s="1">
        <v>1.3533155506056849</v>
      </c>
      <c r="CE37" s="1">
        <v>3.1308359429138038E-2</v>
      </c>
      <c r="CF37" s="1">
        <v>2.0007276875573337</v>
      </c>
      <c r="CG37" s="1">
        <v>0.5517988185774555</v>
      </c>
      <c r="CH37" s="1">
        <v>0.55514970248204354</v>
      </c>
      <c r="CI37" s="1">
        <v>3.4002807032741917</v>
      </c>
      <c r="CJ37" s="1">
        <v>14.394018255622628</v>
      </c>
      <c r="CL37" s="1">
        <v>1829</v>
      </c>
      <c r="CM37" s="1">
        <v>5.6940920062976801</v>
      </c>
      <c r="CN37" s="1">
        <v>0.97240968538990613</v>
      </c>
      <c r="CO37" s="1">
        <v>3.2005564650182894E-2</v>
      </c>
      <c r="CP37" s="1">
        <v>1.7242134510696325</v>
      </c>
      <c r="CQ37" s="1">
        <v>0.26661801724118978</v>
      </c>
      <c r="CR37" s="1">
        <v>0.43940187447700874</v>
      </c>
      <c r="CS37" s="1">
        <v>3.1657184896861721</v>
      </c>
      <c r="CT37" s="2">
        <v>12.294459088811772</v>
      </c>
      <c r="CV37" s="1">
        <v>1829</v>
      </c>
      <c r="CW37" s="1">
        <v>99.365866491649882</v>
      </c>
      <c r="CX37" s="1">
        <v>175.84214559589893</v>
      </c>
      <c r="CY37" s="1">
        <v>13.655386227962303</v>
      </c>
      <c r="CZ37" s="1">
        <v>53.318104926277975</v>
      </c>
      <c r="DA37" s="1">
        <v>49.477271684168279</v>
      </c>
      <c r="DB37" s="1">
        <v>391.65877492595735</v>
      </c>
      <c r="DC37" s="1">
        <v>378.72421257109795</v>
      </c>
      <c r="DD37" s="1">
        <v>52.506799440371545</v>
      </c>
      <c r="DF37" s="1">
        <v>1829</v>
      </c>
      <c r="DG37" s="1">
        <v>-5.6621709584376845E-2</v>
      </c>
      <c r="DH37" s="1">
        <v>0.23605914371785275</v>
      </c>
      <c r="DI37" s="1">
        <v>-0.22201144874694023</v>
      </c>
      <c r="DJ37" s="1">
        <v>2.3034845254794334</v>
      </c>
      <c r="DK37" s="1">
        <v>-22.970645811059939</v>
      </c>
      <c r="DL37" s="1">
        <v>2.5455727995026933</v>
      </c>
      <c r="DM37" s="1">
        <v>-3.2243170270712369</v>
      </c>
      <c r="DN37" s="1">
        <v>-3.3607470441619114</v>
      </c>
      <c r="DO37" s="1">
        <v>-0.76274083077578325</v>
      </c>
      <c r="DQ37" s="1">
        <v>1829</v>
      </c>
      <c r="DR37" s="1">
        <v>231.74333853431838</v>
      </c>
      <c r="DS37" s="1">
        <v>415.87881870990202</v>
      </c>
      <c r="DT37" s="1">
        <v>30.045640169506619</v>
      </c>
      <c r="DU37" s="1">
        <v>53.318104926277975</v>
      </c>
      <c r="DV37" s="1">
        <v>49.477271684168279</v>
      </c>
      <c r="DW37" s="1">
        <v>780.46317402417333</v>
      </c>
      <c r="DX37" s="1">
        <v>751.67688247626063</v>
      </c>
      <c r="DY37" s="1">
        <v>83.088986712666497</v>
      </c>
      <c r="EA37" s="1">
        <v>1829</v>
      </c>
      <c r="EB37" s="1">
        <v>0.2694237957168184</v>
      </c>
      <c r="EC37" s="1">
        <v>0.38942183677457365</v>
      </c>
      <c r="ED37" s="1">
        <v>0.20255636847304004</v>
      </c>
      <c r="EE37" s="1">
        <v>1.1099079031291978</v>
      </c>
      <c r="EF37" s="1">
        <v>-22.970645811059939</v>
      </c>
      <c r="EG37" s="1">
        <v>2.5455727995026933</v>
      </c>
      <c r="EH37" s="1">
        <v>-1.4000865351710132</v>
      </c>
      <c r="EI37" s="1">
        <v>-1.4812553436736664</v>
      </c>
      <c r="EJ37" s="1">
        <v>-0.39805383171325559</v>
      </c>
    </row>
    <row r="38" spans="1:140" x14ac:dyDescent="0.25">
      <c r="A38" s="1" t="s">
        <v>129</v>
      </c>
      <c r="B38" s="1">
        <v>-2.1375170724964931</v>
      </c>
      <c r="C38" s="1">
        <v>-2.07664057103419</v>
      </c>
      <c r="D38" s="1">
        <v>-1.9979254902709584</v>
      </c>
      <c r="E38" s="1">
        <v>-2.2769098241368084</v>
      </c>
      <c r="F38" s="1">
        <v>-2.1473427127038605</v>
      </c>
      <c r="G38" s="1">
        <v>-1.1567802685951989</v>
      </c>
      <c r="H38" s="1">
        <v>-1.2394442154952401</v>
      </c>
      <c r="J38" s="1">
        <v>1830</v>
      </c>
      <c r="K38" s="2">
        <v>305.51896145949775</v>
      </c>
      <c r="L38" s="1">
        <v>291.10321699043988</v>
      </c>
      <c r="M38" s="1">
        <v>293.36646332272727</v>
      </c>
      <c r="N38" s="1">
        <v>278.9507188536694</v>
      </c>
      <c r="O38" s="1">
        <v>12.152498136770461</v>
      </c>
      <c r="P38" s="1">
        <v>14.415744469057882</v>
      </c>
      <c r="Q38" s="1">
        <v>183.4229757084268</v>
      </c>
      <c r="R38" s="1">
        <v>488.94193716792455</v>
      </c>
      <c r="S38" s="1">
        <v>474.52619269886668</v>
      </c>
      <c r="U38" s="1">
        <v>1830</v>
      </c>
      <c r="V38" s="1">
        <v>106.24603308086274</v>
      </c>
      <c r="W38" s="1">
        <v>9433.9342218929814</v>
      </c>
      <c r="X38" s="1">
        <v>-1.865958024934983</v>
      </c>
      <c r="Y38" s="1">
        <v>101.23287233814455</v>
      </c>
      <c r="Z38" s="1">
        <v>8592.5731203601954</v>
      </c>
      <c r="AA38" s="1">
        <v>-2.8396582639809225</v>
      </c>
      <c r="AB38" s="1">
        <v>2875579.9402597034</v>
      </c>
      <c r="AC38" s="1">
        <v>0.72266233211912834</v>
      </c>
      <c r="AE38" s="1">
        <v>1830</v>
      </c>
      <c r="AF38" s="1">
        <v>139.29021233909</v>
      </c>
      <c r="AG38" s="1">
        <v>33.506658479539595</v>
      </c>
      <c r="AH38" s="1">
        <v>13.637060720846495</v>
      </c>
      <c r="AI38" s="1">
        <v>17.109611397608809</v>
      </c>
      <c r="AJ38" s="1">
        <v>19.526426387425083</v>
      </c>
      <c r="AK38" s="1">
        <v>31.401986860925497</v>
      </c>
      <c r="AL38" s="1">
        <v>21.332433695097258</v>
      </c>
      <c r="AM38" s="1">
        <v>15.298827109907119</v>
      </c>
      <c r="AN38" s="2">
        <v>291.10321699043988</v>
      </c>
      <c r="AP38" s="1" t="s">
        <v>129</v>
      </c>
      <c r="AQ38" s="1">
        <v>-2.7706573639647729</v>
      </c>
      <c r="AR38" s="1">
        <v>0.34469471623444292</v>
      </c>
      <c r="AS38" s="1">
        <v>2.7834682937923674</v>
      </c>
      <c r="AT38" s="1">
        <v>-10.385040531828395</v>
      </c>
      <c r="AU38" s="1">
        <v>0.5147894668288302</v>
      </c>
      <c r="AV38" s="1">
        <v>0.75996889014562896</v>
      </c>
      <c r="AW38" s="1">
        <v>-6.0791952380400289</v>
      </c>
      <c r="AX38" s="1">
        <v>0.2902545666846521</v>
      </c>
      <c r="AY38" s="1">
        <v>-2.1375170724964931</v>
      </c>
      <c r="BA38" s="1">
        <v>1830</v>
      </c>
      <c r="BB38" s="1">
        <v>260.75309229871812</v>
      </c>
      <c r="BC38" s="1">
        <v>25.766493479573857</v>
      </c>
      <c r="BD38" s="1">
        <v>10.472394173079126</v>
      </c>
      <c r="BE38" s="1">
        <v>2.8558468272461393</v>
      </c>
      <c r="BF38" s="1">
        <v>0.15316120120641799</v>
      </c>
      <c r="BG38" s="1">
        <v>1.4243511607914601</v>
      </c>
      <c r="BH38" s="1">
        <v>29.450509699441792</v>
      </c>
      <c r="BI38" s="1">
        <v>25.356887380559144</v>
      </c>
      <c r="BJ38" s="1">
        <v>305.51896145949775</v>
      </c>
      <c r="BL38" s="1" t="s">
        <v>129</v>
      </c>
      <c r="BM38" s="1">
        <v>-2.113684671615772</v>
      </c>
      <c r="BN38" s="1">
        <v>-1.6108987775169368</v>
      </c>
      <c r="BO38" s="1">
        <v>3.8166392166651519</v>
      </c>
      <c r="BP38" s="1">
        <v>3.0519542932391488</v>
      </c>
      <c r="BQ38" s="1">
        <v>-3.4902232926480821</v>
      </c>
      <c r="BR38" s="1">
        <v>-1.1567802685951989</v>
      </c>
      <c r="BT38" s="1" t="s">
        <v>129</v>
      </c>
      <c r="BU38" s="1">
        <v>7.4928353788201889</v>
      </c>
      <c r="BV38" s="1">
        <v>5.9263420746904671</v>
      </c>
      <c r="BW38" s="1">
        <v>-0.25183475080177686</v>
      </c>
      <c r="BX38" s="1">
        <v>-4.321068833984981</v>
      </c>
      <c r="BY38" s="1">
        <v>-3.5443377780870264</v>
      </c>
      <c r="BZ38" s="1">
        <v>6.7455252416304319</v>
      </c>
      <c r="CB38" s="1">
        <v>1830</v>
      </c>
      <c r="CC38" s="1">
        <v>5.8444926104655339</v>
      </c>
      <c r="CD38" s="1">
        <v>1.4552338411022796</v>
      </c>
      <c r="CE38" s="1">
        <v>2.8166888136593054E-2</v>
      </c>
      <c r="CF38" s="1">
        <v>2.3653259364644299</v>
      </c>
      <c r="CG38" s="1">
        <v>0.61187151957821861</v>
      </c>
      <c r="CH38" s="1">
        <v>0.62887088786047796</v>
      </c>
      <c r="CI38" s="1">
        <v>3.9717916787156091</v>
      </c>
      <c r="CJ38" s="1">
        <v>14.905753362323143</v>
      </c>
      <c r="CL38" s="1">
        <v>1830</v>
      </c>
      <c r="CM38" s="1">
        <v>5.6105469953001634</v>
      </c>
      <c r="CN38" s="1">
        <v>0.94099440015807989</v>
      </c>
      <c r="CO38" s="1">
        <v>3.1920689391990553E-2</v>
      </c>
      <c r="CP38" s="1">
        <v>1.7619488488234865</v>
      </c>
      <c r="CQ38" s="1">
        <v>0.2572258048411557</v>
      </c>
      <c r="CR38" s="1">
        <v>0.43606455487606338</v>
      </c>
      <c r="CS38" s="1">
        <v>3.1137968433795216</v>
      </c>
      <c r="CT38" s="2">
        <v>12.152498136770461</v>
      </c>
      <c r="CV38" s="1">
        <v>1830</v>
      </c>
      <c r="CW38" s="1">
        <v>97.284139665581193</v>
      </c>
      <c r="CX38" s="1">
        <v>171.37148250790833</v>
      </c>
      <c r="CY38" s="1">
        <v>13.995513467803917</v>
      </c>
      <c r="CZ38" s="1">
        <v>54.760789187324484</v>
      </c>
      <c r="DA38" s="1">
        <v>51.875161698091262</v>
      </c>
      <c r="DB38" s="1">
        <v>389.28708652670912</v>
      </c>
      <c r="DC38" s="1">
        <v>376.53059712460572</v>
      </c>
      <c r="DD38" s="1">
        <v>52.359290896653889</v>
      </c>
      <c r="DF38" s="1">
        <v>1830</v>
      </c>
      <c r="DG38" s="1">
        <v>0.10222055953607878</v>
      </c>
      <c r="DH38" s="1">
        <v>0.88194729201025268</v>
      </c>
      <c r="DI38" s="1">
        <v>-0.340414604920241</v>
      </c>
      <c r="DJ38" s="1">
        <v>6.4824978086842009</v>
      </c>
      <c r="DK38" s="1">
        <v>9.3582207168824141</v>
      </c>
      <c r="DL38" s="1">
        <v>2.7457286187965195</v>
      </c>
      <c r="DM38" s="1">
        <v>1.9715056474713037</v>
      </c>
      <c r="DN38" s="1">
        <v>1.9871146422585326</v>
      </c>
      <c r="DO38" s="1">
        <v>-0.16596842756521824</v>
      </c>
      <c r="DQ38" s="1">
        <v>1830</v>
      </c>
      <c r="DR38" s="1">
        <v>227.23543031147301</v>
      </c>
      <c r="DS38" s="1">
        <v>407.03001686460078</v>
      </c>
      <c r="DT38" s="1">
        <v>30.44454696598272</v>
      </c>
      <c r="DU38" s="1">
        <v>54.760789187324484</v>
      </c>
      <c r="DV38" s="1">
        <v>51.875161698091262</v>
      </c>
      <c r="DW38" s="1">
        <v>771.34594502747223</v>
      </c>
      <c r="DX38" s="1">
        <v>742.99243749988977</v>
      </c>
      <c r="DY38" s="1">
        <v>82.347464300017052</v>
      </c>
      <c r="EA38" s="1">
        <v>1830</v>
      </c>
      <c r="EB38" s="1">
        <v>0.33032068837582074</v>
      </c>
      <c r="EC38" s="1">
        <v>0.6702423893233771</v>
      </c>
      <c r="ED38" s="1">
        <v>0.14055027639973616</v>
      </c>
      <c r="EE38" s="1">
        <v>3.310446236437258</v>
      </c>
      <c r="EF38" s="1">
        <v>9.3582207168824141</v>
      </c>
      <c r="EG38" s="1">
        <v>2.7457286187965195</v>
      </c>
      <c r="EH38" s="1">
        <v>1.2432121273261458</v>
      </c>
      <c r="EI38" s="1">
        <v>1.2508390415551673</v>
      </c>
      <c r="EJ38" s="1">
        <v>-3.8686439750861723E-2</v>
      </c>
    </row>
    <row r="39" spans="1:140" x14ac:dyDescent="0.25">
      <c r="A39" s="1" t="s">
        <v>130</v>
      </c>
      <c r="B39" s="1">
        <v>0.42661668696221966</v>
      </c>
      <c r="C39" s="1">
        <v>0.48917863164146524</v>
      </c>
      <c r="D39" s="1">
        <v>0.49107940293448848</v>
      </c>
      <c r="E39" s="1">
        <v>0.36219532233950247</v>
      </c>
      <c r="F39" s="1">
        <v>0.46466319333863737</v>
      </c>
      <c r="G39" s="1">
        <v>-0.39332713585260137</v>
      </c>
      <c r="H39" s="1">
        <v>-0.45638367388065149</v>
      </c>
      <c r="J39" s="1">
        <v>1831</v>
      </c>
      <c r="K39" s="2">
        <v>323.71354377910387</v>
      </c>
      <c r="L39" s="1">
        <v>308.50147696151129</v>
      </c>
      <c r="M39" s="1">
        <v>311.16919036363288</v>
      </c>
      <c r="N39" s="1">
        <v>295.95712354604029</v>
      </c>
      <c r="O39" s="1">
        <v>12.544353415471003</v>
      </c>
      <c r="P39" s="1">
        <v>15.212066817592609</v>
      </c>
      <c r="Q39" s="1">
        <v>200.52079732915672</v>
      </c>
      <c r="R39" s="1">
        <v>524.23434110826065</v>
      </c>
      <c r="S39" s="1">
        <v>509.02227429066801</v>
      </c>
      <c r="U39" s="1">
        <v>1831</v>
      </c>
      <c r="V39" s="1">
        <v>111.83540802952295</v>
      </c>
      <c r="W39" s="1">
        <v>9335.23337140904</v>
      </c>
      <c r="X39" s="1">
        <v>-1.046232125033157</v>
      </c>
      <c r="Y39" s="1">
        <v>106.57999708916782</v>
      </c>
      <c r="Z39" s="1">
        <v>8572.6673166215987</v>
      </c>
      <c r="AA39" s="1">
        <v>-0.2316628960820708</v>
      </c>
      <c r="AB39" s="1">
        <v>2894553.2500194223</v>
      </c>
      <c r="AC39" s="1">
        <v>0.65980811362891245</v>
      </c>
      <c r="AE39" s="1">
        <v>1831</v>
      </c>
      <c r="AF39" s="1">
        <v>143.81136412028312</v>
      </c>
      <c r="AG39" s="1">
        <v>34.879553969415078</v>
      </c>
      <c r="AH39" s="1">
        <v>16.468078025478391</v>
      </c>
      <c r="AI39" s="1">
        <v>17.318899116336116</v>
      </c>
      <c r="AJ39" s="1">
        <v>21.387198515606261</v>
      </c>
      <c r="AK39" s="1">
        <v>34.85928049647535</v>
      </c>
      <c r="AL39" s="1">
        <v>23.828618772922528</v>
      </c>
      <c r="AM39" s="1">
        <v>15.94848394499445</v>
      </c>
      <c r="AN39" s="2">
        <v>308.50147696151129</v>
      </c>
      <c r="AP39" s="1" t="s">
        <v>130</v>
      </c>
      <c r="AQ39" s="1">
        <v>-2.9706475723144194</v>
      </c>
      <c r="AR39" s="1">
        <v>3.375861585227284</v>
      </c>
      <c r="AS39" s="1">
        <v>14.4642020513744</v>
      </c>
      <c r="AT39" s="1">
        <v>-3.2767438237946891</v>
      </c>
      <c r="AU39" s="1">
        <v>6.6884378426669571</v>
      </c>
      <c r="AV39" s="1">
        <v>0.43847651596384196</v>
      </c>
      <c r="AW39" s="1">
        <v>6.3886908806651093</v>
      </c>
      <c r="AX39" s="1">
        <v>0.55848465095009203</v>
      </c>
      <c r="AY39" s="1">
        <v>0.42661668696221966</v>
      </c>
      <c r="BA39" s="1">
        <v>1831</v>
      </c>
      <c r="BB39" s="1">
        <v>272.16749238100238</v>
      </c>
      <c r="BC39" s="1">
        <v>28.96013460187865</v>
      </c>
      <c r="BD39" s="1">
        <v>13.057074166994708</v>
      </c>
      <c r="BE39" s="1">
        <v>2.2783684294457589</v>
      </c>
      <c r="BF39" s="1">
        <v>0.15938508616637903</v>
      </c>
      <c r="BG39" s="1">
        <v>1.3771210706598849</v>
      </c>
      <c r="BH39" s="1">
        <v>32.281016574291954</v>
      </c>
      <c r="BI39" s="1">
        <v>26.567048531335796</v>
      </c>
      <c r="BJ39" s="1">
        <v>323.71354377910393</v>
      </c>
      <c r="BL39" s="1" t="s">
        <v>130</v>
      </c>
      <c r="BM39" s="1">
        <v>-3.0456820379287848</v>
      </c>
      <c r="BN39" s="1">
        <v>8.4079677270059392</v>
      </c>
      <c r="BO39" s="1">
        <v>11.075175592868391</v>
      </c>
      <c r="BP39" s="1">
        <v>8.4209930405524318</v>
      </c>
      <c r="BQ39" s="1">
        <v>-2.3813552152947892</v>
      </c>
      <c r="BR39" s="1">
        <v>-0.39332713585260137</v>
      </c>
      <c r="BT39" s="1" t="s">
        <v>130</v>
      </c>
      <c r="BU39" s="1">
        <v>7.656344429227488</v>
      </c>
      <c r="BV39" s="1">
        <v>3.6773893572112257</v>
      </c>
      <c r="BW39" s="1">
        <v>1.9047219255474772</v>
      </c>
      <c r="BX39" s="1">
        <v>1.0976374240726301</v>
      </c>
      <c r="BY39" s="1">
        <v>7.3283846798900356</v>
      </c>
      <c r="BZ39" s="1">
        <v>6.3737004285703307</v>
      </c>
      <c r="CB39" s="1">
        <v>1831</v>
      </c>
      <c r="CC39" s="1">
        <v>6.6224963306136369</v>
      </c>
      <c r="CD39" s="1">
        <v>1.647669026747566</v>
      </c>
      <c r="CE39" s="1">
        <v>3.2362067628838531E-2</v>
      </c>
      <c r="CF39" s="1">
        <v>2.6551102287244492</v>
      </c>
      <c r="CG39" s="1">
        <v>0.66448064172727161</v>
      </c>
      <c r="CH39" s="1">
        <v>0.72720839642230128</v>
      </c>
      <c r="CI39" s="1">
        <v>4.5226220614026662</v>
      </c>
      <c r="CJ39" s="1">
        <v>16.871948753266729</v>
      </c>
      <c r="CL39" s="1">
        <v>1831</v>
      </c>
      <c r="CM39" s="1">
        <v>5.7475093931051928</v>
      </c>
      <c r="CN39" s="1">
        <v>0.962534988711374</v>
      </c>
      <c r="CO39" s="1">
        <v>3.1646903219674137E-2</v>
      </c>
      <c r="CP39" s="1">
        <v>1.866411575923772</v>
      </c>
      <c r="CQ39" s="1">
        <v>0.26327133272781084</v>
      </c>
      <c r="CR39" s="1">
        <v>0.45285130092377279</v>
      </c>
      <c r="CS39" s="1">
        <v>3.2201279208594067</v>
      </c>
      <c r="CT39" s="2">
        <v>12.544353415471003</v>
      </c>
      <c r="CV39" s="1">
        <v>1831</v>
      </c>
      <c r="CW39" s="1">
        <v>100.47885198903434</v>
      </c>
      <c r="CX39" s="1">
        <v>174.85449249927797</v>
      </c>
      <c r="CY39" s="1">
        <v>14.935529586746295</v>
      </c>
      <c r="CZ39" s="1">
        <v>59.885424705780991</v>
      </c>
      <c r="DA39" s="1">
        <v>54.019157036120248</v>
      </c>
      <c r="DB39" s="1">
        <v>404.1734558169598</v>
      </c>
      <c r="DC39" s="1">
        <v>390.92879931213878</v>
      </c>
      <c r="DD39" s="1">
        <v>53.141891896325134</v>
      </c>
      <c r="DF39" s="1">
        <v>1831</v>
      </c>
      <c r="DG39" s="1">
        <v>0.9171250918470264</v>
      </c>
      <c r="DH39" s="1">
        <v>1.296286845201422</v>
      </c>
      <c r="DI39" s="1">
        <v>0.69924257049653704</v>
      </c>
      <c r="DJ39" s="1">
        <v>1.7847904051833154</v>
      </c>
      <c r="DK39" s="1">
        <v>0.55107951781610609</v>
      </c>
      <c r="DL39" s="1">
        <v>2.5493198084136424</v>
      </c>
      <c r="DM39" s="1">
        <v>1.1146234957367369</v>
      </c>
      <c r="DN39" s="1">
        <v>1.082163650263297</v>
      </c>
      <c r="DO39" s="1">
        <v>-3.329568684705464E-3</v>
      </c>
      <c r="DQ39" s="1">
        <v>1831</v>
      </c>
      <c r="DR39" s="1">
        <v>234.20508845300523</v>
      </c>
      <c r="DS39" s="1">
        <v>417.30691055162754</v>
      </c>
      <c r="DT39" s="1">
        <v>31.518949775993345</v>
      </c>
      <c r="DU39" s="1">
        <v>59.885424705780991</v>
      </c>
      <c r="DV39" s="1">
        <v>54.019157036120248</v>
      </c>
      <c r="DW39" s="1">
        <v>796.93553052252742</v>
      </c>
      <c r="DX39" s="1">
        <v>767.63673722265582</v>
      </c>
      <c r="DY39" s="1">
        <v>83.83950657742939</v>
      </c>
      <c r="EA39" s="1">
        <v>1831</v>
      </c>
      <c r="EB39" s="1">
        <v>0.67790354068127101</v>
      </c>
      <c r="EC39" s="1">
        <v>0.85730296207977119</v>
      </c>
      <c r="ED39" s="1">
        <v>0.5772192330538104</v>
      </c>
      <c r="EE39" s="1">
        <v>1.2358942822430947</v>
      </c>
      <c r="EF39" s="1">
        <v>0.55107951781610609</v>
      </c>
      <c r="EG39" s="1">
        <v>2.5493198084136424</v>
      </c>
      <c r="EH39" s="1">
        <v>0.81785409464842473</v>
      </c>
      <c r="EI39" s="1">
        <v>0.79870229724143371</v>
      </c>
      <c r="EJ39" s="1">
        <v>5.6199340603924952E-2</v>
      </c>
    </row>
    <row r="40" spans="1:140" x14ac:dyDescent="0.25">
      <c r="A40" s="1" t="s">
        <v>131</v>
      </c>
      <c r="B40" s="1">
        <v>-2.124673255725412</v>
      </c>
      <c r="C40" s="1">
        <v>-2.0749382735445749</v>
      </c>
      <c r="D40" s="1">
        <v>-2.0412328131116055</v>
      </c>
      <c r="E40" s="1">
        <v>-2.2080426244816636</v>
      </c>
      <c r="F40" s="1">
        <v>-2.0932231854899328</v>
      </c>
      <c r="G40" s="1">
        <v>-4.037504027974208</v>
      </c>
      <c r="H40" s="1">
        <v>-4.2142687584762086</v>
      </c>
      <c r="J40" s="1">
        <v>1832</v>
      </c>
      <c r="K40" s="2">
        <v>331.51824715818566</v>
      </c>
      <c r="L40" s="1">
        <v>315.79720185543442</v>
      </c>
      <c r="M40" s="1">
        <v>318.68306312151191</v>
      </c>
      <c r="N40" s="1">
        <v>302.96201781876067</v>
      </c>
      <c r="O40" s="1">
        <v>12.83518403667375</v>
      </c>
      <c r="P40" s="1">
        <v>15.72104530275125</v>
      </c>
      <c r="Q40" s="1">
        <v>212.03220555953556</v>
      </c>
      <c r="R40" s="1">
        <v>543.55045271772121</v>
      </c>
      <c r="S40" s="1">
        <v>527.82940741496998</v>
      </c>
      <c r="U40" s="1">
        <v>1832</v>
      </c>
      <c r="V40" s="1">
        <v>113.84947446258397</v>
      </c>
      <c r="W40" s="1">
        <v>8904.9574983151033</v>
      </c>
      <c r="X40" s="1">
        <v>-4.6091603281364115</v>
      </c>
      <c r="Y40" s="1">
        <v>108.45057783754642</v>
      </c>
      <c r="Z40" s="1">
        <v>8340.5431083139247</v>
      </c>
      <c r="AA40" s="1">
        <v>-2.7077244425151861</v>
      </c>
      <c r="AB40" s="1">
        <v>2911899.6703593689</v>
      </c>
      <c r="AC40" s="1">
        <v>0.59927798322003412</v>
      </c>
      <c r="AE40" s="1">
        <v>1832</v>
      </c>
      <c r="AF40" s="1">
        <v>155.91944957879886</v>
      </c>
      <c r="AG40" s="1">
        <v>35.161940287444985</v>
      </c>
      <c r="AH40" s="1">
        <v>14.062332256710913</v>
      </c>
      <c r="AI40" s="1">
        <v>18.740713886825418</v>
      </c>
      <c r="AJ40" s="1">
        <v>22.518668918910347</v>
      </c>
      <c r="AK40" s="1">
        <v>32.242795151162156</v>
      </c>
      <c r="AL40" s="1">
        <v>21.599513026538311</v>
      </c>
      <c r="AM40" s="1">
        <v>15.55178874904346</v>
      </c>
      <c r="AN40" s="2">
        <v>315.79720185543448</v>
      </c>
      <c r="AP40" s="1" t="s">
        <v>131</v>
      </c>
      <c r="AQ40" s="1">
        <v>-2.2994506908102181</v>
      </c>
      <c r="AR40" s="1">
        <v>-1.2590251060908599</v>
      </c>
      <c r="AS40" s="1">
        <v>-12.008341420244591</v>
      </c>
      <c r="AT40" s="1">
        <v>-4.8738569522644752</v>
      </c>
      <c r="AU40" s="1">
        <v>0.70868036404864654</v>
      </c>
      <c r="AV40" s="1">
        <v>0.20672091691274375</v>
      </c>
      <c r="AW40" s="1">
        <v>-1.3759294974068581</v>
      </c>
      <c r="AX40" s="1">
        <v>1.0889047838285677</v>
      </c>
      <c r="AY40" s="1">
        <v>-2.124673255725412</v>
      </c>
      <c r="BA40" s="1">
        <v>1832</v>
      </c>
      <c r="BB40" s="1">
        <v>291.57840817077346</v>
      </c>
      <c r="BC40" s="1">
        <v>26.355530932407273</v>
      </c>
      <c r="BD40" s="1">
        <v>11.3361229799124</v>
      </c>
      <c r="BE40" s="1">
        <v>2.3118672770225071</v>
      </c>
      <c r="BF40" s="1">
        <v>0.22213281032267596</v>
      </c>
      <c r="BG40" s="1">
        <v>1.513264472082569</v>
      </c>
      <c r="BH40" s="1">
        <v>31.19391345826746</v>
      </c>
      <c r="BI40" s="1">
        <v>32.992992942602669</v>
      </c>
      <c r="BJ40" s="1">
        <v>331.5182471581856</v>
      </c>
      <c r="BL40" s="1" t="s">
        <v>131</v>
      </c>
      <c r="BM40" s="1">
        <v>-1.9696852504118425</v>
      </c>
      <c r="BN40" s="1">
        <v>-3.5898854574014223</v>
      </c>
      <c r="BO40" s="1">
        <v>-10.68748039217067</v>
      </c>
      <c r="BP40" s="1">
        <v>-2.0958500592600586</v>
      </c>
      <c r="BQ40" s="1">
        <v>15.975562199402063</v>
      </c>
      <c r="BR40" s="1">
        <v>-4.037504027974208</v>
      </c>
      <c r="BT40" s="1" t="s">
        <v>131</v>
      </c>
      <c r="BU40" s="1">
        <v>9.2845357478163351</v>
      </c>
      <c r="BV40" s="1">
        <v>-5.6050861134013843</v>
      </c>
      <c r="BW40" s="1">
        <v>2.087928587714913</v>
      </c>
      <c r="BX40" s="1">
        <v>-1.2989985516926907</v>
      </c>
      <c r="BY40" s="1">
        <v>7.0808767856068329</v>
      </c>
      <c r="BZ40" s="1">
        <v>6.7198071968993816</v>
      </c>
      <c r="CB40" s="1">
        <v>1832</v>
      </c>
      <c r="CC40" s="1">
        <v>5.9191483587678917</v>
      </c>
      <c r="CD40" s="1">
        <v>1.8166093285328189</v>
      </c>
      <c r="CE40" s="1">
        <v>3.5311911873350407E-2</v>
      </c>
      <c r="CF40" s="1">
        <v>2.5404802854147679</v>
      </c>
      <c r="CG40" s="1">
        <v>0.75832434231948631</v>
      </c>
      <c r="CH40" s="1">
        <v>0.69440958041894918</v>
      </c>
      <c r="CI40" s="1">
        <v>3.6191037320128858</v>
      </c>
      <c r="CJ40" s="1">
        <v>15.383387539340148</v>
      </c>
      <c r="CL40" s="1">
        <v>1832</v>
      </c>
      <c r="CM40" s="1">
        <v>5.8453839401631562</v>
      </c>
      <c r="CN40" s="1">
        <v>0.98462667235235268</v>
      </c>
      <c r="CO40" s="1">
        <v>3.2174341489251808E-2</v>
      </c>
      <c r="CP40" s="1">
        <v>1.9312243521915149</v>
      </c>
      <c r="CQ40" s="1">
        <v>0.26771052356972924</v>
      </c>
      <c r="CR40" s="1">
        <v>0.46952946572296239</v>
      </c>
      <c r="CS40" s="1">
        <v>3.3045347411847836</v>
      </c>
      <c r="CT40" s="2">
        <v>12.83518403667375</v>
      </c>
      <c r="CV40" s="1">
        <v>1832</v>
      </c>
      <c r="CW40" s="1">
        <v>104.14835417910267</v>
      </c>
      <c r="CX40" s="1">
        <v>180.17196697859021</v>
      </c>
      <c r="CY40" s="1">
        <v>15.109156164510953</v>
      </c>
      <c r="CZ40" s="1">
        <v>60.215441015491734</v>
      </c>
      <c r="DA40" s="1">
        <v>57.234248633003162</v>
      </c>
      <c r="DB40" s="1">
        <v>416.87916697069875</v>
      </c>
      <c r="DC40" s="1">
        <v>403.05235865977261</v>
      </c>
      <c r="DD40" s="1">
        <v>54.681324405557248</v>
      </c>
      <c r="DF40" s="1">
        <v>1832</v>
      </c>
      <c r="DG40" s="1">
        <v>0.18840787117395053</v>
      </c>
      <c r="DH40" s="1">
        <v>0.30203932967307878</v>
      </c>
      <c r="DI40" s="1">
        <v>0.12272323896334569</v>
      </c>
      <c r="DJ40" s="1">
        <v>1.8335083989711336</v>
      </c>
      <c r="DK40" s="1">
        <v>17.052694063848264</v>
      </c>
      <c r="DL40" s="1">
        <v>2.6439841672176101</v>
      </c>
      <c r="DM40" s="1">
        <v>2.9472488546982163</v>
      </c>
      <c r="DN40" s="1">
        <v>2.9929563516467113</v>
      </c>
      <c r="DO40" s="1">
        <v>3.0341692449869129</v>
      </c>
      <c r="DQ40" s="1">
        <v>1832</v>
      </c>
      <c r="DR40" s="1">
        <v>241.7062596976929</v>
      </c>
      <c r="DS40" s="1">
        <v>429.4765162141523</v>
      </c>
      <c r="DT40" s="1">
        <v>31.717407805936407</v>
      </c>
      <c r="DU40" s="1">
        <v>60.215441015491734</v>
      </c>
      <c r="DV40" s="1">
        <v>57.234248633003162</v>
      </c>
      <c r="DW40" s="1">
        <v>820.34987336627648</v>
      </c>
      <c r="DX40" s="1">
        <v>789.99043485691971</v>
      </c>
      <c r="DY40" s="1">
        <v>86.113219117466656</v>
      </c>
      <c r="EA40" s="1">
        <v>1832</v>
      </c>
      <c r="EB40" s="1">
        <v>0.36427928385849384</v>
      </c>
      <c r="EC40" s="1">
        <v>0.42789437821335241</v>
      </c>
      <c r="ED40" s="1">
        <v>0.32847717143479827</v>
      </c>
      <c r="EE40" s="1">
        <v>1.3318123043425771</v>
      </c>
      <c r="EF40" s="1">
        <v>17.052694063848264</v>
      </c>
      <c r="EG40" s="1">
        <v>2.6439841672176101</v>
      </c>
      <c r="EH40" s="1">
        <v>1.7429708259012244</v>
      </c>
      <c r="EI40" s="1">
        <v>1.7663867392641208</v>
      </c>
      <c r="EJ40" s="1">
        <v>1.9748933513891416</v>
      </c>
    </row>
    <row r="41" spans="1:140" x14ac:dyDescent="0.25">
      <c r="A41" s="1" t="s">
        <v>132</v>
      </c>
      <c r="B41" s="1">
        <v>6.0012129118416624</v>
      </c>
      <c r="C41" s="1">
        <v>6.0298213791440247</v>
      </c>
      <c r="D41" s="1">
        <v>6.1955717124535994</v>
      </c>
      <c r="E41" s="1">
        <v>5.8072098260939526</v>
      </c>
      <c r="F41" s="1">
        <v>5.9687101494110095</v>
      </c>
      <c r="G41" s="1">
        <v>9.3535033093887563</v>
      </c>
      <c r="H41" s="1">
        <v>9.7586517794098171</v>
      </c>
      <c r="J41" s="1">
        <v>1833</v>
      </c>
      <c r="K41" s="2">
        <v>323.23149202962645</v>
      </c>
      <c r="L41" s="1">
        <v>307.89692516102684</v>
      </c>
      <c r="M41" s="1">
        <v>310.27935006165683</v>
      </c>
      <c r="N41" s="1">
        <v>294.94478319305722</v>
      </c>
      <c r="O41" s="1">
        <v>12.952141967969636</v>
      </c>
      <c r="P41" s="1">
        <v>15.334566868599602</v>
      </c>
      <c r="Q41" s="1">
        <v>198.4010120598511</v>
      </c>
      <c r="R41" s="1">
        <v>521.63250408947761</v>
      </c>
      <c r="S41" s="1">
        <v>506.29793722087794</v>
      </c>
      <c r="U41" s="1">
        <v>1833</v>
      </c>
      <c r="V41" s="1">
        <v>109.90848300356535</v>
      </c>
      <c r="W41" s="1">
        <v>9641.8085961080396</v>
      </c>
      <c r="X41" s="1">
        <v>8.274616672031911</v>
      </c>
      <c r="Y41" s="1">
        <v>104.69426649433355</v>
      </c>
      <c r="Z41" s="1">
        <v>8753.8503918471415</v>
      </c>
      <c r="AA41" s="1">
        <v>4.9554001240186523</v>
      </c>
      <c r="AB41" s="1">
        <v>2940914.8702301807</v>
      </c>
      <c r="AC41" s="1">
        <v>0.99643542551145003</v>
      </c>
      <c r="AE41" s="1">
        <v>1833</v>
      </c>
      <c r="AF41" s="1">
        <v>149.96834937627682</v>
      </c>
      <c r="AG41" s="1">
        <v>35.744706526779574</v>
      </c>
      <c r="AH41" s="1">
        <v>12.939338377699666</v>
      </c>
      <c r="AI41" s="1">
        <v>19.225697676463508</v>
      </c>
      <c r="AJ41" s="1">
        <v>21.712959780569122</v>
      </c>
      <c r="AK41" s="1">
        <v>31.315070355023735</v>
      </c>
      <c r="AL41" s="1">
        <v>20.931647404041311</v>
      </c>
      <c r="AM41" s="1">
        <v>16.059155664173129</v>
      </c>
      <c r="AN41" s="2">
        <v>307.8969251610269</v>
      </c>
      <c r="AP41" s="1" t="s">
        <v>132</v>
      </c>
      <c r="AQ41" s="1">
        <v>8.9590666430118233</v>
      </c>
      <c r="AR41" s="1">
        <v>4.0613017169875292</v>
      </c>
      <c r="AS41" s="1">
        <v>-7.4981709651028581</v>
      </c>
      <c r="AT41" s="1">
        <v>11.4045303020321</v>
      </c>
      <c r="AU41" s="1">
        <v>2.4271536266329292</v>
      </c>
      <c r="AV41" s="1">
        <v>0.94400563105206459</v>
      </c>
      <c r="AW41" s="1">
        <v>8.2343143712211742</v>
      </c>
      <c r="AX41" s="1">
        <v>0.79793721647894245</v>
      </c>
      <c r="AY41" s="1">
        <v>6.0012129118416624</v>
      </c>
      <c r="BA41" s="1">
        <v>1833</v>
      </c>
      <c r="BB41" s="1">
        <v>285.95730824622456</v>
      </c>
      <c r="BC41" s="1">
        <v>24.718759071871215</v>
      </c>
      <c r="BD41" s="1">
        <v>9.6693585805039231</v>
      </c>
      <c r="BE41" s="1">
        <v>2.1456211468975397</v>
      </c>
      <c r="BF41" s="1">
        <v>1.3493578087174429</v>
      </c>
      <c r="BG41" s="1">
        <v>1.0893038677253759</v>
      </c>
      <c r="BH41" s="1">
        <v>33.355778994468913</v>
      </c>
      <c r="BI41" s="1">
        <v>35.053995686782507</v>
      </c>
      <c r="BJ41" s="1">
        <v>323.23149202962645</v>
      </c>
      <c r="BL41" s="1" t="s">
        <v>132</v>
      </c>
      <c r="BM41" s="1">
        <v>10.028826417386298</v>
      </c>
      <c r="BN41" s="1">
        <v>1.04563468389847</v>
      </c>
      <c r="BO41" s="1">
        <v>-7.1144594812963646</v>
      </c>
      <c r="BP41" s="1">
        <v>6.7606691844316344</v>
      </c>
      <c r="BQ41" s="1">
        <v>-1.1320331764178633</v>
      </c>
      <c r="BR41" s="1">
        <v>9.3535033093887705</v>
      </c>
      <c r="BT41" s="1" t="s">
        <v>132</v>
      </c>
      <c r="BU41" s="1">
        <v>-10.866828653212039</v>
      </c>
      <c r="BV41" s="1">
        <v>-7.1809030168211763</v>
      </c>
      <c r="BW41" s="1">
        <v>-0.24705300443757494</v>
      </c>
      <c r="BX41" s="1">
        <v>0.15899021318345774</v>
      </c>
      <c r="BY41" s="1">
        <v>7.4633095906480236</v>
      </c>
      <c r="BZ41" s="1">
        <v>-10.839287871723229</v>
      </c>
      <c r="CB41" s="1">
        <v>1833</v>
      </c>
      <c r="CC41" s="1">
        <v>6.756735782175971</v>
      </c>
      <c r="CD41" s="1">
        <v>1.425845461522256</v>
      </c>
      <c r="CE41" s="1">
        <v>3.3136717512627173E-2</v>
      </c>
      <c r="CF41" s="1">
        <v>1.447848262297466</v>
      </c>
      <c r="CG41" s="1">
        <v>0.54765238307625963</v>
      </c>
      <c r="CH41" s="1">
        <v>0.59435315667476085</v>
      </c>
      <c r="CI41" s="1">
        <v>3.4480696405849405</v>
      </c>
      <c r="CJ41" s="1">
        <v>14.253641403844281</v>
      </c>
      <c r="CL41" s="1">
        <v>1833</v>
      </c>
      <c r="CM41" s="1">
        <v>5.8946199925511955</v>
      </c>
      <c r="CN41" s="1">
        <v>0.99467688313323244</v>
      </c>
      <c r="CO41" s="1">
        <v>3.2340028056555351E-2</v>
      </c>
      <c r="CP41" s="1">
        <v>1.9323691881678204</v>
      </c>
      <c r="CQ41" s="1">
        <v>0.26913957455612353</v>
      </c>
      <c r="CR41" s="1">
        <v>0.47826409909770551</v>
      </c>
      <c r="CS41" s="1">
        <v>3.3507322024070043</v>
      </c>
      <c r="CT41" s="2">
        <v>12.952141967969636</v>
      </c>
      <c r="CV41" s="1">
        <v>1833</v>
      </c>
      <c r="CW41" s="1">
        <v>105.65000184231636</v>
      </c>
      <c r="CX41" s="1">
        <v>182.44300121412672</v>
      </c>
      <c r="CY41" s="1">
        <v>15.410919364001169</v>
      </c>
      <c r="CZ41" s="1">
        <v>66.07855870411926</v>
      </c>
      <c r="DA41" s="1">
        <v>56.451650864643362</v>
      </c>
      <c r="DB41" s="1">
        <v>426.03413198920686</v>
      </c>
      <c r="DC41" s="1">
        <v>411.82860810732319</v>
      </c>
      <c r="DD41" s="1">
        <v>55.168704436740136</v>
      </c>
      <c r="DF41" s="1">
        <v>1833</v>
      </c>
      <c r="DG41" s="1">
        <v>-0.42573132785915391</v>
      </c>
      <c r="DH41" s="1">
        <v>9.2131979631375316E-2</v>
      </c>
      <c r="DI41" s="1">
        <v>-0.72561819129785476</v>
      </c>
      <c r="DJ41" s="1">
        <v>0.57458087427357896</v>
      </c>
      <c r="DK41" s="1">
        <v>-0.69715879678017245</v>
      </c>
      <c r="DL41" s="1">
        <v>1.9296226966634578</v>
      </c>
      <c r="DM41" s="1">
        <v>-0.12298296596375735</v>
      </c>
      <c r="DN41" s="1">
        <v>-0.15551710492042048</v>
      </c>
      <c r="DO41" s="1">
        <v>1.0165710998452795</v>
      </c>
      <c r="DQ41" s="1">
        <v>1833</v>
      </c>
      <c r="DR41" s="1">
        <v>245.49892204921468</v>
      </c>
      <c r="DS41" s="1">
        <v>435.78369453257329</v>
      </c>
      <c r="DT41" s="1">
        <v>32.18907815945493</v>
      </c>
      <c r="DU41" s="1">
        <v>66.07855870411926</v>
      </c>
      <c r="DV41" s="1">
        <v>56.451650864643362</v>
      </c>
      <c r="DW41" s="1">
        <v>836.00190431000556</v>
      </c>
      <c r="DX41" s="1">
        <v>804.9625914922218</v>
      </c>
      <c r="DY41" s="1">
        <v>86.983323539090648</v>
      </c>
      <c r="EA41" s="1">
        <v>1833</v>
      </c>
      <c r="EB41" s="1">
        <v>9.0345428028129504E-2</v>
      </c>
      <c r="EC41" s="1">
        <v>0.33199324881813652</v>
      </c>
      <c r="ED41" s="1">
        <v>-4.5786970369903202E-2</v>
      </c>
      <c r="EE41" s="1">
        <v>0.72930910387667325</v>
      </c>
      <c r="EF41" s="1">
        <v>-0.69715879678017245</v>
      </c>
      <c r="EG41" s="1">
        <v>1.9296226966634578</v>
      </c>
      <c r="EH41" s="1">
        <v>0.17547835653380162</v>
      </c>
      <c r="EI41" s="1">
        <v>0.15246550042809304</v>
      </c>
      <c r="EJ41" s="1">
        <v>0.68911327700196523</v>
      </c>
    </row>
    <row r="42" spans="1:140" x14ac:dyDescent="0.25">
      <c r="A42" s="1" t="s">
        <v>133</v>
      </c>
      <c r="B42" s="1">
        <v>2.827648850186776</v>
      </c>
      <c r="C42" s="1">
        <v>2.8635400795815116</v>
      </c>
      <c r="D42" s="1">
        <v>2.865245711649905</v>
      </c>
      <c r="E42" s="1">
        <v>2.7900657302355256</v>
      </c>
      <c r="F42" s="1">
        <v>2.6934767401830584</v>
      </c>
      <c r="G42" s="1">
        <v>4.1428935339057347</v>
      </c>
      <c r="H42" s="1">
        <v>4.3059662057884935</v>
      </c>
      <c r="J42" s="1">
        <v>1834</v>
      </c>
      <c r="K42" s="2">
        <v>326.57610556035701</v>
      </c>
      <c r="L42" s="1">
        <v>311.13958221895768</v>
      </c>
      <c r="M42" s="1">
        <v>313.47562421748978</v>
      </c>
      <c r="N42" s="1">
        <v>298.03910087609046</v>
      </c>
      <c r="O42" s="1">
        <v>13.100481342867237</v>
      </c>
      <c r="P42" s="1">
        <v>15.436523341399296</v>
      </c>
      <c r="Q42" s="1">
        <v>191.74684670940189</v>
      </c>
      <c r="R42" s="1">
        <v>518.32295226975884</v>
      </c>
      <c r="S42" s="1">
        <v>502.88642892835958</v>
      </c>
      <c r="U42" s="1">
        <v>1834</v>
      </c>
      <c r="V42" s="1">
        <v>109.91853860843634</v>
      </c>
      <c r="W42" s="1">
        <v>9939.3306669902613</v>
      </c>
      <c r="X42" s="1">
        <v>3.0857496072087258</v>
      </c>
      <c r="Y42" s="1">
        <v>104.7229347109306</v>
      </c>
      <c r="Z42" s="1">
        <v>8910.0064631632486</v>
      </c>
      <c r="AA42" s="1">
        <v>1.7838558385866747</v>
      </c>
      <c r="AB42" s="1">
        <v>2971073.9397993782</v>
      </c>
      <c r="AC42" s="1">
        <v>1.0254995775119937</v>
      </c>
      <c r="AE42" s="1">
        <v>1834</v>
      </c>
      <c r="AF42" s="1">
        <v>149.14156969726227</v>
      </c>
      <c r="AG42" s="1">
        <v>36.117358398821615</v>
      </c>
      <c r="AH42" s="1">
        <v>14.879187631604848</v>
      </c>
      <c r="AI42" s="1">
        <v>18.434713668705015</v>
      </c>
      <c r="AJ42" s="1">
        <v>21.83008220984582</v>
      </c>
      <c r="AK42" s="1">
        <v>32.187529561261769</v>
      </c>
      <c r="AL42" s="1">
        <v>22.266329637068651</v>
      </c>
      <c r="AM42" s="1">
        <v>16.28281141438773</v>
      </c>
      <c r="AN42" s="2">
        <v>311.13958221895763</v>
      </c>
      <c r="AP42" s="1" t="s">
        <v>133</v>
      </c>
      <c r="AQ42" s="1">
        <v>3.9884047825814264</v>
      </c>
      <c r="AR42" s="1">
        <v>2.0045513100792363</v>
      </c>
      <c r="AS42" s="1">
        <v>9.4943209594863731</v>
      </c>
      <c r="AT42" s="1">
        <v>2.1882937836147391</v>
      </c>
      <c r="AU42" s="1">
        <v>3.8020231683690611</v>
      </c>
      <c r="AV42" s="1">
        <v>0.6321878762924058</v>
      </c>
      <c r="AW42" s="1">
        <v>-2.9325333181703854</v>
      </c>
      <c r="AX42" s="1">
        <v>0.19703068660183476</v>
      </c>
      <c r="AY42" s="1">
        <v>2.827648850186776</v>
      </c>
      <c r="BA42" s="1">
        <v>1834</v>
      </c>
      <c r="BB42" s="1">
        <v>284.57915225754584</v>
      </c>
      <c r="BC42" s="1">
        <v>26.255438477578743</v>
      </c>
      <c r="BD42" s="1">
        <v>11.41992311622994</v>
      </c>
      <c r="BE42" s="1">
        <v>2.0994477907571403</v>
      </c>
      <c r="BF42" s="1">
        <v>0.86113325584909817</v>
      </c>
      <c r="BG42" s="1">
        <v>1.6005528350997125</v>
      </c>
      <c r="BH42" s="1">
        <v>33.365875927435084</v>
      </c>
      <c r="BI42" s="1">
        <v>33.605418100138557</v>
      </c>
      <c r="BJ42" s="1">
        <v>326.57610556035706</v>
      </c>
      <c r="BL42" s="1" t="s">
        <v>133</v>
      </c>
      <c r="BM42" s="1">
        <v>4.7727484055639167</v>
      </c>
      <c r="BN42" s="1">
        <v>-0.35564521311080455</v>
      </c>
      <c r="BO42" s="1">
        <v>11.751268376438162</v>
      </c>
      <c r="BP42" s="1">
        <v>-2.2221388492646099</v>
      </c>
      <c r="BQ42" s="1">
        <v>2.7925783168952734</v>
      </c>
      <c r="BR42" s="1">
        <v>4.1428935339057489</v>
      </c>
      <c r="BT42" s="1" t="s">
        <v>133</v>
      </c>
      <c r="BU42" s="1">
        <v>-5.0153242609588773</v>
      </c>
      <c r="BV42" s="1">
        <v>6.5957554114502557</v>
      </c>
      <c r="BW42" s="1">
        <v>0.32916801743895974</v>
      </c>
      <c r="BX42" s="1">
        <v>2.303598420409287</v>
      </c>
      <c r="BY42" s="1">
        <v>-6.7368639971771813</v>
      </c>
      <c r="BZ42" s="1">
        <v>-2.9845061496676379</v>
      </c>
      <c r="CB42" s="1">
        <v>1834</v>
      </c>
      <c r="CC42" s="1">
        <v>6.4967538271912151</v>
      </c>
      <c r="CD42" s="1">
        <v>2.1197041665803011</v>
      </c>
      <c r="CE42" s="1">
        <v>3.7134681786081015E-2</v>
      </c>
      <c r="CF42" s="1">
        <v>1.91374103757404</v>
      </c>
      <c r="CG42" s="1">
        <v>0.83643834843487386</v>
      </c>
      <c r="CH42" s="1">
        <v>0.6373525491942712</v>
      </c>
      <c r="CI42" s="1">
        <v>3.9399323871751091</v>
      </c>
      <c r="CJ42" s="1">
        <v>15.981056997935889</v>
      </c>
      <c r="CL42" s="1">
        <v>1834</v>
      </c>
      <c r="CM42" s="1">
        <v>5.935320306075301</v>
      </c>
      <c r="CN42" s="1">
        <v>1.0124709194727615</v>
      </c>
      <c r="CO42" s="1">
        <v>3.1831131254684411E-2</v>
      </c>
      <c r="CP42" s="1">
        <v>1.9512096362859856</v>
      </c>
      <c r="CQ42" s="1">
        <v>0.27475679513142726</v>
      </c>
      <c r="CR42" s="1">
        <v>0.48619273592052337</v>
      </c>
      <c r="CS42" s="1">
        <v>3.4086998187265536</v>
      </c>
      <c r="CT42" s="2">
        <v>13.100481342867237</v>
      </c>
      <c r="CV42" s="1">
        <v>1834</v>
      </c>
      <c r="CW42" s="1">
        <v>106.93551163196052</v>
      </c>
      <c r="CX42" s="1">
        <v>183.15420836821403</v>
      </c>
      <c r="CY42" s="1">
        <v>15.389688888236195</v>
      </c>
      <c r="CZ42" s="1">
        <v>65.617886219327943</v>
      </c>
      <c r="DA42" s="1">
        <v>56.608221925966703</v>
      </c>
      <c r="DB42" s="1">
        <v>427.70551703370541</v>
      </c>
      <c r="DC42" s="1">
        <v>413.23930025529597</v>
      </c>
      <c r="DD42" s="1">
        <v>55.334428779220744</v>
      </c>
      <c r="DF42" s="1">
        <v>1834</v>
      </c>
      <c r="DG42" s="1">
        <v>0.12736192241213473</v>
      </c>
      <c r="DH42" s="1">
        <v>0.49677844183034381</v>
      </c>
      <c r="DI42" s="1">
        <v>-8.8323782334924772E-2</v>
      </c>
      <c r="DJ42" s="1">
        <v>0.31415833361970158</v>
      </c>
      <c r="DK42" s="1">
        <v>-10.982825181032922</v>
      </c>
      <c r="DL42" s="1">
        <v>2.8274211424498503</v>
      </c>
      <c r="DM42" s="1">
        <v>-1.1891076663365396</v>
      </c>
      <c r="DN42" s="1">
        <v>-1.2675040847045267</v>
      </c>
      <c r="DO42" s="1">
        <v>2.5832660537473089</v>
      </c>
      <c r="DQ42" s="1">
        <v>1834</v>
      </c>
      <c r="DR42" s="1">
        <v>249.0815345019162</v>
      </c>
      <c r="DS42" s="1">
        <v>440.47836645318284</v>
      </c>
      <c r="DT42" s="1">
        <v>32.184227938692217</v>
      </c>
      <c r="DU42" s="1">
        <v>65.617886219327943</v>
      </c>
      <c r="DV42" s="1">
        <v>56.608221925966703</v>
      </c>
      <c r="DW42" s="1">
        <v>843.97023703908587</v>
      </c>
      <c r="DX42" s="1">
        <v>812.3788760703178</v>
      </c>
      <c r="DY42" s="1">
        <v>87.476282552017238</v>
      </c>
      <c r="EA42" s="1">
        <v>1834</v>
      </c>
      <c r="EB42" s="1">
        <v>0.31714028009830031</v>
      </c>
      <c r="EC42" s="1">
        <v>0.50481207555958463</v>
      </c>
      <c r="ED42" s="1">
        <v>0.21101570655197577</v>
      </c>
      <c r="EE42" s="1">
        <v>0.61387407033551256</v>
      </c>
      <c r="EF42" s="1">
        <v>-10.982825181032922</v>
      </c>
      <c r="EG42" s="1">
        <v>2.8274211424498503</v>
      </c>
      <c r="EH42" s="1">
        <v>-0.36882141663055279</v>
      </c>
      <c r="EI42" s="1">
        <v>-0.41756915641094849</v>
      </c>
      <c r="EJ42" s="1">
        <v>1.6833949968497137</v>
      </c>
    </row>
    <row r="43" spans="1:140" x14ac:dyDescent="0.25">
      <c r="A43" s="1" t="s">
        <v>134</v>
      </c>
      <c r="B43" s="1">
        <v>1.0223605410903787</v>
      </c>
      <c r="C43" s="1">
        <v>1.0442674983179359</v>
      </c>
      <c r="D43" s="1">
        <v>1.0358617285669567</v>
      </c>
      <c r="E43" s="1">
        <v>1.0088611577461251</v>
      </c>
      <c r="F43" s="1">
        <v>0.81441108563893749</v>
      </c>
      <c r="G43" s="1">
        <v>0.32300772798559763</v>
      </c>
      <c r="H43" s="1">
        <v>0.3218081085943254</v>
      </c>
      <c r="J43" s="1">
        <v>1835</v>
      </c>
      <c r="K43" s="2">
        <v>338.99345113370356</v>
      </c>
      <c r="L43" s="1">
        <v>322.87387631713631</v>
      </c>
      <c r="M43" s="1">
        <v>325.48431686558212</v>
      </c>
      <c r="N43" s="1">
        <v>309.36474204901486</v>
      </c>
      <c r="O43" s="1">
        <v>13.509134268121461</v>
      </c>
      <c r="P43" s="1">
        <v>16.119574816567258</v>
      </c>
      <c r="Q43" s="1">
        <v>201.41480973359711</v>
      </c>
      <c r="R43" s="1">
        <v>540.40826086730067</v>
      </c>
      <c r="S43" s="1">
        <v>524.28868605073342</v>
      </c>
      <c r="U43" s="1">
        <v>1835</v>
      </c>
      <c r="V43" s="1">
        <v>112.84088340770887</v>
      </c>
      <c r="W43" s="1">
        <v>9861.5756902569956</v>
      </c>
      <c r="X43" s="1">
        <v>-0.78229590440631114</v>
      </c>
      <c r="Y43" s="1">
        <v>107.47515419856056</v>
      </c>
      <c r="Z43" s="1">
        <v>8901.9297048825047</v>
      </c>
      <c r="AA43" s="1">
        <v>-9.0648175331139669E-2</v>
      </c>
      <c r="AB43" s="1">
        <v>3004172.2547392319</v>
      </c>
      <c r="AC43" s="1">
        <v>1.1140185539134819</v>
      </c>
      <c r="AE43" s="1">
        <v>1835</v>
      </c>
      <c r="AF43" s="1">
        <v>154.8554696810246</v>
      </c>
      <c r="AG43" s="1">
        <v>39.009303581364499</v>
      </c>
      <c r="AH43" s="1">
        <v>16.601479283996042</v>
      </c>
      <c r="AI43" s="1">
        <v>18.799015057124009</v>
      </c>
      <c r="AJ43" s="1">
        <v>22.929190978230054</v>
      </c>
      <c r="AK43" s="1">
        <v>33.130436888347951</v>
      </c>
      <c r="AL43" s="1">
        <v>21.218257074780066</v>
      </c>
      <c r="AM43" s="1">
        <v>16.330723772269103</v>
      </c>
      <c r="AN43" s="2">
        <v>322.87387631713631</v>
      </c>
      <c r="AP43" s="1" t="s">
        <v>134</v>
      </c>
      <c r="AQ43" s="1">
        <v>0.33758192471016457</v>
      </c>
      <c r="AR43" s="1">
        <v>4.8771955831559097</v>
      </c>
      <c r="AS43" s="1">
        <v>6.5954891374071565</v>
      </c>
      <c r="AT43" s="1">
        <v>-0.97128230995036802</v>
      </c>
      <c r="AU43" s="1">
        <v>1.9365823527651429</v>
      </c>
      <c r="AV43" s="1">
        <v>1.1300581636694744</v>
      </c>
      <c r="AW43" s="1">
        <v>-3.3562235016754016</v>
      </c>
      <c r="AX43" s="1">
        <v>0.29425113797631752</v>
      </c>
      <c r="AY43" s="1">
        <v>1.0223605410903787</v>
      </c>
      <c r="BA43" s="1">
        <v>1835</v>
      </c>
      <c r="BB43" s="1">
        <v>297.94486235112572</v>
      </c>
      <c r="BC43" s="1">
        <v>25.502915349488909</v>
      </c>
      <c r="BD43" s="1">
        <v>13.070229853626628</v>
      </c>
      <c r="BE43" s="1">
        <v>1.824988117009519</v>
      </c>
      <c r="BF43" s="1">
        <v>0.42419249162629075</v>
      </c>
      <c r="BG43" s="1">
        <v>1.6614603255039033</v>
      </c>
      <c r="BH43" s="1">
        <v>37.326117413055805</v>
      </c>
      <c r="BI43" s="1">
        <v>38.761314767733204</v>
      </c>
      <c r="BJ43" s="1">
        <v>338.99345113370356</v>
      </c>
      <c r="BL43" s="1" t="s">
        <v>134</v>
      </c>
      <c r="BM43" s="1">
        <v>0.56632314892138425</v>
      </c>
      <c r="BN43" s="1">
        <v>-1.5073247198534858</v>
      </c>
      <c r="BO43" s="1">
        <v>3.3262719003579662</v>
      </c>
      <c r="BP43" s="1">
        <v>13.68651511218755</v>
      </c>
      <c r="BQ43" s="1">
        <v>15.620174987133325</v>
      </c>
      <c r="BR43" s="1">
        <v>0.3230077279855692</v>
      </c>
      <c r="BT43" s="1" t="s">
        <v>134</v>
      </c>
      <c r="BU43" s="1">
        <v>4.1070757317260131</v>
      </c>
      <c r="BV43" s="1">
        <v>-1.3796317730708125</v>
      </c>
      <c r="BW43" s="1">
        <v>2.8356498632163181</v>
      </c>
      <c r="BX43" s="1">
        <v>-1.5985873334655452</v>
      </c>
      <c r="BY43" s="1">
        <v>-0.24019894943896247</v>
      </c>
      <c r="BZ43" s="1">
        <v>3.4680724653355384</v>
      </c>
      <c r="CB43" s="1">
        <v>1835</v>
      </c>
      <c r="CC43" s="1">
        <v>6.0300051734063755</v>
      </c>
      <c r="CD43" s="1">
        <v>2.8789772498071056</v>
      </c>
      <c r="CE43" s="1">
        <v>4.5920724516406643E-2</v>
      </c>
      <c r="CF43" s="1">
        <v>2.2310912759189576</v>
      </c>
      <c r="CG43" s="1">
        <v>1.0724505092942378</v>
      </c>
      <c r="CH43" s="1">
        <v>0.66763233762055652</v>
      </c>
      <c r="CI43" s="1">
        <v>4.0547935172026994</v>
      </c>
      <c r="CJ43" s="1">
        <v>16.980870787766339</v>
      </c>
      <c r="CL43" s="1">
        <v>1835</v>
      </c>
      <c r="CM43" s="1">
        <v>6.0588630326393247</v>
      </c>
      <c r="CN43" s="1">
        <v>1.0698547579473148</v>
      </c>
      <c r="CO43" s="1">
        <v>3.216789546874603E-2</v>
      </c>
      <c r="CP43" s="1">
        <v>2.0103243050121398</v>
      </c>
      <c r="CQ43" s="1">
        <v>0.29254858504828241</v>
      </c>
      <c r="CR43" s="1">
        <v>0.50481243370334505</v>
      </c>
      <c r="CS43" s="1">
        <v>3.5405632583023099</v>
      </c>
      <c r="CT43" s="2">
        <v>13.509134268121461</v>
      </c>
      <c r="CV43" s="1">
        <v>1835</v>
      </c>
      <c r="CW43" s="1">
        <v>111.0489690070894</v>
      </c>
      <c r="CX43" s="1">
        <v>189.09218763200698</v>
      </c>
      <c r="CY43" s="1">
        <v>15.384740843092176</v>
      </c>
      <c r="CZ43" s="1">
        <v>58.411188488370058</v>
      </c>
      <c r="DA43" s="1">
        <v>60.286872034258948</v>
      </c>
      <c r="DB43" s="1">
        <v>434.22395800481752</v>
      </c>
      <c r="DC43" s="1">
        <v>419.140786203696</v>
      </c>
      <c r="DD43" s="1">
        <v>58.659122532983417</v>
      </c>
      <c r="DF43" s="1">
        <v>1835</v>
      </c>
      <c r="DG43" s="1">
        <v>0.52930600949908069</v>
      </c>
      <c r="DH43" s="1">
        <v>0.46306621619113741</v>
      </c>
      <c r="DI43" s="1">
        <v>0.56820693315017934</v>
      </c>
      <c r="DJ43" s="1">
        <v>-1.2885460114982834</v>
      </c>
      <c r="DK43" s="1">
        <v>-2.2063153585348232</v>
      </c>
      <c r="DL43" s="1">
        <v>2.7559239174985919</v>
      </c>
      <c r="DM43" s="1">
        <v>0.40965349631918002</v>
      </c>
      <c r="DN43" s="1">
        <v>0.38556254774555043</v>
      </c>
      <c r="DO43" s="1">
        <v>2.7127455391322144</v>
      </c>
      <c r="DQ43" s="1">
        <v>1835</v>
      </c>
      <c r="DR43" s="1">
        <v>258.68355910494006</v>
      </c>
      <c r="DS43" s="1">
        <v>456.12143982337466</v>
      </c>
      <c r="DT43" s="1">
        <v>32.264856887732833</v>
      </c>
      <c r="DU43" s="1">
        <v>58.411188488370058</v>
      </c>
      <c r="DV43" s="1">
        <v>60.286872034258948</v>
      </c>
      <c r="DW43" s="1">
        <v>865.76791633867651</v>
      </c>
      <c r="DX43" s="1">
        <v>832.88555537665331</v>
      </c>
      <c r="DY43" s="1">
        <v>91.824143155677461</v>
      </c>
      <c r="EA43" s="1">
        <v>1835</v>
      </c>
      <c r="EB43" s="1">
        <v>0.48535581376711434</v>
      </c>
      <c r="EC43" s="1">
        <v>0.48897557906283851</v>
      </c>
      <c r="ED43" s="1">
        <v>0.48330290923760799</v>
      </c>
      <c r="EE43" s="1">
        <v>-0.2395313606367182</v>
      </c>
      <c r="EF43" s="1">
        <v>-2.2063153585348232</v>
      </c>
      <c r="EG43" s="1">
        <v>2.7559239174985919</v>
      </c>
      <c r="EH43" s="1">
        <v>0.436760470095237</v>
      </c>
      <c r="EI43" s="1">
        <v>0.41827016231272296</v>
      </c>
      <c r="EJ43" s="1">
        <v>1.8140854228510221</v>
      </c>
    </row>
    <row r="44" spans="1:140" x14ac:dyDescent="0.25">
      <c r="A44" s="1" t="s">
        <v>135</v>
      </c>
      <c r="B44" s="1">
        <v>2.5116940113114765</v>
      </c>
      <c r="C44" s="1">
        <v>2.5315893753069929</v>
      </c>
      <c r="D44" s="1">
        <v>2.4869849615147359</v>
      </c>
      <c r="E44" s="1">
        <v>2.5364090183245764</v>
      </c>
      <c r="F44" s="1">
        <v>2.3659470654197321</v>
      </c>
      <c r="G44" s="1">
        <v>2.0961155272167531</v>
      </c>
      <c r="H44" s="1">
        <v>2.1459001540747238</v>
      </c>
      <c r="J44" s="1">
        <v>1836</v>
      </c>
      <c r="K44" s="2">
        <v>348.95804030555939</v>
      </c>
      <c r="L44" s="1">
        <v>332.3661850116265</v>
      </c>
      <c r="M44" s="1">
        <v>335.21463939300372</v>
      </c>
      <c r="N44" s="1">
        <v>318.62278409907083</v>
      </c>
      <c r="O44" s="1">
        <v>13.743400912555673</v>
      </c>
      <c r="P44" s="1">
        <v>16.591855293932909</v>
      </c>
      <c r="Q44" s="1">
        <v>209.30374932986359</v>
      </c>
      <c r="R44" s="1">
        <v>558.26178963542293</v>
      </c>
      <c r="S44" s="1">
        <v>541.66993434149003</v>
      </c>
      <c r="U44" s="1">
        <v>1836</v>
      </c>
      <c r="V44" s="1">
        <v>114.70015391360063</v>
      </c>
      <c r="W44" s="1">
        <v>9941.9403543395765</v>
      </c>
      <c r="X44" s="1">
        <v>0.81492721454219463</v>
      </c>
      <c r="Y44" s="1">
        <v>109.2465230006694</v>
      </c>
      <c r="Z44" s="1">
        <v>9011.0042188924908</v>
      </c>
      <c r="AA44" s="1">
        <v>1.2252906687205183</v>
      </c>
      <c r="AB44" s="1">
        <v>3042350.2358019203</v>
      </c>
      <c r="AC44" s="1">
        <v>1.2708319572042086</v>
      </c>
      <c r="AE44" s="1">
        <v>1836</v>
      </c>
      <c r="AF44" s="1">
        <v>157.9577144286132</v>
      </c>
      <c r="AG44" s="1">
        <v>41.816414523306179</v>
      </c>
      <c r="AH44" s="1">
        <v>18.294350710067832</v>
      </c>
      <c r="AI44" s="1">
        <v>17.565861593478431</v>
      </c>
      <c r="AJ44" s="1">
        <v>24.743736136412192</v>
      </c>
      <c r="AK44" s="1">
        <v>33.706521537850676</v>
      </c>
      <c r="AL44" s="1">
        <v>21.872487750649778</v>
      </c>
      <c r="AM44" s="1">
        <v>16.409098331248156</v>
      </c>
      <c r="AN44" s="2">
        <v>332.36618501162644</v>
      </c>
      <c r="AP44" s="1" t="s">
        <v>135</v>
      </c>
      <c r="AQ44" s="1">
        <v>2.162050144940892</v>
      </c>
      <c r="AR44" s="1">
        <v>4.0683246309125281</v>
      </c>
      <c r="AS44" s="1">
        <v>8.0732895620126754</v>
      </c>
      <c r="AT44" s="1">
        <v>-3.1324851615186446</v>
      </c>
      <c r="AU44" s="1">
        <v>6.1152563188053648</v>
      </c>
      <c r="AV44" s="1">
        <v>1.4373333549742853</v>
      </c>
      <c r="AW44" s="1">
        <v>1.9931758871162089</v>
      </c>
      <c r="AX44" s="1">
        <v>0.4799209151534285</v>
      </c>
      <c r="AY44" s="1">
        <v>2.5116940113114765</v>
      </c>
      <c r="BA44" s="1">
        <v>1836</v>
      </c>
      <c r="BB44" s="1">
        <v>296.02377560326875</v>
      </c>
      <c r="BC44" s="1">
        <v>27.046700498627416</v>
      </c>
      <c r="BD44" s="1">
        <v>14.40558312130246</v>
      </c>
      <c r="BE44" s="1">
        <v>2.5657811175296703</v>
      </c>
      <c r="BF44" s="1">
        <v>0.69632437279102344</v>
      </c>
      <c r="BG44" s="1">
        <v>2.1238209592520483</v>
      </c>
      <c r="BH44" s="1">
        <v>38.71051911086203</v>
      </c>
      <c r="BI44" s="1">
        <v>32.614464478074019</v>
      </c>
      <c r="BJ44" s="1">
        <v>348.95804030555939</v>
      </c>
      <c r="BL44" s="1" t="s">
        <v>135</v>
      </c>
      <c r="BM44" s="1">
        <v>-0.97621666994510292</v>
      </c>
      <c r="BN44" s="1">
        <v>4.8422288641161799</v>
      </c>
      <c r="BO44" s="1">
        <v>15.146428181952516</v>
      </c>
      <c r="BP44" s="1">
        <v>-3.844473404213872</v>
      </c>
      <c r="BQ44" s="1">
        <v>-19.458840736383578</v>
      </c>
      <c r="BR44" s="1">
        <v>2.0961155272167531</v>
      </c>
      <c r="BT44" s="1" t="s">
        <v>135</v>
      </c>
      <c r="BU44" s="1">
        <v>0.33470483108170868</v>
      </c>
      <c r="BV44" s="1">
        <v>1.155201001977062</v>
      </c>
      <c r="BW44" s="1">
        <v>1.2205033384661306</v>
      </c>
      <c r="BX44" s="1">
        <v>7.8554081927540125</v>
      </c>
      <c r="BY44" s="1">
        <v>4.4705487406440056</v>
      </c>
      <c r="BZ44" s="1">
        <v>0.82603347727744847</v>
      </c>
      <c r="CB44" s="1">
        <v>1836</v>
      </c>
      <c r="CC44" s="1">
        <v>7.0606931288511579</v>
      </c>
      <c r="CD44" s="1">
        <v>3.6838619211859918</v>
      </c>
      <c r="CE44" s="1">
        <v>5.1742734122371514E-2</v>
      </c>
      <c r="CF44" s="1">
        <v>2.5819610004083695</v>
      </c>
      <c r="CG44" s="1">
        <v>1.3948061097332285</v>
      </c>
      <c r="CH44" s="1">
        <v>0.7901018607165573</v>
      </c>
      <c r="CI44" s="1">
        <v>4.228342815857526</v>
      </c>
      <c r="CJ44" s="1">
        <v>19.791509570875203</v>
      </c>
      <c r="CL44" s="1">
        <v>1836</v>
      </c>
      <c r="CM44" s="1">
        <v>6.1085903433840087</v>
      </c>
      <c r="CN44" s="1">
        <v>1.1376628810410088</v>
      </c>
      <c r="CO44" s="1">
        <v>3.7091426571204289E-2</v>
      </c>
      <c r="CP44" s="1">
        <v>2.0758051699309088</v>
      </c>
      <c r="CQ44" s="1">
        <v>0.30502741660067578</v>
      </c>
      <c r="CR44" s="1">
        <v>0.5188073625673888</v>
      </c>
      <c r="CS44" s="1">
        <v>3.5604163124604766</v>
      </c>
      <c r="CT44" s="2">
        <v>13.743400912555673</v>
      </c>
      <c r="CV44" s="1">
        <v>1836</v>
      </c>
      <c r="CW44" s="1">
        <v>111.56319926598979</v>
      </c>
      <c r="CX44" s="1">
        <v>190.16662255217733</v>
      </c>
      <c r="CY44" s="1">
        <v>16.019690322764617</v>
      </c>
      <c r="CZ44" s="1">
        <v>57.12245346564842</v>
      </c>
      <c r="DA44" s="1">
        <v>63.939753969511322</v>
      </c>
      <c r="DB44" s="1">
        <v>438.81171957609149</v>
      </c>
      <c r="DC44" s="1">
        <v>423.52428578528873</v>
      </c>
      <c r="DD44" s="1">
        <v>61.642115340539732</v>
      </c>
      <c r="DF44" s="1">
        <v>1836</v>
      </c>
      <c r="DG44" s="1">
        <v>0.93886954330382366</v>
      </c>
      <c r="DH44" s="1">
        <v>0.59869787509821037</v>
      </c>
      <c r="DI44" s="1">
        <v>1.1384347408938993</v>
      </c>
      <c r="DJ44" s="1">
        <v>2.4829724501733068</v>
      </c>
      <c r="DK44" s="1">
        <v>2.4337450101080833</v>
      </c>
      <c r="DL44" s="1">
        <v>3.321597015003789</v>
      </c>
      <c r="DM44" s="1">
        <v>1.5435329254338939</v>
      </c>
      <c r="DN44" s="1">
        <v>1.535218036141913</v>
      </c>
      <c r="DO44" s="1">
        <v>2.8272024856191393</v>
      </c>
      <c r="DQ44" s="1">
        <v>1836</v>
      </c>
      <c r="DR44" s="1">
        <v>259.94845853601379</v>
      </c>
      <c r="DS44" s="1">
        <v>458.32588801169749</v>
      </c>
      <c r="DT44" s="1">
        <v>33.958673158457323</v>
      </c>
      <c r="DU44" s="1">
        <v>57.12245346564842</v>
      </c>
      <c r="DV44" s="1">
        <v>63.939753969511322</v>
      </c>
      <c r="DW44" s="1">
        <v>873.29522714132838</v>
      </c>
      <c r="DX44" s="1">
        <v>840.01972892482206</v>
      </c>
      <c r="DY44" s="1">
        <v>95.052314849344427</v>
      </c>
      <c r="EA44" s="1">
        <v>1836</v>
      </c>
      <c r="EB44" s="1">
        <v>0.66337037331973647</v>
      </c>
      <c r="EC44" s="1">
        <v>0.54772121580771227</v>
      </c>
      <c r="ED44" s="1">
        <v>0.72896304659566624</v>
      </c>
      <c r="EE44" s="1">
        <v>1.6144952616759127</v>
      </c>
      <c r="EF44" s="1">
        <v>2.4337450101080833</v>
      </c>
      <c r="EG44" s="1">
        <v>3.321597015003789</v>
      </c>
      <c r="EH44" s="1">
        <v>1.0152318123332265</v>
      </c>
      <c r="EI44" s="1">
        <v>1.0064340913276055</v>
      </c>
      <c r="EJ44" s="1">
        <v>1.9602811724785454</v>
      </c>
    </row>
    <row r="45" spans="1:140" x14ac:dyDescent="0.25">
      <c r="A45" s="1" t="s">
        <v>136</v>
      </c>
      <c r="B45" s="1">
        <v>0.69033822910083131</v>
      </c>
      <c r="C45" s="1">
        <v>0.73167616600511565</v>
      </c>
      <c r="D45" s="1">
        <v>0.69975485010471061</v>
      </c>
      <c r="E45" s="1">
        <v>0.68092248866264526</v>
      </c>
      <c r="F45" s="1">
        <v>0.73865969460169367</v>
      </c>
      <c r="G45" s="1">
        <v>-0.70151295656796719</v>
      </c>
      <c r="H45" s="1">
        <v>-0.80122655433486045</v>
      </c>
      <c r="J45" s="1">
        <v>1837</v>
      </c>
      <c r="K45" s="2">
        <v>356.79203964507508</v>
      </c>
      <c r="L45" s="1">
        <v>339.85511023784233</v>
      </c>
      <c r="M45" s="1">
        <v>343.04648537357002</v>
      </c>
      <c r="N45" s="1">
        <v>326.10955596633727</v>
      </c>
      <c r="O45" s="1">
        <v>13.74555427150506</v>
      </c>
      <c r="P45" s="1">
        <v>16.936929407232725</v>
      </c>
      <c r="Q45" s="1">
        <v>220.77328860510346</v>
      </c>
      <c r="R45" s="1">
        <v>577.56532825017848</v>
      </c>
      <c r="S45" s="1">
        <v>560.62839884294578</v>
      </c>
      <c r="U45" s="1">
        <v>1837</v>
      </c>
      <c r="V45" s="1">
        <v>116.30382382907972</v>
      </c>
      <c r="W45" s="1">
        <v>9790.4314453860225</v>
      </c>
      <c r="X45" s="1">
        <v>-1.5239370138387613</v>
      </c>
      <c r="Y45" s="1">
        <v>110.78287763324003</v>
      </c>
      <c r="Z45" s="1">
        <v>8998.0631898878819</v>
      </c>
      <c r="AA45" s="1">
        <v>-0.14361361608817447</v>
      </c>
      <c r="AB45" s="1">
        <v>3067758.4614020707</v>
      </c>
      <c r="AC45" s="1">
        <v>0.8351512360789286</v>
      </c>
      <c r="AE45" s="1">
        <v>1837</v>
      </c>
      <c r="AF45" s="1">
        <v>159.24196845767938</v>
      </c>
      <c r="AG45" s="1">
        <v>43.019370638452379</v>
      </c>
      <c r="AH45" s="1">
        <v>18.250582127066149</v>
      </c>
      <c r="AI45" s="1">
        <v>17.099343347943851</v>
      </c>
      <c r="AJ45" s="1">
        <v>26.975928408117493</v>
      </c>
      <c r="AK45" s="1">
        <v>35.867883036656124</v>
      </c>
      <c r="AL45" s="1">
        <v>22.903826687121903</v>
      </c>
      <c r="AM45" s="1">
        <v>16.49620753480502</v>
      </c>
      <c r="AN45" s="2">
        <v>339.85511023784233</v>
      </c>
      <c r="AP45" s="1" t="s">
        <v>136</v>
      </c>
      <c r="AQ45" s="1">
        <v>-0.40696170318173586</v>
      </c>
      <c r="AR45" s="1">
        <v>2.0209779185762073</v>
      </c>
      <c r="AS45" s="1">
        <v>2.6777100367237665</v>
      </c>
      <c r="AT45" s="1">
        <v>0.64372167532222591</v>
      </c>
      <c r="AU45" s="1">
        <v>6.5345798537359343</v>
      </c>
      <c r="AV45" s="1">
        <v>0.90902890584021634</v>
      </c>
      <c r="AW45" s="1">
        <v>-2.3021968528519352</v>
      </c>
      <c r="AX45" s="1">
        <v>0.5308591721397562</v>
      </c>
      <c r="AY45" s="1">
        <v>0.69033822910083131</v>
      </c>
      <c r="BA45" s="1">
        <v>1837</v>
      </c>
      <c r="BB45" s="1">
        <v>314.40007205096538</v>
      </c>
      <c r="BC45" s="1">
        <v>28.270654155357658</v>
      </c>
      <c r="BD45" s="1">
        <v>14.398312053084091</v>
      </c>
      <c r="BE45" s="1">
        <v>3.7614581118449828</v>
      </c>
      <c r="BF45" s="1">
        <v>0.4514315364134861</v>
      </c>
      <c r="BG45" s="1">
        <v>2.3044006013072513</v>
      </c>
      <c r="BH45" s="1">
        <v>33.521817447690403</v>
      </c>
      <c r="BI45" s="1">
        <v>40.316106311588179</v>
      </c>
      <c r="BJ45" s="1">
        <v>356.79203964507514</v>
      </c>
      <c r="BL45" s="1" t="s">
        <v>136</v>
      </c>
      <c r="BM45" s="1">
        <v>3.8796793192168195</v>
      </c>
      <c r="BN45" s="1">
        <v>-0.86934895292496606</v>
      </c>
      <c r="BO45" s="1">
        <v>6.7354249071906764</v>
      </c>
      <c r="BP45" s="1">
        <v>-14.102442797173538</v>
      </c>
      <c r="BQ45" s="1">
        <v>30.547550432276694</v>
      </c>
      <c r="BR45" s="1">
        <v>-0.70151295656796719</v>
      </c>
      <c r="BT45" s="1" t="s">
        <v>136</v>
      </c>
      <c r="BU45" s="1">
        <v>2.2410834665981696</v>
      </c>
      <c r="BV45" s="1">
        <v>5.4419933203364508</v>
      </c>
      <c r="BW45" s="1">
        <v>-0.9891312014243141</v>
      </c>
      <c r="BX45" s="1">
        <v>0.81328073356661434</v>
      </c>
      <c r="BY45" s="1">
        <v>-5.3109841754648812</v>
      </c>
      <c r="BZ45" s="1">
        <v>2.9672977951150017</v>
      </c>
      <c r="CB45" s="1">
        <v>1837</v>
      </c>
      <c r="CC45" s="1">
        <v>8.6126608298438789</v>
      </c>
      <c r="CD45" s="1">
        <v>2.4123205899302529</v>
      </c>
      <c r="CE45" s="1">
        <v>3.9990517080104954E-2</v>
      </c>
      <c r="CF45" s="1">
        <v>3.005398767017093</v>
      </c>
      <c r="CG45" s="1">
        <v>1.0427535299296125</v>
      </c>
      <c r="CH45" s="1">
        <v>0.82739817407717531</v>
      </c>
      <c r="CI45" s="1">
        <v>4.9750798947716914</v>
      </c>
      <c r="CJ45" s="1">
        <v>20.915602302649809</v>
      </c>
      <c r="CL45" s="1">
        <v>1837</v>
      </c>
      <c r="CM45" s="1">
        <v>6.1037655963505131</v>
      </c>
      <c r="CN45" s="1">
        <v>1.1199131599616521</v>
      </c>
      <c r="CO45" s="1">
        <v>3.7841946749067927E-2</v>
      </c>
      <c r="CP45" s="1">
        <v>2.1413032468151556</v>
      </c>
      <c r="CQ45" s="1">
        <v>0.29612769063150024</v>
      </c>
      <c r="CR45" s="1">
        <v>0.51871659302005246</v>
      </c>
      <c r="CS45" s="1">
        <v>3.5278860379771184</v>
      </c>
      <c r="CT45" s="2">
        <v>13.74555427150506</v>
      </c>
      <c r="CV45" s="1">
        <v>1837</v>
      </c>
      <c r="CW45" s="1">
        <v>109.81755317219576</v>
      </c>
      <c r="CX45" s="1">
        <v>188.19538318117782</v>
      </c>
      <c r="CY45" s="1">
        <v>16.478649855770364</v>
      </c>
      <c r="CZ45" s="1">
        <v>58.512668326519957</v>
      </c>
      <c r="DA45" s="1">
        <v>67.047820790236187</v>
      </c>
      <c r="DB45" s="1">
        <v>440.05207532590009</v>
      </c>
      <c r="DC45" s="1">
        <v>424.81598588745254</v>
      </c>
      <c r="DD45" s="1">
        <v>63.531476940956054</v>
      </c>
      <c r="DF45" s="1">
        <v>1837</v>
      </c>
      <c r="DG45" s="1">
        <v>0.99855216564765215</v>
      </c>
      <c r="DH45" s="1">
        <v>1.317816519300294</v>
      </c>
      <c r="DI45" s="1">
        <v>0.81225200492866634</v>
      </c>
      <c r="DJ45" s="1">
        <v>8.7440168973309795</v>
      </c>
      <c r="DK45" s="1">
        <v>7.2119166334518212</v>
      </c>
      <c r="DL45" s="1">
        <v>3.4369507825119854</v>
      </c>
      <c r="DM45" s="1">
        <v>2.4789269574345951</v>
      </c>
      <c r="DN45" s="1">
        <v>2.495223780067235</v>
      </c>
      <c r="DO45" s="1">
        <v>2.2725692236558217</v>
      </c>
      <c r="DQ45" s="1">
        <v>1837</v>
      </c>
      <c r="DR45" s="1">
        <v>255.75134276146068</v>
      </c>
      <c r="DS45" s="1">
        <v>451.73859362918137</v>
      </c>
      <c r="DT45" s="1">
        <v>34.627185774502173</v>
      </c>
      <c r="DU45" s="1">
        <v>58.512668326519957</v>
      </c>
      <c r="DV45" s="1">
        <v>67.047820790236187</v>
      </c>
      <c r="DW45" s="1">
        <v>867.67761128190034</v>
      </c>
      <c r="DX45" s="1">
        <v>834.68770714772188</v>
      </c>
      <c r="DY45" s="1">
        <v>96.384989862114011</v>
      </c>
      <c r="EA45" s="1">
        <v>1837</v>
      </c>
      <c r="EB45" s="1">
        <v>0.69419456545523417</v>
      </c>
      <c r="EC45" s="1">
        <v>0.86422962689731264</v>
      </c>
      <c r="ED45" s="1">
        <v>0.59792938932541517</v>
      </c>
      <c r="EE45" s="1">
        <v>4.9747442289771442</v>
      </c>
      <c r="EF45" s="1">
        <v>7.2119166334518212</v>
      </c>
      <c r="EG45" s="1">
        <v>3.4369507825119854</v>
      </c>
      <c r="EH45" s="1">
        <v>1.5109901747065919</v>
      </c>
      <c r="EI45" s="1">
        <v>1.5164628031490963</v>
      </c>
      <c r="EJ45" s="1">
        <v>1.6113018944686104</v>
      </c>
    </row>
    <row r="46" spans="1:140" x14ac:dyDescent="0.25">
      <c r="A46" s="1" t="s">
        <v>137</v>
      </c>
      <c r="B46" s="1">
        <v>-3.8434820246325927</v>
      </c>
      <c r="C46" s="1">
        <v>-3.8183801211343109</v>
      </c>
      <c r="D46" s="1">
        <v>-3.7441941495835067</v>
      </c>
      <c r="E46" s="1">
        <v>-3.9426674842268881</v>
      </c>
      <c r="F46" s="1">
        <v>-3.783202259666794</v>
      </c>
      <c r="G46" s="1">
        <v>-3.0046089862456</v>
      </c>
      <c r="H46" s="1">
        <v>-3.1719151268627854</v>
      </c>
      <c r="J46" s="1">
        <v>1838</v>
      </c>
      <c r="K46" s="2">
        <v>361.50293602747013</v>
      </c>
      <c r="L46" s="1">
        <v>344.32826938567058</v>
      </c>
      <c r="M46" s="1">
        <v>347.46061799473102</v>
      </c>
      <c r="N46" s="1">
        <v>330.28595135293148</v>
      </c>
      <c r="O46" s="1">
        <v>14.042318032739098</v>
      </c>
      <c r="P46" s="1">
        <v>17.174666641799558</v>
      </c>
      <c r="Q46" s="1">
        <v>227.78341287494283</v>
      </c>
      <c r="R46" s="1">
        <v>589.28634890241301</v>
      </c>
      <c r="S46" s="1">
        <v>572.11168226061341</v>
      </c>
      <c r="U46" s="1">
        <v>1838</v>
      </c>
      <c r="V46" s="1">
        <v>117.24869661532662</v>
      </c>
      <c r="W46" s="1">
        <v>9448.6614060052889</v>
      </c>
      <c r="X46" s="1">
        <v>-3.4908577960759999</v>
      </c>
      <c r="Y46" s="1">
        <v>111.6783206159441</v>
      </c>
      <c r="Z46" s="1">
        <v>8608.8496748453272</v>
      </c>
      <c r="AA46" s="1">
        <v>-4.3255254695250187</v>
      </c>
      <c r="AB46" s="1">
        <v>3083214.9649688718</v>
      </c>
      <c r="AC46" s="1">
        <v>0.50383704458066347</v>
      </c>
      <c r="AE46" s="1">
        <v>1838</v>
      </c>
      <c r="AF46" s="1">
        <v>160.57115553246368</v>
      </c>
      <c r="AG46" s="1">
        <v>42.038184091862213</v>
      </c>
      <c r="AH46" s="1">
        <v>17.995265737614908</v>
      </c>
      <c r="AI46" s="1">
        <v>19.485245188762971</v>
      </c>
      <c r="AJ46" s="1">
        <v>26.479375207513669</v>
      </c>
      <c r="AK46" s="1">
        <v>38.176804369381571</v>
      </c>
      <c r="AL46" s="1">
        <v>22.928061249388698</v>
      </c>
      <c r="AM46" s="1">
        <v>16.654178008682848</v>
      </c>
      <c r="AN46" s="2">
        <v>344.32826938567052</v>
      </c>
      <c r="AP46" s="1" t="s">
        <v>137</v>
      </c>
      <c r="AQ46" s="1">
        <v>-7.7257890415859549</v>
      </c>
      <c r="AR46" s="1">
        <v>0.54402233887577722</v>
      </c>
      <c r="AS46" s="1">
        <v>-1.811747852657291</v>
      </c>
      <c r="AT46" s="1">
        <v>2.2686334817505269</v>
      </c>
      <c r="AU46" s="1">
        <v>-2.2730487781521873</v>
      </c>
      <c r="AV46" s="1">
        <v>0.37156003882479638</v>
      </c>
      <c r="AW46" s="1">
        <v>-2.3055879332853522</v>
      </c>
      <c r="AX46" s="1">
        <v>0.95761691615805944</v>
      </c>
      <c r="AY46" s="1">
        <v>-3.8434820246325927</v>
      </c>
      <c r="BA46" s="1">
        <v>1838</v>
      </c>
      <c r="BB46" s="1">
        <v>320.37741351121269</v>
      </c>
      <c r="BC46" s="1">
        <v>28.784682695059317</v>
      </c>
      <c r="BD46" s="1">
        <v>14.053905438594825</v>
      </c>
      <c r="BE46" s="1">
        <v>3.0550195621612355</v>
      </c>
      <c r="BF46" s="1">
        <v>-0.38772351798624161</v>
      </c>
      <c r="BG46" s="1">
        <v>1.5614740280790513</v>
      </c>
      <c r="BH46" s="1">
        <v>41.481566269355845</v>
      </c>
      <c r="BI46" s="1">
        <v>47.423401959006604</v>
      </c>
      <c r="BJ46" s="1">
        <v>361.50293602747013</v>
      </c>
      <c r="BL46" s="1" t="s">
        <v>137</v>
      </c>
      <c r="BM46" s="1">
        <v>-3.6139001685290992</v>
      </c>
      <c r="BN46" s="1">
        <v>-1.4598256705419033</v>
      </c>
      <c r="BO46" s="1">
        <v>-12.845172981234683</v>
      </c>
      <c r="BP46" s="1">
        <v>26.545157503874009</v>
      </c>
      <c r="BQ46" s="1">
        <v>12.032417067344014</v>
      </c>
      <c r="BR46" s="1">
        <v>-3.0046089862455858</v>
      </c>
      <c r="BT46" s="1" t="s">
        <v>137</v>
      </c>
      <c r="BU46" s="1">
        <v>5.7218725255636258</v>
      </c>
      <c r="BV46" s="1">
        <v>3.3266293587984563</v>
      </c>
      <c r="BW46" s="1">
        <v>0.29468775433213068</v>
      </c>
      <c r="BX46" s="1">
        <v>-2.2127892046043343</v>
      </c>
      <c r="BY46" s="1">
        <v>4.9954351124174963</v>
      </c>
      <c r="BZ46" s="1">
        <v>4.4589303588275442</v>
      </c>
      <c r="CB46" s="1">
        <v>1838</v>
      </c>
      <c r="CC46" s="1">
        <v>6.4303669259618017</v>
      </c>
      <c r="CD46" s="1">
        <v>2.1653786235100032</v>
      </c>
      <c r="CE46" s="1">
        <v>3.7919378226907961E-2</v>
      </c>
      <c r="CF46" s="1">
        <v>3.1245974957738243</v>
      </c>
      <c r="CG46" s="1">
        <v>0.85584357579224835</v>
      </c>
      <c r="CH46" s="1">
        <v>0.89135258532707529</v>
      </c>
      <c r="CI46" s="1">
        <v>4.777216926257009</v>
      </c>
      <c r="CJ46" s="1">
        <v>18.282675510848868</v>
      </c>
      <c r="CL46" s="1">
        <v>1838</v>
      </c>
      <c r="CM46" s="1">
        <v>6.1777239619600079</v>
      </c>
      <c r="CN46" s="1">
        <v>1.1314675537087662</v>
      </c>
      <c r="CO46" s="1">
        <v>3.7580465400207083E-2</v>
      </c>
      <c r="CP46" s="1">
        <v>2.2668262232671945</v>
      </c>
      <c r="CQ46" s="1">
        <v>0.29911405332071578</v>
      </c>
      <c r="CR46" s="1">
        <v>0.53413551677386184</v>
      </c>
      <c r="CS46" s="1">
        <v>3.5954702583083447</v>
      </c>
      <c r="CT46" s="2">
        <v>14.042318032739098</v>
      </c>
      <c r="CV46" s="1">
        <v>1838</v>
      </c>
      <c r="CW46" s="1">
        <v>112.48743655678143</v>
      </c>
      <c r="CX46" s="1">
        <v>191.80888311858243</v>
      </c>
      <c r="CY46" s="1">
        <v>17.899593378333773</v>
      </c>
      <c r="CZ46" s="1">
        <v>62.732553186236743</v>
      </c>
      <c r="DA46" s="1">
        <v>67.712350790529683</v>
      </c>
      <c r="DB46" s="1">
        <v>452.64081703046401</v>
      </c>
      <c r="DC46" s="1">
        <v>436.9338586273085</v>
      </c>
      <c r="DD46" s="1">
        <v>64.210204182509059</v>
      </c>
      <c r="DF46" s="1">
        <v>1838</v>
      </c>
      <c r="DG46" s="1">
        <v>0.80064585662323395</v>
      </c>
      <c r="DH46" s="1">
        <v>1.0505588038288778</v>
      </c>
      <c r="DI46" s="1">
        <v>0.65408295329754651</v>
      </c>
      <c r="DJ46" s="1">
        <v>3.4686980182966636</v>
      </c>
      <c r="DK46" s="1">
        <v>-2.8641802665143246</v>
      </c>
      <c r="DL46" s="1">
        <v>2.306040197761746</v>
      </c>
      <c r="DM46" s="1">
        <v>0.5718065750385648</v>
      </c>
      <c r="DN46" s="1">
        <v>0.51169885115760394</v>
      </c>
      <c r="DO46" s="1">
        <v>2.9953376213806422</v>
      </c>
      <c r="DQ46" s="1">
        <v>1838</v>
      </c>
      <c r="DR46" s="1">
        <v>260.79636473170274</v>
      </c>
      <c r="DS46" s="1">
        <v>459.43351398674974</v>
      </c>
      <c r="DT46" s="1">
        <v>36.300303711220202</v>
      </c>
      <c r="DU46" s="1">
        <v>62.732553186236743</v>
      </c>
      <c r="DV46" s="1">
        <v>67.712350790529683</v>
      </c>
      <c r="DW46" s="1">
        <v>886.975086406439</v>
      </c>
      <c r="DX46" s="1">
        <v>853.18402076226471</v>
      </c>
      <c r="DY46" s="1">
        <v>97.503986749690966</v>
      </c>
      <c r="EA46" s="1">
        <v>1838</v>
      </c>
      <c r="EB46" s="1">
        <v>0.61475034223768432</v>
      </c>
      <c r="EC46" s="1">
        <v>0.75678433759422603</v>
      </c>
      <c r="ED46" s="1">
        <v>0.53412507540446086</v>
      </c>
      <c r="EE46" s="1">
        <v>2.5933688849401335</v>
      </c>
      <c r="EF46" s="1">
        <v>-2.8641802665143246</v>
      </c>
      <c r="EG46" s="1">
        <v>2.306040197761746</v>
      </c>
      <c r="EH46" s="1">
        <v>0.55266535673379735</v>
      </c>
      <c r="EI46" s="1">
        <v>0.51503862708253223</v>
      </c>
      <c r="EJ46" s="1">
        <v>2.0993338230661891</v>
      </c>
    </row>
    <row r="47" spans="1:140" x14ac:dyDescent="0.25">
      <c r="A47" s="1" t="s">
        <v>138</v>
      </c>
      <c r="B47" s="1">
        <v>3.5767688298314653</v>
      </c>
      <c r="C47" s="1">
        <v>3.6248724910843464</v>
      </c>
      <c r="D47" s="1">
        <v>3.5980646249958568</v>
      </c>
      <c r="E47" s="1">
        <v>3.5554774122671375</v>
      </c>
      <c r="F47" s="1">
        <v>3.5442362582795539</v>
      </c>
      <c r="G47" s="1">
        <v>2.9564421079250565</v>
      </c>
      <c r="H47" s="1">
        <v>3.0099306461107886</v>
      </c>
      <c r="J47" s="1">
        <v>1839</v>
      </c>
      <c r="K47" s="2">
        <v>386.77420842505552</v>
      </c>
      <c r="L47" s="1">
        <v>368.33073048165312</v>
      </c>
      <c r="M47" s="1">
        <v>372.30002659592213</v>
      </c>
      <c r="N47" s="1">
        <v>353.85654865251973</v>
      </c>
      <c r="O47" s="1">
        <v>14.474181829133393</v>
      </c>
      <c r="P47" s="1">
        <v>18.443477943402417</v>
      </c>
      <c r="Q47" s="1">
        <v>240.15943294078858</v>
      </c>
      <c r="R47" s="1">
        <v>626.9336413658441</v>
      </c>
      <c r="S47" s="1">
        <v>608.4901634224417</v>
      </c>
      <c r="U47" s="1">
        <v>1839</v>
      </c>
      <c r="V47" s="1">
        <v>124.83232007530262</v>
      </c>
      <c r="W47" s="1">
        <v>9680.4858360597173</v>
      </c>
      <c r="X47" s="1">
        <v>2.4535161129500125</v>
      </c>
      <c r="Y47" s="1">
        <v>118.87964253946657</v>
      </c>
      <c r="Z47" s="1">
        <v>8873.2113185243179</v>
      </c>
      <c r="AA47" s="1">
        <v>3.0708126365760933</v>
      </c>
      <c r="AB47" s="1">
        <v>3098349.9160453132</v>
      </c>
      <c r="AC47" s="1">
        <v>0.49088212299184875</v>
      </c>
      <c r="AE47" s="1">
        <v>1839</v>
      </c>
      <c r="AF47" s="1">
        <v>177.73647029319494</v>
      </c>
      <c r="AG47" s="1">
        <v>45.259094294369874</v>
      </c>
      <c r="AH47" s="1">
        <v>19.408464218528859</v>
      </c>
      <c r="AI47" s="1">
        <v>22.025578825578084</v>
      </c>
      <c r="AJ47" s="1">
        <v>26.98027615026043</v>
      </c>
      <c r="AK47" s="1">
        <v>36.52530417964622</v>
      </c>
      <c r="AL47" s="1">
        <v>23.186468098150232</v>
      </c>
      <c r="AM47" s="1">
        <v>17.20907442192453</v>
      </c>
      <c r="AN47" s="2">
        <v>368.33073048165312</v>
      </c>
      <c r="AP47" s="1" t="s">
        <v>138</v>
      </c>
      <c r="AQ47" s="1">
        <v>3.3925779774713192</v>
      </c>
      <c r="AR47" s="1">
        <v>4.9981861992707479</v>
      </c>
      <c r="AS47" s="1">
        <v>8.239753871477177</v>
      </c>
      <c r="AT47" s="1">
        <v>6.6235291322680467</v>
      </c>
      <c r="AU47" s="1">
        <v>-2.2866025652291597</v>
      </c>
      <c r="AV47" s="1">
        <v>0.7072363442618439</v>
      </c>
      <c r="AW47" s="1">
        <v>9.5093533590406594</v>
      </c>
      <c r="AX47" s="1">
        <v>1.184099423076816</v>
      </c>
      <c r="AY47" s="1">
        <v>3.5767688298314653</v>
      </c>
      <c r="BA47" s="1">
        <v>1839</v>
      </c>
      <c r="BB47" s="1">
        <v>331.05036120150805</v>
      </c>
      <c r="BC47" s="1">
        <v>28.529349105404723</v>
      </c>
      <c r="BD47" s="1">
        <v>15.905170924859505</v>
      </c>
      <c r="BE47" s="1">
        <v>3.4076353586418433</v>
      </c>
      <c r="BF47" s="1">
        <v>0.99248897293509863</v>
      </c>
      <c r="BG47" s="1">
        <v>1.2460103490469043</v>
      </c>
      <c r="BH47" s="1">
        <v>45.759300202690632</v>
      </c>
      <c r="BI47" s="1">
        <v>40.116107690031242</v>
      </c>
      <c r="BJ47" s="1">
        <v>386.77420842505558</v>
      </c>
      <c r="BL47" s="1" t="s">
        <v>138</v>
      </c>
      <c r="BM47" s="1">
        <v>-1.5220496935727681</v>
      </c>
      <c r="BN47" s="1">
        <v>5.6008861970690873</v>
      </c>
      <c r="BO47" s="1">
        <v>15.831358915639157</v>
      </c>
      <c r="BP47" s="1">
        <v>7.8310167060472935</v>
      </c>
      <c r="BQ47" s="1">
        <v>-16.988771323688198</v>
      </c>
      <c r="BR47" s="1">
        <v>2.956442107925028</v>
      </c>
      <c r="BT47" s="1" t="s">
        <v>138</v>
      </c>
      <c r="BU47" s="1">
        <v>4.9284299276919086</v>
      </c>
      <c r="BV47" s="1">
        <v>-6.1438243289144054</v>
      </c>
      <c r="BW47" s="1">
        <v>1.7671665097830527</v>
      </c>
      <c r="BX47" s="1">
        <v>2.3011528546272899</v>
      </c>
      <c r="BY47" s="1">
        <v>1.9035329803000991</v>
      </c>
      <c r="BZ47" s="1">
        <v>3.9183281097613758</v>
      </c>
      <c r="CB47" s="1">
        <v>1839</v>
      </c>
      <c r="CC47" s="1">
        <v>8.1939847372714514</v>
      </c>
      <c r="CD47" s="1">
        <v>2.699812701313101</v>
      </c>
      <c r="CE47" s="1">
        <v>4.7535017764883898E-2</v>
      </c>
      <c r="CF47" s="1">
        <v>3.9083799746861931</v>
      </c>
      <c r="CG47" s="1">
        <v>0.93181079963603541</v>
      </c>
      <c r="CH47" s="1">
        <v>0.8539495836065385</v>
      </c>
      <c r="CI47" s="1">
        <v>4.9158327912051476</v>
      </c>
      <c r="CJ47" s="1">
        <v>21.551305605483353</v>
      </c>
      <c r="CL47" s="1">
        <v>1839</v>
      </c>
      <c r="CM47" s="1">
        <v>6.2902763643158108</v>
      </c>
      <c r="CN47" s="1">
        <v>1.1865594116494529</v>
      </c>
      <c r="CO47" s="1">
        <v>4.0430280827062848E-2</v>
      </c>
      <c r="CP47" s="1">
        <v>2.4246573810211025</v>
      </c>
      <c r="CQ47" s="1">
        <v>0.30918490239343949</v>
      </c>
      <c r="CR47" s="1">
        <v>0.55231621605651149</v>
      </c>
      <c r="CS47" s="1">
        <v>3.6707572728700137</v>
      </c>
      <c r="CT47" s="2">
        <v>14.474181829133393</v>
      </c>
      <c r="CV47" s="1">
        <v>1839</v>
      </c>
      <c r="CW47" s="1">
        <v>114.9047178249989</v>
      </c>
      <c r="CX47" s="1">
        <v>195.16198832951466</v>
      </c>
      <c r="CY47" s="1">
        <v>19.101993990884111</v>
      </c>
      <c r="CZ47" s="1">
        <v>76.16972472149493</v>
      </c>
      <c r="DA47" s="1">
        <v>71.40790641426392</v>
      </c>
      <c r="DB47" s="1">
        <v>476.74633128115659</v>
      </c>
      <c r="DC47" s="1">
        <v>460.48455170596696</v>
      </c>
      <c r="DD47" s="1">
        <v>67.796117564780388</v>
      </c>
      <c r="DF47" s="1">
        <v>1839</v>
      </c>
      <c r="DG47" s="1">
        <v>1.2989086674627828</v>
      </c>
      <c r="DH47" s="1">
        <v>1.0835721473433324</v>
      </c>
      <c r="DI47" s="1">
        <v>1.4256914610463838</v>
      </c>
      <c r="DJ47" s="1">
        <v>4.2845981281958103</v>
      </c>
      <c r="DK47" s="1">
        <v>17.613545854334191</v>
      </c>
      <c r="DL47" s="1">
        <v>1.7449193116212172</v>
      </c>
      <c r="DM47" s="1">
        <v>4.1074057786089071</v>
      </c>
      <c r="DN47" s="1">
        <v>4.1870253366264478</v>
      </c>
      <c r="DO47" s="1">
        <v>2.6298925110360187</v>
      </c>
      <c r="DQ47" s="1">
        <v>1839</v>
      </c>
      <c r="DR47" s="1">
        <v>265.62622675967049</v>
      </c>
      <c r="DS47" s="1">
        <v>466.90797949834922</v>
      </c>
      <c r="DT47" s="1">
        <v>38.441605590363991</v>
      </c>
      <c r="DU47" s="1">
        <v>76.16972472149493</v>
      </c>
      <c r="DV47" s="1">
        <v>71.40790641426392</v>
      </c>
      <c r="DW47" s="1">
        <v>918.55344298414263</v>
      </c>
      <c r="DX47" s="1">
        <v>883.828751166232</v>
      </c>
      <c r="DY47" s="1">
        <v>101.66744949881871</v>
      </c>
      <c r="EA47" s="1">
        <v>1839</v>
      </c>
      <c r="EB47" s="1">
        <v>0.83604891409265747</v>
      </c>
      <c r="EC47" s="1">
        <v>0.77739322169014713</v>
      </c>
      <c r="ED47" s="1">
        <v>0.86941842357842347</v>
      </c>
      <c r="EE47" s="1">
        <v>3.1654269073779346</v>
      </c>
      <c r="EF47" s="1">
        <v>17.613545854334191</v>
      </c>
      <c r="EG47" s="1">
        <v>1.7449193116212172</v>
      </c>
      <c r="EH47" s="1">
        <v>2.4027796123708356</v>
      </c>
      <c r="EI47" s="1">
        <v>2.4448288371641098</v>
      </c>
      <c r="EJ47" s="1">
        <v>1.9004266597496837</v>
      </c>
    </row>
    <row r="48" spans="1:140" x14ac:dyDescent="0.25">
      <c r="A48" s="1" t="s">
        <v>139</v>
      </c>
      <c r="B48" s="1">
        <v>3.8088229075147666</v>
      </c>
      <c r="C48" s="1">
        <v>3.8125499255132098</v>
      </c>
      <c r="D48" s="1">
        <v>3.8698537578113985</v>
      </c>
      <c r="E48" s="1">
        <v>3.7478279171385225</v>
      </c>
      <c r="F48" s="1">
        <v>3.8148896315134664</v>
      </c>
      <c r="G48" s="1">
        <v>4.4555601972170678</v>
      </c>
      <c r="H48" s="1">
        <v>4.5717844293684067</v>
      </c>
      <c r="J48" s="1">
        <v>1840</v>
      </c>
      <c r="K48" s="2">
        <v>381.821858205475</v>
      </c>
      <c r="L48" s="1">
        <v>363.60439527683468</v>
      </c>
      <c r="M48" s="1">
        <v>367.28963257256152</v>
      </c>
      <c r="N48" s="1">
        <v>349.0721696439212</v>
      </c>
      <c r="O48" s="1">
        <v>14.532225632913491</v>
      </c>
      <c r="P48" s="1">
        <v>18.21746292864032</v>
      </c>
      <c r="Q48" s="1">
        <v>237.36221114844528</v>
      </c>
      <c r="R48" s="1">
        <v>619.18406935392022</v>
      </c>
      <c r="S48" s="1">
        <v>600.96660642527991</v>
      </c>
      <c r="U48" s="1">
        <v>1840</v>
      </c>
      <c r="V48" s="1">
        <v>122.27569308611385</v>
      </c>
      <c r="W48" s="1">
        <v>10033.178214697626</v>
      </c>
      <c r="X48" s="1">
        <v>3.6433334505189094</v>
      </c>
      <c r="Y48" s="1">
        <v>116.44168212524491</v>
      </c>
      <c r="Z48" s="1">
        <v>9139.5518538043507</v>
      </c>
      <c r="AA48" s="1">
        <v>3.0016250680743042</v>
      </c>
      <c r="AB48" s="1">
        <v>3122630.9053637767</v>
      </c>
      <c r="AC48" s="1">
        <v>0.7836748584373936</v>
      </c>
      <c r="AE48" s="1">
        <v>1840</v>
      </c>
      <c r="AF48" s="1">
        <v>175.32349805343816</v>
      </c>
      <c r="AG48" s="1">
        <v>45.090211861453575</v>
      </c>
      <c r="AH48" s="1">
        <v>18.133441606604478</v>
      </c>
      <c r="AI48" s="1">
        <v>22.431271982257122</v>
      </c>
      <c r="AJ48" s="1">
        <v>26.569045034406649</v>
      </c>
      <c r="AK48" s="1">
        <v>36.1351998122325</v>
      </c>
      <c r="AL48" s="1">
        <v>22.689692296229822</v>
      </c>
      <c r="AM48" s="1">
        <v>17.232034630212347</v>
      </c>
      <c r="AN48" s="2">
        <v>363.60439527683462</v>
      </c>
      <c r="AP48" s="1" t="s">
        <v>139</v>
      </c>
      <c r="AQ48" s="1">
        <v>6.0435582459000869</v>
      </c>
      <c r="AR48" s="1">
        <v>2.6846329554071247</v>
      </c>
      <c r="AS48" s="1">
        <v>-4.0464934622459623</v>
      </c>
      <c r="AT48" s="1">
        <v>9.5616229275674556</v>
      </c>
      <c r="AU48" s="1">
        <v>1.7506820757212864</v>
      </c>
      <c r="AV48" s="1">
        <v>1.0337504701283677</v>
      </c>
      <c r="AW48" s="1">
        <v>-0.66385709295532536</v>
      </c>
      <c r="AX48" s="1">
        <v>1.0670641276187212</v>
      </c>
      <c r="AY48" s="1">
        <v>3.8088229075147666</v>
      </c>
      <c r="BA48" s="1">
        <v>1840</v>
      </c>
      <c r="BB48" s="1">
        <v>329.06962311343955</v>
      </c>
      <c r="BC48" s="1">
        <v>28.105291357789302</v>
      </c>
      <c r="BD48" s="1">
        <v>14.643635607701608</v>
      </c>
      <c r="BE48" s="1">
        <v>3.9026241929204031</v>
      </c>
      <c r="BF48" s="1">
        <v>1.4015616436621778</v>
      </c>
      <c r="BG48" s="1">
        <v>1.7627140293971961</v>
      </c>
      <c r="BH48" s="1">
        <v>44.739509973107282</v>
      </c>
      <c r="BI48" s="1">
        <v>41.803101712542485</v>
      </c>
      <c r="BJ48" s="1">
        <v>381.82185820547511</v>
      </c>
      <c r="BL48" s="1" t="s">
        <v>139</v>
      </c>
      <c r="BM48" s="1">
        <v>5.5117438698714523</v>
      </c>
      <c r="BN48" s="1">
        <v>0.40472493436179491</v>
      </c>
      <c r="BO48" s="1">
        <v>2.0585979841843027</v>
      </c>
      <c r="BP48" s="1">
        <v>2.1260024641798054</v>
      </c>
      <c r="BQ48" s="1">
        <v>6.1975677960590474</v>
      </c>
      <c r="BR48" s="1">
        <v>4.4555601972170962</v>
      </c>
      <c r="BT48" s="1" t="s">
        <v>139</v>
      </c>
      <c r="BU48" s="1">
        <v>-5.7908844179958692</v>
      </c>
      <c r="BV48" s="1">
        <v>-1.8834932135909099</v>
      </c>
      <c r="BW48" s="1">
        <v>-1.293136564279223</v>
      </c>
      <c r="BX48" s="1">
        <v>-4.2639474817194696</v>
      </c>
      <c r="BY48" s="1">
        <v>-1.8760216549496249</v>
      </c>
      <c r="BZ48" s="1">
        <v>-5.4913154429783901</v>
      </c>
      <c r="CB48" s="1">
        <v>1840</v>
      </c>
      <c r="CC48" s="1">
        <v>8.8960619429096468</v>
      </c>
      <c r="CD48" s="1">
        <v>2.6096409674960133</v>
      </c>
      <c r="CE48" s="1">
        <v>4.2448543749012954E-2</v>
      </c>
      <c r="CF48" s="1">
        <v>3.3861992565423549</v>
      </c>
      <c r="CG48" s="1">
        <v>0.92440637507271828</v>
      </c>
      <c r="CH48" s="1">
        <v>0.86663766423242161</v>
      </c>
      <c r="CI48" s="1">
        <v>4.9851407236792165</v>
      </c>
      <c r="CJ48" s="1">
        <v>21.710535473681382</v>
      </c>
      <c r="CL48" s="1">
        <v>1840</v>
      </c>
      <c r="CM48" s="1">
        <v>6.2551697404257336</v>
      </c>
      <c r="CN48" s="1">
        <v>1.1979081469063015</v>
      </c>
      <c r="CO48" s="1">
        <v>4.0429172819214709E-2</v>
      </c>
      <c r="CP48" s="1">
        <v>2.5144058244173251</v>
      </c>
      <c r="CQ48" s="1">
        <v>0.30663810829904325</v>
      </c>
      <c r="CR48" s="1">
        <v>0.55582789974808722</v>
      </c>
      <c r="CS48" s="1">
        <v>3.6618467402977863</v>
      </c>
      <c r="CT48" s="2">
        <v>14.532225632913491</v>
      </c>
      <c r="CV48" s="1">
        <v>1840</v>
      </c>
      <c r="CW48" s="1">
        <v>114.90087083426594</v>
      </c>
      <c r="CX48" s="1">
        <v>195.81596176532247</v>
      </c>
      <c r="CY48" s="1">
        <v>19.65705817420853</v>
      </c>
      <c r="CZ48" s="1">
        <v>89.58591411243556</v>
      </c>
      <c r="DA48" s="1">
        <v>70.350026166178296</v>
      </c>
      <c r="DB48" s="1">
        <v>490.3098310524108</v>
      </c>
      <c r="DC48" s="1">
        <v>473.92231055369217</v>
      </c>
      <c r="DD48" s="1">
        <v>67.891964490942058</v>
      </c>
      <c r="DF48" s="1">
        <v>1840</v>
      </c>
      <c r="DG48" s="1">
        <v>0.90486320305383572</v>
      </c>
      <c r="DH48" s="1">
        <v>1.1516831628632076</v>
      </c>
      <c r="DI48" s="1">
        <v>0.76003421125096793</v>
      </c>
      <c r="DJ48" s="1">
        <v>6.1074840473432204</v>
      </c>
      <c r="DK48" s="1">
        <v>-12.740137546817394</v>
      </c>
      <c r="DL48" s="1">
        <v>2.5056337935587862</v>
      </c>
      <c r="DM48" s="1">
        <v>-1.338740931807564</v>
      </c>
      <c r="DN48" s="1">
        <v>-1.4489763272890031</v>
      </c>
      <c r="DO48" s="1">
        <v>2.5788887558411773</v>
      </c>
      <c r="DQ48" s="1">
        <v>1840</v>
      </c>
      <c r="DR48" s="1">
        <v>264.81278718086986</v>
      </c>
      <c r="DS48" s="1">
        <v>465.90319829441341</v>
      </c>
      <c r="DT48" s="1">
        <v>39.099712265914938</v>
      </c>
      <c r="DU48" s="1">
        <v>89.58591411243556</v>
      </c>
      <c r="DV48" s="1">
        <v>70.350026166178296</v>
      </c>
      <c r="DW48" s="1">
        <v>929.75163801981216</v>
      </c>
      <c r="DX48" s="1">
        <v>894.93762060720599</v>
      </c>
      <c r="DY48" s="1">
        <v>101.55918128692727</v>
      </c>
      <c r="EA48" s="1">
        <v>1840</v>
      </c>
      <c r="EB48" s="1">
        <v>0.67506001230771062</v>
      </c>
      <c r="EC48" s="1">
        <v>0.81540888758620156</v>
      </c>
      <c r="ED48" s="1">
        <v>0.5952876969935943</v>
      </c>
      <c r="EE48" s="1">
        <v>4.317040988384619</v>
      </c>
      <c r="EF48" s="1">
        <v>-12.740137546817394</v>
      </c>
      <c r="EG48" s="1">
        <v>2.5056337935587862</v>
      </c>
      <c r="EH48" s="1">
        <v>-0.43287043003191172</v>
      </c>
      <c r="EI48" s="1">
        <v>-0.50244514440024091</v>
      </c>
      <c r="EJ48" s="1">
        <v>1.8869036028108894</v>
      </c>
    </row>
    <row r="49" spans="1:249" x14ac:dyDescent="0.25">
      <c r="A49" s="1" t="s">
        <v>140</v>
      </c>
      <c r="B49" s="1">
        <v>-0.38416193297207712</v>
      </c>
      <c r="C49" s="1">
        <v>-0.39180637598033741</v>
      </c>
      <c r="D49" s="1">
        <v>-0.37536699475080582</v>
      </c>
      <c r="E49" s="1">
        <v>-0.39295609476953075</v>
      </c>
      <c r="F49" s="1">
        <v>-0.42288958858873116</v>
      </c>
      <c r="G49" s="1">
        <v>0.39658039429278347</v>
      </c>
      <c r="H49" s="1">
        <v>0.36832176465115651</v>
      </c>
      <c r="J49" s="1">
        <v>1841</v>
      </c>
      <c r="K49" s="2">
        <v>384.5384874483172</v>
      </c>
      <c r="L49" s="1">
        <v>366.25738441218351</v>
      </c>
      <c r="M49" s="1">
        <v>369.56235240610363</v>
      </c>
      <c r="N49" s="1">
        <v>351.28124936996994</v>
      </c>
      <c r="O49" s="1">
        <v>14.976135042213553</v>
      </c>
      <c r="P49" s="1">
        <v>18.2811030361337</v>
      </c>
      <c r="Q49" s="1">
        <v>235.38018457793657</v>
      </c>
      <c r="R49" s="1">
        <v>619.91867202625372</v>
      </c>
      <c r="S49" s="1">
        <v>601.63756899012014</v>
      </c>
      <c r="U49" s="1">
        <v>1841</v>
      </c>
      <c r="V49" s="1">
        <v>121.84451609594832</v>
      </c>
      <c r="W49" s="1">
        <v>9966.5367972087424</v>
      </c>
      <c r="X49" s="1">
        <v>-0.66421044321988632</v>
      </c>
      <c r="Y49" s="1">
        <v>116.05198238126454</v>
      </c>
      <c r="Z49" s="1">
        <v>9008.2435976798388</v>
      </c>
      <c r="AA49" s="1">
        <v>-1.4367034426294651</v>
      </c>
      <c r="AB49" s="1">
        <v>3155976.9759806548</v>
      </c>
      <c r="AC49" s="1">
        <v>1.0678838334559231</v>
      </c>
      <c r="AE49" s="1">
        <v>1841</v>
      </c>
      <c r="AF49" s="1">
        <v>175.17658496589289</v>
      </c>
      <c r="AG49" s="1">
        <v>44.532323375687696</v>
      </c>
      <c r="AH49" s="1">
        <v>17.849915668032541</v>
      </c>
      <c r="AI49" s="1">
        <v>22.771412271772331</v>
      </c>
      <c r="AJ49" s="1">
        <v>25.911682564333056</v>
      </c>
      <c r="AK49" s="1">
        <v>37.870461645790023</v>
      </c>
      <c r="AL49" s="1">
        <v>24.151744558055476</v>
      </c>
      <c r="AM49" s="1">
        <v>17.993259362619508</v>
      </c>
      <c r="AN49" s="2">
        <v>366.25738441218351</v>
      </c>
      <c r="AP49" s="1" t="s">
        <v>140</v>
      </c>
      <c r="AQ49" s="1">
        <v>-0.70258536686898765</v>
      </c>
      <c r="AR49" s="1">
        <v>-0.58513540375733442</v>
      </c>
      <c r="AS49" s="1">
        <v>-3.1543392049024277</v>
      </c>
      <c r="AT49" s="1">
        <v>-1.0109500218156455</v>
      </c>
      <c r="AU49" s="1">
        <v>-2.7323804474553697</v>
      </c>
      <c r="AV49" s="1">
        <v>0.76803437323708579</v>
      </c>
      <c r="AW49" s="1">
        <v>5.0254823769700181</v>
      </c>
      <c r="AX49" s="1">
        <v>1.117621920308693</v>
      </c>
      <c r="AY49" s="1">
        <v>-0.38416193297207712</v>
      </c>
      <c r="BA49" s="1">
        <v>1841</v>
      </c>
      <c r="BB49" s="1">
        <v>332.77459244581888</v>
      </c>
      <c r="BC49" s="1">
        <v>29.983537990663525</v>
      </c>
      <c r="BD49" s="1">
        <v>14.241443676544577</v>
      </c>
      <c r="BE49" s="1">
        <v>3.373199245818475</v>
      </c>
      <c r="BF49" s="1">
        <v>0.60901605161962913</v>
      </c>
      <c r="BG49" s="1">
        <v>1.2342182415768894</v>
      </c>
      <c r="BH49" s="1">
        <v>47.309740353718354</v>
      </c>
      <c r="BI49" s="1">
        <v>44.98726055744315</v>
      </c>
      <c r="BJ49" s="1">
        <v>384.53848744831714</v>
      </c>
      <c r="BL49" s="1" t="s">
        <v>140</v>
      </c>
      <c r="BM49" s="1">
        <v>1.4672060888410101</v>
      </c>
      <c r="BN49" s="1">
        <v>5.6837743608943754</v>
      </c>
      <c r="BO49" s="1">
        <v>-12.39170067561092</v>
      </c>
      <c r="BP49" s="1">
        <v>6.1522558697555354</v>
      </c>
      <c r="BQ49" s="1">
        <v>12.033067973055722</v>
      </c>
      <c r="BR49" s="1">
        <v>0.39658039429275505</v>
      </c>
      <c r="BT49" s="1" t="s">
        <v>140</v>
      </c>
      <c r="BU49" s="1">
        <v>-0.33637848877945942</v>
      </c>
      <c r="BV49" s="1">
        <v>0.94538536720651223</v>
      </c>
      <c r="BW49" s="1">
        <v>2.3009516292819683</v>
      </c>
      <c r="BX49" s="1">
        <v>-0.38376726871331357</v>
      </c>
      <c r="BY49" s="1">
        <v>-3.9417186130726805</v>
      </c>
      <c r="BZ49" s="1">
        <v>0.3136669484277661</v>
      </c>
      <c r="CB49" s="1">
        <v>1841</v>
      </c>
      <c r="CC49" s="1">
        <v>7.6302509766848639</v>
      </c>
      <c r="CD49" s="1">
        <v>2.0220846642976973</v>
      </c>
      <c r="CE49" s="1">
        <v>4.3525091123384319E-2</v>
      </c>
      <c r="CF49" s="1">
        <v>2.9221141799320307</v>
      </c>
      <c r="CG49" s="1">
        <v>0.65132927437762556</v>
      </c>
      <c r="CH49" s="1">
        <v>0.93933554664219043</v>
      </c>
      <c r="CI49" s="1">
        <v>5.249237482501778</v>
      </c>
      <c r="CJ49" s="1">
        <v>19.45787721555957</v>
      </c>
      <c r="CL49" s="1">
        <v>1841</v>
      </c>
      <c r="CM49" s="1">
        <v>6.4137672105819536</v>
      </c>
      <c r="CN49" s="1">
        <v>1.238237632661469</v>
      </c>
      <c r="CO49" s="1">
        <v>4.1320719986483095E-2</v>
      </c>
      <c r="CP49" s="1">
        <v>2.6086303834962852</v>
      </c>
      <c r="CQ49" s="1">
        <v>0.31078173005779519</v>
      </c>
      <c r="CR49" s="1">
        <v>0.57872717432865672</v>
      </c>
      <c r="CS49" s="1">
        <v>3.7846701911009086</v>
      </c>
      <c r="CT49" s="2">
        <v>14.976135042213553</v>
      </c>
      <c r="CV49" s="1">
        <v>1841</v>
      </c>
      <c r="CW49" s="1">
        <v>118.75077709629187</v>
      </c>
      <c r="CX49" s="1">
        <v>201.59345245856446</v>
      </c>
      <c r="CY49" s="1">
        <v>21.038908082982534</v>
      </c>
      <c r="CZ49" s="1">
        <v>93.807054518325089</v>
      </c>
      <c r="DA49" s="1">
        <v>71.665841372273974</v>
      </c>
      <c r="DB49" s="1">
        <v>506.85603352843788</v>
      </c>
      <c r="DC49" s="1">
        <v>489.79748117959178</v>
      </c>
      <c r="DD49" s="1">
        <v>69.88578240717429</v>
      </c>
      <c r="DF49" s="1">
        <v>1841</v>
      </c>
      <c r="DG49" s="1">
        <v>0.64945173214499619</v>
      </c>
      <c r="DH49" s="1">
        <v>1.2333117535839477</v>
      </c>
      <c r="DI49" s="1">
        <v>0.30552274826298742</v>
      </c>
      <c r="DJ49" s="1">
        <v>2.6826377078215131</v>
      </c>
      <c r="DK49" s="1">
        <v>9.4404687769386442</v>
      </c>
      <c r="DL49" s="1">
        <v>1.7221848204720658</v>
      </c>
      <c r="DM49" s="1">
        <v>2.4071044871996037</v>
      </c>
      <c r="DN49" s="1">
        <v>2.4174062448123692</v>
      </c>
      <c r="DO49" s="1">
        <v>0.32201147334183133</v>
      </c>
      <c r="DQ49" s="1">
        <v>1841</v>
      </c>
      <c r="DR49" s="1">
        <v>272.77583536089884</v>
      </c>
      <c r="DS49" s="1">
        <v>478.86528581623264</v>
      </c>
      <c r="DT49" s="1">
        <v>41.168069746664564</v>
      </c>
      <c r="DU49" s="1">
        <v>93.807054518325089</v>
      </c>
      <c r="DV49" s="1">
        <v>71.665841372273974</v>
      </c>
      <c r="DW49" s="1">
        <v>958.28208681439514</v>
      </c>
      <c r="DX49" s="1">
        <v>922.22999679036343</v>
      </c>
      <c r="DY49" s="1">
        <v>104.44646434273753</v>
      </c>
      <c r="EA49" s="1">
        <v>1841</v>
      </c>
      <c r="EB49" s="1">
        <v>0.56648519185442581</v>
      </c>
      <c r="EC49" s="1">
        <v>0.85899916405392673</v>
      </c>
      <c r="ED49" s="1">
        <v>0.39986057845101186</v>
      </c>
      <c r="EE49" s="1">
        <v>2.6851789971613158</v>
      </c>
      <c r="EF49" s="1">
        <v>9.4404687769386442</v>
      </c>
      <c r="EG49" s="1">
        <v>1.7221848204720658</v>
      </c>
      <c r="EH49" s="1">
        <v>1.552061642310079</v>
      </c>
      <c r="EI49" s="1">
        <v>1.554290502400832</v>
      </c>
      <c r="EJ49" s="1">
        <v>0.39109659973968292</v>
      </c>
    </row>
    <row r="50" spans="1:249" x14ac:dyDescent="0.25">
      <c r="A50" s="1" t="s">
        <v>141</v>
      </c>
      <c r="B50" s="1">
        <v>-2.9506478940529206</v>
      </c>
      <c r="C50" s="1">
        <v>-2.9372154880732353</v>
      </c>
      <c r="D50" s="1">
        <v>-2.8884142789987806</v>
      </c>
      <c r="E50" s="1">
        <v>-3.0128416269157157</v>
      </c>
      <c r="F50" s="1">
        <v>-2.7973165585427893</v>
      </c>
      <c r="G50" s="1">
        <v>-4.487122842959451</v>
      </c>
      <c r="H50" s="1">
        <v>-4.7309289389745857</v>
      </c>
      <c r="J50" s="1">
        <v>1842</v>
      </c>
      <c r="K50" s="2">
        <v>391.47591728873419</v>
      </c>
      <c r="L50" s="1">
        <v>372.81664337016878</v>
      </c>
      <c r="M50" s="1">
        <v>376.33706811901214</v>
      </c>
      <c r="N50" s="1">
        <v>357.67779420044673</v>
      </c>
      <c r="O50" s="1">
        <v>15.138849169722029</v>
      </c>
      <c r="P50" s="1">
        <v>18.659273918565439</v>
      </c>
      <c r="Q50" s="1">
        <v>244.17898898132421</v>
      </c>
      <c r="R50" s="1">
        <v>635.6549062700584</v>
      </c>
      <c r="S50" s="1">
        <v>616.99563235149299</v>
      </c>
      <c r="U50" s="1">
        <v>1842</v>
      </c>
      <c r="V50" s="1">
        <v>122.72265790366963</v>
      </c>
      <c r="W50" s="1">
        <v>9418.0226494045692</v>
      </c>
      <c r="X50" s="1">
        <v>-5.50355814627396</v>
      </c>
      <c r="Y50" s="1">
        <v>116.87321585957571</v>
      </c>
      <c r="Z50" s="1">
        <v>8649.4061450924964</v>
      </c>
      <c r="AA50" s="1">
        <v>-3.9834341589048989</v>
      </c>
      <c r="AB50" s="1">
        <v>3189923.7188622551</v>
      </c>
      <c r="AC50" s="1">
        <v>1.0756334136769823</v>
      </c>
      <c r="AE50" s="1">
        <v>1842</v>
      </c>
      <c r="AF50" s="1">
        <v>180.42576154093408</v>
      </c>
      <c r="AG50" s="1">
        <v>44.515251138616421</v>
      </c>
      <c r="AH50" s="1">
        <v>16.336826102968402</v>
      </c>
      <c r="AI50" s="1">
        <v>23.436058734898467</v>
      </c>
      <c r="AJ50" s="1">
        <v>26.940758494490421</v>
      </c>
      <c r="AK50" s="1">
        <v>39.114597546277082</v>
      </c>
      <c r="AL50" s="1">
        <v>23.634056821260096</v>
      </c>
      <c r="AM50" s="1">
        <v>18.413332990723784</v>
      </c>
      <c r="AN50" s="2">
        <v>372.81664337016883</v>
      </c>
      <c r="AP50" s="1" t="s">
        <v>141</v>
      </c>
      <c r="AQ50" s="1">
        <v>-5.5375590229432987</v>
      </c>
      <c r="AR50" s="1">
        <v>-1.4390517502518492</v>
      </c>
      <c r="AS50" s="1">
        <v>-3.3683445314663061</v>
      </c>
      <c r="AT50" s="1">
        <v>0.39089379640195432</v>
      </c>
      <c r="AU50" s="1">
        <v>-0.75105383042831875</v>
      </c>
      <c r="AV50" s="1">
        <v>0.8928817951024115</v>
      </c>
      <c r="AW50" s="1">
        <v>-0.64526074544998835</v>
      </c>
      <c r="AX50" s="1">
        <v>1.1924892273427901</v>
      </c>
      <c r="AY50" s="1">
        <v>-2.9506478940529206</v>
      </c>
      <c r="BA50" s="1">
        <v>1842</v>
      </c>
      <c r="BB50" s="1">
        <v>345.6668955575413</v>
      </c>
      <c r="BC50" s="1">
        <v>29.778872114913778</v>
      </c>
      <c r="BD50" s="1">
        <v>16.311278632661242</v>
      </c>
      <c r="BE50" s="1">
        <v>4.1917925149200004</v>
      </c>
      <c r="BF50" s="1">
        <v>-0.14109553487565799</v>
      </c>
      <c r="BG50" s="1">
        <v>0.54646425538033838</v>
      </c>
      <c r="BH50" s="1">
        <v>40.498798127315119</v>
      </c>
      <c r="BI50" s="1">
        <v>45.377088379121901</v>
      </c>
      <c r="BJ50" s="1">
        <v>391.47591728873419</v>
      </c>
      <c r="BL50" s="1" t="s">
        <v>141</v>
      </c>
      <c r="BM50" s="1">
        <v>-3.0128965728820134</v>
      </c>
      <c r="BN50" s="1">
        <v>0.86519525136863251</v>
      </c>
      <c r="BO50" s="1">
        <v>8.019235217210948</v>
      </c>
      <c r="BP50" s="1">
        <v>-12.981718498325208</v>
      </c>
      <c r="BQ50" s="1">
        <v>7.1959551790106673</v>
      </c>
      <c r="BR50" s="1">
        <v>-4.4871228429594794</v>
      </c>
      <c r="BT50" s="1" t="s">
        <v>141</v>
      </c>
      <c r="BU50" s="1">
        <v>7.1010281363365237</v>
      </c>
      <c r="BV50" s="1">
        <v>-1.5345128671178827</v>
      </c>
      <c r="BW50" s="1">
        <v>-0.52245210158451982</v>
      </c>
      <c r="BX50" s="1">
        <v>-1.6258329551862118</v>
      </c>
      <c r="BY50" s="1">
        <v>-5.904537915548957</v>
      </c>
      <c r="BZ50" s="1">
        <v>6.5867718423781412</v>
      </c>
      <c r="CB50" s="1">
        <v>1842</v>
      </c>
      <c r="CC50" s="1">
        <v>7.9433409101807122</v>
      </c>
      <c r="CD50" s="1">
        <v>1.4455977794074442</v>
      </c>
      <c r="CE50" s="1">
        <v>4.2074047163242423E-2</v>
      </c>
      <c r="CF50" s="1">
        <v>4.058972152169412</v>
      </c>
      <c r="CG50" s="1">
        <v>0.35366344620803314</v>
      </c>
      <c r="CH50" s="1">
        <v>0.97771057643409431</v>
      </c>
      <c r="CI50" s="1">
        <v>6.0870809565229864</v>
      </c>
      <c r="CJ50" s="1">
        <v>20.908439868085924</v>
      </c>
      <c r="CL50" s="1">
        <v>1842</v>
      </c>
      <c r="CM50" s="1">
        <v>6.435167063928442</v>
      </c>
      <c r="CN50" s="1">
        <v>1.25643048423085</v>
      </c>
      <c r="CO50" s="1">
        <v>4.2707862276412593E-2</v>
      </c>
      <c r="CP50" s="1">
        <v>2.7088892641405438</v>
      </c>
      <c r="CQ50" s="1">
        <v>0.30381722436175346</v>
      </c>
      <c r="CR50" s="1">
        <v>0.58667188387011426</v>
      </c>
      <c r="CS50" s="1">
        <v>3.8051653869139135</v>
      </c>
      <c r="CT50" s="2">
        <v>15.138849169722029</v>
      </c>
      <c r="CV50" s="1">
        <v>1842</v>
      </c>
      <c r="CW50" s="1">
        <v>118.93645774527049</v>
      </c>
      <c r="CX50" s="1">
        <v>200.05820284339967</v>
      </c>
      <c r="CY50" s="1">
        <v>21.840473820757072</v>
      </c>
      <c r="CZ50" s="1">
        <v>85.552400175577816</v>
      </c>
      <c r="DA50" s="1">
        <v>74.576716205058574</v>
      </c>
      <c r="DB50" s="1">
        <v>500.96425079006366</v>
      </c>
      <c r="DC50" s="1">
        <v>483.71134615328867</v>
      </c>
      <c r="DD50" s="1">
        <v>70.975791728414208</v>
      </c>
      <c r="DF50" s="1">
        <v>1842</v>
      </c>
      <c r="DG50" s="1">
        <v>1.3012758639627577</v>
      </c>
      <c r="DH50" s="1">
        <v>1.9186005812417335</v>
      </c>
      <c r="DI50" s="1">
        <v>0.93427059195583695</v>
      </c>
      <c r="DJ50" s="1">
        <v>5.4943762842489434</v>
      </c>
      <c r="DK50" s="1">
        <v>3.8523499939208392</v>
      </c>
      <c r="DL50" s="1">
        <v>0.732754515333923</v>
      </c>
      <c r="DM50" s="1">
        <v>1.7803133568267384</v>
      </c>
      <c r="DN50" s="1">
        <v>1.7623065098258763</v>
      </c>
      <c r="DO50" s="1">
        <v>-0.50589894407673341</v>
      </c>
      <c r="DQ50" s="1">
        <v>1842</v>
      </c>
      <c r="DR50" s="1">
        <v>272.19217987334338</v>
      </c>
      <c r="DS50" s="1">
        <v>475.6653976232252</v>
      </c>
      <c r="DT50" s="1">
        <v>42.665905105209831</v>
      </c>
      <c r="DU50" s="1">
        <v>85.552400175577816</v>
      </c>
      <c r="DV50" s="1">
        <v>74.576716205058574</v>
      </c>
      <c r="DW50" s="1">
        <v>950.65259898241493</v>
      </c>
      <c r="DX50" s="1">
        <v>914.41056983856856</v>
      </c>
      <c r="DY50" s="1">
        <v>105.43236984668678</v>
      </c>
      <c r="EA50" s="1">
        <v>1842</v>
      </c>
      <c r="EB50" s="1">
        <v>0.85347316979795096</v>
      </c>
      <c r="EC50" s="1">
        <v>1.1749346774587934</v>
      </c>
      <c r="ED50" s="1">
        <v>0.66952178516332594</v>
      </c>
      <c r="EE50" s="1">
        <v>4.3340891924288201</v>
      </c>
      <c r="EF50" s="1">
        <v>3.8523499939208392</v>
      </c>
      <c r="EG50" s="1">
        <v>0.732754515333923</v>
      </c>
      <c r="EH50" s="1">
        <v>1.2303605781196438</v>
      </c>
      <c r="EI50" s="1">
        <v>1.2157052950622074</v>
      </c>
      <c r="EJ50" s="1">
        <v>-0.17267608364134901</v>
      </c>
    </row>
    <row r="51" spans="1:249" x14ac:dyDescent="0.25">
      <c r="A51" s="1" t="s">
        <v>142</v>
      </c>
      <c r="B51" s="1">
        <v>3.3182271060415474</v>
      </c>
      <c r="C51" s="1">
        <v>3.3313153805037814</v>
      </c>
      <c r="D51" s="1">
        <v>3.2628157321342997</v>
      </c>
      <c r="E51" s="1">
        <v>3.3736682139855532</v>
      </c>
      <c r="F51" s="1">
        <v>3.2664799585706845</v>
      </c>
      <c r="G51" s="1">
        <v>5.1153770539321926</v>
      </c>
      <c r="H51" s="1">
        <v>5.269711906010329</v>
      </c>
      <c r="J51" s="1">
        <v>1843</v>
      </c>
      <c r="K51" s="2">
        <v>394.11047452469114</v>
      </c>
      <c r="L51" s="1">
        <v>375.33410238369368</v>
      </c>
      <c r="M51" s="1">
        <v>378.83333857038878</v>
      </c>
      <c r="N51" s="1">
        <v>360.05696642939131</v>
      </c>
      <c r="O51" s="1">
        <v>15.277135954302347</v>
      </c>
      <c r="P51" s="1">
        <v>18.776372140997456</v>
      </c>
      <c r="Q51" s="1">
        <v>234.6821735112274</v>
      </c>
      <c r="R51" s="1">
        <v>628.79264803591855</v>
      </c>
      <c r="S51" s="1">
        <v>610.01627589492114</v>
      </c>
      <c r="U51" s="1">
        <v>1843</v>
      </c>
      <c r="V51" s="1">
        <v>122.33113450774391</v>
      </c>
      <c r="W51" s="1">
        <v>9802.2394376823941</v>
      </c>
      <c r="X51" s="1">
        <v>4.0795908289954781</v>
      </c>
      <c r="Y51" s="1">
        <v>116.50298465022495</v>
      </c>
      <c r="Z51" s="1">
        <v>8848.3554296410439</v>
      </c>
      <c r="AA51" s="1">
        <v>2.3001496427754944</v>
      </c>
      <c r="AB51" s="1">
        <v>3221669.4148270395</v>
      </c>
      <c r="AC51" s="1">
        <v>0.99518668039206659</v>
      </c>
      <c r="AE51" s="1">
        <v>1843</v>
      </c>
      <c r="AF51" s="1">
        <v>183.68607474354638</v>
      </c>
      <c r="AG51" s="1">
        <v>44.645954126572846</v>
      </c>
      <c r="AH51" s="1">
        <v>19.854745694525885</v>
      </c>
      <c r="AI51" s="1">
        <v>19.224735775871789</v>
      </c>
      <c r="AJ51" s="1">
        <v>27.942654356812618</v>
      </c>
      <c r="AK51" s="1">
        <v>37.316341012186605</v>
      </c>
      <c r="AL51" s="1">
        <v>23.960184040871724</v>
      </c>
      <c r="AM51" s="1">
        <v>18.703412633305867</v>
      </c>
      <c r="AN51" s="2">
        <v>375.33410238369373</v>
      </c>
      <c r="AP51" s="1" t="s">
        <v>142</v>
      </c>
      <c r="AQ51" s="1">
        <v>4.2408035034234217</v>
      </c>
      <c r="AR51" s="1">
        <v>3.4331450103573218</v>
      </c>
      <c r="AS51" s="1">
        <v>11.425990787253241</v>
      </c>
      <c r="AT51" s="1">
        <v>-9.0032797299054437</v>
      </c>
      <c r="AU51" s="1">
        <v>4.7173083658553168</v>
      </c>
      <c r="AV51" s="1">
        <v>0.84435176697601833</v>
      </c>
      <c r="AW51" s="1">
        <v>5.6970274768333411</v>
      </c>
      <c r="AX51" s="1">
        <v>1.5753782475351699</v>
      </c>
      <c r="AY51" s="1">
        <v>3.3182271060415474</v>
      </c>
      <c r="BA51" s="1">
        <v>1843</v>
      </c>
      <c r="BB51" s="1">
        <v>340.9939994478338</v>
      </c>
      <c r="BC51" s="1">
        <v>29.88978727682969</v>
      </c>
      <c r="BD51" s="1">
        <v>16.903082362901934</v>
      </c>
      <c r="BE51" s="1">
        <v>3.1693878388266512</v>
      </c>
      <c r="BF51" s="1">
        <v>0.90312985574182969</v>
      </c>
      <c r="BG51" s="1">
        <v>1.2780790141935969</v>
      </c>
      <c r="BH51" s="1">
        <v>37.754676123397765</v>
      </c>
      <c r="BI51" s="1">
        <v>36.781667395034141</v>
      </c>
      <c r="BJ51" s="1">
        <v>394.11047452469114</v>
      </c>
      <c r="BL51" s="1" t="s">
        <v>142</v>
      </c>
      <c r="BM51" s="1">
        <v>3.1217622452675045</v>
      </c>
      <c r="BN51" s="1">
        <v>4.0712813433834327</v>
      </c>
      <c r="BO51" s="1">
        <v>7.7370732518954526</v>
      </c>
      <c r="BP51" s="1">
        <v>0.872264595676711</v>
      </c>
      <c r="BQ51" s="1">
        <v>-13.451291334166186</v>
      </c>
      <c r="BR51" s="1">
        <v>5.1153770539321926</v>
      </c>
      <c r="BT51" s="1" t="s">
        <v>142</v>
      </c>
      <c r="BU51" s="1">
        <v>-4.3381839312638419</v>
      </c>
      <c r="BV51" s="1">
        <v>-3.5541204967115334</v>
      </c>
      <c r="BW51" s="1">
        <v>-1.209537411264975</v>
      </c>
      <c r="BX51" s="1">
        <v>-7.5819409731950458</v>
      </c>
      <c r="BY51" s="1">
        <v>-6.3443042497699764</v>
      </c>
      <c r="BZ51" s="1">
        <v>-4.2262098203866714</v>
      </c>
      <c r="CB51" s="1">
        <v>1843</v>
      </c>
      <c r="CC51" s="1">
        <v>8.713810859195414</v>
      </c>
      <c r="CD51" s="1">
        <v>1.7466221568060203</v>
      </c>
      <c r="CE51" s="1">
        <v>4.5652012512703351E-2</v>
      </c>
      <c r="CF51" s="1">
        <v>2.9500494765634007</v>
      </c>
      <c r="CG51" s="1">
        <v>0.59892043511383419</v>
      </c>
      <c r="CH51" s="1">
        <v>0.97215430117231727</v>
      </c>
      <c r="CI51" s="1">
        <v>7.2264698303003225</v>
      </c>
      <c r="CJ51" s="1">
        <v>22.253679071664013</v>
      </c>
      <c r="CL51" s="1">
        <v>1843</v>
      </c>
      <c r="CM51" s="1">
        <v>6.450074097819793</v>
      </c>
      <c r="CN51" s="1">
        <v>1.2001067557363441</v>
      </c>
      <c r="CO51" s="1">
        <v>3.4055965553461298E-2</v>
      </c>
      <c r="CP51" s="1">
        <v>2.7197538697005399</v>
      </c>
      <c r="CQ51" s="1">
        <v>0.30466754785453387</v>
      </c>
      <c r="CR51" s="1">
        <v>0.59433416220006463</v>
      </c>
      <c r="CS51" s="1">
        <v>3.9741435554376103</v>
      </c>
      <c r="CT51" s="2">
        <v>15.277135954302347</v>
      </c>
      <c r="CV51" s="1">
        <v>1843</v>
      </c>
      <c r="CW51" s="1">
        <v>123.82522005283397</v>
      </c>
      <c r="CX51" s="1">
        <v>206.26981011762672</v>
      </c>
      <c r="CY51" s="1">
        <v>20.567821086077469</v>
      </c>
      <c r="CZ51" s="1">
        <v>66.897451714666019</v>
      </c>
      <c r="DA51" s="1">
        <v>73.422348466569403</v>
      </c>
      <c r="DB51" s="1">
        <v>490.9826514377736</v>
      </c>
      <c r="DC51" s="1">
        <v>473.0852341272182</v>
      </c>
      <c r="DD51" s="1">
        <v>69.429131817186757</v>
      </c>
      <c r="DF51" s="1">
        <v>1843</v>
      </c>
      <c r="DG51" s="1">
        <v>1.320660982043492</v>
      </c>
      <c r="DH51" s="1">
        <v>2.6265459277803131</v>
      </c>
      <c r="DI51" s="1">
        <v>0.53672904999133664</v>
      </c>
      <c r="DJ51" s="1">
        <v>2.1065851103279982</v>
      </c>
      <c r="DK51" s="1">
        <v>1.8183725428079072</v>
      </c>
      <c r="DL51" s="1">
        <v>1.7407220565486767</v>
      </c>
      <c r="DM51" s="1">
        <v>1.4844270392279526</v>
      </c>
      <c r="DN51" s="1">
        <v>1.4608045406407086</v>
      </c>
      <c r="DO51" s="1">
        <v>3.1848308834379964</v>
      </c>
      <c r="DQ51" s="1">
        <v>1843</v>
      </c>
      <c r="DR51" s="1">
        <v>281.31263137075911</v>
      </c>
      <c r="DS51" s="1">
        <v>489.14793229092112</v>
      </c>
      <c r="DT51" s="1">
        <v>39.636296473394992</v>
      </c>
      <c r="DU51" s="1">
        <v>66.897451714666019</v>
      </c>
      <c r="DV51" s="1">
        <v>73.422348466569403</v>
      </c>
      <c r="DW51" s="1">
        <v>950.41666031631053</v>
      </c>
      <c r="DX51" s="1">
        <v>913.06914888060169</v>
      </c>
      <c r="DY51" s="1">
        <v>104.24754549022748</v>
      </c>
      <c r="EA51" s="1">
        <v>1843</v>
      </c>
      <c r="EB51" s="1">
        <v>0.87215381003595382</v>
      </c>
      <c r="EC51" s="1">
        <v>1.5140769693060321</v>
      </c>
      <c r="ED51" s="1">
        <v>0.50297900390657446</v>
      </c>
      <c r="EE51" s="1">
        <v>2.6331407027303726</v>
      </c>
      <c r="EF51" s="1">
        <v>1.8183725428079072</v>
      </c>
      <c r="EG51" s="1">
        <v>1.7407220565486767</v>
      </c>
      <c r="EH51" s="1">
        <v>1.0796370390305583</v>
      </c>
      <c r="EI51" s="1">
        <v>1.0605872818765079</v>
      </c>
      <c r="EJ51" s="1">
        <v>2.2743631371590709</v>
      </c>
    </row>
    <row r="52" spans="1:249" x14ac:dyDescent="0.25">
      <c r="A52" s="1" t="s">
        <v>143</v>
      </c>
      <c r="B52" s="1">
        <v>5.7618282570836072</v>
      </c>
      <c r="C52" s="1">
        <v>5.762585083271432</v>
      </c>
      <c r="D52" s="1">
        <v>5.7865863709370018</v>
      </c>
      <c r="E52" s="1">
        <v>5.7370759375773304</v>
      </c>
      <c r="F52" s="1">
        <v>5.5435068350905112</v>
      </c>
      <c r="G52" s="1">
        <v>6.0008508063293959</v>
      </c>
      <c r="H52" s="1">
        <v>6.2129710692177866</v>
      </c>
      <c r="J52" s="1">
        <v>1844</v>
      </c>
      <c r="K52" s="2">
        <v>389.07102533880675</v>
      </c>
      <c r="L52" s="1">
        <v>370.40927222134167</v>
      </c>
      <c r="M52" s="1">
        <v>373.80891622654752</v>
      </c>
      <c r="N52" s="1">
        <v>355.14716310908244</v>
      </c>
      <c r="O52" s="1">
        <v>15.262109112259239</v>
      </c>
      <c r="P52" s="1">
        <v>18.661753117465111</v>
      </c>
      <c r="Q52" s="1">
        <v>225.47170686480456</v>
      </c>
      <c r="R52" s="1">
        <v>614.54273220361131</v>
      </c>
      <c r="S52" s="1">
        <v>595.88097908614623</v>
      </c>
      <c r="U52" s="1">
        <v>1844</v>
      </c>
      <c r="V52" s="1">
        <v>119.49995925516814</v>
      </c>
      <c r="W52" s="1">
        <v>10281.453121236264</v>
      </c>
      <c r="X52" s="1">
        <v>4.8888183827834837</v>
      </c>
      <c r="Y52" s="1">
        <v>113.76815556913134</v>
      </c>
      <c r="Z52" s="1">
        <v>9260.0077673388078</v>
      </c>
      <c r="AA52" s="1">
        <v>4.6523033683612169</v>
      </c>
      <c r="AB52" s="1">
        <v>3255825.5899319914</v>
      </c>
      <c r="AC52" s="1">
        <v>1.0602011164694716</v>
      </c>
      <c r="AE52" s="1">
        <v>1844</v>
      </c>
      <c r="AF52" s="1">
        <v>181.36461065649749</v>
      </c>
      <c r="AG52" s="1">
        <v>46.718382530824812</v>
      </c>
      <c r="AH52" s="1">
        <v>20.847818715080287</v>
      </c>
      <c r="AI52" s="1">
        <v>21.198509085252528</v>
      </c>
      <c r="AJ52" s="1">
        <v>26.355397928043281</v>
      </c>
      <c r="AK52" s="1">
        <v>34.042887633698193</v>
      </c>
      <c r="AL52" s="1">
        <v>21.180290883003675</v>
      </c>
      <c r="AM52" s="1">
        <v>18.701374788941376</v>
      </c>
      <c r="AN52" s="2">
        <v>370.40927222134161</v>
      </c>
      <c r="AP52" s="1" t="s">
        <v>143</v>
      </c>
      <c r="AQ52" s="1">
        <v>7.8636725352631913</v>
      </c>
      <c r="AR52" s="1">
        <v>4.6549129115779522</v>
      </c>
      <c r="AS52" s="1">
        <v>5.7045592619705729</v>
      </c>
      <c r="AT52" s="1">
        <v>4.6409969750469457</v>
      </c>
      <c r="AU52" s="1">
        <v>0.28072236493950697</v>
      </c>
      <c r="AV52" s="1">
        <v>0.99191431284508269</v>
      </c>
      <c r="AW52" s="1">
        <v>9.7020037554427461</v>
      </c>
      <c r="AX52" s="1">
        <v>2.2719606903373091</v>
      </c>
      <c r="AY52" s="1">
        <v>5.7618282570836072</v>
      </c>
      <c r="BA52" s="1">
        <v>1844</v>
      </c>
      <c r="BB52" s="1">
        <v>329.79959502763109</v>
      </c>
      <c r="BC52" s="1">
        <v>27.093968787233347</v>
      </c>
      <c r="BD52" s="1">
        <v>16.650017645736519</v>
      </c>
      <c r="BE52" s="1">
        <v>2.7428163984751084</v>
      </c>
      <c r="BF52" s="1">
        <v>1.2511477390949766</v>
      </c>
      <c r="BG52" s="1">
        <v>2.1062782850707578</v>
      </c>
      <c r="BH52" s="1">
        <v>47.353493729905097</v>
      </c>
      <c r="BI52" s="1">
        <v>37.926292274340163</v>
      </c>
      <c r="BJ52" s="1">
        <v>389.07102533880669</v>
      </c>
      <c r="BL52" s="1" t="s">
        <v>143</v>
      </c>
      <c r="BM52" s="1">
        <v>4.2419508738219776</v>
      </c>
      <c r="BN52" s="1">
        <v>7.1167031333516633</v>
      </c>
      <c r="BO52" s="1">
        <v>3.3379188937330042</v>
      </c>
      <c r="BP52" s="1">
        <v>21.098808027584354</v>
      </c>
      <c r="BQ52" s="1">
        <v>5.320057737060722</v>
      </c>
      <c r="BR52" s="1">
        <v>6.0008508063293959</v>
      </c>
      <c r="BT52" s="1" t="s">
        <v>143</v>
      </c>
      <c r="BU52" s="1">
        <v>-7.2186150822757469</v>
      </c>
      <c r="BV52" s="1">
        <v>-15.376184158404229</v>
      </c>
      <c r="BW52" s="1">
        <v>-1.0707232890691358</v>
      </c>
      <c r="BX52" s="1">
        <v>3.5717726182338652</v>
      </c>
      <c r="BY52" s="1">
        <v>-2.0965747816022571</v>
      </c>
      <c r="BZ52" s="1">
        <v>-6.867435716908858</v>
      </c>
      <c r="CB52" s="1">
        <v>1844</v>
      </c>
      <c r="CC52" s="1">
        <v>8.2872430252946518</v>
      </c>
      <c r="CD52" s="1">
        <v>2.798871396146438</v>
      </c>
      <c r="CE52" s="1">
        <v>5.5096978521849006E-2</v>
      </c>
      <c r="CF52" s="1">
        <v>2.9054505836995981</v>
      </c>
      <c r="CG52" s="1">
        <v>0.99139641044823046</v>
      </c>
      <c r="CH52" s="1">
        <v>0.95467825804485085</v>
      </c>
      <c r="CI52" s="1">
        <v>6.7575234162217406</v>
      </c>
      <c r="CJ52" s="1">
        <v>22.750260068377358</v>
      </c>
      <c r="CL52" s="1">
        <v>1844</v>
      </c>
      <c r="CM52" s="1">
        <v>6.4278231444918292</v>
      </c>
      <c r="CN52" s="1">
        <v>1.1993718814590357</v>
      </c>
      <c r="CO52" s="1">
        <v>3.4663745443990909E-2</v>
      </c>
      <c r="CP52" s="1">
        <v>2.6942913172561163</v>
      </c>
      <c r="CQ52" s="1">
        <v>0.30150719472397047</v>
      </c>
      <c r="CR52" s="1">
        <v>0.59797886480764983</v>
      </c>
      <c r="CS52" s="1">
        <v>4.0064729640766465</v>
      </c>
      <c r="CT52" s="2">
        <v>15.262109112259239</v>
      </c>
      <c r="CV52" s="1">
        <v>1844</v>
      </c>
      <c r="CW52" s="1">
        <v>125.73988794529986</v>
      </c>
      <c r="CX52" s="1">
        <v>205.19400516136477</v>
      </c>
      <c r="CY52" s="1">
        <v>20.84632562294345</v>
      </c>
      <c r="CZ52" s="1">
        <v>68.113896608483685</v>
      </c>
      <c r="DA52" s="1">
        <v>73.633939458243404</v>
      </c>
      <c r="DB52" s="1">
        <v>493.52805479633514</v>
      </c>
      <c r="DC52" s="1">
        <v>475.46032434759996</v>
      </c>
      <c r="DD52" s="1">
        <v>70.623296541716627</v>
      </c>
      <c r="DF52" s="1">
        <v>1844</v>
      </c>
      <c r="DG52" s="1">
        <v>1.2452265710634691</v>
      </c>
      <c r="DH52" s="1">
        <v>2.1878900141392421</v>
      </c>
      <c r="DI52" s="1">
        <v>0.66757618790893503</v>
      </c>
      <c r="DJ52" s="1">
        <v>9.9254688250141498E-2</v>
      </c>
      <c r="DK52" s="1">
        <v>-4.8477857764911363</v>
      </c>
      <c r="DL52" s="1">
        <v>2.8604720874199501</v>
      </c>
      <c r="DM52" s="1">
        <v>0.5877323732373867</v>
      </c>
      <c r="DN52" s="1">
        <v>0.53467223913065709</v>
      </c>
      <c r="DO52" s="1">
        <v>3.2884514638204791</v>
      </c>
      <c r="DQ52" s="1">
        <v>1844</v>
      </c>
      <c r="DR52" s="1">
        <v>282.56590091162838</v>
      </c>
      <c r="DS52" s="1">
        <v>486.433420070615</v>
      </c>
      <c r="DT52" s="1">
        <v>40.448323406164192</v>
      </c>
      <c r="DU52" s="1">
        <v>68.113896608483685</v>
      </c>
      <c r="DV52" s="1">
        <v>73.633939458243404</v>
      </c>
      <c r="DW52" s="1">
        <v>951.19548045513454</v>
      </c>
      <c r="DX52" s="1">
        <v>913.70036931486629</v>
      </c>
      <c r="DY52" s="1">
        <v>105.16718054399584</v>
      </c>
      <c r="EA52" s="1">
        <v>1844</v>
      </c>
      <c r="EB52" s="1">
        <v>0.84968503939069251</v>
      </c>
      <c r="EC52" s="1">
        <v>1.3469412846682189</v>
      </c>
      <c r="ED52" s="1">
        <v>0.56083223213418876</v>
      </c>
      <c r="EE52" s="1">
        <v>1.5185388988160184</v>
      </c>
      <c r="EF52" s="1">
        <v>-4.8477857764911363</v>
      </c>
      <c r="EG52" s="1">
        <v>2.8604720874199501</v>
      </c>
      <c r="EH52" s="1">
        <v>0.62272662649660049</v>
      </c>
      <c r="EI52" s="1">
        <v>0.58645373535372869</v>
      </c>
      <c r="EJ52" s="1">
        <v>2.36486896413453</v>
      </c>
    </row>
    <row r="53" spans="1:249" x14ac:dyDescent="0.25">
      <c r="A53" s="1" t="s">
        <v>144</v>
      </c>
      <c r="B53" s="1">
        <v>3.505667671162314</v>
      </c>
      <c r="C53" s="1">
        <v>3.4777946113370604</v>
      </c>
      <c r="D53" s="1">
        <v>3.8722766235002268</v>
      </c>
      <c r="E53" s="1">
        <v>3.1403526360110163</v>
      </c>
      <c r="F53" s="1">
        <v>3.6975003061981369</v>
      </c>
      <c r="G53" s="1">
        <v>4.2509870807262047</v>
      </c>
      <c r="H53" s="1">
        <v>4.3738115986154895</v>
      </c>
      <c r="J53" s="1">
        <v>1845</v>
      </c>
      <c r="K53" s="2">
        <v>386.55673729761565</v>
      </c>
      <c r="L53" s="1">
        <v>368.22382786990335</v>
      </c>
      <c r="M53" s="1">
        <v>370.90491699466833</v>
      </c>
      <c r="N53" s="1">
        <v>352.57200756695602</v>
      </c>
      <c r="O53" s="1">
        <v>15.651820302947343</v>
      </c>
      <c r="P53" s="1">
        <v>18.332909427712334</v>
      </c>
      <c r="Q53" s="1">
        <v>226.35860108977562</v>
      </c>
      <c r="R53" s="1">
        <v>612.91533838739133</v>
      </c>
      <c r="S53" s="1">
        <v>594.58242895967896</v>
      </c>
      <c r="U53" s="1">
        <v>1845</v>
      </c>
      <c r="V53" s="1">
        <v>117.28876641361134</v>
      </c>
      <c r="W53" s="1">
        <v>10588.610649158376</v>
      </c>
      <c r="X53" s="1">
        <v>2.9874914012658422</v>
      </c>
      <c r="Y53" s="1">
        <v>111.72620825829108</v>
      </c>
      <c r="Z53" s="1">
        <v>9468.4695321457293</v>
      </c>
      <c r="AA53" s="1">
        <v>2.2512050750345054</v>
      </c>
      <c r="AB53" s="1">
        <v>3295769.4851563876</v>
      </c>
      <c r="AC53" s="1">
        <v>1.22684382566176</v>
      </c>
      <c r="AE53" s="1">
        <v>1845</v>
      </c>
      <c r="AF53" s="1">
        <v>170.16786455231096</v>
      </c>
      <c r="AG53" s="1">
        <v>47.184936784161266</v>
      </c>
      <c r="AH53" s="1">
        <v>19.238658627053066</v>
      </c>
      <c r="AI53" s="1">
        <v>22.590024941363467</v>
      </c>
      <c r="AJ53" s="1">
        <v>26.359857939894347</v>
      </c>
      <c r="AK53" s="1">
        <v>38.600893070342174</v>
      </c>
      <c r="AL53" s="1">
        <v>25.148702820898897</v>
      </c>
      <c r="AM53" s="1">
        <v>18.932889133879137</v>
      </c>
      <c r="AN53" s="2">
        <v>368.22382786990335</v>
      </c>
      <c r="AP53" s="1" t="s">
        <v>144</v>
      </c>
      <c r="AQ53" s="1">
        <v>5.0793396922398415</v>
      </c>
      <c r="AR53" s="1">
        <v>3.9525753294884254</v>
      </c>
      <c r="AS53" s="1">
        <v>-1.8565268741632366</v>
      </c>
      <c r="AT53" s="1">
        <v>18.191416893803634</v>
      </c>
      <c r="AU53" s="1">
        <v>5.4704566631376395</v>
      </c>
      <c r="AV53" s="1">
        <v>1.3622823354999269</v>
      </c>
      <c r="AW53" s="1">
        <v>-13.610285545731472</v>
      </c>
      <c r="AX53" s="1">
        <v>2.4069831007584384</v>
      </c>
      <c r="AY53" s="1">
        <v>3.505667671162314</v>
      </c>
      <c r="BA53" s="1">
        <v>1845</v>
      </c>
      <c r="BB53" s="1">
        <v>315.68403792344537</v>
      </c>
      <c r="BC53" s="1">
        <v>31.457564304797788</v>
      </c>
      <c r="BD53" s="1">
        <v>18.774682964086569</v>
      </c>
      <c r="BE53" s="1">
        <v>3.1247307483717939</v>
      </c>
      <c r="BF53" s="1">
        <v>0.95094164104143331</v>
      </c>
      <c r="BG53" s="1">
        <v>2.1407211979131571</v>
      </c>
      <c r="BH53" s="1">
        <v>54.868977501058978</v>
      </c>
      <c r="BI53" s="1">
        <v>40.444918983099413</v>
      </c>
      <c r="BJ53" s="1">
        <v>386.55673729761571</v>
      </c>
      <c r="BL53" s="1" t="s">
        <v>144</v>
      </c>
      <c r="BM53" s="1">
        <v>4.6999477322263772</v>
      </c>
      <c r="BN53" s="1">
        <v>-8.3584480314301146</v>
      </c>
      <c r="BO53" s="1">
        <v>9.917006726652474</v>
      </c>
      <c r="BP53" s="1">
        <v>8.0859496714760439</v>
      </c>
      <c r="BQ53" s="1">
        <v>6.0134813861773893</v>
      </c>
      <c r="BR53" s="1">
        <v>4.2509870807262047</v>
      </c>
      <c r="BT53" s="1" t="s">
        <v>144</v>
      </c>
      <c r="BU53" s="1">
        <v>-8.5768796355408057</v>
      </c>
      <c r="BV53" s="1">
        <v>26.695162082787832</v>
      </c>
      <c r="BW53" s="1">
        <v>-6.1297648918113623E-2</v>
      </c>
      <c r="BX53" s="1">
        <v>7.2026689128815065</v>
      </c>
      <c r="BY53" s="1">
        <v>0.59177825790570182</v>
      </c>
      <c r="BZ53" s="1">
        <v>-4.6975244712284479</v>
      </c>
      <c r="CB53" s="1">
        <v>1845</v>
      </c>
      <c r="CC53" s="1">
        <v>9.1665847421372142</v>
      </c>
      <c r="CD53" s="1">
        <v>3.1264502615699863</v>
      </c>
      <c r="CE53" s="1">
        <v>6.5565243680227647E-2</v>
      </c>
      <c r="CF53" s="1">
        <v>3.2900575614773331</v>
      </c>
      <c r="CG53" s="1">
        <v>1.0799785578295324</v>
      </c>
      <c r="CH53" s="1">
        <v>1.0393239640541785</v>
      </c>
      <c r="CI53" s="1">
        <v>7.2231162206644806</v>
      </c>
      <c r="CJ53" s="1">
        <v>24.991076551412952</v>
      </c>
      <c r="CL53" s="1">
        <v>1845</v>
      </c>
      <c r="CM53" s="1">
        <v>6.5060865351277979</v>
      </c>
      <c r="CN53" s="1">
        <v>1.2599479332444223</v>
      </c>
      <c r="CO53" s="1">
        <v>4.1100127609333639E-2</v>
      </c>
      <c r="CP53" s="1">
        <v>2.829137819703341</v>
      </c>
      <c r="CQ53" s="1">
        <v>0.30502650639215612</v>
      </c>
      <c r="CR53" s="1">
        <v>0.61698474888474752</v>
      </c>
      <c r="CS53" s="1">
        <v>4.0935366319855424</v>
      </c>
      <c r="CT53" s="2">
        <v>15.651820302947343</v>
      </c>
      <c r="CV53" s="1">
        <v>1845</v>
      </c>
      <c r="CW53" s="1">
        <v>128.49093839744495</v>
      </c>
      <c r="CX53" s="1">
        <v>206.56383147883867</v>
      </c>
      <c r="CY53" s="1">
        <v>22.276333133807825</v>
      </c>
      <c r="CZ53" s="1">
        <v>64.811880816883729</v>
      </c>
      <c r="DA53" s="1">
        <v>71.931248033962447</v>
      </c>
      <c r="DB53" s="1">
        <v>494.07423186093763</v>
      </c>
      <c r="DC53" s="1">
        <v>475.6078487711124</v>
      </c>
      <c r="DD53" s="1">
        <v>70.75560325408523</v>
      </c>
      <c r="DF53" s="1">
        <v>1845</v>
      </c>
      <c r="DG53" s="1">
        <v>1.8096044378106626</v>
      </c>
      <c r="DH53" s="1">
        <v>2.4356422543966545</v>
      </c>
      <c r="DI53" s="1">
        <v>1.4201839572282893</v>
      </c>
      <c r="DJ53" s="1">
        <v>0.86549513486578178</v>
      </c>
      <c r="DK53" s="1">
        <v>10.912820848078979</v>
      </c>
      <c r="DL53" s="1">
        <v>2.9760656966530092</v>
      </c>
      <c r="DM53" s="1">
        <v>3.1280045511337278</v>
      </c>
      <c r="DN53" s="1">
        <v>3.1604701246440925</v>
      </c>
      <c r="DO53" s="1">
        <v>-0.1683826516015472</v>
      </c>
      <c r="DQ53" s="1">
        <v>1845</v>
      </c>
      <c r="DR53" s="1">
        <v>286.37189768740177</v>
      </c>
      <c r="DS53" s="1">
        <v>489.16149547824369</v>
      </c>
      <c r="DT53" s="1">
        <v>43.731894377835737</v>
      </c>
      <c r="DU53" s="1">
        <v>64.811880816883729</v>
      </c>
      <c r="DV53" s="1">
        <v>71.931248033962447</v>
      </c>
      <c r="DW53" s="1">
        <v>956.00841639432747</v>
      </c>
      <c r="DX53" s="1">
        <v>917.8667350064236</v>
      </c>
      <c r="DY53" s="1">
        <v>105.66029112027425</v>
      </c>
      <c r="EA53" s="1">
        <v>1845</v>
      </c>
      <c r="EB53" s="1">
        <v>1.1111230771980019</v>
      </c>
      <c r="EC53" s="1">
        <v>1.4844978109745313</v>
      </c>
      <c r="ED53" s="1">
        <v>0.89253671656150857</v>
      </c>
      <c r="EE53" s="1">
        <v>1.9042683560590206</v>
      </c>
      <c r="EF53" s="1">
        <v>10.912820848078979</v>
      </c>
      <c r="EG53" s="1">
        <v>2.9760656966530092</v>
      </c>
      <c r="EH53" s="1">
        <v>1.9547385238383157</v>
      </c>
      <c r="EI53" s="1">
        <v>1.9661880988400355</v>
      </c>
      <c r="EJ53" s="1">
        <v>7.8319982877886218E-2</v>
      </c>
    </row>
    <row r="54" spans="1:249" x14ac:dyDescent="0.25">
      <c r="A54" s="1" t="s">
        <v>145</v>
      </c>
      <c r="B54" s="1">
        <v>-2.7163700834281599</v>
      </c>
      <c r="C54" s="1">
        <v>-2.6773961151680368</v>
      </c>
      <c r="D54" s="1">
        <v>-2.2893521983448579</v>
      </c>
      <c r="E54" s="1">
        <v>-3.1415218026607192</v>
      </c>
      <c r="F54" s="1">
        <v>-2.6618687110681236</v>
      </c>
      <c r="G54" s="1">
        <v>-5.7578377703607231</v>
      </c>
      <c r="H54" s="1">
        <v>-6.0708438201290278</v>
      </c>
      <c r="J54" s="1">
        <v>1846</v>
      </c>
      <c r="K54" s="2">
        <v>426.5821290921852</v>
      </c>
      <c r="L54" s="1">
        <v>406.30471203068765</v>
      </c>
      <c r="M54" s="1">
        <v>410.4352360466554</v>
      </c>
      <c r="N54" s="1">
        <v>390.15781898515786</v>
      </c>
      <c r="O54" s="1">
        <v>16.146893045529779</v>
      </c>
      <c r="P54" s="1">
        <v>20.277417061497559</v>
      </c>
      <c r="Q54" s="1">
        <v>260.84519730395527</v>
      </c>
      <c r="R54" s="1">
        <v>687.42732639614042</v>
      </c>
      <c r="S54" s="1">
        <v>667.14990933464287</v>
      </c>
      <c r="U54" s="1">
        <v>1846</v>
      </c>
      <c r="V54" s="1">
        <v>128.11407731578507</v>
      </c>
      <c r="W54" s="1">
        <v>9877.2317784233255</v>
      </c>
      <c r="X54" s="1">
        <v>-6.7183400571215941</v>
      </c>
      <c r="Y54" s="1">
        <v>122.02422403780182</v>
      </c>
      <c r="Z54" s="1">
        <v>9117.3909376442043</v>
      </c>
      <c r="AA54" s="1">
        <v>-3.7078705624980017</v>
      </c>
      <c r="AB54" s="1">
        <v>3329705.3534617745</v>
      </c>
      <c r="AC54" s="1">
        <v>1.0296796683818172</v>
      </c>
      <c r="AE54" s="1">
        <v>1846</v>
      </c>
      <c r="AF54" s="1">
        <v>193.06998854439195</v>
      </c>
      <c r="AG54" s="1">
        <v>49.584557635275623</v>
      </c>
      <c r="AH54" s="1">
        <v>25.016319341900644</v>
      </c>
      <c r="AI54" s="1">
        <v>21.106950269225916</v>
      </c>
      <c r="AJ54" s="1">
        <v>30.108995083953591</v>
      </c>
      <c r="AK54" s="1">
        <v>41.385477475243675</v>
      </c>
      <c r="AL54" s="1">
        <v>26.840807434712236</v>
      </c>
      <c r="AM54" s="1">
        <v>19.191616245984005</v>
      </c>
      <c r="AN54" s="2">
        <v>406.30471203068765</v>
      </c>
      <c r="AP54" s="1" t="s">
        <v>145</v>
      </c>
      <c r="AQ54" s="1">
        <v>-7.864359865247792</v>
      </c>
      <c r="AR54" s="1">
        <v>1.2641212524913783</v>
      </c>
      <c r="AS54" s="1">
        <v>19.727154535975515</v>
      </c>
      <c r="AT54" s="1">
        <v>-14.50582412595179</v>
      </c>
      <c r="AU54" s="1">
        <v>3.691935168824827</v>
      </c>
      <c r="AV54" s="1">
        <v>0.83107446892958592</v>
      </c>
      <c r="AW54" s="1">
        <v>5.1771869225686373</v>
      </c>
      <c r="AX54" s="1">
        <v>2.3116911414330872</v>
      </c>
      <c r="AY54" s="1">
        <v>-2.7163700834281599</v>
      </c>
      <c r="BA54" s="1">
        <v>1846</v>
      </c>
      <c r="BB54" s="1">
        <v>355.49638687223421</v>
      </c>
      <c r="BC54" s="1">
        <v>33.823284605165611</v>
      </c>
      <c r="BD54" s="1">
        <v>20.866494100660418</v>
      </c>
      <c r="BE54" s="1">
        <v>4.1870066787192162</v>
      </c>
      <c r="BF54" s="1">
        <v>-0.53585373306630113</v>
      </c>
      <c r="BG54" s="1">
        <v>2.576565155428669</v>
      </c>
      <c r="BH54" s="1">
        <v>54.935168506059441</v>
      </c>
      <c r="BI54" s="1">
        <v>44.766923093016032</v>
      </c>
      <c r="BJ54" s="1">
        <v>426.58212909218526</v>
      </c>
      <c r="BL54" s="1" t="s">
        <v>145</v>
      </c>
      <c r="BM54" s="1">
        <v>-6.6043666235615035</v>
      </c>
      <c r="BN54" s="1">
        <v>7.097104130488944</v>
      </c>
      <c r="BO54" s="1">
        <v>6.5670455626244433</v>
      </c>
      <c r="BP54" s="1">
        <v>-2.2921407457476732</v>
      </c>
      <c r="BQ54" s="1">
        <v>9.3369917948447494</v>
      </c>
      <c r="BR54" s="1">
        <v>-5.7578377703606947</v>
      </c>
      <c r="BT54" s="1" t="s">
        <v>145</v>
      </c>
      <c r="BU54" s="1">
        <v>20.574646237678735</v>
      </c>
      <c r="BV54" s="1">
        <v>0.39520228517397982</v>
      </c>
      <c r="BW54" s="1">
        <v>1.7345895785777259</v>
      </c>
      <c r="BX54" s="1">
        <v>2.4693770032003073</v>
      </c>
      <c r="BY54" s="1">
        <v>1.2339435167540813</v>
      </c>
      <c r="BZ54" s="1">
        <v>17.096568625015408</v>
      </c>
      <c r="CB54" s="1">
        <v>1846</v>
      </c>
      <c r="CC54" s="1">
        <v>9.3669482747751172</v>
      </c>
      <c r="CD54" s="1">
        <v>3.1587689835607264</v>
      </c>
      <c r="CE54" s="1">
        <v>6.3537655615754363E-2</v>
      </c>
      <c r="CF54" s="1">
        <v>4.3871349896666336</v>
      </c>
      <c r="CG54" s="1">
        <v>1.2101182230587126</v>
      </c>
      <c r="CH54" s="1">
        <v>1.159189011451988</v>
      </c>
      <c r="CI54" s="1">
        <v>7.7485150636130689</v>
      </c>
      <c r="CJ54" s="1">
        <v>27.094212201742003</v>
      </c>
      <c r="CL54" s="1">
        <v>1846</v>
      </c>
      <c r="CM54" s="1">
        <v>6.6468155428682367</v>
      </c>
      <c r="CN54" s="1">
        <v>1.3177130585368477</v>
      </c>
      <c r="CO54" s="1">
        <v>4.7787729596420449E-2</v>
      </c>
      <c r="CP54" s="1">
        <v>2.9945192672023397</v>
      </c>
      <c r="CQ54" s="1">
        <v>0.30645970895352909</v>
      </c>
      <c r="CR54" s="1">
        <v>0.63962781930119816</v>
      </c>
      <c r="CS54" s="1">
        <v>4.193969919071205</v>
      </c>
      <c r="CT54" s="2">
        <v>16.146893045529779</v>
      </c>
      <c r="CV54" s="1">
        <v>1846</v>
      </c>
      <c r="CW54" s="1">
        <v>131.6205179861239</v>
      </c>
      <c r="CX54" s="1">
        <v>209.49741787493724</v>
      </c>
      <c r="CY54" s="1">
        <v>23.497221902364156</v>
      </c>
      <c r="CZ54" s="1">
        <v>71.884685258700728</v>
      </c>
      <c r="DA54" s="1">
        <v>78.985275836027071</v>
      </c>
      <c r="DB54" s="1">
        <v>515.4851188581531</v>
      </c>
      <c r="DC54" s="1">
        <v>496.5471175820424</v>
      </c>
      <c r="DD54" s="1">
        <v>73.989158879063282</v>
      </c>
      <c r="DF54" s="1">
        <v>1846</v>
      </c>
      <c r="DG54" s="1">
        <v>2.31527561583124</v>
      </c>
      <c r="DH54" s="1">
        <v>2.700601090869867</v>
      </c>
      <c r="DI54" s="1">
        <v>2.0731879608506745</v>
      </c>
      <c r="DJ54" s="1">
        <v>4.2942302072640643</v>
      </c>
      <c r="DK54" s="1">
        <v>1.5893651513549543</v>
      </c>
      <c r="DL54" s="1">
        <v>3.2620828732403453</v>
      </c>
      <c r="DM54" s="1">
        <v>2.435109314045377</v>
      </c>
      <c r="DN54" s="1">
        <v>2.4235290278650723</v>
      </c>
      <c r="DO54" s="1">
        <v>1.882652521650158</v>
      </c>
      <c r="DQ54" s="1">
        <v>1846</v>
      </c>
      <c r="DR54" s="1">
        <v>290.62308223981745</v>
      </c>
      <c r="DS54" s="1">
        <v>493.52744142866834</v>
      </c>
      <c r="DT54" s="1">
        <v>46.515134529419491</v>
      </c>
      <c r="DU54" s="1">
        <v>71.884685258700728</v>
      </c>
      <c r="DV54" s="1">
        <v>78.985275836027071</v>
      </c>
      <c r="DW54" s="1">
        <v>981.5356192926331</v>
      </c>
      <c r="DX54" s="1">
        <v>942.65689379957314</v>
      </c>
      <c r="DY54" s="1">
        <v>109.32400172273233</v>
      </c>
      <c r="EA54" s="1">
        <v>1846</v>
      </c>
      <c r="EB54" s="1">
        <v>1.3571813590894237</v>
      </c>
      <c r="EC54" s="1">
        <v>1.6352814661402419</v>
      </c>
      <c r="ED54" s="1">
        <v>1.1934167869546854</v>
      </c>
      <c r="EE54" s="1">
        <v>3.7608911667698237</v>
      </c>
      <c r="EF54" s="1">
        <v>1.5893651513549543</v>
      </c>
      <c r="EG54" s="1">
        <v>3.2620828732403453</v>
      </c>
      <c r="EH54" s="1">
        <v>1.6396972313074087</v>
      </c>
      <c r="EI54" s="1">
        <v>1.6277689193122171</v>
      </c>
      <c r="EJ54" s="1">
        <v>1.4730554123827631</v>
      </c>
    </row>
    <row r="55" spans="1:249" x14ac:dyDescent="0.25">
      <c r="A55" s="1" t="s">
        <v>146</v>
      </c>
      <c r="B55" s="1">
        <v>2.2884278928861193</v>
      </c>
      <c r="C55" s="1">
        <v>2.3008667650371848</v>
      </c>
      <c r="D55" s="1">
        <v>2.3419280227406034</v>
      </c>
      <c r="E55" s="1">
        <v>2.2349557306881991</v>
      </c>
      <c r="F55" s="1">
        <v>2.174773626710504</v>
      </c>
      <c r="G55" s="1">
        <v>2.6222272801013986</v>
      </c>
      <c r="H55" s="1">
        <v>2.6276220872243385</v>
      </c>
      <c r="J55" s="1">
        <v>1847</v>
      </c>
      <c r="K55" s="2">
        <v>449.63662505838886</v>
      </c>
      <c r="L55" s="1">
        <v>428.19528604342793</v>
      </c>
      <c r="M55" s="1">
        <v>432.76371841781219</v>
      </c>
      <c r="N55" s="1">
        <v>411.32237940285125</v>
      </c>
      <c r="O55" s="1">
        <v>16.872906640576694</v>
      </c>
      <c r="P55" s="1">
        <v>21.441339014960917</v>
      </c>
      <c r="Q55" s="1">
        <v>271.10374167566403</v>
      </c>
      <c r="R55" s="1">
        <v>720.74036673405294</v>
      </c>
      <c r="S55" s="1">
        <v>699.29902771909201</v>
      </c>
      <c r="U55" s="1">
        <v>1847</v>
      </c>
      <c r="V55" s="1">
        <v>134.12036541566786</v>
      </c>
      <c r="W55" s="1">
        <v>10067.358501374047</v>
      </c>
      <c r="X55" s="1">
        <v>1.9248988706132195</v>
      </c>
      <c r="Y55" s="1">
        <v>127.72471154002025</v>
      </c>
      <c r="Z55" s="1">
        <v>9262.6644984668619</v>
      </c>
      <c r="AA55" s="1">
        <v>1.5933676839812421</v>
      </c>
      <c r="AB55" s="1">
        <v>3352485.8336380781</v>
      </c>
      <c r="AC55" s="1">
        <v>0.68415903985676607</v>
      </c>
      <c r="AE55" s="1">
        <v>1847</v>
      </c>
      <c r="AF55" s="1">
        <v>206.35591643359629</v>
      </c>
      <c r="AG55" s="1">
        <v>52.638787589913385</v>
      </c>
      <c r="AH55" s="1">
        <v>25.769732819441295</v>
      </c>
      <c r="AI55" s="1">
        <v>21.54256096991271</v>
      </c>
      <c r="AJ55" s="1">
        <v>32.366777688274453</v>
      </c>
      <c r="AK55" s="1">
        <v>42.015053823531474</v>
      </c>
      <c r="AL55" s="1">
        <v>26.95018674367488</v>
      </c>
      <c r="AM55" s="1">
        <v>20.556269975083435</v>
      </c>
      <c r="AN55" s="2">
        <v>428.19528604342781</v>
      </c>
      <c r="AP55" s="1" t="s">
        <v>146</v>
      </c>
      <c r="AQ55" s="1">
        <v>1.8265113266421764</v>
      </c>
      <c r="AR55" s="1">
        <v>4.7976809722744633</v>
      </c>
      <c r="AS55" s="1">
        <v>-1.7816625373516644</v>
      </c>
      <c r="AT55" s="1">
        <v>-5.9596584838626683</v>
      </c>
      <c r="AU55" s="1">
        <v>8.1749078309586451</v>
      </c>
      <c r="AV55" s="1">
        <v>0.97474472503797926</v>
      </c>
      <c r="AW55" s="1">
        <v>7.0649651164671639</v>
      </c>
      <c r="AX55" s="1">
        <v>2.5680361158184866</v>
      </c>
      <c r="AY55" s="1">
        <v>2.2884278928861193</v>
      </c>
      <c r="BA55" s="1">
        <v>1847</v>
      </c>
      <c r="BB55" s="1">
        <v>371.41149793147861</v>
      </c>
      <c r="BC55" s="1">
        <v>33.615129531116636</v>
      </c>
      <c r="BD55" s="1">
        <v>20.54340733984019</v>
      </c>
      <c r="BE55" s="1">
        <v>5.0254448853001259</v>
      </c>
      <c r="BF55" s="1">
        <v>0.89913092903739766</v>
      </c>
      <c r="BG55" s="1">
        <v>2.8507078372021328</v>
      </c>
      <c r="BH55" s="1">
        <v>62.341829777466799</v>
      </c>
      <c r="BI55" s="1">
        <v>47.050523173053016</v>
      </c>
      <c r="BJ55" s="1">
        <v>449.63662505838892</v>
      </c>
      <c r="BL55" s="1" t="s">
        <v>146</v>
      </c>
      <c r="BM55" s="1">
        <v>0.98423205910995648</v>
      </c>
      <c r="BN55" s="1">
        <v>3.7289454340295123</v>
      </c>
      <c r="BO55" s="1">
        <v>6.3008933007622261</v>
      </c>
      <c r="BP55" s="1">
        <v>9.4910657390339566</v>
      </c>
      <c r="BQ55" s="1">
        <v>1.0496597654553028</v>
      </c>
      <c r="BR55" s="1">
        <v>2.6222272801014412</v>
      </c>
      <c r="BT55" s="1" t="s">
        <v>146</v>
      </c>
      <c r="BU55" s="1">
        <v>3.4585973073469631</v>
      </c>
      <c r="BV55" s="1">
        <v>-4.188189585506862</v>
      </c>
      <c r="BW55" s="1">
        <v>1.7960987134645308</v>
      </c>
      <c r="BX55" s="1">
        <v>3.6454880643622261</v>
      </c>
      <c r="BY55" s="1">
        <v>4.009343629491525</v>
      </c>
      <c r="BZ55" s="1">
        <v>2.711148549122953</v>
      </c>
      <c r="CB55" s="1">
        <v>1847</v>
      </c>
      <c r="CC55" s="1">
        <v>10.923754743680787</v>
      </c>
      <c r="CD55" s="1">
        <v>3.1382248556383412</v>
      </c>
      <c r="CE55" s="1">
        <v>5.6488507275038992E-2</v>
      </c>
      <c r="CF55" s="1">
        <v>5.5371351350003861</v>
      </c>
      <c r="CG55" s="1">
        <v>1.1681732941020639</v>
      </c>
      <c r="CH55" s="1">
        <v>1.1351386423581804</v>
      </c>
      <c r="CI55" s="1">
        <v>7.3597758133250455</v>
      </c>
      <c r="CJ55" s="1">
        <v>29.318690991379846</v>
      </c>
      <c r="CL55" s="1">
        <v>1847</v>
      </c>
      <c r="CM55" s="1">
        <v>6.8938495935949895</v>
      </c>
      <c r="CN55" s="1">
        <v>1.3613512472691527</v>
      </c>
      <c r="CO55" s="1">
        <v>4.9040394919688514E-2</v>
      </c>
      <c r="CP55" s="1">
        <v>3.2288785876468342</v>
      </c>
      <c r="CQ55" s="1">
        <v>0.3091657134076683</v>
      </c>
      <c r="CR55" s="1">
        <v>0.66636051720459855</v>
      </c>
      <c r="CS55" s="1">
        <v>4.3642605865337645</v>
      </c>
      <c r="CT55" s="2">
        <v>16.872906640576694</v>
      </c>
      <c r="CV55" s="1">
        <v>1847</v>
      </c>
      <c r="CW55" s="1">
        <v>138.05112830365863</v>
      </c>
      <c r="CX55" s="1">
        <v>218.39049510190307</v>
      </c>
      <c r="CY55" s="1">
        <v>24.825948690651984</v>
      </c>
      <c r="CZ55" s="1">
        <v>91.283994244204635</v>
      </c>
      <c r="DA55" s="1">
        <v>82.150207658351249</v>
      </c>
      <c r="DB55" s="1">
        <v>554.70177399876957</v>
      </c>
      <c r="DC55" s="1">
        <v>534.84169297197764</v>
      </c>
      <c r="DD55" s="1">
        <v>76.213523344352112</v>
      </c>
      <c r="DF55" s="1">
        <v>1847</v>
      </c>
      <c r="DG55" s="1">
        <v>1.9849699265039931</v>
      </c>
      <c r="DH55" s="1">
        <v>2.1698592859033425</v>
      </c>
      <c r="DI55" s="1">
        <v>1.8680958626189863</v>
      </c>
      <c r="DJ55" s="1">
        <v>6.526059641960444</v>
      </c>
      <c r="DK55" s="1">
        <v>-3.6917552210273499</v>
      </c>
      <c r="DL55" s="1">
        <v>3.4701164104876625</v>
      </c>
      <c r="DM55" s="1">
        <v>1.3882068428406171</v>
      </c>
      <c r="DN55" s="1">
        <v>1.3525397775479178</v>
      </c>
      <c r="DO55" s="1">
        <v>1.7018612571633156</v>
      </c>
      <c r="DQ55" s="1">
        <v>1847</v>
      </c>
      <c r="DR55" s="1">
        <v>301.66017461107475</v>
      </c>
      <c r="DS55" s="1">
        <v>510.04318035360609</v>
      </c>
      <c r="DT55" s="1">
        <v>48.906911425502528</v>
      </c>
      <c r="DU55" s="1">
        <v>91.283994244204635</v>
      </c>
      <c r="DV55" s="1">
        <v>82.150207658351249</v>
      </c>
      <c r="DW55" s="1">
        <v>1034.0444682927393</v>
      </c>
      <c r="DX55" s="1">
        <v>993.59424079578719</v>
      </c>
      <c r="DY55" s="1">
        <v>112.46941934987355</v>
      </c>
      <c r="EA55" s="1">
        <v>1847</v>
      </c>
      <c r="EB55" s="1">
        <v>1.2383104519594497</v>
      </c>
      <c r="EC55" s="1">
        <v>1.4197986239898199</v>
      </c>
      <c r="ED55" s="1">
        <v>1.1309710035100267</v>
      </c>
      <c r="EE55" s="1">
        <v>5.0848525908194944</v>
      </c>
      <c r="EF55" s="1">
        <v>-3.6917552210273499</v>
      </c>
      <c r="EG55" s="1">
        <v>3.4701164104876625</v>
      </c>
      <c r="EH55" s="1">
        <v>1.1156086148134108</v>
      </c>
      <c r="EI55" s="1">
        <v>1.0891663018970803</v>
      </c>
      <c r="EJ55" s="1">
        <v>1.3590190044305643</v>
      </c>
    </row>
    <row r="56" spans="1:249" x14ac:dyDescent="0.25">
      <c r="A56" s="1" t="s">
        <v>147</v>
      </c>
      <c r="B56" s="1">
        <v>4.0057328708859075</v>
      </c>
      <c r="C56" s="1">
        <v>3.9947128897730693</v>
      </c>
      <c r="D56" s="1">
        <v>4.0130270621251469</v>
      </c>
      <c r="E56" s="1">
        <v>3.9984391911713146</v>
      </c>
      <c r="F56" s="1">
        <v>3.9940458398990444</v>
      </c>
      <c r="G56" s="1">
        <v>5.5534126946407412</v>
      </c>
      <c r="H56" s="1">
        <v>5.6703348303462917</v>
      </c>
      <c r="J56" s="1">
        <v>1848</v>
      </c>
      <c r="K56" s="2">
        <v>455.42312278610416</v>
      </c>
      <c r="L56" s="1">
        <v>433.67992273846102</v>
      </c>
      <c r="M56" s="1">
        <v>437.99682628205983</v>
      </c>
      <c r="N56" s="1">
        <v>416.25362623441669</v>
      </c>
      <c r="O56" s="1">
        <v>17.426296504044327</v>
      </c>
      <c r="P56" s="1">
        <v>21.743200047643153</v>
      </c>
      <c r="Q56" s="1">
        <v>267.41232136664757</v>
      </c>
      <c r="R56" s="1">
        <v>722.83544415275173</v>
      </c>
      <c r="S56" s="1">
        <v>701.09224410510865</v>
      </c>
      <c r="U56" s="1">
        <v>1848</v>
      </c>
      <c r="V56" s="1">
        <v>134.75186335500626</v>
      </c>
      <c r="W56" s="1">
        <v>10540.821701838267</v>
      </c>
      <c r="X56" s="1">
        <v>4.7029536138958292</v>
      </c>
      <c r="Y56" s="1">
        <v>128.3184247017461</v>
      </c>
      <c r="Z56" s="1">
        <v>9556.0819667773867</v>
      </c>
      <c r="AA56" s="1">
        <v>3.167743669859675</v>
      </c>
      <c r="AB56" s="1">
        <v>3379716.6988799521</v>
      </c>
      <c r="AC56" s="1">
        <v>0.81225892048955473</v>
      </c>
      <c r="AE56" s="1">
        <v>1848</v>
      </c>
      <c r="AF56" s="1">
        <v>210.52687611246765</v>
      </c>
      <c r="AG56" s="1">
        <v>53.708587931284093</v>
      </c>
      <c r="AH56" s="1">
        <v>23.873947924101572</v>
      </c>
      <c r="AI56" s="1">
        <v>23.532820146102434</v>
      </c>
      <c r="AJ56" s="1">
        <v>33.980891139015604</v>
      </c>
      <c r="AK56" s="1">
        <v>39.08605488342139</v>
      </c>
      <c r="AL56" s="1">
        <v>26.785910376478171</v>
      </c>
      <c r="AM56" s="1">
        <v>22.184834225590006</v>
      </c>
      <c r="AN56" s="2">
        <v>433.67992273846096</v>
      </c>
      <c r="AP56" s="1" t="s">
        <v>147</v>
      </c>
      <c r="AQ56" s="1">
        <v>3.323302319428052</v>
      </c>
      <c r="AR56" s="1">
        <v>3.5328786811600281</v>
      </c>
      <c r="AS56" s="1">
        <v>-5.1212252368851665</v>
      </c>
      <c r="AT56" s="1">
        <v>16.432876438829354</v>
      </c>
      <c r="AU56" s="1">
        <v>6.4416069740723287</v>
      </c>
      <c r="AV56" s="1">
        <v>1.4523349425333407</v>
      </c>
      <c r="AW56" s="1">
        <v>11.720239015776215</v>
      </c>
      <c r="AX56" s="1">
        <v>2.4348864500365153</v>
      </c>
      <c r="AY56" s="1">
        <v>4.0057328708859075</v>
      </c>
      <c r="BA56" s="1">
        <v>1848</v>
      </c>
      <c r="BB56" s="1">
        <v>398.27468612304898</v>
      </c>
      <c r="BC56" s="1">
        <v>33.105694930478535</v>
      </c>
      <c r="BD56" s="1">
        <v>19.36667653726704</v>
      </c>
      <c r="BE56" s="1">
        <v>5.9971752915258021</v>
      </c>
      <c r="BF56" s="1">
        <v>1.4007599364886303</v>
      </c>
      <c r="BG56" s="1">
        <v>3.4930731472951777</v>
      </c>
      <c r="BH56" s="1">
        <v>45.684134146164688</v>
      </c>
      <c r="BI56" s="1">
        <v>51.899077326164694</v>
      </c>
      <c r="BJ56" s="1">
        <v>455.42312278610416</v>
      </c>
      <c r="BL56" s="1" t="s">
        <v>147</v>
      </c>
      <c r="BM56" s="1">
        <v>11.010380496452726</v>
      </c>
      <c r="BN56" s="1">
        <v>5.8157181675320828</v>
      </c>
      <c r="BO56" s="1">
        <v>2.4576435823881866</v>
      </c>
      <c r="BP56" s="1">
        <v>-18.957440227436066</v>
      </c>
      <c r="BQ56" s="1">
        <v>15.471499868662988</v>
      </c>
      <c r="BR56" s="1">
        <v>5.5534126946407412</v>
      </c>
      <c r="BT56" s="1" t="s">
        <v>147</v>
      </c>
      <c r="BU56" s="1">
        <v>-3.4029711375693381</v>
      </c>
      <c r="BV56" s="1">
        <v>-6.928280882895649</v>
      </c>
      <c r="BW56" s="1">
        <v>0.72719880461748687</v>
      </c>
      <c r="BX56" s="1">
        <v>-9.5782926531129249</v>
      </c>
      <c r="BY56" s="1">
        <v>-4.474268263262644</v>
      </c>
      <c r="BZ56" s="1">
        <v>-4.0420153246912065</v>
      </c>
      <c r="CB56" s="1">
        <v>1848</v>
      </c>
      <c r="CC56" s="1">
        <v>12.25325519705869</v>
      </c>
      <c r="CD56" s="1">
        <v>3.6428623541603891</v>
      </c>
      <c r="CE56" s="1">
        <v>5.6518528785054839E-2</v>
      </c>
      <c r="CF56" s="1">
        <v>4.6263102537517167</v>
      </c>
      <c r="CG56" s="1">
        <v>1.4370888463246674</v>
      </c>
      <c r="CH56" s="1">
        <v>1.0990201430918538</v>
      </c>
      <c r="CI56" s="1">
        <v>7.1426295894042742</v>
      </c>
      <c r="CJ56" s="1">
        <v>30.257684912576643</v>
      </c>
      <c r="CL56" s="1">
        <v>1848</v>
      </c>
      <c r="CM56" s="1">
        <v>7.1449982268188803</v>
      </c>
      <c r="CN56" s="1">
        <v>1.4026872851397427</v>
      </c>
      <c r="CO56" s="1">
        <v>4.8881301250413088E-2</v>
      </c>
      <c r="CP56" s="1">
        <v>3.3028614270443879</v>
      </c>
      <c r="CQ56" s="1">
        <v>0.31235156545270765</v>
      </c>
      <c r="CR56" s="1">
        <v>0.68941646840887261</v>
      </c>
      <c r="CS56" s="1">
        <v>4.5251002299293228</v>
      </c>
      <c r="CT56" s="2">
        <v>17.426296504044327</v>
      </c>
      <c r="CV56" s="1">
        <v>1848</v>
      </c>
      <c r="CW56" s="1">
        <v>143.98511527066759</v>
      </c>
      <c r="CX56" s="1">
        <v>227.10503554911426</v>
      </c>
      <c r="CY56" s="1">
        <v>25.146034130180031</v>
      </c>
      <c r="CZ56" s="1">
        <v>105.49681514487828</v>
      </c>
      <c r="DA56" s="1">
        <v>83.746838554981338</v>
      </c>
      <c r="DB56" s="1">
        <v>585.47983864982155</v>
      </c>
      <c r="DC56" s="1">
        <v>564.75177139109383</v>
      </c>
      <c r="DD56" s="1">
        <v>77.136739657181209</v>
      </c>
      <c r="DF56" s="1">
        <v>1848</v>
      </c>
      <c r="DG56" s="1">
        <v>1.4709126282587874</v>
      </c>
      <c r="DH56" s="1">
        <v>1.8179166329480836</v>
      </c>
      <c r="DI56" s="1">
        <v>1.2509112905791966</v>
      </c>
      <c r="DJ56" s="1">
        <v>9.8487047418996951</v>
      </c>
      <c r="DK56" s="1">
        <v>-6.1529635977455399</v>
      </c>
      <c r="DL56" s="1">
        <v>4.1709910577721843</v>
      </c>
      <c r="DM56" s="1">
        <v>0.84554063725703088</v>
      </c>
      <c r="DN56" s="1">
        <v>0.80374975013913286</v>
      </c>
      <c r="DO56" s="1">
        <v>6.1473028073210116</v>
      </c>
      <c r="DQ56" s="1">
        <v>1848</v>
      </c>
      <c r="DR56" s="1">
        <v>312.31695706973073</v>
      </c>
      <c r="DS56" s="1">
        <v>526.55769626271876</v>
      </c>
      <c r="DT56" s="1">
        <v>48.869490746717446</v>
      </c>
      <c r="DU56" s="1">
        <v>105.49681514487828</v>
      </c>
      <c r="DV56" s="1">
        <v>83.746838554981338</v>
      </c>
      <c r="DW56" s="1">
        <v>1076.9877977790266</v>
      </c>
      <c r="DX56" s="1">
        <v>1035.0121774248112</v>
      </c>
      <c r="DY56" s="1">
        <v>114.26740037886658</v>
      </c>
      <c r="EA56" s="1">
        <v>1848</v>
      </c>
      <c r="EB56" s="1">
        <v>1.0281147311620487</v>
      </c>
      <c r="EC56" s="1">
        <v>1.2763849128340183</v>
      </c>
      <c r="ED56" s="1">
        <v>0.88085833699803118</v>
      </c>
      <c r="EE56" s="1">
        <v>7.1075667776081275</v>
      </c>
      <c r="EF56" s="1">
        <v>-6.1529635977455399</v>
      </c>
      <c r="EG56" s="1">
        <v>4.1709910577721843</v>
      </c>
      <c r="EH56" s="1">
        <v>0.84565595293723561</v>
      </c>
      <c r="EI56" s="1">
        <v>0.81510854731338611</v>
      </c>
      <c r="EJ56" s="1">
        <v>4.3449426685030659</v>
      </c>
    </row>
    <row r="57" spans="1:249" x14ac:dyDescent="0.25">
      <c r="A57" s="1" t="s">
        <v>148</v>
      </c>
      <c r="B57" s="1">
        <v>5.3385475466998855</v>
      </c>
      <c r="C57" s="1">
        <v>5.2790991377711833</v>
      </c>
      <c r="D57" s="1">
        <v>5.5283989297912655</v>
      </c>
      <c r="E57" s="1">
        <v>5.149037716669369</v>
      </c>
      <c r="F57" s="1">
        <v>5.3250285953956933</v>
      </c>
      <c r="G57" s="1">
        <v>7.1614752709089089</v>
      </c>
      <c r="H57" s="1">
        <v>7.3769286387702238</v>
      </c>
      <c r="J57" s="1">
        <v>1849</v>
      </c>
      <c r="K57" s="2">
        <v>448.23742749261197</v>
      </c>
      <c r="L57" s="1">
        <v>426.8054511750081</v>
      </c>
      <c r="M57" s="1">
        <v>429.96161009078531</v>
      </c>
      <c r="N57" s="1">
        <v>408.52963377318144</v>
      </c>
      <c r="O57" s="1">
        <v>18.27581740182665</v>
      </c>
      <c r="P57" s="1">
        <v>21.431976317603876</v>
      </c>
      <c r="Q57" s="1">
        <v>261.0110317960619</v>
      </c>
      <c r="R57" s="1">
        <v>709.24845928867387</v>
      </c>
      <c r="S57" s="1">
        <v>687.81648297106995</v>
      </c>
      <c r="U57" s="1">
        <v>1849</v>
      </c>
      <c r="V57" s="1">
        <v>131.09041565319876</v>
      </c>
      <c r="W57" s="1">
        <v>11164.936880164014</v>
      </c>
      <c r="X57" s="1">
        <v>5.9209347807951644</v>
      </c>
      <c r="Y57" s="1">
        <v>124.82247256897136</v>
      </c>
      <c r="Z57" s="1">
        <v>9949.7074885293132</v>
      </c>
      <c r="AA57" s="1">
        <v>4.1191099356451986</v>
      </c>
      <c r="AB57" s="1">
        <v>3419299.7654262488</v>
      </c>
      <c r="AC57" s="1">
        <v>1.1711948092991094</v>
      </c>
      <c r="AE57" s="1">
        <v>1849</v>
      </c>
      <c r="AF57" s="1">
        <v>201.33332462552528</v>
      </c>
      <c r="AG57" s="1">
        <v>55.760191263972324</v>
      </c>
      <c r="AH57" s="1">
        <v>22.955005889179549</v>
      </c>
      <c r="AI57" s="1">
        <v>27.880121941430975</v>
      </c>
      <c r="AJ57" s="1">
        <v>31.288644641422437</v>
      </c>
      <c r="AK57" s="1">
        <v>38.794009950440042</v>
      </c>
      <c r="AL57" s="1">
        <v>25.73556184829442</v>
      </c>
      <c r="AM57" s="1">
        <v>23.058591014743083</v>
      </c>
      <c r="AN57" s="2">
        <v>426.8054511750081</v>
      </c>
      <c r="AP57" s="1" t="s">
        <v>148</v>
      </c>
      <c r="AQ57" s="1">
        <v>7.1004072249452719</v>
      </c>
      <c r="AR57" s="1">
        <v>5.5697527969116578</v>
      </c>
      <c r="AS57" s="1">
        <v>-1.5120573167634035</v>
      </c>
      <c r="AT57" s="1">
        <v>31.781995492116351</v>
      </c>
      <c r="AU57" s="1">
        <v>-3.8528328886267502</v>
      </c>
      <c r="AV57" s="1">
        <v>0.89273898383719086</v>
      </c>
      <c r="AW57" s="1">
        <v>-3.649690098450364</v>
      </c>
      <c r="AX57" s="1">
        <v>1.9937361565510088</v>
      </c>
      <c r="AY57" s="1">
        <v>5.3385475466998855</v>
      </c>
      <c r="BA57" s="1">
        <v>1849</v>
      </c>
      <c r="BB57" s="1">
        <v>392.44930896641313</v>
      </c>
      <c r="BC57" s="1">
        <v>32.692518916415132</v>
      </c>
      <c r="BD57" s="1">
        <v>19.59393644348955</v>
      </c>
      <c r="BE57" s="1">
        <v>5.09869790540069</v>
      </c>
      <c r="BF57" s="1">
        <v>1.8847654944275758</v>
      </c>
      <c r="BG57" s="1">
        <v>2.6170331924036794</v>
      </c>
      <c r="BH57" s="1">
        <v>51.703028075443775</v>
      </c>
      <c r="BI57" s="1">
        <v>57.801861501381531</v>
      </c>
      <c r="BJ57" s="1">
        <v>448.23742749261197</v>
      </c>
      <c r="BL57" s="1" t="s">
        <v>148</v>
      </c>
      <c r="BM57" s="1">
        <v>8.0884808392120533</v>
      </c>
      <c r="BN57" s="1">
        <v>-1.8370505015331133</v>
      </c>
      <c r="BO57" s="1">
        <v>-4.9157213424137041</v>
      </c>
      <c r="BP57" s="1">
        <v>13.379277453138002</v>
      </c>
      <c r="BQ57" s="1">
        <v>6.5886342956406736</v>
      </c>
      <c r="BR57" s="1">
        <v>7.1614752709088947</v>
      </c>
      <c r="BT57" s="1" t="s">
        <v>148</v>
      </c>
      <c r="BU57" s="1">
        <v>-8.8364031889099692</v>
      </c>
      <c r="BV57" s="1">
        <v>0.60002203588824443</v>
      </c>
      <c r="BW57" s="1">
        <v>1.4741993546102776</v>
      </c>
      <c r="BX57" s="1">
        <v>-0.18015390282022281</v>
      </c>
      <c r="BY57" s="1">
        <v>4.4891726479826985</v>
      </c>
      <c r="BZ57" s="1">
        <v>-8.1552457859387459</v>
      </c>
      <c r="CB57" s="1">
        <v>1849</v>
      </c>
      <c r="CC57" s="1">
        <v>12.054293881186151</v>
      </c>
      <c r="CD57" s="1">
        <v>3.5455524895599062</v>
      </c>
      <c r="CE57" s="1">
        <v>6.499850154644779E-2</v>
      </c>
      <c r="CF57" s="1">
        <v>4.3896817688407763</v>
      </c>
      <c r="CG57" s="1">
        <v>1.1771374380099844</v>
      </c>
      <c r="CH57" s="1">
        <v>1.1812113379662821</v>
      </c>
      <c r="CI57" s="1">
        <v>6.7815576186119451</v>
      </c>
      <c r="CJ57" s="1">
        <v>29.194433035721495</v>
      </c>
      <c r="CL57" s="1">
        <v>1849</v>
      </c>
      <c r="CM57" s="1">
        <v>7.4891416082571469</v>
      </c>
      <c r="CN57" s="1">
        <v>1.474144958221975</v>
      </c>
      <c r="CO57" s="1">
        <v>5.0449814795663919E-2</v>
      </c>
      <c r="CP57" s="1">
        <v>3.495131996740235</v>
      </c>
      <c r="CQ57" s="1">
        <v>0.32316267516627173</v>
      </c>
      <c r="CR57" s="1">
        <v>0.72228952250836764</v>
      </c>
      <c r="CS57" s="1">
        <v>4.7214968261369927</v>
      </c>
      <c r="CT57" s="2">
        <v>18.27581740182665</v>
      </c>
      <c r="CV57" s="1">
        <v>1849</v>
      </c>
      <c r="CW57" s="1">
        <v>151.09048069024894</v>
      </c>
      <c r="CX57" s="1">
        <v>236.98507883783131</v>
      </c>
      <c r="CY57" s="1">
        <v>28.066783003198136</v>
      </c>
      <c r="CZ57" s="1">
        <v>99.005634512233016</v>
      </c>
      <c r="DA57" s="1">
        <v>84.726647735055053</v>
      </c>
      <c r="DB57" s="1">
        <v>599.87462477856639</v>
      </c>
      <c r="DC57" s="1">
        <v>578.10646677307068</v>
      </c>
      <c r="DD57" s="1">
        <v>81.011831670999598</v>
      </c>
      <c r="DF57" s="1">
        <v>1849</v>
      </c>
      <c r="DG57" s="1">
        <v>1.3138996584230114</v>
      </c>
      <c r="DH57" s="1">
        <v>1.3634616708237957</v>
      </c>
      <c r="DI57" s="1">
        <v>1.2823012628010702</v>
      </c>
      <c r="DJ57" s="1">
        <v>4.6981321333649646</v>
      </c>
      <c r="DK57" s="1">
        <v>9.3107278003359113</v>
      </c>
      <c r="DL57" s="1">
        <v>3.0887958657201722</v>
      </c>
      <c r="DM57" s="1">
        <v>2.9547593932995824</v>
      </c>
      <c r="DN57" s="1">
        <v>2.9870486990113818</v>
      </c>
      <c r="DO57" s="1">
        <v>1.2588181397966451</v>
      </c>
      <c r="DQ57" s="1">
        <v>1849</v>
      </c>
      <c r="DR57" s="1">
        <v>325.98607839376626</v>
      </c>
      <c r="DS57" s="1">
        <v>547.45702333229315</v>
      </c>
      <c r="DT57" s="1">
        <v>53.177918221002521</v>
      </c>
      <c r="DU57" s="1">
        <v>99.005634512233016</v>
      </c>
      <c r="DV57" s="1">
        <v>84.726647735055053</v>
      </c>
      <c r="DW57" s="1">
        <v>1110.3533021943499</v>
      </c>
      <c r="DX57" s="1">
        <v>1066.435034735124</v>
      </c>
      <c r="DY57" s="1">
        <v>119.44940306341599</v>
      </c>
      <c r="EA57" s="1">
        <v>1849</v>
      </c>
      <c r="EB57" s="1">
        <v>0.97034538932787484</v>
      </c>
      <c r="EC57" s="1">
        <v>1.0766091040846533</v>
      </c>
      <c r="ED57" s="1">
        <v>0.90707011807783999</v>
      </c>
      <c r="EE57" s="1">
        <v>4.4950750426727666</v>
      </c>
      <c r="EF57" s="1">
        <v>9.3107278003359113</v>
      </c>
      <c r="EG57" s="1">
        <v>3.0887958657201722</v>
      </c>
      <c r="EH57" s="1">
        <v>1.990686166752468</v>
      </c>
      <c r="EI57" s="1">
        <v>2.0036539935369717</v>
      </c>
      <c r="EJ57" s="1">
        <v>1.0873896008388328</v>
      </c>
      <c r="HM57" s="2" t="s">
        <v>535</v>
      </c>
      <c r="HV57" s="2" t="s">
        <v>536</v>
      </c>
    </row>
    <row r="58" spans="1:249" x14ac:dyDescent="0.25">
      <c r="A58" s="1" t="s">
        <v>149</v>
      </c>
      <c r="B58" s="1">
        <v>2.3544936381037189</v>
      </c>
      <c r="C58" s="1">
        <v>2.3284260082684085</v>
      </c>
      <c r="D58" s="1">
        <v>2.3322801149087837</v>
      </c>
      <c r="E58" s="1">
        <v>2.3767119832435242</v>
      </c>
      <c r="F58" s="1">
        <v>2.3994694996833914</v>
      </c>
      <c r="G58" s="1">
        <v>1.7214554083541316</v>
      </c>
      <c r="H58" s="1">
        <v>1.6816279728594736</v>
      </c>
      <c r="J58" s="1">
        <v>1850</v>
      </c>
      <c r="K58" s="2">
        <v>460.80248722024493</v>
      </c>
      <c r="L58" s="1">
        <v>438.78694470625857</v>
      </c>
      <c r="M58" s="1">
        <v>441.98066609908255</v>
      </c>
      <c r="N58" s="1">
        <v>419.96512358509619</v>
      </c>
      <c r="O58" s="1">
        <v>18.82182112116238</v>
      </c>
      <c r="P58" s="1">
        <v>22.015542513986336</v>
      </c>
      <c r="Q58" s="1">
        <v>277.87156204212903</v>
      </c>
      <c r="R58" s="1">
        <v>738.67404926237396</v>
      </c>
      <c r="S58" s="1">
        <v>716.65850674838759</v>
      </c>
      <c r="U58" s="1">
        <v>1850</v>
      </c>
      <c r="V58" s="1">
        <v>133.10866007850603</v>
      </c>
      <c r="W58" s="1">
        <v>11217.537011153929</v>
      </c>
      <c r="X58" s="1">
        <v>0.47111892843179248</v>
      </c>
      <c r="Y58" s="1">
        <v>126.74919057430293</v>
      </c>
      <c r="Z58" s="1">
        <v>10058.793693448128</v>
      </c>
      <c r="AA58" s="1">
        <v>1.0963759994409514</v>
      </c>
      <c r="AB58" s="1">
        <v>3461852.0459034643</v>
      </c>
      <c r="AC58" s="1">
        <v>1.2444735295652265</v>
      </c>
      <c r="AE58" s="1">
        <v>1850</v>
      </c>
      <c r="AF58" s="1">
        <v>202.50133504023626</v>
      </c>
      <c r="AG58" s="1">
        <v>57.997171566741486</v>
      </c>
      <c r="AH58" s="1">
        <v>26.778189726177729</v>
      </c>
      <c r="AI58" s="1">
        <v>25.690969925134198</v>
      </c>
      <c r="AJ58" s="1">
        <v>34.252125842900895</v>
      </c>
      <c r="AK58" s="1">
        <v>41.101904650649359</v>
      </c>
      <c r="AL58" s="1">
        <v>26.796418554947483</v>
      </c>
      <c r="AM58" s="1">
        <v>23.668829399471164</v>
      </c>
      <c r="AN58" s="2">
        <v>438.78694470625862</v>
      </c>
      <c r="AP58" s="1" t="s">
        <v>149</v>
      </c>
      <c r="AQ58" s="1">
        <v>1.2362402075222008</v>
      </c>
      <c r="AR58" s="1">
        <v>4.6196023369271728</v>
      </c>
      <c r="AS58" s="1">
        <v>13.075991847533118</v>
      </c>
      <c r="AT58" s="1">
        <v>-2.4475548705159156</v>
      </c>
      <c r="AU58" s="1">
        <v>7.3773764079825668</v>
      </c>
      <c r="AV58" s="1">
        <v>1.3597723969852353</v>
      </c>
      <c r="AW58" s="1">
        <v>-2.2664704559916089</v>
      </c>
      <c r="AX58" s="1">
        <v>1.5904350321769556</v>
      </c>
      <c r="AY58" s="1">
        <v>2.3544936381037189</v>
      </c>
      <c r="BA58" s="1">
        <v>1850</v>
      </c>
      <c r="BB58" s="1">
        <v>397.12494523618312</v>
      </c>
      <c r="BC58" s="1">
        <v>33.986210056922502</v>
      </c>
      <c r="BD58" s="1">
        <v>23.201929004270553</v>
      </c>
      <c r="BE58" s="1">
        <v>5.997981362865124</v>
      </c>
      <c r="BF58" s="1">
        <v>0.69594011515839749</v>
      </c>
      <c r="BG58" s="1">
        <v>3.0919511461316627</v>
      </c>
      <c r="BH58" s="1">
        <v>51.843263255529493</v>
      </c>
      <c r="BI58" s="1">
        <v>55.139732956815898</v>
      </c>
      <c r="BJ58" s="1">
        <v>460.80248722024487</v>
      </c>
      <c r="BL58" s="1" t="s">
        <v>149</v>
      </c>
      <c r="BM58" s="1">
        <v>-0.55878781190529025</v>
      </c>
      <c r="BN58" s="1">
        <v>0.67515237421001473</v>
      </c>
      <c r="BO58" s="1">
        <v>13.440925713746509</v>
      </c>
      <c r="BP58" s="1">
        <v>-0.43670083027480189</v>
      </c>
      <c r="BQ58" s="1">
        <v>-10.172286678825031</v>
      </c>
      <c r="BR58" s="1">
        <v>1.72145540835416</v>
      </c>
      <c r="BT58" s="1" t="s">
        <v>149</v>
      </c>
      <c r="BU58" s="1">
        <v>1.7600213744439515</v>
      </c>
      <c r="BV58" s="1">
        <v>3.2599850923944018</v>
      </c>
      <c r="BW58" s="1">
        <v>-0.39444334797609315</v>
      </c>
      <c r="BX58" s="1">
        <v>0.71103798349095371</v>
      </c>
      <c r="BY58" s="1">
        <v>6.1970588733080803</v>
      </c>
      <c r="BZ58" s="1">
        <v>1.0634529299308042</v>
      </c>
      <c r="CB58" s="1">
        <v>1850</v>
      </c>
      <c r="CC58" s="1">
        <v>12.096583687670222</v>
      </c>
      <c r="CD58" s="1">
        <v>3.8992477943866852</v>
      </c>
      <c r="CE58" s="1">
        <v>7.2316837657156047E-2</v>
      </c>
      <c r="CF58" s="1">
        <v>4.9590732144873613</v>
      </c>
      <c r="CG58" s="1">
        <v>1.314204012984185</v>
      </c>
      <c r="CH58" s="1">
        <v>1.2221740695846426</v>
      </c>
      <c r="CI58" s="1">
        <v>9.4242020116554848</v>
      </c>
      <c r="CJ58" s="1">
        <v>32.987801628425736</v>
      </c>
      <c r="CL58" s="1">
        <v>1850</v>
      </c>
      <c r="CM58" s="1">
        <v>7.7025119261474355</v>
      </c>
      <c r="CN58" s="1">
        <v>1.5553393490817036</v>
      </c>
      <c r="CO58" s="1">
        <v>5.4846415184673571E-2</v>
      </c>
      <c r="CP58" s="1">
        <v>3.6018115389822789</v>
      </c>
      <c r="CQ58" s="1">
        <v>0.3242400142434323</v>
      </c>
      <c r="CR58" s="1">
        <v>0.73959502018659751</v>
      </c>
      <c r="CS58" s="1">
        <v>4.8434768573362579</v>
      </c>
      <c r="CT58" s="2">
        <v>18.82182112116238</v>
      </c>
      <c r="CV58" s="1">
        <v>1850</v>
      </c>
      <c r="CW58" s="1">
        <v>153.1505414827239</v>
      </c>
      <c r="CX58" s="1">
        <v>240.02394149641901</v>
      </c>
      <c r="CY58" s="1">
        <v>29.823884452830153</v>
      </c>
      <c r="CZ58" s="1">
        <v>90.186483040552048</v>
      </c>
      <c r="DA58" s="1">
        <v>87.499746461085323</v>
      </c>
      <c r="DB58" s="1">
        <v>600.68459693361046</v>
      </c>
      <c r="DC58" s="1">
        <v>578.43484531538627</v>
      </c>
      <c r="DD58" s="1">
        <v>82.307219815403911</v>
      </c>
      <c r="DF58" s="1">
        <v>1850</v>
      </c>
      <c r="DG58" s="1">
        <v>2.1479253003409298</v>
      </c>
      <c r="DH58" s="1">
        <v>2.9909950758064667</v>
      </c>
      <c r="DI58" s="1">
        <v>1.6099931598415651</v>
      </c>
      <c r="DJ58" s="1">
        <v>6.476697586634856</v>
      </c>
      <c r="DK58" s="1">
        <v>-10.541796213087466</v>
      </c>
      <c r="DL58" s="1">
        <v>3.5336686918364677</v>
      </c>
      <c r="DM58" s="1">
        <v>0.65208354632702026</v>
      </c>
      <c r="DN58" s="1">
        <v>0.59400720079194969</v>
      </c>
      <c r="DO58" s="1">
        <v>4.0766876415382285</v>
      </c>
      <c r="DQ58" s="1">
        <v>1850</v>
      </c>
      <c r="DR58" s="1">
        <v>329.49567419180204</v>
      </c>
      <c r="DS58" s="1">
        <v>552.42284240025879</v>
      </c>
      <c r="DT58" s="1">
        <v>56.41234497363731</v>
      </c>
      <c r="DU58" s="1">
        <v>90.186483040552048</v>
      </c>
      <c r="DV58" s="1">
        <v>87.499746461085323</v>
      </c>
      <c r="DW58" s="1">
        <v>1116.0170910673355</v>
      </c>
      <c r="DX58" s="1">
        <v>1071.3171319387789</v>
      </c>
      <c r="DY58" s="1">
        <v>121.14859507031343</v>
      </c>
      <c r="EA58" s="1">
        <v>1850</v>
      </c>
      <c r="EB58" s="1">
        <v>1.3632329093132682</v>
      </c>
      <c r="EC58" s="1">
        <v>1.8615462860757503</v>
      </c>
      <c r="ED58" s="1">
        <v>1.0660111265901691</v>
      </c>
      <c r="EE58" s="1">
        <v>5.5507369846585561</v>
      </c>
      <c r="EF58" s="1">
        <v>-10.541796213087466</v>
      </c>
      <c r="EG58" s="1">
        <v>3.5336686918364677</v>
      </c>
      <c r="EH58" s="1">
        <v>0.77935086718632363</v>
      </c>
      <c r="EI58" s="1">
        <v>0.74002060590865426</v>
      </c>
      <c r="EJ58" s="1">
        <v>3.0352898890520237</v>
      </c>
      <c r="EL58" s="1">
        <v>1850</v>
      </c>
      <c r="EM58" s="1">
        <v>1105486.2267309797</v>
      </c>
      <c r="EN58" s="1">
        <v>130821.83690839088</v>
      </c>
      <c r="EO58" s="1">
        <v>12974.907328982214</v>
      </c>
      <c r="EP58" s="1">
        <v>9055.4970633936973</v>
      </c>
      <c r="EQ58" s="1">
        <v>15764.214279155689</v>
      </c>
      <c r="ER58" s="1">
        <v>132871.74601948846</v>
      </c>
      <c r="ES58" s="1">
        <v>56700.550262766068</v>
      </c>
      <c r="ET58" s="1">
        <v>845.31982962813288</v>
      </c>
      <c r="EU58" s="1">
        <v>1464520.2984227848</v>
      </c>
      <c r="EV58" s="1">
        <v>1407819.7481600188</v>
      </c>
      <c r="EX58" s="1">
        <v>1850</v>
      </c>
      <c r="EY58" s="1">
        <v>829430.86823735386</v>
      </c>
      <c r="EZ58" s="1">
        <v>90105.148447539279</v>
      </c>
      <c r="FA58" s="1">
        <v>9781.54026490264</v>
      </c>
      <c r="FB58" s="1">
        <v>9055.4970633936973</v>
      </c>
      <c r="FC58" s="1">
        <v>7276.3280590097556</v>
      </c>
      <c r="FD58" s="1">
        <v>129463.06810437878</v>
      </c>
      <c r="FE58" s="1">
        <v>56700.550262766068</v>
      </c>
      <c r="FF58" s="1">
        <v>583.67246504020341</v>
      </c>
      <c r="FG58" s="1">
        <v>1132396.6729043841</v>
      </c>
      <c r="FH58" s="1">
        <v>1075696.1226416181</v>
      </c>
      <c r="FJ58" s="1">
        <v>1850</v>
      </c>
      <c r="FK58" s="1">
        <v>276055.35849362588</v>
      </c>
      <c r="FL58" s="1">
        <v>40716.68846085159</v>
      </c>
      <c r="FM58" s="1">
        <v>3193.3670640795735</v>
      </c>
      <c r="FN58" s="1">
        <v>0</v>
      </c>
      <c r="FO58" s="1">
        <v>8487.8862201459324</v>
      </c>
      <c r="FP58" s="1">
        <v>3408.677915109698</v>
      </c>
      <c r="FQ58" s="1">
        <v>261.64736458792942</v>
      </c>
      <c r="FR58" s="1">
        <v>332123.62551840057</v>
      </c>
      <c r="FS58" s="1">
        <v>536377.87409307773</v>
      </c>
      <c r="HC58" s="1">
        <v>1850</v>
      </c>
      <c r="HD58" s="1">
        <v>136.90466401073826</v>
      </c>
      <c r="HE58" s="1">
        <v>25.636458121696396</v>
      </c>
      <c r="HF58" s="1">
        <v>3.7482562750559163</v>
      </c>
      <c r="HG58" s="1">
        <v>5.2679020286991936</v>
      </c>
      <c r="HH58" s="1">
        <v>39.797908457003217</v>
      </c>
      <c r="HI58" s="1">
        <v>26.056823534760873</v>
      </c>
      <c r="HJ58" s="1">
        <v>0.43327738671853283</v>
      </c>
      <c r="HK58" s="2">
        <v>237.84528981467238</v>
      </c>
      <c r="HL58" s="1">
        <v>211.78846627991152</v>
      </c>
      <c r="HN58" s="1">
        <v>1850</v>
      </c>
      <c r="HO58" s="1">
        <v>57.378370822775061</v>
      </c>
      <c r="HP58" s="1">
        <v>12.452796214647167</v>
      </c>
      <c r="HQ58" s="1">
        <v>1.3709440881270385</v>
      </c>
      <c r="HR58" s="1">
        <v>0</v>
      </c>
      <c r="HS58" s="1">
        <v>8.211132308036758</v>
      </c>
      <c r="HT58" s="1">
        <v>0.22489113079827502</v>
      </c>
      <c r="HU58" s="2">
        <v>79.638134564384288</v>
      </c>
      <c r="HW58" s="1">
        <v>1850</v>
      </c>
      <c r="HX58" s="1">
        <v>24.197300206722929</v>
      </c>
      <c r="HY58" s="1">
        <v>19.907917230397921</v>
      </c>
      <c r="HZ58" s="1">
        <v>21.658989362994774</v>
      </c>
      <c r="IA58" s="1">
        <v>4.4440678964350049</v>
      </c>
      <c r="IB58" s="1">
        <v>27.344989728510271</v>
      </c>
      <c r="IC58" s="1">
        <v>0.73959502018660883</v>
      </c>
      <c r="ID58" s="1">
        <v>23.010660881954358</v>
      </c>
      <c r="IE58" s="2">
        <v>121.30352032720188</v>
      </c>
      <c r="IF58" s="1">
        <v>120.56392530701527</v>
      </c>
      <c r="IH58" s="1">
        <v>1850</v>
      </c>
      <c r="II58" s="1">
        <v>134.71704412059393</v>
      </c>
      <c r="IJ58" s="1">
        <v>52.053945243785428</v>
      </c>
      <c r="IK58" s="1">
        <v>25.411682042097226</v>
      </c>
      <c r="IL58" s="1">
        <v>138.23614225586627</v>
      </c>
      <c r="IM58" s="1">
        <v>48.183085232531759</v>
      </c>
      <c r="IN58" s="1">
        <v>23.522006564575364</v>
      </c>
    </row>
    <row r="59" spans="1:249" x14ac:dyDescent="0.25">
      <c r="A59" s="1" t="s">
        <v>150</v>
      </c>
      <c r="B59" s="1">
        <v>-6.8891339213024594E-2</v>
      </c>
      <c r="C59" s="1">
        <v>-8.2539222534521173E-2</v>
      </c>
      <c r="D59" s="1">
        <v>3.0170725011529953E-2</v>
      </c>
      <c r="E59" s="1">
        <v>-0.16785530011037508</v>
      </c>
      <c r="F59" s="1">
        <v>2.6437467840338513E-2</v>
      </c>
      <c r="G59" s="1">
        <v>-0.84337849490202643</v>
      </c>
      <c r="H59" s="1">
        <v>-1.0481384564300242</v>
      </c>
      <c r="J59" s="1">
        <v>1851</v>
      </c>
      <c r="K59" s="2">
        <v>476.45670735601124</v>
      </c>
      <c r="L59" s="1">
        <v>453.73899547042146</v>
      </c>
      <c r="M59" s="1">
        <v>457.18985079522275</v>
      </c>
      <c r="N59" s="1">
        <v>434.47213890963297</v>
      </c>
      <c r="O59" s="1">
        <v>19.266856560788501</v>
      </c>
      <c r="P59" s="1">
        <v>22.717711885589775</v>
      </c>
      <c r="Q59" s="1">
        <v>293.43635375484502</v>
      </c>
      <c r="R59" s="1">
        <v>769.89306111085625</v>
      </c>
      <c r="S59" s="1">
        <v>747.17534922526647</v>
      </c>
      <c r="U59" s="1">
        <v>1851</v>
      </c>
      <c r="V59" s="1">
        <v>136.14789718805881</v>
      </c>
      <c r="W59" s="1">
        <v>11003.104251667555</v>
      </c>
      <c r="X59" s="1">
        <v>-1.9115850411115787</v>
      </c>
      <c r="Y59" s="1">
        <v>129.65629227538801</v>
      </c>
      <c r="Z59" s="1">
        <v>9943.5761086457114</v>
      </c>
      <c r="AA59" s="1">
        <v>-1.1454413751170165</v>
      </c>
      <c r="AB59" s="1">
        <v>3499552.4513896061</v>
      </c>
      <c r="AC59" s="1">
        <v>1.0890241693244604</v>
      </c>
      <c r="AE59" s="1">
        <v>1851</v>
      </c>
      <c r="AF59" s="1">
        <v>201.64608148320241</v>
      </c>
      <c r="AG59" s="1">
        <v>60.722753374571404</v>
      </c>
      <c r="AH59" s="1">
        <v>34.830624775464635</v>
      </c>
      <c r="AI59" s="1">
        <v>26.997800171954225</v>
      </c>
      <c r="AJ59" s="1">
        <v>34.268419198137501</v>
      </c>
      <c r="AK59" s="1">
        <v>42.45376592521793</v>
      </c>
      <c r="AL59" s="1">
        <v>28.608337583975811</v>
      </c>
      <c r="AM59" s="1">
        <v>24.211212957897501</v>
      </c>
      <c r="AN59" s="2">
        <v>453.7389954704214</v>
      </c>
      <c r="AP59" s="1" t="s">
        <v>150</v>
      </c>
      <c r="AQ59" s="1">
        <v>-4.8681728398761663</v>
      </c>
      <c r="AR59" s="1">
        <v>3.905563468026088</v>
      </c>
      <c r="AS59" s="1">
        <v>30.082443776203888</v>
      </c>
      <c r="AT59" s="1">
        <v>4.8975767138332458</v>
      </c>
      <c r="AU59" s="1">
        <v>-3.6209697639177563</v>
      </c>
      <c r="AV59" s="1">
        <v>-1.8557848391061356</v>
      </c>
      <c r="AW59" s="1">
        <v>-1.0840446774264052</v>
      </c>
      <c r="AX59" s="1">
        <v>2.2915521053967041</v>
      </c>
      <c r="AY59" s="1">
        <v>-6.8891339213024594E-2</v>
      </c>
      <c r="BA59" s="1">
        <v>1851</v>
      </c>
      <c r="BB59" s="1">
        <v>405.65819675032674</v>
      </c>
      <c r="BC59" s="1">
        <v>36.138323909918647</v>
      </c>
      <c r="BD59" s="1">
        <v>30.941957357591122</v>
      </c>
      <c r="BE59" s="1">
        <v>6.3209345369664476</v>
      </c>
      <c r="BF59" s="1">
        <v>-0.2474802323630716</v>
      </c>
      <c r="BG59" s="1">
        <v>3.4017246058502528</v>
      </c>
      <c r="BH59" s="1">
        <v>56.964652032259977</v>
      </c>
      <c r="BI59" s="1">
        <v>62.721601604538897</v>
      </c>
      <c r="BJ59" s="1">
        <v>476.45670735601124</v>
      </c>
      <c r="BL59" s="1" t="s">
        <v>150</v>
      </c>
      <c r="BM59" s="1">
        <v>-1.7219927142927247</v>
      </c>
      <c r="BN59" s="1">
        <v>1.344739348053281E-2</v>
      </c>
      <c r="BO59" s="1">
        <v>23.976537792452717</v>
      </c>
      <c r="BP59" s="1">
        <v>9.391915514624543</v>
      </c>
      <c r="BQ59" s="1">
        <v>17.996069029568645</v>
      </c>
      <c r="BR59" s="1">
        <v>-0.84337849490201222</v>
      </c>
      <c r="BT59" s="1" t="s">
        <v>150</v>
      </c>
      <c r="BU59" s="1">
        <v>3.9385720035322436</v>
      </c>
      <c r="BV59" s="1">
        <v>6.3180179260836411</v>
      </c>
      <c r="BW59" s="1">
        <v>-1.1736716821758648</v>
      </c>
      <c r="BX59" s="1">
        <v>0.44490017049238872</v>
      </c>
      <c r="BY59" s="1">
        <v>-3.5982446673165924</v>
      </c>
      <c r="BZ59" s="1">
        <v>4.276611368093981</v>
      </c>
      <c r="CB59" s="1">
        <v>1851</v>
      </c>
      <c r="CC59" s="1">
        <v>16.823827754516927</v>
      </c>
      <c r="CD59" s="1">
        <v>3.8993053724418565</v>
      </c>
      <c r="CE59" s="1">
        <v>1.4329891008913053E-2</v>
      </c>
      <c r="CF59" s="1">
        <v>4.9224406918150425</v>
      </c>
      <c r="CG59" s="1">
        <v>1.3078970430050794</v>
      </c>
      <c r="CH59" s="1">
        <v>1.3020024792977016</v>
      </c>
      <c r="CI59" s="1">
        <v>12.147333035959232</v>
      </c>
      <c r="CJ59" s="1">
        <v>40.417136268044757</v>
      </c>
      <c r="CL59" s="1">
        <v>1851</v>
      </c>
      <c r="CM59" s="1">
        <v>7.9695480997147463</v>
      </c>
      <c r="CN59" s="1">
        <v>1.5795269978793334</v>
      </c>
      <c r="CO59" s="1">
        <v>5.1267634072524826E-2</v>
      </c>
      <c r="CP59" s="1">
        <v>3.6678284797901828</v>
      </c>
      <c r="CQ59" s="1">
        <v>0.31758775884267088</v>
      </c>
      <c r="CR59" s="1">
        <v>0.74210424442439105</v>
      </c>
      <c r="CS59" s="1">
        <v>4.9389933460646516</v>
      </c>
      <c r="CT59" s="2">
        <v>19.266856560788501</v>
      </c>
      <c r="CV59" s="1">
        <v>1851</v>
      </c>
      <c r="CW59" s="1">
        <v>154.60787521848781</v>
      </c>
      <c r="CX59" s="1">
        <v>239.05883904072132</v>
      </c>
      <c r="CY59" s="1">
        <v>31.56414892591723</v>
      </c>
      <c r="CZ59" s="1">
        <v>80.679207786666367</v>
      </c>
      <c r="DA59" s="1">
        <v>91.976317657963207</v>
      </c>
      <c r="DB59" s="1">
        <v>597.88638862975597</v>
      </c>
      <c r="DC59" s="1">
        <v>575.6029347095257</v>
      </c>
      <c r="DD59" s="1">
        <v>85.982908406003503</v>
      </c>
      <c r="DF59" s="1">
        <v>1851</v>
      </c>
      <c r="DG59" s="1">
        <v>4.0568175922374223</v>
      </c>
      <c r="DH59" s="1">
        <v>4.6623366886763904</v>
      </c>
      <c r="DI59" s="1">
        <v>3.6652068018549784</v>
      </c>
      <c r="DJ59" s="1">
        <v>6.4067441194154355</v>
      </c>
      <c r="DK59" s="1">
        <v>8.6139339319919941</v>
      </c>
      <c r="DL59" s="1">
        <v>3.6984787959226679</v>
      </c>
      <c r="DM59" s="1">
        <v>4.7254254492218024</v>
      </c>
      <c r="DN59" s="1">
        <v>4.8113958188251473</v>
      </c>
      <c r="DO59" s="1">
        <v>1.7256697385933535</v>
      </c>
      <c r="DQ59" s="1">
        <v>1851</v>
      </c>
      <c r="DR59" s="1">
        <v>328.98326216903445</v>
      </c>
      <c r="DS59" s="1">
        <v>547.25605351723812</v>
      </c>
      <c r="DT59" s="1">
        <v>59.187531014314722</v>
      </c>
      <c r="DU59" s="1">
        <v>80.679207786666367</v>
      </c>
      <c r="DV59" s="1">
        <v>91.976317657963207</v>
      </c>
      <c r="DW59" s="1">
        <v>1108.0823721452168</v>
      </c>
      <c r="DX59" s="1">
        <v>1063.5094465466511</v>
      </c>
      <c r="DY59" s="1">
        <v>124.36816556443083</v>
      </c>
      <c r="EA59" s="1">
        <v>1851</v>
      </c>
      <c r="EB59" s="1">
        <v>2.2721412958849783</v>
      </c>
      <c r="EC59" s="1">
        <v>2.7056789779409769</v>
      </c>
      <c r="ED59" s="1">
        <v>2.0115198920662039</v>
      </c>
      <c r="EE59" s="1">
        <v>5.6229759932679997</v>
      </c>
      <c r="EF59" s="1">
        <v>8.6139339319919941</v>
      </c>
      <c r="EG59" s="1">
        <v>3.6984787959226679</v>
      </c>
      <c r="EH59" s="1">
        <v>3.0194505340785298</v>
      </c>
      <c r="EI59" s="1">
        <v>3.0657489564866154</v>
      </c>
      <c r="EJ59" s="1">
        <v>1.4463924272138229</v>
      </c>
      <c r="EL59" s="1">
        <v>1851</v>
      </c>
      <c r="EM59" s="1">
        <v>1102721.1229884783</v>
      </c>
      <c r="EN59" s="1">
        <v>131121.84459880888</v>
      </c>
      <c r="EO59" s="1">
        <v>16068.239783751304</v>
      </c>
      <c r="EP59" s="1">
        <v>9145.9774876818938</v>
      </c>
      <c r="EQ59" s="1">
        <v>15867.955007716962</v>
      </c>
      <c r="ER59" s="1">
        <v>129716.45327536896</v>
      </c>
      <c r="ES59" s="1">
        <v>55335.457695560726</v>
      </c>
      <c r="ET59" s="1">
        <v>858.38248646398961</v>
      </c>
      <c r="EU59" s="1">
        <v>1460835.4333238308</v>
      </c>
      <c r="EV59" s="1">
        <v>1405499.9756282703</v>
      </c>
      <c r="EX59" s="1">
        <v>1851</v>
      </c>
      <c r="EY59" s="1">
        <v>825732.05133267574</v>
      </c>
      <c r="EZ59" s="1">
        <v>90474.132953742257</v>
      </c>
      <c r="FA59" s="1">
        <v>12654.114749503391</v>
      </c>
      <c r="FB59" s="1">
        <v>9145.9774876818938</v>
      </c>
      <c r="FC59" s="1">
        <v>7117.1414897176528</v>
      </c>
      <c r="FD59" s="1">
        <v>126309.31207071863</v>
      </c>
      <c r="FE59" s="1">
        <v>55335.457695560726</v>
      </c>
      <c r="FF59" s="1">
        <v>592.69190696990813</v>
      </c>
      <c r="FG59" s="1">
        <v>1127360.8796865705</v>
      </c>
      <c r="FH59" s="1">
        <v>1072025.4219910097</v>
      </c>
      <c r="FJ59" s="1">
        <v>1851</v>
      </c>
      <c r="FK59" s="1">
        <v>276989.07165580249</v>
      </c>
      <c r="FL59" s="1">
        <v>40647.711645066622</v>
      </c>
      <c r="FM59" s="1">
        <v>3414.125034247912</v>
      </c>
      <c r="FN59" s="1">
        <v>0</v>
      </c>
      <c r="FO59" s="1">
        <v>8750.8135179993096</v>
      </c>
      <c r="FP59" s="1">
        <v>3407.1412046503465</v>
      </c>
      <c r="FQ59" s="1">
        <v>265.69057949408148</v>
      </c>
      <c r="FR59" s="1">
        <v>333474.55363726075</v>
      </c>
      <c r="FS59" s="1">
        <v>540760.60547409463</v>
      </c>
      <c r="HC59" s="1">
        <v>1851</v>
      </c>
      <c r="HD59" s="1">
        <v>136.29414262195954</v>
      </c>
      <c r="HE59" s="1">
        <v>25.741440533953725</v>
      </c>
      <c r="HF59" s="1">
        <v>4.8490180207396829</v>
      </c>
      <c r="HG59" s="1">
        <v>5.3205376827476227</v>
      </c>
      <c r="HH59" s="1">
        <v>40.168849541705214</v>
      </c>
      <c r="HI59" s="1">
        <v>27.866233339551421</v>
      </c>
      <c r="HJ59" s="1">
        <v>0.44863366765945589</v>
      </c>
      <c r="HK59" s="2">
        <v>240.68885540831667</v>
      </c>
      <c r="HL59" s="1">
        <v>212.82262206876524</v>
      </c>
      <c r="HN59" s="1">
        <v>1851</v>
      </c>
      <c r="HO59" s="1">
        <v>57.572443998364989</v>
      </c>
      <c r="HP59" s="1">
        <v>12.431700338165676</v>
      </c>
      <c r="HQ59" s="1">
        <v>1.4657176697530021</v>
      </c>
      <c r="HR59" s="1">
        <v>0</v>
      </c>
      <c r="HS59" s="1">
        <v>8.7687423517348808</v>
      </c>
      <c r="HT59" s="1">
        <v>0.23286175537163548</v>
      </c>
      <c r="HU59" s="2">
        <v>80.471466113390179</v>
      </c>
      <c r="HW59" s="1">
        <v>1851</v>
      </c>
      <c r="HX59" s="1">
        <v>23.967494862877857</v>
      </c>
      <c r="HY59" s="1">
        <v>22.549612502452</v>
      </c>
      <c r="HZ59" s="1">
        <v>28.515889084971949</v>
      </c>
      <c r="IA59" s="1">
        <v>5.4892624892066033</v>
      </c>
      <c r="IB59" s="1">
        <v>27.784593229915348</v>
      </c>
      <c r="IC59" s="1">
        <v>0.7421042444243886</v>
      </c>
      <c r="ID59" s="1">
        <v>23.52971753486641</v>
      </c>
      <c r="IE59" s="2">
        <v>132.57867394871457</v>
      </c>
      <c r="IF59" s="1">
        <v>131.83656970429018</v>
      </c>
      <c r="IH59" s="1">
        <v>1851</v>
      </c>
      <c r="II59" s="1">
        <v>134.41635137957954</v>
      </c>
      <c r="IJ59" s="1">
        <v>58.856724393767955</v>
      </c>
      <c r="IK59" s="1">
        <v>27.563755085477631</v>
      </c>
      <c r="IL59" s="1">
        <v>137.81947412193853</v>
      </c>
      <c r="IM59" s="1">
        <v>54.9341370017803</v>
      </c>
      <c r="IN59" s="1">
        <v>25.726730696373522</v>
      </c>
      <c r="IO59" s="1">
        <v>-3.7893266451634418</v>
      </c>
    </row>
    <row r="60" spans="1:249" x14ac:dyDescent="0.25">
      <c r="A60" s="1" t="s">
        <v>151</v>
      </c>
      <c r="B60" s="1">
        <v>-1.429705866608785</v>
      </c>
      <c r="C60" s="1">
        <v>-1.4601670297324176</v>
      </c>
      <c r="D60" s="1">
        <v>-1.3287676450622286</v>
      </c>
      <c r="E60" s="1">
        <v>-1.5305408308601329</v>
      </c>
      <c r="F60" s="1">
        <v>-1.4091193015344743</v>
      </c>
      <c r="G60" s="1">
        <v>-1.8588223657175433</v>
      </c>
      <c r="H60" s="1">
        <v>-2.0993009655690287</v>
      </c>
      <c r="J60" s="1">
        <v>1852</v>
      </c>
      <c r="K60" s="2">
        <v>486.94004729267357</v>
      </c>
      <c r="L60" s="1">
        <v>463.66974777206696</v>
      </c>
      <c r="M60" s="1">
        <v>466.94456857722639</v>
      </c>
      <c r="N60" s="1">
        <v>443.67426905661978</v>
      </c>
      <c r="O60" s="1">
        <v>19.99547871544716</v>
      </c>
      <c r="P60" s="1">
        <v>23.270299520606631</v>
      </c>
      <c r="Q60" s="1">
        <v>297.79720958806951</v>
      </c>
      <c r="R60" s="1">
        <v>784.73725688074308</v>
      </c>
      <c r="S60" s="1">
        <v>761.46695736013646</v>
      </c>
      <c r="U60" s="1">
        <v>1852</v>
      </c>
      <c r="V60" s="1">
        <v>138.00168446089299</v>
      </c>
      <c r="W60" s="1">
        <v>10709.961108192589</v>
      </c>
      <c r="X60" s="1">
        <v>-2.6641858222014037</v>
      </c>
      <c r="Y60" s="1">
        <v>131.40674418106207</v>
      </c>
      <c r="Z60" s="1">
        <v>9720.9801359245466</v>
      </c>
      <c r="AA60" s="1">
        <v>-2.2385907272095267</v>
      </c>
      <c r="AB60" s="1">
        <v>3528507.9975285586</v>
      </c>
      <c r="AC60" s="1">
        <v>0.82740711965767844</v>
      </c>
      <c r="AE60" s="1">
        <v>1852</v>
      </c>
      <c r="AF60" s="1">
        <v>207.55766275679528</v>
      </c>
      <c r="AG60" s="1">
        <v>61.031269879016648</v>
      </c>
      <c r="AH60" s="1">
        <v>36.427900195765616</v>
      </c>
      <c r="AI60" s="1">
        <v>25.39968506285636</v>
      </c>
      <c r="AJ60" s="1">
        <v>35.990250497674047</v>
      </c>
      <c r="AK60" s="1">
        <v>43.94722425630858</v>
      </c>
      <c r="AL60" s="1">
        <v>28.198174128007288</v>
      </c>
      <c r="AM60" s="1">
        <v>25.117580995643152</v>
      </c>
      <c r="AN60" s="2">
        <v>463.66974777206696</v>
      </c>
      <c r="AP60" s="1" t="s">
        <v>151</v>
      </c>
      <c r="AQ60" s="1">
        <v>-3.1042249939812763</v>
      </c>
      <c r="AR60" s="1">
        <v>0.41760177133924969</v>
      </c>
      <c r="AS60" s="1">
        <v>2.2922150229534424</v>
      </c>
      <c r="AT60" s="1">
        <v>-13.829673768264243</v>
      </c>
      <c r="AU60" s="1">
        <v>2.8301345190208167</v>
      </c>
      <c r="AV60" s="1">
        <v>1.5378039100484955</v>
      </c>
      <c r="AW60" s="1">
        <v>0.53075922074069126</v>
      </c>
      <c r="AX60" s="1">
        <v>3.7435878959133078</v>
      </c>
      <c r="AY60" s="1">
        <v>-1.429705866608785</v>
      </c>
      <c r="BA60" s="1">
        <v>1852</v>
      </c>
      <c r="BB60" s="1">
        <v>412.5461369321107</v>
      </c>
      <c r="BC60" s="1">
        <v>35.974902641027086</v>
      </c>
      <c r="BD60" s="1">
        <v>31.119744233548467</v>
      </c>
      <c r="BE60" s="1">
        <v>6.4286803453096741</v>
      </c>
      <c r="BF60" s="1">
        <v>9.4513768810471258E-2</v>
      </c>
      <c r="BG60" s="1">
        <v>2.2958774473148793</v>
      </c>
      <c r="BH60" s="1">
        <v>56.666231569037556</v>
      </c>
      <c r="BI60" s="1">
        <v>58.186039644485227</v>
      </c>
      <c r="BJ60" s="1">
        <v>486.94004729267357</v>
      </c>
      <c r="BL60" s="1" t="s">
        <v>151</v>
      </c>
      <c r="BM60" s="1">
        <v>-2.4554688466708825</v>
      </c>
      <c r="BN60" s="1">
        <v>1.286660096482791</v>
      </c>
      <c r="BO60" s="1">
        <v>-1.1015913580488359</v>
      </c>
      <c r="BP60" s="1">
        <v>0.19633411255965427</v>
      </c>
      <c r="BQ60" s="1">
        <v>-1.6474163020995292</v>
      </c>
      <c r="BR60" s="1">
        <v>-1.8588223657175718</v>
      </c>
      <c r="BT60" s="1" t="s">
        <v>151</v>
      </c>
      <c r="BU60" s="1">
        <v>4.2579889123850876</v>
      </c>
      <c r="BV60" s="1">
        <v>-1.7167813825665945</v>
      </c>
      <c r="BW60" s="1">
        <v>-8.2780125447925457E-2</v>
      </c>
      <c r="BX60" s="1">
        <v>-0.71879242250257391</v>
      </c>
      <c r="BY60" s="1">
        <v>-5.6773734696798499</v>
      </c>
      <c r="BZ60" s="1">
        <v>4.1359740229606672</v>
      </c>
      <c r="CB60" s="1">
        <v>1852</v>
      </c>
      <c r="CC60" s="1">
        <v>17.957818680770067</v>
      </c>
      <c r="CD60" s="1">
        <v>3.5125042806043525</v>
      </c>
      <c r="CE60" s="1">
        <v>8.8130901217547367E-2</v>
      </c>
      <c r="CF60" s="1">
        <v>5.3432805712329134</v>
      </c>
      <c r="CG60" s="1">
        <v>1.0788044401990566</v>
      </c>
      <c r="CH60" s="1">
        <v>1.356398992184199</v>
      </c>
      <c r="CI60" s="1">
        <v>10.60187792877535</v>
      </c>
      <c r="CJ60" s="1">
        <v>39.938815794983491</v>
      </c>
      <c r="CL60" s="1">
        <v>1852</v>
      </c>
      <c r="CM60" s="1">
        <v>8.373515217265858</v>
      </c>
      <c r="CN60" s="1">
        <v>1.6199238848372928</v>
      </c>
      <c r="CO60" s="1">
        <v>5.2516459722734096E-2</v>
      </c>
      <c r="CP60" s="1">
        <v>3.7795806583477169</v>
      </c>
      <c r="CQ60" s="1">
        <v>0.31781935524526245</v>
      </c>
      <c r="CR60" s="1">
        <v>0.75949925633572724</v>
      </c>
      <c r="CS60" s="1">
        <v>5.0926238836925686</v>
      </c>
      <c r="CT60" s="2">
        <v>19.99547871544716</v>
      </c>
      <c r="CV60" s="1">
        <v>1852</v>
      </c>
      <c r="CW60" s="1">
        <v>161.81621490838239</v>
      </c>
      <c r="CX60" s="1">
        <v>247.82083986967734</v>
      </c>
      <c r="CY60" s="1">
        <v>33.314943055713726</v>
      </c>
      <c r="CZ60" s="1">
        <v>82.760591362138555</v>
      </c>
      <c r="DA60" s="1">
        <v>95.715866146607823</v>
      </c>
      <c r="DB60" s="1">
        <v>621.4284553425199</v>
      </c>
      <c r="DC60" s="1">
        <v>598.59478973137107</v>
      </c>
      <c r="DD60" s="1">
        <v>87.586904404563242</v>
      </c>
      <c r="DF60" s="1">
        <v>1852</v>
      </c>
      <c r="DG60" s="1">
        <v>3.8161704974555732</v>
      </c>
      <c r="DH60" s="1">
        <v>3.4046365799633094</v>
      </c>
      <c r="DI60" s="1">
        <v>4.084884221733347</v>
      </c>
      <c r="DJ60" s="1">
        <v>5.7467814773580272</v>
      </c>
      <c r="DK60" s="1">
        <v>1.1565253361326597</v>
      </c>
      <c r="DL60" s="1">
        <v>2.3986383237636772</v>
      </c>
      <c r="DM60" s="1">
        <v>3.3872690936795919</v>
      </c>
      <c r="DN60" s="1">
        <v>3.4174656936507404</v>
      </c>
      <c r="DO60" s="1">
        <v>2.6929290880156174</v>
      </c>
      <c r="DQ60" s="1">
        <v>1852</v>
      </c>
      <c r="DR60" s="1">
        <v>337.88449313448649</v>
      </c>
      <c r="DS60" s="1">
        <v>558.26421789427388</v>
      </c>
      <c r="DT60" s="1">
        <v>62.000230190020638</v>
      </c>
      <c r="DU60" s="1">
        <v>82.760591362138555</v>
      </c>
      <c r="DV60" s="1">
        <v>95.715866146607823</v>
      </c>
      <c r="DW60" s="1">
        <v>1136.6253987275272</v>
      </c>
      <c r="DX60" s="1">
        <v>1091.2174580031617</v>
      </c>
      <c r="DY60" s="1">
        <v>126.22575735969085</v>
      </c>
      <c r="EA60" s="1">
        <v>1852</v>
      </c>
      <c r="EB60" s="1">
        <v>2.2325517292317727</v>
      </c>
      <c r="EC60" s="1">
        <v>2.1685253080312208</v>
      </c>
      <c r="ED60" s="1">
        <v>2.2713031558522516</v>
      </c>
      <c r="EE60" s="1">
        <v>5.3590886381782212</v>
      </c>
      <c r="EF60" s="1">
        <v>1.1565253361326597</v>
      </c>
      <c r="EG60" s="1">
        <v>2.3986383237636772</v>
      </c>
      <c r="EH60" s="1">
        <v>2.3478479610209604</v>
      </c>
      <c r="EI60" s="1">
        <v>2.3628905236036957</v>
      </c>
      <c r="EJ60" s="1">
        <v>2.1243859178496223</v>
      </c>
      <c r="EL60" s="1">
        <v>1852</v>
      </c>
      <c r="EM60" s="1">
        <v>1103603.0213310039</v>
      </c>
      <c r="EN60" s="1">
        <v>133136.58818801417</v>
      </c>
      <c r="EO60" s="1">
        <v>15616.499192316422</v>
      </c>
      <c r="EP60" s="1">
        <v>9483.9930158895568</v>
      </c>
      <c r="EQ60" s="1">
        <v>16492.698175807134</v>
      </c>
      <c r="ER60" s="1">
        <v>130948.10958578523</v>
      </c>
      <c r="ES60" s="1">
        <v>55977.256690669936</v>
      </c>
      <c r="ET60" s="1">
        <v>871.64699944663323</v>
      </c>
      <c r="EU60" s="1">
        <v>1466129.813178933</v>
      </c>
      <c r="EV60" s="1">
        <v>1410152.556488263</v>
      </c>
      <c r="EX60" s="1">
        <v>1852</v>
      </c>
      <c r="EY60" s="1">
        <v>825677.07837737422</v>
      </c>
      <c r="EZ60" s="1">
        <v>91382.116725858621</v>
      </c>
      <c r="FA60" s="1">
        <v>12139.054187985108</v>
      </c>
      <c r="FB60" s="1">
        <v>9483.9930158895568</v>
      </c>
      <c r="FC60" s="1">
        <v>7348.2120304542868</v>
      </c>
      <c r="FD60" s="1">
        <v>127466.35598202627</v>
      </c>
      <c r="FE60" s="1">
        <v>55977.256690669936</v>
      </c>
      <c r="FF60" s="1">
        <v>601.85072558361935</v>
      </c>
      <c r="FG60" s="1">
        <v>1130075.9177358418</v>
      </c>
      <c r="FH60" s="1">
        <v>1074098.6610451718</v>
      </c>
      <c r="FJ60" s="1">
        <v>1852</v>
      </c>
      <c r="FK60" s="1">
        <v>277925.94295362977</v>
      </c>
      <c r="FL60" s="1">
        <v>41754.471462155547</v>
      </c>
      <c r="FM60" s="1">
        <v>3477.4450043313141</v>
      </c>
      <c r="FN60" s="1">
        <v>0</v>
      </c>
      <c r="FO60" s="1">
        <v>9144.4861453528483</v>
      </c>
      <c r="FP60" s="1">
        <v>3481.7536037589566</v>
      </c>
      <c r="FQ60" s="1">
        <v>269.79627386301382</v>
      </c>
      <c r="FR60" s="1">
        <v>336053.8954430914</v>
      </c>
      <c r="FS60" s="1">
        <v>545179.14805330953</v>
      </c>
      <c r="HC60" s="1">
        <v>1852</v>
      </c>
      <c r="HD60" s="1">
        <v>138.07829345549737</v>
      </c>
      <c r="HE60" s="1">
        <v>26.341879804874186</v>
      </c>
      <c r="HF60" s="1">
        <v>4.7128542907389415</v>
      </c>
      <c r="HG60" s="1">
        <v>5.5897676219978623</v>
      </c>
      <c r="HH60" s="1">
        <v>41.807847544940984</v>
      </c>
      <c r="HI60" s="1">
        <v>27.438674871671559</v>
      </c>
      <c r="HJ60" s="1">
        <v>0.47198317230745024</v>
      </c>
      <c r="HK60" s="2">
        <v>244.44130076202836</v>
      </c>
      <c r="HL60" s="1">
        <v>217.0026258903568</v>
      </c>
      <c r="HN60" s="1">
        <v>1852</v>
      </c>
      <c r="HO60" s="1">
        <v>58.527267984890699</v>
      </c>
      <c r="HP60" s="1">
        <v>12.938220715680753</v>
      </c>
      <c r="HQ60" s="1">
        <v>1.5125450012165949</v>
      </c>
      <c r="HR60" s="1">
        <v>0</v>
      </c>
      <c r="HS60" s="1">
        <v>9.1203769254214535</v>
      </c>
      <c r="HT60" s="1">
        <v>0.24498123509716818</v>
      </c>
      <c r="HU60" s="2">
        <v>82.343391862306675</v>
      </c>
      <c r="HW60" s="1">
        <v>1852</v>
      </c>
      <c r="HX60" s="1">
        <v>25.426101316407198</v>
      </c>
      <c r="HY60" s="1">
        <v>21.751169358461709</v>
      </c>
      <c r="HZ60" s="1">
        <v>30.20250090381008</v>
      </c>
      <c r="IA60" s="1">
        <v>5.3359174408584975</v>
      </c>
      <c r="IB60" s="1">
        <v>29.00925028362019</v>
      </c>
      <c r="IC60" s="1">
        <v>0.75949925633573023</v>
      </c>
      <c r="ID60" s="1">
        <v>24.400616588238535</v>
      </c>
      <c r="IE60" s="2">
        <v>136.88505514773192</v>
      </c>
      <c r="IF60" s="1">
        <v>136.1255558913962</v>
      </c>
      <c r="IH60" s="1">
        <v>1852</v>
      </c>
      <c r="II60" s="1">
        <v>136.23170687552619</v>
      </c>
      <c r="IJ60" s="1">
        <v>55.159921432313972</v>
      </c>
      <c r="IK60" s="1">
        <v>26.095516064353308</v>
      </c>
      <c r="IL60" s="1">
        <v>139.75293836923919</v>
      </c>
      <c r="IM60" s="1">
        <v>51.250493778878983</v>
      </c>
      <c r="IN60" s="1">
        <v>24.246011397131735</v>
      </c>
      <c r="IO60" s="1">
        <v>-2.8220373991420615</v>
      </c>
    </row>
    <row r="61" spans="1:249" x14ac:dyDescent="0.25">
      <c r="A61" s="1" t="s">
        <v>152</v>
      </c>
      <c r="B61" s="1">
        <v>1.5381043104885066</v>
      </c>
      <c r="C61" s="1">
        <v>1.490234179305844</v>
      </c>
      <c r="D61" s="1">
        <v>1.5812684141120172</v>
      </c>
      <c r="E61" s="1">
        <v>1.4949585482370935</v>
      </c>
      <c r="F61" s="1">
        <v>1.6613058337186857</v>
      </c>
      <c r="G61" s="1">
        <v>1.9883145381891438</v>
      </c>
      <c r="H61" s="1">
        <v>1.9129096362674858</v>
      </c>
      <c r="J61" s="1">
        <v>1853</v>
      </c>
      <c r="K61" s="2">
        <v>511.9580130122439</v>
      </c>
      <c r="L61" s="1">
        <v>487.54973217730321</v>
      </c>
      <c r="M61" s="1">
        <v>490.24103384371642</v>
      </c>
      <c r="N61" s="1">
        <v>465.83275300877574</v>
      </c>
      <c r="O61" s="1">
        <v>21.716979168527502</v>
      </c>
      <c r="P61" s="1">
        <v>24.408280834940662</v>
      </c>
      <c r="Q61" s="1">
        <v>316.66899621064425</v>
      </c>
      <c r="R61" s="1">
        <v>828.62700922288809</v>
      </c>
      <c r="S61" s="1">
        <v>804.21872838794752</v>
      </c>
      <c r="U61" s="1">
        <v>1853</v>
      </c>
      <c r="V61" s="1">
        <v>144.13865254935479</v>
      </c>
      <c r="W61" s="1">
        <v>10851.144018187904</v>
      </c>
      <c r="X61" s="1">
        <v>1.3182392407318702</v>
      </c>
      <c r="Y61" s="1">
        <v>137.26665011717398</v>
      </c>
      <c r="Z61" s="1">
        <v>9805.6486040787186</v>
      </c>
      <c r="AA61" s="1">
        <v>0.87098694751234973</v>
      </c>
      <c r="AB61" s="1">
        <v>3551844.0332092284</v>
      </c>
      <c r="AC61" s="1">
        <v>0.66135702957213027</v>
      </c>
      <c r="AE61" s="1">
        <v>1853</v>
      </c>
      <c r="AF61" s="1">
        <v>211.5317976676084</v>
      </c>
      <c r="AG61" s="1">
        <v>63.287915811907837</v>
      </c>
      <c r="AH61" s="1">
        <v>40.743320025978164</v>
      </c>
      <c r="AI61" s="1">
        <v>30.842380126742512</v>
      </c>
      <c r="AJ61" s="1">
        <v>36.482409926027621</v>
      </c>
      <c r="AK61" s="1">
        <v>46.986752861950812</v>
      </c>
      <c r="AL61" s="1">
        <v>30.782407127390655</v>
      </c>
      <c r="AM61" s="1">
        <v>26.892748629697159</v>
      </c>
      <c r="AN61" s="2">
        <v>487.54973217730321</v>
      </c>
      <c r="AP61" s="1" t="s">
        <v>152</v>
      </c>
      <c r="AQ61" s="1">
        <v>1.2602317959435254</v>
      </c>
      <c r="AR61" s="1">
        <v>1.5591800818997399</v>
      </c>
      <c r="AS61" s="1">
        <v>6.8258652827002635</v>
      </c>
      <c r="AT61" s="1">
        <v>-2.3216195220751956</v>
      </c>
      <c r="AU61" s="1">
        <v>6.9133502980601662</v>
      </c>
      <c r="AV61" s="1">
        <v>0.5860419169645894</v>
      </c>
      <c r="AW61" s="1">
        <v>-6.2647898130821318</v>
      </c>
      <c r="AX61" s="1">
        <v>3.8618190165712178</v>
      </c>
      <c r="AY61" s="1">
        <v>1.5381043104885066</v>
      </c>
      <c r="BA61" s="1">
        <v>1853</v>
      </c>
      <c r="BB61" s="1">
        <v>410.12060149425065</v>
      </c>
      <c r="BC61" s="1">
        <v>39.615058555766375</v>
      </c>
      <c r="BD61" s="1">
        <v>35.109642080498702</v>
      </c>
      <c r="BE61" s="1">
        <v>6.0764248374896139</v>
      </c>
      <c r="BF61" s="1">
        <v>0.60796503826400661</v>
      </c>
      <c r="BG61" s="1">
        <v>2.9765262100181511</v>
      </c>
      <c r="BH61" s="1">
        <v>74.453661811110223</v>
      </c>
      <c r="BI61" s="1">
        <v>57.001867015153827</v>
      </c>
      <c r="BJ61" s="1">
        <v>511.9580130122439</v>
      </c>
      <c r="BL61" s="1" t="s">
        <v>152</v>
      </c>
      <c r="BM61" s="1">
        <v>-0.69761154451998664</v>
      </c>
      <c r="BN61" s="1">
        <v>-2.844143822907057</v>
      </c>
      <c r="BO61" s="1">
        <v>8.0357519503938306</v>
      </c>
      <c r="BP61" s="1">
        <v>7.8125823572100899</v>
      </c>
      <c r="BQ61" s="1">
        <v>-9.2944482700861926</v>
      </c>
      <c r="BR61" s="1">
        <v>1.9883145381891723</v>
      </c>
      <c r="BT61" s="1" t="s">
        <v>152</v>
      </c>
      <c r="BU61" s="1">
        <v>0.11043914948551503</v>
      </c>
      <c r="BV61" s="1">
        <v>13.342213953850603</v>
      </c>
      <c r="BW61" s="1">
        <v>3.759967283510619</v>
      </c>
      <c r="BX61" s="1">
        <v>21.868728978163674</v>
      </c>
      <c r="BY61" s="1">
        <v>8.0031476442645015</v>
      </c>
      <c r="BZ61" s="1">
        <v>3.0880765657316402</v>
      </c>
      <c r="CB61" s="1">
        <v>1853</v>
      </c>
      <c r="CC61" s="1">
        <v>20.89882432594252</v>
      </c>
      <c r="CD61" s="1">
        <v>4.0201137099883866</v>
      </c>
      <c r="CE61" s="1">
        <v>0.10291942342526079</v>
      </c>
      <c r="CF61" s="1">
        <v>5.1392045917170606</v>
      </c>
      <c r="CG61" s="1">
        <v>1.3153748357159514</v>
      </c>
      <c r="CH61" s="1">
        <v>1.557884891382368</v>
      </c>
      <c r="CI61" s="1">
        <v>11.736236388098927</v>
      </c>
      <c r="CJ61" s="1">
        <v>44.770558166270476</v>
      </c>
      <c r="CL61" s="1">
        <v>1853</v>
      </c>
      <c r="CM61" s="1">
        <v>9.2033644910885428</v>
      </c>
      <c r="CN61" s="1">
        <v>1.7307212469182656</v>
      </c>
      <c r="CO61" s="1">
        <v>5.8851958250015803E-2</v>
      </c>
      <c r="CP61" s="1">
        <v>4.0501126074320517</v>
      </c>
      <c r="CQ61" s="1">
        <v>0.33512516253648295</v>
      </c>
      <c r="CR61" s="1">
        <v>0.81915377656248978</v>
      </c>
      <c r="CS61" s="1">
        <v>5.5196499257396523</v>
      </c>
      <c r="CT61" s="2">
        <v>21.716979168527502</v>
      </c>
      <c r="CV61" s="1">
        <v>1853</v>
      </c>
      <c r="CW61" s="1">
        <v>175.77625021374124</v>
      </c>
      <c r="CX61" s="1">
        <v>270.97151073324051</v>
      </c>
      <c r="CY61" s="1">
        <v>36.46813458626071</v>
      </c>
      <c r="CZ61" s="1">
        <v>66.974190855659927</v>
      </c>
      <c r="DA61" s="1">
        <v>96.464811638935089</v>
      </c>
      <c r="DB61" s="1">
        <v>646.65489802783748</v>
      </c>
      <c r="DC61" s="1">
        <v>622.0556853528941</v>
      </c>
      <c r="DD61" s="1">
        <v>90.252598538290215</v>
      </c>
      <c r="DF61" s="1">
        <v>1853</v>
      </c>
      <c r="DG61" s="1">
        <v>4.0837247199734463</v>
      </c>
      <c r="DH61" s="1">
        <v>3.5366475589279105</v>
      </c>
      <c r="DI61" s="1">
        <v>4.4386076804955792</v>
      </c>
      <c r="DJ61" s="1">
        <v>3.344774963757601</v>
      </c>
      <c r="DK61" s="1">
        <v>-0.88622703907236655</v>
      </c>
      <c r="DL61" s="1">
        <v>3.0856082746102231</v>
      </c>
      <c r="DM61" s="1">
        <v>3.2539415794295792</v>
      </c>
      <c r="DN61" s="1">
        <v>3.2637424947987057</v>
      </c>
      <c r="DO61" s="1">
        <v>1.0909901262062647</v>
      </c>
      <c r="DQ61" s="1">
        <v>1853</v>
      </c>
      <c r="DR61" s="1">
        <v>362.64653336891087</v>
      </c>
      <c r="DS61" s="1">
        <v>599.77965082932576</v>
      </c>
      <c r="DT61" s="1">
        <v>67.614987974904807</v>
      </c>
      <c r="DU61" s="1">
        <v>66.974190855659927</v>
      </c>
      <c r="DV61" s="1">
        <v>96.464811638935089</v>
      </c>
      <c r="DW61" s="1">
        <v>1193.4801746677365</v>
      </c>
      <c r="DX61" s="1">
        <v>1144.8586607883753</v>
      </c>
      <c r="DY61" s="1">
        <v>131.09492574270064</v>
      </c>
      <c r="EA61" s="1">
        <v>1853</v>
      </c>
      <c r="EB61" s="1">
        <v>2.4268306252187983</v>
      </c>
      <c r="EC61" s="1">
        <v>2.2801749809124487</v>
      </c>
      <c r="ED61" s="1">
        <v>2.5155034585387455</v>
      </c>
      <c r="EE61" s="1">
        <v>4.0275479518159472</v>
      </c>
      <c r="EF61" s="1">
        <v>-0.88622703907236655</v>
      </c>
      <c r="EG61" s="1">
        <v>3.0856082746102231</v>
      </c>
      <c r="EH61" s="1">
        <v>2.3298868730953615</v>
      </c>
      <c r="EI61" s="1">
        <v>2.3347229994312215</v>
      </c>
      <c r="EJ61" s="1">
        <v>1.0187231965754506</v>
      </c>
      <c r="EL61" s="1">
        <v>1853</v>
      </c>
      <c r="EM61" s="1">
        <v>1113419.0215761063</v>
      </c>
      <c r="EN61" s="1">
        <v>135097.30195619632</v>
      </c>
      <c r="EO61" s="1">
        <v>15895.153351653655</v>
      </c>
      <c r="EP61" s="1">
        <v>9468.2446404563798</v>
      </c>
      <c r="EQ61" s="1">
        <v>16348.438185252866</v>
      </c>
      <c r="ER61" s="1">
        <v>132139.92679443333</v>
      </c>
      <c r="ES61" s="1">
        <v>52841.572965126521</v>
      </c>
      <c r="ET61" s="1">
        <v>885.11648784226759</v>
      </c>
      <c r="EU61" s="1">
        <v>1476094.7759570673</v>
      </c>
      <c r="EV61" s="1">
        <v>1423253.202991941</v>
      </c>
      <c r="EX61" s="1">
        <v>1853</v>
      </c>
      <c r="EY61" s="1">
        <v>834553.03850710904</v>
      </c>
      <c r="EZ61" s="1">
        <v>93121.838679617416</v>
      </c>
      <c r="FA61" s="1">
        <v>12320.332761782376</v>
      </c>
      <c r="FB61" s="1">
        <v>9468.2446404563798</v>
      </c>
      <c r="FC61" s="1">
        <v>7060.7256792973994</v>
      </c>
      <c r="FD61" s="1">
        <v>128703.37581210978</v>
      </c>
      <c r="FE61" s="1">
        <v>52841.572965126521</v>
      </c>
      <c r="FF61" s="1">
        <v>611.15107465761287</v>
      </c>
      <c r="FG61" s="1">
        <v>1138680.2801201565</v>
      </c>
      <c r="FH61" s="1">
        <v>1085838.70715503</v>
      </c>
      <c r="FJ61" s="1">
        <v>1853</v>
      </c>
      <c r="FK61" s="1">
        <v>278865.98306899722</v>
      </c>
      <c r="FL61" s="1">
        <v>41975.463276578899</v>
      </c>
      <c r="FM61" s="1">
        <v>3574.820589871279</v>
      </c>
      <c r="FN61" s="1">
        <v>0</v>
      </c>
      <c r="FO61" s="1">
        <v>9287.7125059554673</v>
      </c>
      <c r="FP61" s="1">
        <v>3436.5509823235425</v>
      </c>
      <c r="FQ61" s="1">
        <v>273.96541318465472</v>
      </c>
      <c r="FR61" s="1">
        <v>337414.49583691102</v>
      </c>
      <c r="FS61" s="1">
        <v>549633.79444320651</v>
      </c>
      <c r="HC61" s="1">
        <v>1853</v>
      </c>
      <c r="HD61" s="1">
        <v>143.18762687305619</v>
      </c>
      <c r="HE61" s="1">
        <v>27.540603881882593</v>
      </c>
      <c r="HF61" s="1">
        <v>4.9074735398796987</v>
      </c>
      <c r="HG61" s="1">
        <v>5.7254333723309729</v>
      </c>
      <c r="HH61" s="1">
        <v>43.751106643182055</v>
      </c>
      <c r="HI61" s="1">
        <v>29.963253350828168</v>
      </c>
      <c r="HJ61" s="1">
        <v>0.49177955905583509</v>
      </c>
      <c r="HK61" s="2">
        <v>255.56727722021549</v>
      </c>
      <c r="HL61" s="1">
        <v>225.60402386938733</v>
      </c>
      <c r="HN61" s="1">
        <v>1853</v>
      </c>
      <c r="HO61" s="1">
        <v>60.250557696232931</v>
      </c>
      <c r="HP61" s="1">
        <v>13.344534509672828</v>
      </c>
      <c r="HQ61" s="1">
        <v>1.5952863568905735</v>
      </c>
      <c r="HR61" s="1">
        <v>0</v>
      </c>
      <c r="HS61" s="1">
        <v>9.8180276431616917</v>
      </c>
      <c r="HT61" s="1">
        <v>0.25525648125132899</v>
      </c>
      <c r="HU61" s="2">
        <v>85.263662687209333</v>
      </c>
      <c r="HW61" s="1">
        <v>1853</v>
      </c>
      <c r="HX61" s="1">
        <v>20.66861309831927</v>
      </c>
      <c r="HY61" s="1">
        <v>22.402777420352422</v>
      </c>
      <c r="HZ61" s="1">
        <v>34.240560129207893</v>
      </c>
      <c r="IA61" s="1">
        <v>12.541946754411541</v>
      </c>
      <c r="IB61" s="1">
        <v>29.900028501634715</v>
      </c>
      <c r="IC61" s="1">
        <v>0.81915377656248733</v>
      </c>
      <c r="ID61" s="1">
        <v>26.145712589389994</v>
      </c>
      <c r="IE61" s="2">
        <v>146.71879226987832</v>
      </c>
      <c r="IF61" s="1">
        <v>145.89963849331585</v>
      </c>
      <c r="IH61" s="1">
        <v>1853</v>
      </c>
      <c r="II61" s="1">
        <v>135.3724684918725</v>
      </c>
      <c r="IJ61" s="1">
        <v>54.57397312677378</v>
      </c>
      <c r="IK61" s="1">
        <v>26.080676627308492</v>
      </c>
      <c r="IL61" s="1">
        <v>138.98034056614037</v>
      </c>
      <c r="IM61" s="1">
        <v>50.56129681024597</v>
      </c>
      <c r="IN61" s="1">
        <v>24.163035168836807</v>
      </c>
      <c r="IO61" s="1">
        <v>2.484219896591938</v>
      </c>
    </row>
    <row r="62" spans="1:249" x14ac:dyDescent="0.25">
      <c r="A62" s="1" t="s">
        <v>153</v>
      </c>
      <c r="B62" s="1">
        <v>2.2692270448239071</v>
      </c>
      <c r="C62" s="1">
        <v>2.2450704114589541</v>
      </c>
      <c r="D62" s="1">
        <v>2.3697857217784133</v>
      </c>
      <c r="E62" s="1">
        <v>2.1687671474794286</v>
      </c>
      <c r="F62" s="1">
        <v>2.2204596043963818</v>
      </c>
      <c r="G62" s="1">
        <v>1.9256450579185298</v>
      </c>
      <c r="H62" s="1">
        <v>1.8563282913644912</v>
      </c>
      <c r="J62" s="1">
        <v>1854</v>
      </c>
      <c r="K62" s="2">
        <v>580.41841149044717</v>
      </c>
      <c r="L62" s="1">
        <v>552.49405218545678</v>
      </c>
      <c r="M62" s="1">
        <v>556.08345192849993</v>
      </c>
      <c r="N62" s="1">
        <v>528.15909262350954</v>
      </c>
      <c r="O62" s="1">
        <v>24.334959561947237</v>
      </c>
      <c r="P62" s="1">
        <v>27.924359304990357</v>
      </c>
      <c r="Q62" s="1">
        <v>349.09492990388367</v>
      </c>
      <c r="R62" s="1">
        <v>929.51334139433084</v>
      </c>
      <c r="S62" s="1">
        <v>901.58898208934045</v>
      </c>
      <c r="U62" s="1">
        <v>1854</v>
      </c>
      <c r="V62" s="1">
        <v>161.87257825246752</v>
      </c>
      <c r="W62" s="1">
        <v>10955.822489002643</v>
      </c>
      <c r="X62" s="1">
        <v>0.96467681784781689</v>
      </c>
      <c r="Y62" s="1">
        <v>154.0847687218571</v>
      </c>
      <c r="Z62" s="1">
        <v>9933.614227432261</v>
      </c>
      <c r="AA62" s="1">
        <v>1.3050194690875827</v>
      </c>
      <c r="AB62" s="1">
        <v>3585650.0079042851</v>
      </c>
      <c r="AC62" s="1">
        <v>0.95178657562031788</v>
      </c>
      <c r="AE62" s="1">
        <v>1854</v>
      </c>
      <c r="AF62" s="1">
        <v>257.19430509671923</v>
      </c>
      <c r="AG62" s="1">
        <v>70.936994108035549</v>
      </c>
      <c r="AH62" s="1">
        <v>44.123117564683795</v>
      </c>
      <c r="AI62" s="1">
        <v>29.210443856611995</v>
      </c>
      <c r="AJ62" s="1">
        <v>42.654406264621386</v>
      </c>
      <c r="AK62" s="1">
        <v>47.985525757726379</v>
      </c>
      <c r="AL62" s="1">
        <v>29.928166053309258</v>
      </c>
      <c r="AM62" s="1">
        <v>30.461093483749199</v>
      </c>
      <c r="AN62" s="2">
        <v>552.49405218545689</v>
      </c>
      <c r="AP62" s="1" t="s">
        <v>153</v>
      </c>
      <c r="AQ62" s="1">
        <v>3.1049130528791693</v>
      </c>
      <c r="AR62" s="1">
        <v>3.3079084342353866</v>
      </c>
      <c r="AS62" s="1">
        <v>-1.7575301482134194</v>
      </c>
      <c r="AT62" s="1">
        <v>2.517387793216912</v>
      </c>
      <c r="AU62" s="1">
        <v>-9.5170154439728094E-2</v>
      </c>
      <c r="AV62" s="1">
        <v>0.68231880846798276</v>
      </c>
      <c r="AW62" s="1">
        <v>3.5259508334284533</v>
      </c>
      <c r="AX62" s="1">
        <v>3.3655163422341019</v>
      </c>
      <c r="AY62" s="1">
        <v>2.2692270448239071</v>
      </c>
      <c r="BA62" s="1">
        <v>1854</v>
      </c>
      <c r="BB62" s="1">
        <v>475.55846514546533</v>
      </c>
      <c r="BC62" s="1">
        <v>40.097865884345822</v>
      </c>
      <c r="BD62" s="1">
        <v>37.484763764089521</v>
      </c>
      <c r="BE62" s="1">
        <v>6.873670833078978</v>
      </c>
      <c r="BF62" s="1">
        <v>1.2802433568497198</v>
      </c>
      <c r="BG62" s="1">
        <v>3.8907581521574475</v>
      </c>
      <c r="BH62" s="1">
        <v>87.668303300947755</v>
      </c>
      <c r="BI62" s="1">
        <v>72.435658946487436</v>
      </c>
      <c r="BJ62" s="1">
        <v>580.41841149044706</v>
      </c>
      <c r="BL62" s="1" t="s">
        <v>153</v>
      </c>
      <c r="BM62" s="1">
        <v>1.6056045394790601</v>
      </c>
      <c r="BN62" s="1">
        <v>5.6811998037784406</v>
      </c>
      <c r="BO62" s="1">
        <v>0.56514079456408695</v>
      </c>
      <c r="BP62" s="1">
        <v>20.507990721588953</v>
      </c>
      <c r="BQ62" s="1">
        <v>24.578862055522492</v>
      </c>
      <c r="BR62" s="1">
        <v>1.9256450579185014</v>
      </c>
      <c r="BT62" s="1" t="s">
        <v>153</v>
      </c>
      <c r="BU62" s="1">
        <v>14.123390818564346</v>
      </c>
      <c r="BV62" s="1">
        <v>-4.2225607156982363</v>
      </c>
      <c r="BW62" s="1">
        <v>10.007782070443454</v>
      </c>
      <c r="BX62" s="1">
        <v>-2.289621895212349</v>
      </c>
      <c r="BY62" s="1">
        <v>2.0044163110509459</v>
      </c>
      <c r="BZ62" s="1">
        <v>11.230366133444988</v>
      </c>
      <c r="CB62" s="1">
        <v>1854</v>
      </c>
      <c r="CC62" s="1">
        <v>22.693123381878859</v>
      </c>
      <c r="CD62" s="1">
        <v>4.959302560101019</v>
      </c>
      <c r="CE62" s="1">
        <v>0.10479898029094104</v>
      </c>
      <c r="CF62" s="1">
        <v>6.5812355243821354</v>
      </c>
      <c r="CG62" s="1">
        <v>1.7409812231635367</v>
      </c>
      <c r="CH62" s="1">
        <v>1.6707200579336074</v>
      </c>
      <c r="CI62" s="1">
        <v>11.779274378425569</v>
      </c>
      <c r="CJ62" s="1">
        <v>49.529436106175666</v>
      </c>
      <c r="CL62" s="1">
        <v>1854</v>
      </c>
      <c r="CM62" s="1">
        <v>10.39638294807483</v>
      </c>
      <c r="CN62" s="1">
        <v>1.890999595536373</v>
      </c>
      <c r="CO62" s="1">
        <v>6.4170648271613617E-2</v>
      </c>
      <c r="CP62" s="1">
        <v>4.4916985350754253</v>
      </c>
      <c r="CQ62" s="1">
        <v>0.3716034510706015</v>
      </c>
      <c r="CR62" s="1">
        <v>0.9147977522554297</v>
      </c>
      <c r="CS62" s="1">
        <v>6.2053066316629604</v>
      </c>
      <c r="CT62" s="2">
        <v>24.334959561947237</v>
      </c>
      <c r="CV62" s="1">
        <v>1854</v>
      </c>
      <c r="CW62" s="1">
        <v>199.49214789495633</v>
      </c>
      <c r="CX62" s="1">
        <v>310.21030311873551</v>
      </c>
      <c r="CY62" s="1">
        <v>39.016872847547447</v>
      </c>
      <c r="CZ62" s="1">
        <v>116.16613306741998</v>
      </c>
      <c r="DA62" s="1">
        <v>111.21146346269663</v>
      </c>
      <c r="DB62" s="1">
        <v>776.09692039135598</v>
      </c>
      <c r="DC62" s="1">
        <v>748.37624035924489</v>
      </c>
      <c r="DD62" s="1">
        <v>100.82807397518323</v>
      </c>
      <c r="DF62" s="1">
        <v>1854</v>
      </c>
      <c r="DG62" s="1">
        <v>3.6050289234887742</v>
      </c>
      <c r="DH62" s="1">
        <v>2.7940787672994531</v>
      </c>
      <c r="DI62" s="1">
        <v>4.1265402558574777</v>
      </c>
      <c r="DJ62" s="1">
        <v>4.20749895808639</v>
      </c>
      <c r="DK62" s="1">
        <v>-4.4061662688334309</v>
      </c>
      <c r="DL62" s="1">
        <v>3.498522572236908</v>
      </c>
      <c r="DM62" s="1">
        <v>2.3789357815182655</v>
      </c>
      <c r="DN62" s="1">
        <v>2.3660481013644272</v>
      </c>
      <c r="DO62" s="1">
        <v>3.0798300611153167</v>
      </c>
      <c r="DQ62" s="1">
        <v>1854</v>
      </c>
      <c r="DR62" s="1">
        <v>406.58046167000572</v>
      </c>
      <c r="DS62" s="1">
        <v>673.98896798662111</v>
      </c>
      <c r="DT62" s="1">
        <v>72.856661925575693</v>
      </c>
      <c r="DU62" s="1">
        <v>116.16613306741998</v>
      </c>
      <c r="DV62" s="1">
        <v>111.21146346269663</v>
      </c>
      <c r="DW62" s="1">
        <v>1380.8036881123192</v>
      </c>
      <c r="DX62" s="1">
        <v>1326.4328838840272</v>
      </c>
      <c r="DY62" s="1">
        <v>145.60606743569463</v>
      </c>
      <c r="EA62" s="1">
        <v>1854</v>
      </c>
      <c r="EB62" s="1">
        <v>2.2666370288808793</v>
      </c>
      <c r="EC62" s="1">
        <v>1.9548245031341622</v>
      </c>
      <c r="ED62" s="1">
        <v>2.454736369811215</v>
      </c>
      <c r="EE62" s="1">
        <v>4.4914066398804806</v>
      </c>
      <c r="EF62" s="1">
        <v>-4.4061662688334309</v>
      </c>
      <c r="EG62" s="1">
        <v>3.498522572236908</v>
      </c>
      <c r="EH62" s="1">
        <v>1.8950091285270503</v>
      </c>
      <c r="EI62" s="1">
        <v>1.8865991029717293</v>
      </c>
      <c r="EJ62" s="1">
        <v>2.3781180319851813</v>
      </c>
      <c r="EL62" s="1">
        <v>1854</v>
      </c>
      <c r="EM62" s="1">
        <v>1126990.4511853668</v>
      </c>
      <c r="EN62" s="1">
        <v>140235.8223029768</v>
      </c>
      <c r="EO62" s="1">
        <v>14837.117705492097</v>
      </c>
      <c r="EP62" s="1">
        <v>9869.0726211083547</v>
      </c>
      <c r="EQ62" s="1">
        <v>16969.96530264325</v>
      </c>
      <c r="ER62" s="1">
        <v>131772.28861990877</v>
      </c>
      <c r="ES62" s="1">
        <v>56524.504959900274</v>
      </c>
      <c r="ET62" s="1">
        <v>898.7941191188562</v>
      </c>
      <c r="EU62" s="1">
        <v>1498098.0168165152</v>
      </c>
      <c r="EV62" s="1">
        <v>1441573.5118566151</v>
      </c>
      <c r="EX62" s="1">
        <v>1854</v>
      </c>
      <c r="EY62" s="1">
        <v>847181.2484654428</v>
      </c>
      <c r="EZ62" s="1">
        <v>97742.55372736085</v>
      </c>
      <c r="FA62" s="1">
        <v>11225.273682341714</v>
      </c>
      <c r="FB62" s="1">
        <v>9869.0726211083547</v>
      </c>
      <c r="FC62" s="1">
        <v>7385.6896327871782</v>
      </c>
      <c r="FD62" s="1">
        <v>128274.78124949122</v>
      </c>
      <c r="FE62" s="1">
        <v>56524.504959900274</v>
      </c>
      <c r="FF62" s="1">
        <v>620.59514125028863</v>
      </c>
      <c r="FG62" s="1">
        <v>1158823.7194796824</v>
      </c>
      <c r="FH62" s="1">
        <v>1102299.2145197822</v>
      </c>
      <c r="FJ62" s="1">
        <v>1854</v>
      </c>
      <c r="FK62" s="1">
        <v>279809.20271992404</v>
      </c>
      <c r="FL62" s="1">
        <v>42493.268575615955</v>
      </c>
      <c r="FM62" s="1">
        <v>3611.8440231503819</v>
      </c>
      <c r="FN62" s="1">
        <v>0</v>
      </c>
      <c r="FO62" s="1">
        <v>9584.2756698560734</v>
      </c>
      <c r="FP62" s="1">
        <v>3497.5073704175538</v>
      </c>
      <c r="FQ62" s="1">
        <v>278.19897786856751</v>
      </c>
      <c r="FR62" s="1">
        <v>339274.29733683256</v>
      </c>
      <c r="FS62" s="1">
        <v>554124.83964719949</v>
      </c>
      <c r="HC62" s="1">
        <v>1854</v>
      </c>
      <c r="HD62" s="1">
        <v>154.55393895262162</v>
      </c>
      <c r="HE62" s="1">
        <v>30.736739242257862</v>
      </c>
      <c r="HF62" s="1">
        <v>4.7542789730301038</v>
      </c>
      <c r="HG62" s="1">
        <v>6.3455231649053463</v>
      </c>
      <c r="HH62" s="1">
        <v>45.625701010769212</v>
      </c>
      <c r="HI62" s="1">
        <v>29.013368301053834</v>
      </c>
      <c r="HJ62" s="1">
        <v>0.52718943966473664</v>
      </c>
      <c r="HK62" s="2">
        <v>271.55673908430271</v>
      </c>
      <c r="HL62" s="1">
        <v>242.54337078324889</v>
      </c>
      <c r="HN62" s="1">
        <v>1854</v>
      </c>
      <c r="HO62" s="1">
        <v>64.280569989341942</v>
      </c>
      <c r="HP62" s="1">
        <v>14.36416099361823</v>
      </c>
      <c r="HQ62" s="1">
        <v>1.7138214822305577</v>
      </c>
      <c r="HR62" s="1">
        <v>0</v>
      </c>
      <c r="HS62" s="1">
        <v>10.255656327656201</v>
      </c>
      <c r="HT62" s="1">
        <v>0.27363585745620989</v>
      </c>
      <c r="HU62" s="2">
        <v>90.887844650303137</v>
      </c>
      <c r="HW62" s="1">
        <v>1854</v>
      </c>
      <c r="HX62" s="1">
        <v>52.331796154755637</v>
      </c>
      <c r="HY62" s="1">
        <v>25.836093872159452</v>
      </c>
      <c r="HZ62" s="1">
        <v>37.655017109423135</v>
      </c>
      <c r="IA62" s="1">
        <v>8.8929206917066494</v>
      </c>
      <c r="IB62" s="1">
        <v>34.758574683922362</v>
      </c>
      <c r="IC62" s="1">
        <v>0.91479775225542403</v>
      </c>
      <c r="ID62" s="1">
        <v>29.660268186628251</v>
      </c>
      <c r="IE62" s="2">
        <v>190.04946845085092</v>
      </c>
      <c r="IF62" s="1">
        <v>189.1346706985955</v>
      </c>
      <c r="IH62" s="1">
        <v>1854</v>
      </c>
      <c r="II62" s="1">
        <v>134.9273891479495</v>
      </c>
      <c r="IJ62" s="1">
        <v>57.066887469463033</v>
      </c>
      <c r="IK62" s="1">
        <v>26.927710626038763</v>
      </c>
      <c r="IL62" s="1">
        <v>138.43040060004631</v>
      </c>
      <c r="IM62" s="1">
        <v>53.092275656120158</v>
      </c>
      <c r="IN62" s="1">
        <v>25.052241303871796</v>
      </c>
      <c r="IO62" s="1">
        <v>-6.8296927024410081</v>
      </c>
    </row>
    <row r="63" spans="1:249" x14ac:dyDescent="0.25">
      <c r="A63" s="1" t="s">
        <v>154</v>
      </c>
      <c r="B63" s="1">
        <v>7.0193989316039449</v>
      </c>
      <c r="C63" s="1">
        <v>6.8707160328763734</v>
      </c>
      <c r="D63" s="1">
        <v>7.1865322915172953</v>
      </c>
      <c r="E63" s="1">
        <v>6.8525261786847693</v>
      </c>
      <c r="F63" s="1">
        <v>7.0751275035605659</v>
      </c>
      <c r="G63" s="1">
        <v>6.7588972079443579</v>
      </c>
      <c r="H63" s="1">
        <v>6.8372262107077972</v>
      </c>
      <c r="J63" s="1">
        <v>1855</v>
      </c>
      <c r="K63" s="2">
        <v>655.39756192788377</v>
      </c>
      <c r="L63" s="1">
        <v>623.78447040158699</v>
      </c>
      <c r="M63" s="1">
        <v>624.88852533963927</v>
      </c>
      <c r="N63" s="1">
        <v>593.27543381334249</v>
      </c>
      <c r="O63" s="1">
        <v>30.509036588244484</v>
      </c>
      <c r="P63" s="1">
        <v>31.61309152629682</v>
      </c>
      <c r="Q63" s="1">
        <v>391.9988042903426</v>
      </c>
      <c r="R63" s="1">
        <v>1047.3963662182264</v>
      </c>
      <c r="S63" s="1">
        <v>1015.7832746919296</v>
      </c>
      <c r="U63" s="1">
        <v>1855</v>
      </c>
      <c r="V63" s="1">
        <v>180.82276204009349</v>
      </c>
      <c r="W63" s="1">
        <v>11570.849356877292</v>
      </c>
      <c r="X63" s="1">
        <v>5.6136987295295029</v>
      </c>
      <c r="Y63" s="1">
        <v>172.10077883711014</v>
      </c>
      <c r="Z63" s="1">
        <v>10516.857055305452</v>
      </c>
      <c r="AA63" s="1">
        <v>5.8714060614769181</v>
      </c>
      <c r="AB63" s="1">
        <v>3624530.2003658349</v>
      </c>
      <c r="AC63" s="1">
        <v>1.0843275940440691</v>
      </c>
      <c r="AE63" s="1">
        <v>1855</v>
      </c>
      <c r="AF63" s="1">
        <v>271.17284010814882</v>
      </c>
      <c r="AG63" s="1">
        <v>87.627310993196446</v>
      </c>
      <c r="AH63" s="1">
        <v>57.62371585506925</v>
      </c>
      <c r="AI63" s="1">
        <v>29.395021510943785</v>
      </c>
      <c r="AJ63" s="1">
        <v>51.934599235142301</v>
      </c>
      <c r="AK63" s="1">
        <v>57.336373942429503</v>
      </c>
      <c r="AL63" s="1">
        <v>32.189046263647683</v>
      </c>
      <c r="AM63" s="1">
        <v>36.505562493009236</v>
      </c>
      <c r="AN63" s="2">
        <v>623.78447040158699</v>
      </c>
      <c r="AP63" s="1" t="s">
        <v>154</v>
      </c>
      <c r="AQ63" s="1">
        <v>7.703064925383913</v>
      </c>
      <c r="AR63" s="1">
        <v>12.586040463197662</v>
      </c>
      <c r="AS63" s="1">
        <v>6.5574238950877515</v>
      </c>
      <c r="AT63" s="1">
        <v>10.751894870784113</v>
      </c>
      <c r="AU63" s="1">
        <v>10.827032532580503</v>
      </c>
      <c r="AV63" s="1">
        <v>3.081515424633551</v>
      </c>
      <c r="AW63" s="1">
        <v>-8.351182967623231</v>
      </c>
      <c r="AX63" s="1">
        <v>2.8030324740009576</v>
      </c>
      <c r="AY63" s="1">
        <v>7.0193989316039449</v>
      </c>
      <c r="BA63" s="1">
        <v>1855</v>
      </c>
      <c r="BB63" s="1">
        <v>543.1236776765935</v>
      </c>
      <c r="BC63" s="1">
        <v>41.825860428463692</v>
      </c>
      <c r="BD63" s="1">
        <v>49.23925169575628</v>
      </c>
      <c r="BE63" s="1">
        <v>12.99288313727563</v>
      </c>
      <c r="BF63" s="1">
        <v>3.0638972410000034</v>
      </c>
      <c r="BG63" s="1">
        <v>6.4215886172361083</v>
      </c>
      <c r="BH63" s="1">
        <v>104.60085988521787</v>
      </c>
      <c r="BI63" s="1">
        <v>105.87045675365934</v>
      </c>
      <c r="BJ63" s="1">
        <v>655.39756192788366</v>
      </c>
      <c r="BL63" s="1" t="s">
        <v>154</v>
      </c>
      <c r="BM63" s="1">
        <v>11.177627482365821</v>
      </c>
      <c r="BN63" s="1">
        <v>-8.2448105560015392</v>
      </c>
      <c r="BO63" s="1">
        <v>22.480900451076053</v>
      </c>
      <c r="BP63" s="1">
        <v>5.6110782065879334</v>
      </c>
      <c r="BQ63" s="1">
        <v>36.593319718031466</v>
      </c>
      <c r="BR63" s="1">
        <v>6.7588972079443579</v>
      </c>
      <c r="BT63" s="1" t="s">
        <v>154</v>
      </c>
      <c r="BU63" s="1">
        <v>2.7252998730992886</v>
      </c>
      <c r="BV63" s="1">
        <v>13.682335905914371</v>
      </c>
      <c r="BW63" s="1">
        <v>18.220861237449611</v>
      </c>
      <c r="BX63" s="1">
        <v>12.975215079661993</v>
      </c>
      <c r="BY63" s="1">
        <v>7.0022503566664369</v>
      </c>
      <c r="BZ63" s="1">
        <v>5.7692834628972207</v>
      </c>
      <c r="CB63" s="1">
        <v>1855</v>
      </c>
      <c r="CC63" s="1">
        <v>30.30140759728571</v>
      </c>
      <c r="CD63" s="1">
        <v>8.3411428210194032</v>
      </c>
      <c r="CE63" s="1">
        <v>0.12872241765029957</v>
      </c>
      <c r="CF63" s="1">
        <v>8.7032594767031313</v>
      </c>
      <c r="CG63" s="1">
        <v>2.9255857509105092</v>
      </c>
      <c r="CH63" s="1">
        <v>1.7089470869304701</v>
      </c>
      <c r="CI63" s="1">
        <v>19.608555540768499</v>
      </c>
      <c r="CJ63" s="1">
        <v>71.717620691268024</v>
      </c>
      <c r="CL63" s="1">
        <v>1855</v>
      </c>
      <c r="CM63" s="1">
        <v>13.096528027502897</v>
      </c>
      <c r="CN63" s="1">
        <v>2.3477611694539169</v>
      </c>
      <c r="CO63" s="1">
        <v>7.6896616555025346E-2</v>
      </c>
      <c r="CP63" s="1">
        <v>5.5785547854177171</v>
      </c>
      <c r="CQ63" s="1">
        <v>0.46178079886778373</v>
      </c>
      <c r="CR63" s="1">
        <v>1.1194302794396818</v>
      </c>
      <c r="CS63" s="1">
        <v>7.8280849110074566</v>
      </c>
      <c r="CT63" s="2">
        <v>30.509036588244484</v>
      </c>
      <c r="CV63" s="1">
        <v>1855</v>
      </c>
      <c r="CW63" s="1">
        <v>248.23792946102824</v>
      </c>
      <c r="CX63" s="1">
        <v>391.01362587153687</v>
      </c>
      <c r="CY63" s="1">
        <v>46.006323713459707</v>
      </c>
      <c r="CZ63" s="1">
        <v>142.7755629810795</v>
      </c>
      <c r="DA63" s="1">
        <v>126.58482780064746</v>
      </c>
      <c r="DB63" s="1">
        <v>954.61826982775165</v>
      </c>
      <c r="DC63" s="1">
        <v>920.20912418991736</v>
      </c>
      <c r="DD63" s="1">
        <v>117.2855123169815</v>
      </c>
      <c r="DF63" s="1">
        <v>1855</v>
      </c>
      <c r="DG63" s="1">
        <v>3.9579851432761188</v>
      </c>
      <c r="DH63" s="1">
        <v>4.7456368393576014</v>
      </c>
      <c r="DI63" s="1">
        <v>3.4579385637331796</v>
      </c>
      <c r="DJ63" s="1">
        <v>13.941395811335425</v>
      </c>
      <c r="DK63" s="1">
        <v>1.9517882851391732</v>
      </c>
      <c r="DL63" s="1">
        <v>5.0729528402480923</v>
      </c>
      <c r="DM63" s="1">
        <v>4.2742116665120307</v>
      </c>
      <c r="DN63" s="1">
        <v>4.3700180348480018</v>
      </c>
      <c r="DO63" s="1">
        <v>2.617562200931431</v>
      </c>
      <c r="DQ63" s="1">
        <v>1855</v>
      </c>
      <c r="DR63" s="1">
        <v>501.79753219330536</v>
      </c>
      <c r="DS63" s="1">
        <v>835.90911932542053</v>
      </c>
      <c r="DT63" s="1">
        <v>86.188015816457352</v>
      </c>
      <c r="DU63" s="1">
        <v>142.7755629810795</v>
      </c>
      <c r="DV63" s="1">
        <v>126.58482780064746</v>
      </c>
      <c r="DW63" s="1">
        <v>1693.2550581169103</v>
      </c>
      <c r="DX63" s="1">
        <v>1626.1792196030444</v>
      </c>
      <c r="DY63" s="1">
        <v>171.49092733953358</v>
      </c>
      <c r="EA63" s="1">
        <v>1855</v>
      </c>
      <c r="EB63" s="1">
        <v>2.4967136576111528</v>
      </c>
      <c r="EC63" s="1">
        <v>2.9759127339588503</v>
      </c>
      <c r="ED63" s="1">
        <v>2.2090497137907477</v>
      </c>
      <c r="EE63" s="1">
        <v>10.121901570832634</v>
      </c>
      <c r="EF63" s="1">
        <v>1.9517882851391732</v>
      </c>
      <c r="EG63" s="1">
        <v>5.0729528402480923</v>
      </c>
      <c r="EH63" s="1">
        <v>3.023166286044642</v>
      </c>
      <c r="EI63" s="1">
        <v>3.0823140192105569</v>
      </c>
      <c r="EJ63" s="1">
        <v>2.0983200803682109</v>
      </c>
      <c r="EL63" s="1">
        <v>1855</v>
      </c>
      <c r="EM63" s="1">
        <v>1150861.5859870771</v>
      </c>
      <c r="EN63" s="1">
        <v>146014.10459675384</v>
      </c>
      <c r="EO63" s="1">
        <v>15012.38086007046</v>
      </c>
      <c r="EP63" s="1">
        <v>10454.284057689389</v>
      </c>
      <c r="EQ63" s="1">
        <v>17518.053734010318</v>
      </c>
      <c r="ER63" s="1">
        <v>135458.64134248791</v>
      </c>
      <c r="ES63" s="1">
        <v>50213.17206805043</v>
      </c>
      <c r="ET63" s="1">
        <v>912.68310969098127</v>
      </c>
      <c r="EU63" s="1">
        <v>1526444.9057558298</v>
      </c>
      <c r="EV63" s="1">
        <v>1476231.7336877799</v>
      </c>
      <c r="EX63" s="1">
        <v>1855</v>
      </c>
      <c r="EY63" s="1">
        <v>870105.97332639573</v>
      </c>
      <c r="EZ63" s="1">
        <v>103020.41597384698</v>
      </c>
      <c r="FA63" s="1">
        <v>11303.808425268749</v>
      </c>
      <c r="FB63" s="1">
        <v>10454.284057689389</v>
      </c>
      <c r="FC63" s="1">
        <v>7611.7258899152848</v>
      </c>
      <c r="FD63" s="1">
        <v>131899.43827757848</v>
      </c>
      <c r="FE63" s="1">
        <v>50213.17206805043</v>
      </c>
      <c r="FF63" s="1">
        <v>630.18514621647819</v>
      </c>
      <c r="FG63" s="1">
        <v>1185239.0031649615</v>
      </c>
      <c r="FH63" s="1">
        <v>1135025.8310969111</v>
      </c>
      <c r="FJ63" s="1">
        <v>1855</v>
      </c>
      <c r="FK63" s="1">
        <v>280755.61266068148</v>
      </c>
      <c r="FL63" s="1">
        <v>42993.688622906855</v>
      </c>
      <c r="FM63" s="1">
        <v>3708.5724348017102</v>
      </c>
      <c r="FN63" s="1">
        <v>0</v>
      </c>
      <c r="FO63" s="1">
        <v>9906.3278440950362</v>
      </c>
      <c r="FP63" s="1">
        <v>3559.2030649094322</v>
      </c>
      <c r="FQ63" s="1">
        <v>282.49796347450302</v>
      </c>
      <c r="FR63" s="1">
        <v>341205.90259086899</v>
      </c>
      <c r="FS63" s="1">
        <v>558652.58107916894</v>
      </c>
      <c r="HC63" s="1">
        <v>1855</v>
      </c>
      <c r="HD63" s="1">
        <v>192.75106186086518</v>
      </c>
      <c r="HE63" s="1">
        <v>39.338545282102871</v>
      </c>
      <c r="HF63" s="1">
        <v>5.8134427208490349</v>
      </c>
      <c r="HG63" s="1">
        <v>8.1621819389421528</v>
      </c>
      <c r="HH63" s="1">
        <v>53.788814016847667</v>
      </c>
      <c r="HI63" s="1">
        <v>31.069615984208017</v>
      </c>
      <c r="HJ63" s="1">
        <v>0.59734172093163018</v>
      </c>
      <c r="HK63" s="2">
        <v>331.52100352474656</v>
      </c>
      <c r="HL63" s="1">
        <v>300.45138754053852</v>
      </c>
      <c r="HN63" s="1">
        <v>1855</v>
      </c>
      <c r="HO63" s="1">
        <v>78.318986340845328</v>
      </c>
      <c r="HP63" s="1">
        <v>17.647602715221968</v>
      </c>
      <c r="HQ63" s="1">
        <v>2.1368018293101891</v>
      </c>
      <c r="HR63" s="1">
        <v>0</v>
      </c>
      <c r="HS63" s="1">
        <v>13.040579322795544</v>
      </c>
      <c r="HT63" s="1">
        <v>0.31004815670329533</v>
      </c>
      <c r="HU63" s="2">
        <v>111.4540183648763</v>
      </c>
      <c r="HW63" s="1">
        <v>1855</v>
      </c>
      <c r="HX63" s="1">
        <v>15.333791906438307</v>
      </c>
      <c r="HY63" s="1">
        <v>30.641162995871603</v>
      </c>
      <c r="HZ63" s="1">
        <v>49.673471304910024</v>
      </c>
      <c r="IA63" s="1">
        <v>6.0018395720016322</v>
      </c>
      <c r="IB63" s="1">
        <v>42.441579837928565</v>
      </c>
      <c r="IC63" s="1">
        <v>1.1194302794396673</v>
      </c>
      <c r="ID63" s="1">
        <v>35.59817261537431</v>
      </c>
      <c r="IE63" s="2">
        <v>180.80944851196409</v>
      </c>
      <c r="IF63" s="1">
        <v>179.69001823252444</v>
      </c>
      <c r="IH63" s="1">
        <v>1855</v>
      </c>
      <c r="II63" s="1">
        <v>127.05633145533535</v>
      </c>
      <c r="IJ63" s="1">
        <v>53.555052787461989</v>
      </c>
      <c r="IK63" s="1">
        <v>27.449853340873094</v>
      </c>
      <c r="IL63" s="1">
        <v>130.37214944598253</v>
      </c>
      <c r="IM63" s="1">
        <v>49.649612793175443</v>
      </c>
      <c r="IN63" s="1">
        <v>25.448104682344198</v>
      </c>
      <c r="IO63" s="1">
        <v>18.207074185791683</v>
      </c>
    </row>
    <row r="64" spans="1:249" x14ac:dyDescent="0.25">
      <c r="A64" s="1" t="s">
        <v>155</v>
      </c>
      <c r="B64" s="1">
        <v>-1.0581467143725831</v>
      </c>
      <c r="C64" s="1">
        <v>-1.1594328192107639</v>
      </c>
      <c r="D64" s="1">
        <v>-0.81693596645099831</v>
      </c>
      <c r="E64" s="1">
        <v>-1.2987708437471213</v>
      </c>
      <c r="F64" s="1">
        <v>-0.90293447441813157</v>
      </c>
      <c r="G64" s="1">
        <v>0.43233276284939848</v>
      </c>
      <c r="H64" s="1">
        <v>0.15878806144520752</v>
      </c>
      <c r="J64" s="1">
        <v>1856</v>
      </c>
      <c r="K64" s="2">
        <v>742.28873154190887</v>
      </c>
      <c r="L64" s="1">
        <v>706.29641494877774</v>
      </c>
      <c r="M64" s="1">
        <v>707.52566868074246</v>
      </c>
      <c r="N64" s="1">
        <v>671.53335208761132</v>
      </c>
      <c r="O64" s="1">
        <v>34.763062861166404</v>
      </c>
      <c r="P64" s="1">
        <v>35.992316593131086</v>
      </c>
      <c r="Q64" s="1">
        <v>451.17927214936935</v>
      </c>
      <c r="R64" s="1">
        <v>1193.4680036912782</v>
      </c>
      <c r="S64" s="1">
        <v>1157.4756870981471</v>
      </c>
      <c r="U64" s="1">
        <v>1856</v>
      </c>
      <c r="V64" s="1">
        <v>202.97947153853121</v>
      </c>
      <c r="W64" s="1">
        <v>11517.806079565313</v>
      </c>
      <c r="X64" s="1">
        <v>-0.45842163937993519</v>
      </c>
      <c r="Y64" s="1">
        <v>193.13734260529847</v>
      </c>
      <c r="Z64" s="1">
        <v>10313.284171911024</v>
      </c>
      <c r="AA64" s="1">
        <v>-1.9356817566682736</v>
      </c>
      <c r="AB64" s="1">
        <v>3656964.5487573436</v>
      </c>
      <c r="AC64" s="1">
        <v>0.8948566186104614</v>
      </c>
      <c r="AE64" s="1">
        <v>1856</v>
      </c>
      <c r="AF64" s="1">
        <v>317.88717024605091</v>
      </c>
      <c r="AG64" s="1">
        <v>92.951506501809803</v>
      </c>
      <c r="AH64" s="1">
        <v>63.766058774135715</v>
      </c>
      <c r="AI64" s="1">
        <v>32.499736135075501</v>
      </c>
      <c r="AJ64" s="1">
        <v>61.241552510464466</v>
      </c>
      <c r="AK64" s="1">
        <v>63.327368423327918</v>
      </c>
      <c r="AL64" s="1">
        <v>32.749831157431707</v>
      </c>
      <c r="AM64" s="1">
        <v>41.873191200481784</v>
      </c>
      <c r="AN64" s="2">
        <v>706.29641494877785</v>
      </c>
      <c r="AP64" s="1" t="s">
        <v>155</v>
      </c>
      <c r="AQ64" s="1">
        <v>-5.6518401433517766</v>
      </c>
      <c r="AR64" s="1">
        <v>1.7482043401673337</v>
      </c>
      <c r="AS64" s="1">
        <v>2.012554643840204</v>
      </c>
      <c r="AT64" s="1">
        <v>-2.2939539277373342</v>
      </c>
      <c r="AU64" s="1">
        <v>10.449307105769407</v>
      </c>
      <c r="AV64" s="1">
        <v>2.4199055405382524</v>
      </c>
      <c r="AW64" s="1">
        <v>-1.4864683176274269</v>
      </c>
      <c r="AX64" s="1">
        <v>3.6868621840040277</v>
      </c>
      <c r="AY64" s="1">
        <v>-1.0581467143725831</v>
      </c>
      <c r="BA64" s="1">
        <v>1856</v>
      </c>
      <c r="BB64" s="1">
        <v>672.64349016269261</v>
      </c>
      <c r="BC64" s="1">
        <v>42.340630764854538</v>
      </c>
      <c r="BD64" s="1">
        <v>55.547971970361516</v>
      </c>
      <c r="BE64" s="1">
        <v>17.701273610891246</v>
      </c>
      <c r="BF64" s="1">
        <v>-0.46116051286744641</v>
      </c>
      <c r="BG64" s="1">
        <v>9.2547154765004276</v>
      </c>
      <c r="BH64" s="1">
        <v>97.365846474235425</v>
      </c>
      <c r="BI64" s="1">
        <v>152.10403640475948</v>
      </c>
      <c r="BJ64" s="1">
        <v>742.28873154190887</v>
      </c>
      <c r="BL64" s="1" t="s">
        <v>155</v>
      </c>
      <c r="BM64" s="1">
        <v>8.0413474744557334</v>
      </c>
      <c r="BN64" s="1">
        <v>-2.0393027310086467</v>
      </c>
      <c r="BO64" s="1">
        <v>7.1469700206652504</v>
      </c>
      <c r="BP64" s="1">
        <v>-5.9924012776431823</v>
      </c>
      <c r="BQ64" s="1">
        <v>38.952661152241546</v>
      </c>
      <c r="BR64" s="1">
        <v>0.43233276284939848</v>
      </c>
      <c r="BT64" s="1" t="s">
        <v>155</v>
      </c>
      <c r="BU64" s="1">
        <v>14.629451684220186</v>
      </c>
      <c r="BV64" s="1">
        <v>3.3381237346575432</v>
      </c>
      <c r="BW64" s="1">
        <v>6.7664271005989178</v>
      </c>
      <c r="BX64" s="1">
        <v>-0.9833042213199974</v>
      </c>
      <c r="BY64" s="1">
        <v>3.3948919740605987</v>
      </c>
      <c r="BZ64" s="1">
        <v>12.770237731818156</v>
      </c>
      <c r="CB64" s="1">
        <v>1856</v>
      </c>
      <c r="CC64" s="1">
        <v>27.389626817021469</v>
      </c>
      <c r="CD64" s="1">
        <v>11.839913245827802</v>
      </c>
      <c r="CE64" s="1">
        <v>0.12929127728915937</v>
      </c>
      <c r="CF64" s="1">
        <v>13.191379892938375</v>
      </c>
      <c r="CG64" s="1">
        <v>3.9883710564927788</v>
      </c>
      <c r="CH64" s="1">
        <v>1.7285232745442431</v>
      </c>
      <c r="CI64" s="1">
        <v>23.775694980771913</v>
      </c>
      <c r="CJ64" s="1">
        <v>82.04280054488575</v>
      </c>
      <c r="CL64" s="1">
        <v>1856</v>
      </c>
      <c r="CM64" s="1">
        <v>14.759995148177675</v>
      </c>
      <c r="CN64" s="1">
        <v>2.8215084272578759</v>
      </c>
      <c r="CO64" s="1">
        <v>8.6218613985777862E-2</v>
      </c>
      <c r="CP64" s="1">
        <v>6.511654404155796</v>
      </c>
      <c r="CQ64" s="1">
        <v>0.5056447180868533</v>
      </c>
      <c r="CR64" s="1">
        <v>1.2240058801765914</v>
      </c>
      <c r="CS64" s="1">
        <v>8.8540356693258335</v>
      </c>
      <c r="CT64" s="2">
        <v>34.763062861166404</v>
      </c>
      <c r="CV64" s="1">
        <v>1856</v>
      </c>
      <c r="CW64" s="1">
        <v>280.74450444585221</v>
      </c>
      <c r="CX64" s="1">
        <v>436.78015135992774</v>
      </c>
      <c r="CY64" s="1">
        <v>55.140995976258978</v>
      </c>
      <c r="CZ64" s="1">
        <v>161.73582188153969</v>
      </c>
      <c r="DA64" s="1">
        <v>139.03118006652028</v>
      </c>
      <c r="DB64" s="1">
        <v>1073.432653730099</v>
      </c>
      <c r="DC64" s="1">
        <v>1035.6635477919692</v>
      </c>
      <c r="DD64" s="1">
        <v>126.98054630347315</v>
      </c>
      <c r="DF64" s="1">
        <v>1856</v>
      </c>
      <c r="DG64" s="1">
        <v>4.0147708242089379</v>
      </c>
      <c r="DH64" s="1">
        <v>5.3150316658554715</v>
      </c>
      <c r="DI64" s="1">
        <v>3.1790160755056149</v>
      </c>
      <c r="DJ64" s="1">
        <v>17.575534746235505</v>
      </c>
      <c r="DK64" s="1">
        <v>-3.745793064432192</v>
      </c>
      <c r="DL64" s="1">
        <v>6.6565755049136754</v>
      </c>
      <c r="DM64" s="1">
        <v>3.9617281495564924</v>
      </c>
      <c r="DN64" s="1">
        <v>4.0596880029205096</v>
      </c>
      <c r="DO64" s="1">
        <v>7.0807328569666197</v>
      </c>
      <c r="DQ64" s="1">
        <v>1856</v>
      </c>
      <c r="DR64" s="1">
        <v>557.91925897846409</v>
      </c>
      <c r="DS64" s="1">
        <v>922.47710386000722</v>
      </c>
      <c r="DT64" s="1">
        <v>99.870990173600276</v>
      </c>
      <c r="DU64" s="1">
        <v>161.73582188153969</v>
      </c>
      <c r="DV64" s="1">
        <v>139.03118006652028</v>
      </c>
      <c r="DW64" s="1">
        <v>1881.0343549601316</v>
      </c>
      <c r="DX64" s="1">
        <v>1807.4986093176733</v>
      </c>
      <c r="DY64" s="1">
        <v>185.93426843319824</v>
      </c>
      <c r="EA64" s="1">
        <v>1856</v>
      </c>
      <c r="EB64" s="1">
        <v>2.5894594307667091</v>
      </c>
      <c r="EC64" s="1">
        <v>3.3485518456871404</v>
      </c>
      <c r="ED64" s="1">
        <v>2.1303561361088299</v>
      </c>
      <c r="EE64" s="1">
        <v>12.876417851385938</v>
      </c>
      <c r="EF64" s="1">
        <v>-3.745793064432192</v>
      </c>
      <c r="EG64" s="1">
        <v>6.6565755049136754</v>
      </c>
      <c r="EH64" s="1">
        <v>2.9201359103634417</v>
      </c>
      <c r="EI64" s="1">
        <v>2.9829711265996366</v>
      </c>
      <c r="EJ64" s="1">
        <v>5.2429438166297473</v>
      </c>
      <c r="EL64" s="1">
        <v>1856</v>
      </c>
      <c r="EM64" s="1">
        <v>1143045.2099238711</v>
      </c>
      <c r="EN64" s="1">
        <v>152931.40840602134</v>
      </c>
      <c r="EO64" s="1">
        <v>15786.567576622107</v>
      </c>
      <c r="EP64" s="1">
        <v>11072.601434719885</v>
      </c>
      <c r="EQ64" s="1">
        <v>18613.688178271772</v>
      </c>
      <c r="ER64" s="1">
        <v>137338.7346198287</v>
      </c>
      <c r="ES64" s="1">
        <v>49276.447094816976</v>
      </c>
      <c r="ET64" s="1">
        <v>937.71418546241125</v>
      </c>
      <c r="EU64" s="1">
        <v>1529002.3714196137</v>
      </c>
      <c r="EV64" s="1">
        <v>1479725.9243247972</v>
      </c>
      <c r="EX64" s="1">
        <v>1856</v>
      </c>
      <c r="EY64" s="1">
        <v>858004.33849185298</v>
      </c>
      <c r="EZ64" s="1">
        <v>108703.45543909501</v>
      </c>
      <c r="FA64" s="1">
        <v>11949.21091625489</v>
      </c>
      <c r="FB64" s="1">
        <v>11072.601434719885</v>
      </c>
      <c r="FC64" s="1">
        <v>8250.5717191281328</v>
      </c>
      <c r="FD64" s="1">
        <v>133669.27043510746</v>
      </c>
      <c r="FE64" s="1">
        <v>49276.447094816976</v>
      </c>
      <c r="FF64" s="1">
        <v>647.46848583072313</v>
      </c>
      <c r="FG64" s="1">
        <v>1181573.3640168062</v>
      </c>
      <c r="FH64" s="1">
        <v>1132296.9169219893</v>
      </c>
      <c r="FJ64" s="1">
        <v>1856</v>
      </c>
      <c r="FK64" s="1">
        <v>285040.87143201812</v>
      </c>
      <c r="FL64" s="1">
        <v>44227.952966926336</v>
      </c>
      <c r="FM64" s="1">
        <v>3837.356660367217</v>
      </c>
      <c r="FN64" s="1">
        <v>0</v>
      </c>
      <c r="FO64" s="1">
        <v>10363.116459143639</v>
      </c>
      <c r="FP64" s="1">
        <v>3669.464184721242</v>
      </c>
      <c r="FQ64" s="1">
        <v>290.24569963168813</v>
      </c>
      <c r="FR64" s="1">
        <v>347429.00740280823</v>
      </c>
      <c r="FS64" s="1">
        <v>567640.21723546262</v>
      </c>
      <c r="HC64" s="1">
        <v>1856</v>
      </c>
      <c r="HD64" s="1">
        <v>204.97770503207491</v>
      </c>
      <c r="HE64" s="1">
        <v>44.764203327837137</v>
      </c>
      <c r="HF64" s="1">
        <v>6.6273567546679599</v>
      </c>
      <c r="HG64" s="1">
        <v>9.3229671883363032</v>
      </c>
      <c r="HH64" s="1">
        <v>60.370218948221662</v>
      </c>
      <c r="HI64" s="1">
        <v>31.525825277255091</v>
      </c>
      <c r="HJ64" s="1">
        <v>0.68310731764367949</v>
      </c>
      <c r="HK64" s="2">
        <v>358.27138384603677</v>
      </c>
      <c r="HL64" s="1">
        <v>326.74555856878169</v>
      </c>
      <c r="HN64" s="1">
        <v>1856</v>
      </c>
      <c r="HO64" s="1">
        <v>85.750815958150497</v>
      </c>
      <c r="HP64" s="1">
        <v>19.578091955543552</v>
      </c>
      <c r="HQ64" s="1">
        <v>2.3844167309596065</v>
      </c>
      <c r="HR64" s="1">
        <v>0</v>
      </c>
      <c r="HS64" s="1">
        <v>14.346200753474996</v>
      </c>
      <c r="HT64" s="1">
        <v>0.35456449339522494</v>
      </c>
      <c r="HU64" s="2">
        <v>122.41408989152387</v>
      </c>
      <c r="HW64" s="1">
        <v>1856</v>
      </c>
      <c r="HX64" s="1">
        <v>44.367649255825484</v>
      </c>
      <c r="HY64" s="1">
        <v>28.60921121842911</v>
      </c>
      <c r="HZ64" s="1">
        <v>54.75428528850815</v>
      </c>
      <c r="IA64" s="1">
        <v>5.9677689467391986</v>
      </c>
      <c r="IB64" s="1">
        <v>49.85250123209574</v>
      </c>
      <c r="IC64" s="1">
        <v>1.2240058801766165</v>
      </c>
      <c r="ID64" s="1">
        <v>40.835519389442879</v>
      </c>
      <c r="IE64" s="2">
        <v>225.61094121121715</v>
      </c>
      <c r="IF64" s="1">
        <v>224.38693533104055</v>
      </c>
      <c r="IH64" s="1">
        <v>1856</v>
      </c>
      <c r="II64" s="1">
        <v>129.67975621267865</v>
      </c>
      <c r="IJ64" s="1">
        <v>44.235039790506917</v>
      </c>
      <c r="IK64" s="1">
        <v>23.649581405059479</v>
      </c>
      <c r="IL64" s="1">
        <v>133.5273259280743</v>
      </c>
      <c r="IM64" s="1">
        <v>40.078928918521306</v>
      </c>
      <c r="IN64" s="1">
        <v>21.427580862933365</v>
      </c>
      <c r="IO64" s="1">
        <v>-5.9202188701146952</v>
      </c>
    </row>
    <row r="65" spans="1:249" x14ac:dyDescent="0.25">
      <c r="A65" s="1" t="s">
        <v>156</v>
      </c>
      <c r="B65" s="1">
        <v>2.83754565440492</v>
      </c>
      <c r="C65" s="1">
        <v>2.6535647454083886</v>
      </c>
      <c r="D65" s="1">
        <v>2.880752751017738</v>
      </c>
      <c r="E65" s="1">
        <v>2.7943567035885906</v>
      </c>
      <c r="F65" s="1">
        <v>2.9359094796997454</v>
      </c>
      <c r="G65" s="1">
        <v>3.6454803901781077</v>
      </c>
      <c r="H65" s="1">
        <v>3.5998152909975971</v>
      </c>
      <c r="J65" s="1">
        <v>1857</v>
      </c>
      <c r="K65" s="2">
        <v>780.28923230850262</v>
      </c>
      <c r="L65" s="1">
        <v>742.41842216527209</v>
      </c>
      <c r="M65" s="1">
        <v>740.55144306163345</v>
      </c>
      <c r="N65" s="1">
        <v>702.68063291840292</v>
      </c>
      <c r="O65" s="1">
        <v>39.73778924686917</v>
      </c>
      <c r="P65" s="1">
        <v>37.870810143230536</v>
      </c>
      <c r="Q65" s="1">
        <v>477.95029175162176</v>
      </c>
      <c r="R65" s="1">
        <v>1258.2395240601245</v>
      </c>
      <c r="S65" s="1">
        <v>1220.3687139168937</v>
      </c>
      <c r="U65" s="1">
        <v>1857</v>
      </c>
      <c r="V65" s="1">
        <v>212.01856809015814</v>
      </c>
      <c r="W65" s="1">
        <v>11862.033999507497</v>
      </c>
      <c r="X65" s="1">
        <v>2.9886587564007243</v>
      </c>
      <c r="Y65" s="1">
        <v>201.7283902861827</v>
      </c>
      <c r="Z65" s="1">
        <v>10538.716481446061</v>
      </c>
      <c r="AA65" s="1">
        <v>2.18584406070201</v>
      </c>
      <c r="AB65" s="1">
        <v>3680287.2471843823</v>
      </c>
      <c r="AC65" s="1">
        <v>0.63776112992302103</v>
      </c>
      <c r="AE65" s="1">
        <v>1857</v>
      </c>
      <c r="AF65" s="1">
        <v>333.39950940973773</v>
      </c>
      <c r="AG65" s="1">
        <v>96.757460802609657</v>
      </c>
      <c r="AH65" s="1">
        <v>65.075707738357863</v>
      </c>
      <c r="AI65" s="1">
        <v>36.182755032779362</v>
      </c>
      <c r="AJ65" s="1">
        <v>64.577071935038148</v>
      </c>
      <c r="AK65" s="1">
        <v>62.625729330461581</v>
      </c>
      <c r="AL65" s="1">
        <v>33.718421392007528</v>
      </c>
      <c r="AM65" s="1">
        <v>50.081766524280212</v>
      </c>
      <c r="AN65" s="2">
        <v>742.41842216527198</v>
      </c>
      <c r="AP65" s="1" t="s">
        <v>156</v>
      </c>
      <c r="AQ65" s="1">
        <v>4.9009956207359835</v>
      </c>
      <c r="AR65" s="1">
        <v>1.1349493995913633</v>
      </c>
      <c r="AS65" s="1">
        <v>-6.3569181293902091</v>
      </c>
      <c r="AT65" s="1">
        <v>5.1353534252851318</v>
      </c>
      <c r="AU65" s="1">
        <v>3.8866102031264802</v>
      </c>
      <c r="AV65" s="1">
        <v>1.3411484706166448</v>
      </c>
      <c r="AW65" s="1">
        <v>2.4307800413244252</v>
      </c>
      <c r="AX65" s="1">
        <v>4.6714680042673393</v>
      </c>
      <c r="AY65" s="1">
        <v>2.83754565440492</v>
      </c>
      <c r="BA65" s="1">
        <v>1857</v>
      </c>
      <c r="BB65" s="1">
        <v>691.82910091189456</v>
      </c>
      <c r="BC65" s="1">
        <v>43.022065451409517</v>
      </c>
      <c r="BD65" s="1">
        <v>56.994122100418181</v>
      </c>
      <c r="BE65" s="1">
        <v>15.643964510847189</v>
      </c>
      <c r="BF65" s="1">
        <v>2.3126512858925294</v>
      </c>
      <c r="BG65" s="1">
        <v>5.7910635384279248</v>
      </c>
      <c r="BH65" s="1">
        <v>96.010613693887038</v>
      </c>
      <c r="BI65" s="1">
        <v>131.31434918427433</v>
      </c>
      <c r="BJ65" s="1">
        <v>780.28923230850273</v>
      </c>
      <c r="BL65" s="1" t="s">
        <v>156</v>
      </c>
      <c r="BM65" s="1">
        <v>-0.25959278205924363</v>
      </c>
      <c r="BN65" s="1">
        <v>0.66414433124033678</v>
      </c>
      <c r="BO65" s="1">
        <v>-8.688939714988237</v>
      </c>
      <c r="BP65" s="1">
        <v>0.32301683458106822</v>
      </c>
      <c r="BQ65" s="1">
        <v>-22.319700795737546</v>
      </c>
      <c r="BR65" s="1">
        <v>3.6454803901781645</v>
      </c>
      <c r="BT65" s="1" t="s">
        <v>156</v>
      </c>
      <c r="BU65" s="1">
        <v>3.1199623168588886</v>
      </c>
      <c r="BV65" s="1">
        <v>0.93902995979703974</v>
      </c>
      <c r="BW65" s="1">
        <v>7.7791048656117709</v>
      </c>
      <c r="BX65" s="1">
        <v>-1.709392705722351</v>
      </c>
      <c r="BY65" s="1">
        <v>11.137482981946164</v>
      </c>
      <c r="BZ65" s="1">
        <v>1.4220483262409545</v>
      </c>
      <c r="CB65" s="1">
        <v>1857</v>
      </c>
      <c r="CC65" s="1">
        <v>27.160517675904657</v>
      </c>
      <c r="CD65" s="1">
        <v>8.2307419167488298</v>
      </c>
      <c r="CE65" s="1">
        <v>0.12867673431809709</v>
      </c>
      <c r="CF65" s="1">
        <v>10.470267520818615</v>
      </c>
      <c r="CG65" s="1">
        <v>2.3576729935725127</v>
      </c>
      <c r="CH65" s="1">
        <v>1.7248850069778581</v>
      </c>
      <c r="CI65" s="1">
        <v>30.669039587245251</v>
      </c>
      <c r="CJ65" s="1">
        <v>80.741801435585813</v>
      </c>
      <c r="CL65" s="1">
        <v>1857</v>
      </c>
      <c r="CM65" s="1">
        <v>16.595496146963441</v>
      </c>
      <c r="CN65" s="1">
        <v>3.3631441646216977</v>
      </c>
      <c r="CO65" s="1">
        <v>9.8248298260428857E-2</v>
      </c>
      <c r="CP65" s="1">
        <v>7.4074831405199255</v>
      </c>
      <c r="CQ65" s="1">
        <v>0.55045823576922104</v>
      </c>
      <c r="CR65" s="1">
        <v>1.3672319589740727</v>
      </c>
      <c r="CS65" s="1">
        <v>10.355727301760385</v>
      </c>
      <c r="CT65" s="2">
        <v>39.73778924686917</v>
      </c>
      <c r="CV65" s="1">
        <v>1857</v>
      </c>
      <c r="CW65" s="1">
        <v>327.41555046949145</v>
      </c>
      <c r="CX65" s="1">
        <v>499.05906930695176</v>
      </c>
      <c r="CY65" s="1">
        <v>67.967680170506029</v>
      </c>
      <c r="CZ65" s="1">
        <v>140.10977941451873</v>
      </c>
      <c r="DA65" s="1">
        <v>150.91717159312842</v>
      </c>
      <c r="DB65" s="1">
        <v>1185.4692509545964</v>
      </c>
      <c r="DC65" s="1">
        <v>1143.1011130789052</v>
      </c>
      <c r="DD65" s="1">
        <v>142.4060953744509</v>
      </c>
      <c r="DF65" s="1">
        <v>1857</v>
      </c>
      <c r="DG65" s="1">
        <v>3.2165013169519625</v>
      </c>
      <c r="DH65" s="1">
        <v>6.2041379086475814</v>
      </c>
      <c r="DI65" s="1">
        <v>1.2564153483085079</v>
      </c>
      <c r="DJ65" s="1">
        <v>9.3127117542824607</v>
      </c>
      <c r="DK65" s="1">
        <v>6.0584007038982008</v>
      </c>
      <c r="DL65" s="1">
        <v>3.8372462704513168</v>
      </c>
      <c r="DM65" s="1">
        <v>4.0003916144140561</v>
      </c>
      <c r="DN65" s="1">
        <v>4.1159744715942423</v>
      </c>
      <c r="DO65" s="1">
        <v>4.2834938723564022</v>
      </c>
      <c r="DQ65" s="1">
        <v>1857</v>
      </c>
      <c r="DR65" s="1">
        <v>638.51841149463894</v>
      </c>
      <c r="DS65" s="1">
        <v>1043.2973824740773</v>
      </c>
      <c r="DT65" s="1">
        <v>118.13937754038984</v>
      </c>
      <c r="DU65" s="1">
        <v>140.10977941451873</v>
      </c>
      <c r="DV65" s="1">
        <v>150.91717159312842</v>
      </c>
      <c r="DW65" s="1">
        <v>2090.9821225167534</v>
      </c>
      <c r="DX65" s="1">
        <v>2008.4436679795269</v>
      </c>
      <c r="DY65" s="1">
        <v>208.46689841507524</v>
      </c>
      <c r="EA65" s="1">
        <v>1857</v>
      </c>
      <c r="EB65" s="1">
        <v>2.2460733041348249</v>
      </c>
      <c r="EC65" s="1">
        <v>3.9099754823502195</v>
      </c>
      <c r="ED65" s="1">
        <v>1.2277326147360554</v>
      </c>
      <c r="EE65" s="1">
        <v>8.514262385502164</v>
      </c>
      <c r="EF65" s="1">
        <v>6.0584007038982008</v>
      </c>
      <c r="EG65" s="1">
        <v>3.8372462704513168</v>
      </c>
      <c r="EH65" s="1">
        <v>2.9933581999314924</v>
      </c>
      <c r="EI65" s="1">
        <v>3.0690809129288965</v>
      </c>
      <c r="EJ65" s="1">
        <v>3.4601810941271367</v>
      </c>
      <c r="EL65" s="1">
        <v>1857</v>
      </c>
      <c r="EM65" s="1">
        <v>1158127.351554767</v>
      </c>
      <c r="EN65" s="1">
        <v>154577.89610983199</v>
      </c>
      <c r="EO65" s="1">
        <v>15247.18291211981</v>
      </c>
      <c r="EP65" s="1">
        <v>11902.480652848166</v>
      </c>
      <c r="EQ65" s="1">
        <v>19747.259406446323</v>
      </c>
      <c r="ER65" s="1">
        <v>138252.02216656963</v>
      </c>
      <c r="ES65" s="1">
        <v>49908.730338298214</v>
      </c>
      <c r="ET65" s="1">
        <v>963.43175882278751</v>
      </c>
      <c r="EU65" s="1">
        <v>1548726.354899704</v>
      </c>
      <c r="EV65" s="1">
        <v>1498817.624561406</v>
      </c>
      <c r="EX65" s="1">
        <v>1857</v>
      </c>
      <c r="EY65" s="1">
        <v>868735.8141363496</v>
      </c>
      <c r="EZ65" s="1">
        <v>109372.30987745177</v>
      </c>
      <c r="FA65" s="1">
        <v>11343.537890212498</v>
      </c>
      <c r="FB65" s="1">
        <v>11902.480652848166</v>
      </c>
      <c r="FC65" s="1">
        <v>8692.9874473144282</v>
      </c>
      <c r="FD65" s="1">
        <v>134475.53166482711</v>
      </c>
      <c r="FE65" s="1">
        <v>49908.730338298214</v>
      </c>
      <c r="FF65" s="1">
        <v>665.22583507533568</v>
      </c>
      <c r="FG65" s="1">
        <v>1195096.6178423772</v>
      </c>
      <c r="FH65" s="1">
        <v>1145187.8875040789</v>
      </c>
      <c r="FJ65" s="1">
        <v>1857</v>
      </c>
      <c r="FK65" s="1">
        <v>289391.53741841734</v>
      </c>
      <c r="FL65" s="1">
        <v>45205.586232380207</v>
      </c>
      <c r="FM65" s="1">
        <v>3903.6450219073126</v>
      </c>
      <c r="FN65" s="1">
        <v>0</v>
      </c>
      <c r="FO65" s="1">
        <v>11054.271959131891</v>
      </c>
      <c r="FP65" s="1">
        <v>3776.4905017425185</v>
      </c>
      <c r="FQ65" s="1">
        <v>298.20592374745189</v>
      </c>
      <c r="FR65" s="1">
        <v>353629.73705732665</v>
      </c>
      <c r="FS65" s="1">
        <v>576772.44702009298</v>
      </c>
      <c r="HC65" s="1">
        <v>1857</v>
      </c>
      <c r="HD65" s="1">
        <v>222.63538481861389</v>
      </c>
      <c r="HE65" s="1">
        <v>48.315248386330929</v>
      </c>
      <c r="HF65" s="1">
        <v>6.7489928926370206</v>
      </c>
      <c r="HG65" s="1">
        <v>10.750565130091196</v>
      </c>
      <c r="HH65" s="1">
        <v>61.311008939504262</v>
      </c>
      <c r="HI65" s="1">
        <v>32.351189433033483</v>
      </c>
      <c r="HJ65" s="1">
        <v>0.70961873447012813</v>
      </c>
      <c r="HK65" s="2">
        <v>382.82200833468096</v>
      </c>
      <c r="HL65" s="1">
        <v>350.47081890164748</v>
      </c>
      <c r="HN65" s="1">
        <v>1857</v>
      </c>
      <c r="HO65" s="1">
        <v>93.391268294592493</v>
      </c>
      <c r="HP65" s="1">
        <v>21.466189191007331</v>
      </c>
      <c r="HQ65" s="1">
        <v>2.602014034048223</v>
      </c>
      <c r="HR65" s="1">
        <v>0</v>
      </c>
      <c r="HS65" s="1">
        <v>15.512698318887001</v>
      </c>
      <c r="HT65" s="1">
        <v>0.36832515271400357</v>
      </c>
      <c r="HU65" s="2">
        <v>133.34049499124905</v>
      </c>
      <c r="HW65" s="1">
        <v>1857</v>
      </c>
      <c r="HX65" s="1">
        <v>38.36385629653131</v>
      </c>
      <c r="HY65" s="1">
        <v>26.976023225271391</v>
      </c>
      <c r="HZ65" s="1">
        <v>55.724700811672619</v>
      </c>
      <c r="IA65" s="1">
        <v>4.4411899026881656</v>
      </c>
      <c r="IB65" s="1">
        <v>50.379094007108485</v>
      </c>
      <c r="IC65" s="1">
        <v>1.3672319589740465</v>
      </c>
      <c r="ID65" s="1">
        <v>49.003822637096079</v>
      </c>
      <c r="IE65" s="2">
        <v>226.25591883934212</v>
      </c>
      <c r="IF65" s="1">
        <v>224.88868688036806</v>
      </c>
      <c r="IH65" s="1">
        <v>1857</v>
      </c>
      <c r="II65" s="1">
        <v>139.71258982996545</v>
      </c>
      <c r="IJ65" s="1">
        <v>38.405058802872141</v>
      </c>
      <c r="IK65" s="1">
        <v>19.860991569017102</v>
      </c>
      <c r="IL65" s="1">
        <v>144.47974643889938</v>
      </c>
      <c r="IM65" s="1">
        <v>33.838338504390528</v>
      </c>
      <c r="IN65" s="1">
        <v>17.499334116238515</v>
      </c>
      <c r="IO65" s="1">
        <v>4.0271203194470502</v>
      </c>
    </row>
    <row r="66" spans="1:249" x14ac:dyDescent="0.25">
      <c r="A66" s="1" t="s">
        <v>157</v>
      </c>
      <c r="B66" s="1">
        <v>5.5604180858859706</v>
      </c>
      <c r="C66" s="1">
        <v>5.4751069629716369</v>
      </c>
      <c r="D66" s="1">
        <v>5.6119181762411756</v>
      </c>
      <c r="E66" s="1">
        <v>5.5089431087883298</v>
      </c>
      <c r="F66" s="1">
        <v>5.4949011610414829</v>
      </c>
      <c r="G66" s="1">
        <v>4.1748283834364628</v>
      </c>
      <c r="H66" s="1">
        <v>4.1828537651226156</v>
      </c>
      <c r="J66" s="1">
        <v>1858</v>
      </c>
      <c r="K66" s="2">
        <v>717.96488206329047</v>
      </c>
      <c r="L66" s="1">
        <v>683.37489083518915</v>
      </c>
      <c r="M66" s="1">
        <v>682.67452493581902</v>
      </c>
      <c r="N66" s="1">
        <v>648.0845337077177</v>
      </c>
      <c r="O66" s="1">
        <v>35.290357127471424</v>
      </c>
      <c r="P66" s="1">
        <v>34.589991228101326</v>
      </c>
      <c r="Q66" s="1">
        <v>414.82531914162257</v>
      </c>
      <c r="R66" s="1">
        <v>1132.790201204913</v>
      </c>
      <c r="S66" s="1">
        <v>1098.2002099768117</v>
      </c>
      <c r="U66" s="1">
        <v>1858</v>
      </c>
      <c r="V66" s="1">
        <v>193.47734835848846</v>
      </c>
      <c r="W66" s="1">
        <v>12255.487732321029</v>
      </c>
      <c r="X66" s="1">
        <v>3.3169162458130472</v>
      </c>
      <c r="Y66" s="1">
        <v>184.15602923863983</v>
      </c>
      <c r="Z66" s="1">
        <v>11033.097702950025</v>
      </c>
      <c r="AA66" s="1">
        <v>4.6910951857785221</v>
      </c>
      <c r="AB66" s="1">
        <v>3710847.2291701795</v>
      </c>
      <c r="AC66" s="1">
        <v>0.83036947752317758</v>
      </c>
      <c r="AE66" s="1">
        <v>1858</v>
      </c>
      <c r="AF66" s="1">
        <v>318.80947007584706</v>
      </c>
      <c r="AG66" s="1">
        <v>86.51917142440935</v>
      </c>
      <c r="AH66" s="1">
        <v>54.078848514372631</v>
      </c>
      <c r="AI66" s="1">
        <v>32.084744640752277</v>
      </c>
      <c r="AJ66" s="1">
        <v>57.482084835231895</v>
      </c>
      <c r="AK66" s="1">
        <v>54.477158502000925</v>
      </c>
      <c r="AL66" s="1">
        <v>36.070892917295936</v>
      </c>
      <c r="AM66" s="1">
        <v>43.852519925279054</v>
      </c>
      <c r="AN66" s="2">
        <v>683.37489083518915</v>
      </c>
      <c r="AP66" s="1" t="s">
        <v>157</v>
      </c>
      <c r="AQ66" s="1">
        <v>11.175804996372719</v>
      </c>
      <c r="AR66" s="1">
        <v>-3.4955563246204235</v>
      </c>
      <c r="AS66" s="1">
        <v>1.4531400647918247</v>
      </c>
      <c r="AT66" s="1">
        <v>2.3436049259495206</v>
      </c>
      <c r="AU66" s="1">
        <v>-4.0276995363085888</v>
      </c>
      <c r="AV66" s="1">
        <v>1.7729547857607884</v>
      </c>
      <c r="AW66" s="1">
        <v>13.527994519813276</v>
      </c>
      <c r="AX66" s="1">
        <v>5.8857017331462913</v>
      </c>
      <c r="AY66" s="1">
        <v>5.5604180858859706</v>
      </c>
      <c r="BA66" s="1">
        <v>1858</v>
      </c>
      <c r="BB66" s="1">
        <v>606.48100298914926</v>
      </c>
      <c r="BC66" s="1">
        <v>44.680362686149344</v>
      </c>
      <c r="BD66" s="1">
        <v>47.456214382367918</v>
      </c>
      <c r="BE66" s="1">
        <v>14.719687771795853</v>
      </c>
      <c r="BF66" s="1">
        <v>3.4475812029536361</v>
      </c>
      <c r="BG66" s="1">
        <v>2.1412105426276349</v>
      </c>
      <c r="BH66" s="1">
        <v>78.79646486800479</v>
      </c>
      <c r="BI66" s="1">
        <v>79.757642379757925</v>
      </c>
      <c r="BJ66" s="1">
        <v>717.96488206329047</v>
      </c>
      <c r="BL66" s="1" t="s">
        <v>157</v>
      </c>
      <c r="BM66" s="1">
        <v>3.4347431069576828E-2</v>
      </c>
      <c r="BN66" s="1">
        <v>11.21100132476937</v>
      </c>
      <c r="BO66" s="1">
        <v>-2.4970333219379199</v>
      </c>
      <c r="BP66" s="1">
        <v>-7.053155251094708</v>
      </c>
      <c r="BQ66" s="1">
        <v>-28.138474943586772</v>
      </c>
      <c r="BR66" s="1">
        <v>4.1748283834364628</v>
      </c>
      <c r="BT66" s="1" t="s">
        <v>157</v>
      </c>
      <c r="BU66" s="1">
        <v>-12.366686646982302</v>
      </c>
      <c r="BV66" s="1">
        <v>-6.6148798148122836</v>
      </c>
      <c r="BW66" s="1">
        <v>-13.922981399007099</v>
      </c>
      <c r="BX66" s="1">
        <v>-11.701599490133347</v>
      </c>
      <c r="BY66" s="1">
        <v>-15.479181789483349</v>
      </c>
      <c r="BZ66" s="1">
        <v>-11.674766443179763</v>
      </c>
      <c r="CB66" s="1">
        <v>1858</v>
      </c>
      <c r="CC66" s="1">
        <v>25.742025572196098</v>
      </c>
      <c r="CD66" s="1">
        <v>7.0749734708699368</v>
      </c>
      <c r="CE66" s="1">
        <v>0.11900616308677076</v>
      </c>
      <c r="CF66" s="1">
        <v>9.9420475231825378</v>
      </c>
      <c r="CG66" s="1">
        <v>1.49596574857022</v>
      </c>
      <c r="CH66" s="1">
        <v>1.6908648056538003</v>
      </c>
      <c r="CI66" s="1">
        <v>21.699810616185676</v>
      </c>
      <c r="CJ66" s="1">
        <v>67.764693899745041</v>
      </c>
      <c r="CL66" s="1">
        <v>1858</v>
      </c>
      <c r="CM66" s="1">
        <v>14.557172213162389</v>
      </c>
      <c r="CN66" s="1">
        <v>3.2106025709487156</v>
      </c>
      <c r="CO66" s="1">
        <v>9.3334876578400394E-2</v>
      </c>
      <c r="CP66" s="1">
        <v>6.7716967130285228</v>
      </c>
      <c r="CQ66" s="1">
        <v>0.46909073757547898</v>
      </c>
      <c r="CR66" s="1">
        <v>1.1686780895668984</v>
      </c>
      <c r="CS66" s="1">
        <v>9.0197819266110173</v>
      </c>
      <c r="CT66" s="2">
        <v>35.290357127471424</v>
      </c>
      <c r="CV66" s="1">
        <v>1858</v>
      </c>
      <c r="CW66" s="1">
        <v>290.82777612234383</v>
      </c>
      <c r="CX66" s="1">
        <v>422.63907102434734</v>
      </c>
      <c r="CY66" s="1">
        <v>67.508273442747281</v>
      </c>
      <c r="CZ66" s="1">
        <v>132.08728113493169</v>
      </c>
      <c r="DA66" s="1">
        <v>144.74650650492137</v>
      </c>
      <c r="DB66" s="1">
        <v>1057.8089082292915</v>
      </c>
      <c r="DC66" s="1">
        <v>1022.0106775958504</v>
      </c>
      <c r="DD66" s="1">
        <v>133.58927590707185</v>
      </c>
      <c r="DF66" s="1">
        <v>1858</v>
      </c>
      <c r="DG66" s="1">
        <v>2.9929393340862447</v>
      </c>
      <c r="DH66" s="1">
        <v>4.3599785614151472</v>
      </c>
      <c r="DI66" s="1">
        <v>2.0522478419521661</v>
      </c>
      <c r="DJ66" s="1">
        <v>8.1784706145860042</v>
      </c>
      <c r="DK66" s="1">
        <v>-6.8327493204764096</v>
      </c>
      <c r="DL66" s="1">
        <v>1.4792830544444655</v>
      </c>
      <c r="DM66" s="1">
        <v>1.9480752279147424</v>
      </c>
      <c r="DN66" s="1">
        <v>1.9654136927860009</v>
      </c>
      <c r="DO66" s="1">
        <v>5.1601548466824454</v>
      </c>
      <c r="DQ66" s="1">
        <v>1858</v>
      </c>
      <c r="DR66" s="1">
        <v>554.91416258874699</v>
      </c>
      <c r="DS66" s="1">
        <v>883.28889266437022</v>
      </c>
      <c r="DT66" s="1">
        <v>116.43141447054707</v>
      </c>
      <c r="DU66" s="1">
        <v>132.08728113493169</v>
      </c>
      <c r="DV66" s="1">
        <v>144.74650650492137</v>
      </c>
      <c r="DW66" s="1">
        <v>1831.4682573635173</v>
      </c>
      <c r="DX66" s="1">
        <v>1761.5226469363538</v>
      </c>
      <c r="DY66" s="1">
        <v>190.35974017360434</v>
      </c>
      <c r="EA66" s="1">
        <v>1858</v>
      </c>
      <c r="EB66" s="1">
        <v>2.1732796322992698</v>
      </c>
      <c r="EC66" s="1">
        <v>3.0392732965607081</v>
      </c>
      <c r="ED66" s="1">
        <v>1.6292309603395978</v>
      </c>
      <c r="EE66" s="1">
        <v>7.9279218695784976</v>
      </c>
      <c r="EF66" s="1">
        <v>-6.8327493204764096</v>
      </c>
      <c r="EG66" s="1">
        <v>1.4792830544444655</v>
      </c>
      <c r="EH66" s="1">
        <v>1.8657529360926617</v>
      </c>
      <c r="EI66" s="1">
        <v>1.8822296692749632</v>
      </c>
      <c r="EJ66" s="1">
        <v>4.1736951754411962</v>
      </c>
      <c r="EL66" s="1">
        <v>1858</v>
      </c>
      <c r="EM66" s="1">
        <v>1185728.5060033845</v>
      </c>
      <c r="EN66" s="1">
        <v>152900.12798332368</v>
      </c>
      <c r="EO66" s="1">
        <v>15937.572064876018</v>
      </c>
      <c r="EP66" s="1">
        <v>12612.178649028003</v>
      </c>
      <c r="EQ66" s="1">
        <v>20500.306297119034</v>
      </c>
      <c r="ER66" s="1">
        <v>140449.28411854955</v>
      </c>
      <c r="ES66" s="1">
        <v>54551.29611383989</v>
      </c>
      <c r="ET66" s="1">
        <v>989.8546575262161</v>
      </c>
      <c r="EU66" s="1">
        <v>1583669.1258876473</v>
      </c>
      <c r="EV66" s="1">
        <v>1529117.829773807</v>
      </c>
      <c r="EX66" s="1">
        <v>1858</v>
      </c>
      <c r="EY66" s="1">
        <v>891919.89705318038</v>
      </c>
      <c r="EZ66" s="1">
        <v>106745.13098059258</v>
      </c>
      <c r="FA66" s="1">
        <v>11903.212513460086</v>
      </c>
      <c r="FB66" s="1">
        <v>12612.178649028003</v>
      </c>
      <c r="FC66" s="1">
        <v>8952.2054309397718</v>
      </c>
      <c r="FD66" s="1">
        <v>136622.83419161709</v>
      </c>
      <c r="FE66" s="1">
        <v>54551.29611383989</v>
      </c>
      <c r="FF66" s="1">
        <v>683.47019404952675</v>
      </c>
      <c r="FG66" s="1">
        <v>1223990.2251267072</v>
      </c>
      <c r="FH66" s="1">
        <v>1169438.9290128674</v>
      </c>
      <c r="FJ66" s="1">
        <v>1858</v>
      </c>
      <c r="FK66" s="1">
        <v>293808.60895020416</v>
      </c>
      <c r="FL66" s="1">
        <v>46154.997002731092</v>
      </c>
      <c r="FM66" s="1">
        <v>4034.359551415931</v>
      </c>
      <c r="FN66" s="1">
        <v>0</v>
      </c>
      <c r="FO66" s="1">
        <v>11548.10086617926</v>
      </c>
      <c r="FP66" s="1">
        <v>3826.4499269324497</v>
      </c>
      <c r="FQ66" s="1">
        <v>306.38446347668929</v>
      </c>
      <c r="FR66" s="1">
        <v>359678.90076093964</v>
      </c>
      <c r="FS66" s="1">
        <v>586051.59666400577</v>
      </c>
      <c r="HC66" s="1">
        <v>1858</v>
      </c>
      <c r="HD66" s="1">
        <v>201.45759683075315</v>
      </c>
      <c r="HE66" s="1">
        <v>41.560066975516335</v>
      </c>
      <c r="HF66" s="1">
        <v>6.2417441667714311</v>
      </c>
      <c r="HG66" s="1">
        <v>10.040035680373499</v>
      </c>
      <c r="HH66" s="1">
        <v>54.238569689479178</v>
      </c>
      <c r="HI66" s="1">
        <v>34.902214827729047</v>
      </c>
      <c r="HJ66" s="1">
        <v>0.64052560894493515</v>
      </c>
      <c r="HK66" s="2">
        <v>349.08075377956754</v>
      </c>
      <c r="HL66" s="1">
        <v>314.1785389518385</v>
      </c>
      <c r="HN66" s="1">
        <v>1858</v>
      </c>
      <c r="HO66" s="1">
        <v>83.567285502514665</v>
      </c>
      <c r="HP66" s="1">
        <v>19.316698716660031</v>
      </c>
      <c r="HQ66" s="1">
        <v>2.3700922453288173</v>
      </c>
      <c r="HR66" s="1">
        <v>0</v>
      </c>
      <c r="HS66" s="1">
        <v>13.847249594632396</v>
      </c>
      <c r="HT66" s="1">
        <v>0.33246260459574245</v>
      </c>
      <c r="HU66" s="2">
        <v>119.43378866373166</v>
      </c>
      <c r="HW66" s="1">
        <v>1858</v>
      </c>
      <c r="HX66" s="1">
        <v>54.634587742579299</v>
      </c>
      <c r="HY66" s="1">
        <v>25.642405732232987</v>
      </c>
      <c r="HZ66" s="1">
        <v>45.467012102272378</v>
      </c>
      <c r="IA66" s="1">
        <v>1.1947089603787759</v>
      </c>
      <c r="IB66" s="1">
        <v>43.873424053121255</v>
      </c>
      <c r="IC66" s="1">
        <v>1.1686780895668916</v>
      </c>
      <c r="ID66" s="1">
        <v>42.87953171173838</v>
      </c>
      <c r="IE66" s="2">
        <v>214.86034839189</v>
      </c>
      <c r="IF66" s="1">
        <v>213.69167030232308</v>
      </c>
      <c r="IH66" s="1">
        <v>1858</v>
      </c>
      <c r="II66" s="1">
        <v>146.57188439409953</v>
      </c>
      <c r="IJ66" s="1">
        <v>41.844531025799363</v>
      </c>
      <c r="IK66" s="1">
        <v>20.126832751008163</v>
      </c>
      <c r="IL66" s="1">
        <v>151.92357242308606</v>
      </c>
      <c r="IM66" s="1">
        <v>36.847889184374196</v>
      </c>
      <c r="IN66" s="1">
        <v>17.723494197708348</v>
      </c>
      <c r="IO66" s="1">
        <v>0.57316087695775764</v>
      </c>
    </row>
    <row r="67" spans="1:249" x14ac:dyDescent="0.25">
      <c r="A67" s="1" t="s">
        <v>158</v>
      </c>
      <c r="B67" s="1">
        <v>6.3195769471529104</v>
      </c>
      <c r="C67" s="1">
        <v>6.1918525689521999</v>
      </c>
      <c r="D67" s="1">
        <v>6.3428607067636023</v>
      </c>
      <c r="E67" s="1">
        <v>6.2962982855192564</v>
      </c>
      <c r="F67" s="1">
        <v>6.2596559292881011</v>
      </c>
      <c r="G67" s="1">
        <v>7.6614372857294342</v>
      </c>
      <c r="H67" s="1">
        <v>7.8939491625589255</v>
      </c>
      <c r="J67" s="1">
        <v>1859</v>
      </c>
      <c r="K67" s="2">
        <v>708.37026792097993</v>
      </c>
      <c r="L67" s="1">
        <v>674.28454540196128</v>
      </c>
      <c r="M67" s="1">
        <v>672.69039605559874</v>
      </c>
      <c r="N67" s="1">
        <v>638.60467353658009</v>
      </c>
      <c r="O67" s="1">
        <v>35.679871865381145</v>
      </c>
      <c r="P67" s="1">
        <v>34.085722519018688</v>
      </c>
      <c r="Q67" s="1">
        <v>399.70736338107804</v>
      </c>
      <c r="R67" s="1">
        <v>1108.0776313020579</v>
      </c>
      <c r="S67" s="1">
        <v>1073.9919087830394</v>
      </c>
      <c r="U67" s="1">
        <v>1859</v>
      </c>
      <c r="V67" s="1">
        <v>188.35164504425154</v>
      </c>
      <c r="W67" s="1">
        <v>13018.859541373078</v>
      </c>
      <c r="X67" s="1">
        <v>6.2288162309430675</v>
      </c>
      <c r="Y67" s="1">
        <v>179.28844434298318</v>
      </c>
      <c r="Z67" s="1">
        <v>11574.250365304088</v>
      </c>
      <c r="AA67" s="1">
        <v>4.904811657829967</v>
      </c>
      <c r="AB67" s="1">
        <v>3760892.386974134</v>
      </c>
      <c r="AC67" s="1">
        <v>1.3486181109952469</v>
      </c>
      <c r="AE67" s="1">
        <v>1859</v>
      </c>
      <c r="AF67" s="1">
        <v>302.87143415062729</v>
      </c>
      <c r="AG67" s="1">
        <v>90.436403766966421</v>
      </c>
      <c r="AH67" s="1">
        <v>55.38512236769062</v>
      </c>
      <c r="AI67" s="1">
        <v>36.234220003152188</v>
      </c>
      <c r="AJ67" s="1">
        <v>54.887087272336103</v>
      </c>
      <c r="AK67" s="1">
        <v>52.661915758088199</v>
      </c>
      <c r="AL67" s="1">
        <v>36.417241158303675</v>
      </c>
      <c r="AM67" s="1">
        <v>45.391120924796809</v>
      </c>
      <c r="AN67" s="2">
        <v>674.28454540196128</v>
      </c>
      <c r="AP67" s="1" t="s">
        <v>158</v>
      </c>
      <c r="AQ67" s="1">
        <v>6.5893546175369835</v>
      </c>
      <c r="AR67" s="1">
        <v>9.2344719125207746</v>
      </c>
      <c r="AS67" s="1">
        <v>5.908063548221449</v>
      </c>
      <c r="AT67" s="1">
        <v>19.464623384931443</v>
      </c>
      <c r="AU67" s="1">
        <v>4.2505810950225253</v>
      </c>
      <c r="AV67" s="1">
        <v>0.92851131007887489</v>
      </c>
      <c r="AW67" s="1">
        <v>-0.66017469676936003</v>
      </c>
      <c r="AX67" s="1">
        <v>4.9200612279220621</v>
      </c>
      <c r="AY67" s="1">
        <v>6.3195769471529104</v>
      </c>
      <c r="BA67" s="1">
        <v>1859</v>
      </c>
      <c r="BB67" s="1">
        <v>597.21149669489921</v>
      </c>
      <c r="BC67" s="1">
        <v>44.909967884165731</v>
      </c>
      <c r="BD67" s="1">
        <v>49.010351504017883</v>
      </c>
      <c r="BE67" s="1">
        <v>11.711041661512784</v>
      </c>
      <c r="BF67" s="1">
        <v>1.9751179675533723</v>
      </c>
      <c r="BG67" s="1">
        <v>2.5680554467001868</v>
      </c>
      <c r="BH67" s="1">
        <v>98.044584745850315</v>
      </c>
      <c r="BI67" s="1">
        <v>97.060347983719524</v>
      </c>
      <c r="BJ67" s="1">
        <v>708.37026792098004</v>
      </c>
      <c r="BL67" s="1" t="s">
        <v>158</v>
      </c>
      <c r="BM67" s="1">
        <v>9.3303641794809664</v>
      </c>
      <c r="BN67" s="1">
        <v>-0.68702775506429248</v>
      </c>
      <c r="BO67" s="1">
        <v>-0.96239181210628999</v>
      </c>
      <c r="BP67" s="1">
        <v>24.563751884861176</v>
      </c>
      <c r="BQ67" s="1">
        <v>24.670055495966054</v>
      </c>
      <c r="BR67" s="1">
        <v>7.6614372857294342</v>
      </c>
      <c r="BT67" s="1" t="s">
        <v>158</v>
      </c>
      <c r="BU67" s="1">
        <v>-9.9320738676178024</v>
      </c>
      <c r="BV67" s="1">
        <v>1.209219344840335</v>
      </c>
      <c r="BW67" s="1">
        <v>-2.7535326091262675</v>
      </c>
      <c r="BX67" s="1">
        <v>-0.10926769587837271</v>
      </c>
      <c r="BY67" s="1">
        <v>-2.3870622640790202</v>
      </c>
      <c r="BZ67" s="1">
        <v>-8.3574955986194652</v>
      </c>
      <c r="CB67" s="1">
        <v>1859</v>
      </c>
      <c r="CC67" s="1">
        <v>22.675782635002939</v>
      </c>
      <c r="CD67" s="1">
        <v>8.7367849692537174</v>
      </c>
      <c r="CE67" s="1">
        <v>0.14164371882604176</v>
      </c>
      <c r="CF67" s="1">
        <v>9.419007440350164</v>
      </c>
      <c r="CG67" s="1">
        <v>2.2217862281177858</v>
      </c>
      <c r="CH67" s="1">
        <v>1.6941473107358525</v>
      </c>
      <c r="CI67" s="1">
        <v>20.375414277497718</v>
      </c>
      <c r="CJ67" s="1">
        <v>65.26456657978423</v>
      </c>
      <c r="CL67" s="1">
        <v>1859</v>
      </c>
      <c r="CM67" s="1">
        <v>14.600690333662747</v>
      </c>
      <c r="CN67" s="1">
        <v>3.3256537453977222</v>
      </c>
      <c r="CO67" s="1">
        <v>9.2115207623435336E-2</v>
      </c>
      <c r="CP67" s="1">
        <v>6.800375103019622</v>
      </c>
      <c r="CQ67" s="1">
        <v>0.49353012165181426</v>
      </c>
      <c r="CR67" s="1">
        <v>1.164604699683387</v>
      </c>
      <c r="CS67" s="1">
        <v>9.2029026543424131</v>
      </c>
      <c r="CT67" s="2">
        <v>35.679871865381145</v>
      </c>
      <c r="CV67" s="1">
        <v>1859</v>
      </c>
      <c r="CW67" s="1">
        <v>299.10914097406447</v>
      </c>
      <c r="CX67" s="1">
        <v>425.06176394537653</v>
      </c>
      <c r="CY67" s="1">
        <v>70.045627244293073</v>
      </c>
      <c r="CZ67" s="1">
        <v>107.67932728940526</v>
      </c>
      <c r="DA67" s="1">
        <v>138.26618029230457</v>
      </c>
      <c r="DB67" s="1">
        <v>1040.162039745444</v>
      </c>
      <c r="DC67" s="1">
        <v>1004.400284747327</v>
      </c>
      <c r="DD67" s="1">
        <v>133.71530631208992</v>
      </c>
      <c r="DF67" s="1">
        <v>1859</v>
      </c>
      <c r="DG67" s="1">
        <v>3.1158416036542178</v>
      </c>
      <c r="DH67" s="1">
        <v>3.7352625154722432</v>
      </c>
      <c r="DI67" s="1">
        <v>2.6799650498197707</v>
      </c>
      <c r="DJ67" s="1">
        <v>3.5257391938506828</v>
      </c>
      <c r="DK67" s="1">
        <v>17.517568169402864</v>
      </c>
      <c r="DL67" s="1">
        <v>1.8573272518783028</v>
      </c>
      <c r="DM67" s="1">
        <v>4.5102172936488216</v>
      </c>
      <c r="DN67" s="1">
        <v>4.617867972366767</v>
      </c>
      <c r="DO67" s="1">
        <v>3.9752033484642624</v>
      </c>
      <c r="DQ67" s="1">
        <v>1859</v>
      </c>
      <c r="DR67" s="1">
        <v>563.49286083300763</v>
      </c>
      <c r="DS67" s="1">
        <v>884.66985792111768</v>
      </c>
      <c r="DT67" s="1">
        <v>120.57594748455595</v>
      </c>
      <c r="DU67" s="1">
        <v>107.67932728940526</v>
      </c>
      <c r="DV67" s="1">
        <v>138.26618029230457</v>
      </c>
      <c r="DW67" s="1">
        <v>1814.6841738203912</v>
      </c>
      <c r="DX67" s="1">
        <v>1744.8159789789081</v>
      </c>
      <c r="DY67" s="1">
        <v>190.362332208395</v>
      </c>
      <c r="EA67" s="1">
        <v>1859</v>
      </c>
      <c r="EB67" s="1">
        <v>2.2732900664506985</v>
      </c>
      <c r="EC67" s="1">
        <v>2.7602273645800324</v>
      </c>
      <c r="ED67" s="1">
        <v>1.9631340362521001</v>
      </c>
      <c r="EE67" s="1">
        <v>5.0419198944243249</v>
      </c>
      <c r="EF67" s="1">
        <v>17.517568169402864</v>
      </c>
      <c r="EG67" s="1">
        <v>1.8573272518783028</v>
      </c>
      <c r="EH67" s="1">
        <v>3.3557693043560448</v>
      </c>
      <c r="EI67" s="1">
        <v>3.4313434563918292</v>
      </c>
      <c r="EJ67" s="1">
        <v>3.4036266036411575</v>
      </c>
      <c r="EL67" s="1">
        <v>1859</v>
      </c>
      <c r="EM67" s="1">
        <v>1204602.6521098937</v>
      </c>
      <c r="EN67" s="1">
        <v>161745.37841977121</v>
      </c>
      <c r="EO67" s="1">
        <v>17418.568910203419</v>
      </c>
      <c r="EP67" s="1">
        <v>12986.652370137943</v>
      </c>
      <c r="EQ67" s="1">
        <v>20899.485256828852</v>
      </c>
      <c r="ER67" s="1">
        <v>142046.05568768125</v>
      </c>
      <c r="ES67" s="1">
        <v>53937.566885205146</v>
      </c>
      <c r="ET67" s="1">
        <v>1017.0022256932556</v>
      </c>
      <c r="EU67" s="1">
        <v>1614653.361865415</v>
      </c>
      <c r="EV67" s="1">
        <v>1560715.7949802096</v>
      </c>
      <c r="EX67" s="1">
        <v>1859</v>
      </c>
      <c r="EY67" s="1">
        <v>906309.55251436902</v>
      </c>
      <c r="EZ67" s="1">
        <v>114523.60001249952</v>
      </c>
      <c r="FA67" s="1">
        <v>13211.782761409591</v>
      </c>
      <c r="FB67" s="1">
        <v>12986.652370137943</v>
      </c>
      <c r="FC67" s="1">
        <v>8747.6892138303901</v>
      </c>
      <c r="FD67" s="1">
        <v>138192.87243529572</v>
      </c>
      <c r="FE67" s="1">
        <v>53937.566885205146</v>
      </c>
      <c r="FF67" s="1">
        <v>702.2149193907901</v>
      </c>
      <c r="FG67" s="1">
        <v>1248611.9311121383</v>
      </c>
      <c r="FH67" s="1">
        <v>1194674.3642269331</v>
      </c>
      <c r="FJ67" s="1">
        <v>1859</v>
      </c>
      <c r="FK67" s="1">
        <v>298293.09959552478</v>
      </c>
      <c r="FL67" s="1">
        <v>47221.778407271697</v>
      </c>
      <c r="FM67" s="1">
        <v>4206.7861487938271</v>
      </c>
      <c r="FN67" s="1">
        <v>0</v>
      </c>
      <c r="FO67" s="1">
        <v>12151.796042998461</v>
      </c>
      <c r="FP67" s="1">
        <v>3853.1832523854955</v>
      </c>
      <c r="FQ67" s="1">
        <v>314.78730630246548</v>
      </c>
      <c r="FR67" s="1">
        <v>366041.43075327668</v>
      </c>
      <c r="FS67" s="1">
        <v>595480.02982268936</v>
      </c>
      <c r="HC67" s="1">
        <v>1859</v>
      </c>
      <c r="HD67" s="1">
        <v>200.77109452995259</v>
      </c>
      <c r="HE67" s="1">
        <v>43.731058376864354</v>
      </c>
      <c r="HF67" s="1">
        <v>6.7946960382008852</v>
      </c>
      <c r="HG67" s="1">
        <v>10.139328416745572</v>
      </c>
      <c r="HH67" s="1">
        <v>52.18496903175479</v>
      </c>
      <c r="HI67" s="1">
        <v>35.25263645862028</v>
      </c>
      <c r="HJ67" s="1">
        <v>0.62320406208003398</v>
      </c>
      <c r="HK67" s="2">
        <v>349.49698691421855</v>
      </c>
      <c r="HL67" s="1">
        <v>314.24435045559829</v>
      </c>
      <c r="HN67" s="1">
        <v>1859</v>
      </c>
      <c r="HO67" s="1">
        <v>83.211206256543917</v>
      </c>
      <c r="HP67" s="1">
        <v>19.383105091238264</v>
      </c>
      <c r="HQ67" s="1">
        <v>2.4238621454187785</v>
      </c>
      <c r="HR67" s="1">
        <v>0</v>
      </c>
      <c r="HS67" s="1">
        <v>14.196056569413335</v>
      </c>
      <c r="HT67" s="1">
        <v>0.32347191553364862</v>
      </c>
      <c r="HU67" s="2">
        <v>119.53770197814794</v>
      </c>
      <c r="HW67" s="1">
        <v>1859</v>
      </c>
      <c r="HX67" s="1">
        <v>40.625133364130761</v>
      </c>
      <c r="HY67" s="1">
        <v>27.322240298863811</v>
      </c>
      <c r="HZ67" s="1">
        <v>46.166564184070957</v>
      </c>
      <c r="IA67" s="1">
        <v>4.3588915864066156</v>
      </c>
      <c r="IB67" s="1">
        <v>41.167977429256162</v>
      </c>
      <c r="IC67" s="1">
        <v>1.164604699683395</v>
      </c>
      <c r="ID67" s="1">
        <v>44.444444947183129</v>
      </c>
      <c r="IE67" s="2">
        <v>205.24985650959485</v>
      </c>
      <c r="IF67" s="1">
        <v>204.08525180991143</v>
      </c>
      <c r="IH67" s="1">
        <v>1859</v>
      </c>
      <c r="II67" s="1">
        <v>140.35544534580592</v>
      </c>
      <c r="IJ67" s="1">
        <v>43.013229697699884</v>
      </c>
      <c r="IK67" s="1">
        <v>21.428736878385127</v>
      </c>
      <c r="IL67" s="1">
        <v>145.43219480829546</v>
      </c>
      <c r="IM67" s="1">
        <v>38.020921509311876</v>
      </c>
      <c r="IN67" s="1">
        <v>18.941621650427837</v>
      </c>
      <c r="IO67" s="1">
        <v>8.8921742605345031</v>
      </c>
    </row>
    <row r="68" spans="1:249" x14ac:dyDescent="0.25">
      <c r="A68" s="1" t="s">
        <v>159</v>
      </c>
      <c r="B68" s="1">
        <v>3.6101102372362277</v>
      </c>
      <c r="C68" s="1">
        <v>3.5006384240043928</v>
      </c>
      <c r="D68" s="1">
        <v>3.6199570047187137</v>
      </c>
      <c r="E68" s="1">
        <v>3.6002644054695452</v>
      </c>
      <c r="F68" s="1">
        <v>3.5787847962242836</v>
      </c>
      <c r="G68" s="1">
        <v>4.2946042299883516</v>
      </c>
      <c r="H68" s="1">
        <v>4.3774717866476749</v>
      </c>
      <c r="J68" s="1">
        <v>1860</v>
      </c>
      <c r="K68" s="2">
        <v>743.37092985557797</v>
      </c>
      <c r="L68" s="1">
        <v>707.58799798384598</v>
      </c>
      <c r="M68" s="1">
        <v>705.95334116494462</v>
      </c>
      <c r="N68" s="1">
        <v>670.17040929321263</v>
      </c>
      <c r="O68" s="1">
        <v>37.417588690633394</v>
      </c>
      <c r="P68" s="1">
        <v>35.782931871731961</v>
      </c>
      <c r="Q68" s="1">
        <v>420.88205482531691</v>
      </c>
      <c r="R68" s="1">
        <v>1164.2529846808948</v>
      </c>
      <c r="S68" s="1">
        <v>1128.470052809163</v>
      </c>
      <c r="U68" s="1">
        <v>1860</v>
      </c>
      <c r="V68" s="1">
        <v>194.41842919018225</v>
      </c>
      <c r="W68" s="1">
        <v>13355.419839312233</v>
      </c>
      <c r="X68" s="1">
        <v>2.5851749676658642</v>
      </c>
      <c r="Y68" s="1">
        <v>185.05989615247927</v>
      </c>
      <c r="Z68" s="1">
        <v>11795.538469446585</v>
      </c>
      <c r="AA68" s="1">
        <v>1.9119000985657664</v>
      </c>
      <c r="AB68" s="1">
        <v>3823562.0612303391</v>
      </c>
      <c r="AC68" s="1">
        <v>1.6663511690273793</v>
      </c>
      <c r="AE68" s="1">
        <v>1860</v>
      </c>
      <c r="AF68" s="1">
        <v>309.47069997829715</v>
      </c>
      <c r="AG68" s="1">
        <v>97.086050627300651</v>
      </c>
      <c r="AH68" s="1">
        <v>59.086318388987564</v>
      </c>
      <c r="AI68" s="1">
        <v>38.485245190766229</v>
      </c>
      <c r="AJ68" s="1">
        <v>59.713070283360437</v>
      </c>
      <c r="AK68" s="1">
        <v>57.581631475542409</v>
      </c>
      <c r="AL68" s="1">
        <v>37.959760582667968</v>
      </c>
      <c r="AM68" s="1">
        <v>48.20522145692356</v>
      </c>
      <c r="AN68" s="2">
        <v>707.58799798384609</v>
      </c>
      <c r="AP68" s="1" t="s">
        <v>159</v>
      </c>
      <c r="AQ68" s="1">
        <v>2.2848027879809791</v>
      </c>
      <c r="AR68" s="1">
        <v>6.4287066397155712</v>
      </c>
      <c r="AS68" s="1">
        <v>4.8477719954802154</v>
      </c>
      <c r="AT68" s="1">
        <v>4.7620707428703213</v>
      </c>
      <c r="AU68" s="1">
        <v>8.0766006588405901</v>
      </c>
      <c r="AV68" s="1">
        <v>1.6379182657695566</v>
      </c>
      <c r="AW68" s="1">
        <v>0.32889932889999329</v>
      </c>
      <c r="AX68" s="1">
        <v>3.9937439173352516</v>
      </c>
      <c r="AY68" s="1">
        <v>3.6101102372362277</v>
      </c>
      <c r="BA68" s="1">
        <v>1860</v>
      </c>
      <c r="BB68" s="1">
        <v>625.0164937662837</v>
      </c>
      <c r="BC68" s="1">
        <v>46.631718744895629</v>
      </c>
      <c r="BD68" s="1">
        <v>53.080439644219481</v>
      </c>
      <c r="BE68" s="1">
        <v>10.28726339199058</v>
      </c>
      <c r="BF68" s="1">
        <v>1.3856621972080931</v>
      </c>
      <c r="BG68" s="1">
        <v>7.7942664334837346</v>
      </c>
      <c r="BH68" s="1">
        <v>109.23647399813142</v>
      </c>
      <c r="BI68" s="1">
        <v>110.06138832063471</v>
      </c>
      <c r="BJ68" s="1">
        <v>743.37092985557786</v>
      </c>
      <c r="BL68" s="1" t="s">
        <v>159</v>
      </c>
      <c r="BM68" s="1">
        <v>4.2495603736922902</v>
      </c>
      <c r="BN68" s="1">
        <v>-0.17832331382489031</v>
      </c>
      <c r="BO68" s="1">
        <v>8.9965767517868613</v>
      </c>
      <c r="BP68" s="1">
        <v>8.5026151618352088</v>
      </c>
      <c r="BQ68" s="1">
        <v>9.314330602625958</v>
      </c>
      <c r="BR68" s="1">
        <v>4.2946042299883516</v>
      </c>
      <c r="BT68" s="1" t="s">
        <v>159</v>
      </c>
      <c r="BU68" s="1">
        <v>0.38968383022523767</v>
      </c>
      <c r="BV68" s="1">
        <v>4.0192739429234905</v>
      </c>
      <c r="BW68" s="1">
        <v>1.9842068961104502</v>
      </c>
      <c r="BX68" s="1">
        <v>2.6842548724319357</v>
      </c>
      <c r="BY68" s="1">
        <v>3.7327862190340539</v>
      </c>
      <c r="BZ68" s="1">
        <v>0.6197905021260226</v>
      </c>
      <c r="CB68" s="1">
        <v>1860</v>
      </c>
      <c r="CC68" s="1">
        <v>24.226435332798108</v>
      </c>
      <c r="CD68" s="1">
        <v>10.660089175041266</v>
      </c>
      <c r="CE68" s="1">
        <v>0.14738564865483891</v>
      </c>
      <c r="CF68" s="1">
        <v>9.7595766535131006</v>
      </c>
      <c r="CG68" s="1">
        <v>3.668756691435886</v>
      </c>
      <c r="CH68" s="1">
        <v>1.7604088196581229</v>
      </c>
      <c r="CI68" s="1">
        <v>22.324979345800571</v>
      </c>
      <c r="CJ68" s="1">
        <v>72.547631666901907</v>
      </c>
      <c r="CL68" s="1">
        <v>1860</v>
      </c>
      <c r="CM68" s="1">
        <v>15.220734462381305</v>
      </c>
      <c r="CN68" s="1">
        <v>3.5166187481966555</v>
      </c>
      <c r="CO68" s="1">
        <v>9.7666946131799312E-2</v>
      </c>
      <c r="CP68" s="1">
        <v>7.090080780869318</v>
      </c>
      <c r="CQ68" s="1">
        <v>0.52696698770170958</v>
      </c>
      <c r="CR68" s="1">
        <v>1.2073636220258088</v>
      </c>
      <c r="CS68" s="1">
        <v>9.7581571433267964</v>
      </c>
      <c r="CT68" s="2">
        <v>37.417588690633394</v>
      </c>
      <c r="CV68" s="1">
        <v>1860</v>
      </c>
      <c r="CW68" s="1">
        <v>317.12610081627605</v>
      </c>
      <c r="CX68" s="1">
        <v>446.08091633556745</v>
      </c>
      <c r="CY68" s="1">
        <v>73.742718364856501</v>
      </c>
      <c r="CZ68" s="1">
        <v>137.00801704242181</v>
      </c>
      <c r="DA68" s="1">
        <v>141.3786001937313</v>
      </c>
      <c r="DB68" s="1">
        <v>1115.3363527528531</v>
      </c>
      <c r="DC68" s="1">
        <v>1078.255434533068</v>
      </c>
      <c r="DD68" s="1">
        <v>140.234200778088</v>
      </c>
      <c r="DF68" s="1">
        <v>1860</v>
      </c>
      <c r="DG68" s="1">
        <v>3.3057394000304328</v>
      </c>
      <c r="DH68" s="1">
        <v>3.9627208766881665</v>
      </c>
      <c r="DI68" s="1">
        <v>2.8386806975141212</v>
      </c>
      <c r="DJ68" s="1">
        <v>0.96457825700298372</v>
      </c>
      <c r="DK68" s="1">
        <v>0.2235990893655071</v>
      </c>
      <c r="DL68" s="1">
        <v>5.5130454133816613</v>
      </c>
      <c r="DM68" s="1">
        <v>3.0547322798306027</v>
      </c>
      <c r="DN68" s="1">
        <v>3.1085066903258678</v>
      </c>
      <c r="DO68" s="1">
        <v>4.1491765349025655</v>
      </c>
      <c r="DQ68" s="1">
        <v>1860</v>
      </c>
      <c r="DR68" s="1">
        <v>591.81963052609808</v>
      </c>
      <c r="DS68" s="1">
        <v>921.93499050330718</v>
      </c>
      <c r="DT68" s="1">
        <v>128.81072911318904</v>
      </c>
      <c r="DU68" s="1">
        <v>137.00801704242181</v>
      </c>
      <c r="DV68" s="1">
        <v>141.3786001937313</v>
      </c>
      <c r="DW68" s="1">
        <v>1920.9519673787477</v>
      </c>
      <c r="DX68" s="1">
        <v>1848.5178458321896</v>
      </c>
      <c r="DY68" s="1">
        <v>199.18895843254666</v>
      </c>
      <c r="EA68" s="1">
        <v>1860</v>
      </c>
      <c r="EB68" s="1">
        <v>2.4098419817773333</v>
      </c>
      <c r="EC68" s="1">
        <v>2.9289621248492779</v>
      </c>
      <c r="ED68" s="1">
        <v>2.0766021173225511</v>
      </c>
      <c r="EE68" s="1">
        <v>3.323326774945599</v>
      </c>
      <c r="EF68" s="1">
        <v>0.2235990893655071</v>
      </c>
      <c r="EG68" s="1">
        <v>5.5130454133816613</v>
      </c>
      <c r="EH68" s="1">
        <v>2.5446949465158184</v>
      </c>
      <c r="EI68" s="1">
        <v>2.586676775627339</v>
      </c>
      <c r="EJ68" s="1">
        <v>3.545154887732906</v>
      </c>
      <c r="EL68" s="1">
        <v>1860</v>
      </c>
      <c r="EM68" s="1">
        <v>1214229.3783145985</v>
      </c>
      <c r="EN68" s="1">
        <v>167373.01083055069</v>
      </c>
      <c r="EO68" s="1">
        <v>18877.859782441719</v>
      </c>
      <c r="EP68" s="1">
        <v>12847.759678387631</v>
      </c>
      <c r="EQ68" s="1">
        <v>21560.844763092417</v>
      </c>
      <c r="ER68" s="1">
        <v>144123.3124458706</v>
      </c>
      <c r="ES68" s="1">
        <v>53680.358880075728</v>
      </c>
      <c r="ET68" s="1">
        <v>1044.8943379726866</v>
      </c>
      <c r="EU68" s="1">
        <v>1633737.4190329898</v>
      </c>
      <c r="EV68" s="1">
        <v>1580057.0601529141</v>
      </c>
      <c r="EX68" s="1">
        <v>1860</v>
      </c>
      <c r="EY68" s="1">
        <v>911383.33992167271</v>
      </c>
      <c r="EZ68" s="1">
        <v>119616.91135196693</v>
      </c>
      <c r="FA68" s="1">
        <v>14498.64481138968</v>
      </c>
      <c r="FB68" s="1">
        <v>12847.759678387631</v>
      </c>
      <c r="FC68" s="1">
        <v>8957.9122174358963</v>
      </c>
      <c r="FD68" s="1">
        <v>140233.33269200745</v>
      </c>
      <c r="FE68" s="1">
        <v>53680.358880075728</v>
      </c>
      <c r="FF68" s="1">
        <v>721.47373405325402</v>
      </c>
      <c r="FG68" s="1">
        <v>1261939.7332869894</v>
      </c>
      <c r="FH68" s="1">
        <v>1208259.3744069138</v>
      </c>
      <c r="FJ68" s="1">
        <v>1860</v>
      </c>
      <c r="FK68" s="1">
        <v>302846.03839292569</v>
      </c>
      <c r="FL68" s="1">
        <v>47756.099478583747</v>
      </c>
      <c r="FM68" s="1">
        <v>4379.2149710520398</v>
      </c>
      <c r="FN68" s="1">
        <v>0</v>
      </c>
      <c r="FO68" s="1">
        <v>12602.93254565652</v>
      </c>
      <c r="FP68" s="1">
        <v>3889.9797538631401</v>
      </c>
      <c r="FQ68" s="1">
        <v>323.42060391943261</v>
      </c>
      <c r="FR68" s="1">
        <v>371797.6857460005</v>
      </c>
      <c r="FS68" s="1">
        <v>605060.1481782631</v>
      </c>
      <c r="HC68" s="1">
        <v>1860</v>
      </c>
      <c r="HD68" s="1">
        <v>211.79188732571441</v>
      </c>
      <c r="HE68" s="1">
        <v>47.914966288528134</v>
      </c>
      <c r="HF68" s="1">
        <v>7.8220326740750217</v>
      </c>
      <c r="HG68" s="1">
        <v>10.522598145900348</v>
      </c>
      <c r="HH68" s="1">
        <v>56.550127104639721</v>
      </c>
      <c r="HI68" s="1">
        <v>36.752396960642159</v>
      </c>
      <c r="HJ68" s="1">
        <v>0.67684411637538944</v>
      </c>
      <c r="HK68" s="2">
        <v>372.03085261587523</v>
      </c>
      <c r="HL68" s="1">
        <v>335.27845565523307</v>
      </c>
      <c r="HN68" s="1">
        <v>1860</v>
      </c>
      <c r="HO68" s="1">
        <v>88.62252377230503</v>
      </c>
      <c r="HP68" s="1">
        <v>20.563330970800294</v>
      </c>
      <c r="HQ68" s="1">
        <v>2.6468988884080762</v>
      </c>
      <c r="HR68" s="1">
        <v>0</v>
      </c>
      <c r="HS68" s="1">
        <v>15.613577205708301</v>
      </c>
      <c r="HT68" s="1">
        <v>0.35131360041345466</v>
      </c>
      <c r="HU68" s="2">
        <v>127.79764443763514</v>
      </c>
      <c r="HW68" s="1">
        <v>1860</v>
      </c>
      <c r="HX68" s="1">
        <v>31.154288880277704</v>
      </c>
      <c r="HY68" s="1">
        <v>28.607753367972222</v>
      </c>
      <c r="HZ68" s="1">
        <v>48.617386826504465</v>
      </c>
      <c r="IA68" s="1">
        <v>5.8646470448658814</v>
      </c>
      <c r="IB68" s="1">
        <v>45.130997448554844</v>
      </c>
      <c r="IC68" s="1">
        <v>1.2073636220258095</v>
      </c>
      <c r="ID68" s="1">
        <v>47.177063740134713</v>
      </c>
      <c r="IE68" s="2">
        <v>207.75950093033563</v>
      </c>
      <c r="IF68" s="1">
        <v>206.55213730830982</v>
      </c>
      <c r="IH68" s="1">
        <v>1860</v>
      </c>
      <c r="II68" s="1">
        <v>137.11612653297055</v>
      </c>
      <c r="IJ68" s="1">
        <v>41.506604609702954</v>
      </c>
      <c r="IK68" s="1">
        <v>21.392028152308672</v>
      </c>
      <c r="IL68" s="1">
        <v>141.9986471560253</v>
      </c>
      <c r="IM68" s="1">
        <v>36.641002513183167</v>
      </c>
      <c r="IN68" s="1">
        <v>18.884352614754548</v>
      </c>
      <c r="IO68" s="1">
        <v>4.494761594945814</v>
      </c>
    </row>
    <row r="69" spans="1:249" x14ac:dyDescent="0.25">
      <c r="A69" s="1" t="s">
        <v>160</v>
      </c>
      <c r="B69" s="1">
        <v>0.71535828618532094</v>
      </c>
      <c r="C69" s="1">
        <v>0.61618899714075326</v>
      </c>
      <c r="D69" s="1">
        <v>0.73504808216353013</v>
      </c>
      <c r="E69" s="1">
        <v>0.69567233879874379</v>
      </c>
      <c r="F69" s="1">
        <v>0.82636976242599758</v>
      </c>
      <c r="G69" s="1">
        <v>0.70225762935005775</v>
      </c>
      <c r="H69" s="1">
        <v>0.53286443640013204</v>
      </c>
      <c r="J69" s="1">
        <v>1861</v>
      </c>
      <c r="K69" s="2">
        <v>778.46444760779923</v>
      </c>
      <c r="L69" s="1">
        <v>740.97071555405853</v>
      </c>
      <c r="M69" s="1">
        <v>739.34398254106964</v>
      </c>
      <c r="N69" s="1">
        <v>701.85025048732894</v>
      </c>
      <c r="O69" s="1">
        <v>39.120465066729565</v>
      </c>
      <c r="P69" s="1">
        <v>37.493732053740658</v>
      </c>
      <c r="Q69" s="1">
        <v>457.16132634046335</v>
      </c>
      <c r="R69" s="1">
        <v>1235.6257739482626</v>
      </c>
      <c r="S69" s="1">
        <v>1198.132041894522</v>
      </c>
      <c r="U69" s="1">
        <v>1861</v>
      </c>
      <c r="V69" s="1">
        <v>200.20036032403618</v>
      </c>
      <c r="W69" s="1">
        <v>13224.856472569783</v>
      </c>
      <c r="X69" s="1">
        <v>-0.97760585824589441</v>
      </c>
      <c r="Y69" s="1">
        <v>190.55796921662173</v>
      </c>
      <c r="Z69" s="1">
        <v>11681.744109587691</v>
      </c>
      <c r="AA69" s="1">
        <v>-0.96472373985851334</v>
      </c>
      <c r="AB69" s="1">
        <v>3888426.8057650258</v>
      </c>
      <c r="AC69" s="1">
        <v>1.6964480632443184</v>
      </c>
      <c r="AE69" s="1">
        <v>1861</v>
      </c>
      <c r="AF69" s="1">
        <v>324.51830603157748</v>
      </c>
      <c r="AG69" s="1">
        <v>102.11414883229908</v>
      </c>
      <c r="AH69" s="1">
        <v>54.530365752046677</v>
      </c>
      <c r="AI69" s="1">
        <v>42.182227255158892</v>
      </c>
      <c r="AJ69" s="1">
        <v>64.86607651344319</v>
      </c>
      <c r="AK69" s="1">
        <v>64.097076976611831</v>
      </c>
      <c r="AL69" s="1">
        <v>39.327211362259916</v>
      </c>
      <c r="AM69" s="1">
        <v>49.335302830661504</v>
      </c>
      <c r="AN69" s="2">
        <v>740.97071555405853</v>
      </c>
      <c r="AP69" s="1" t="s">
        <v>160</v>
      </c>
      <c r="AQ69" s="1">
        <v>-1.5438563756729309</v>
      </c>
      <c r="AR69" s="1">
        <v>3.6872556526840157</v>
      </c>
      <c r="AS69" s="1">
        <v>-5.9757199083093582</v>
      </c>
      <c r="AT69" s="1">
        <v>2.5607741126901971</v>
      </c>
      <c r="AU69" s="1">
        <v>7.348908690289818</v>
      </c>
      <c r="AV69" s="1">
        <v>3.4349093616766027</v>
      </c>
      <c r="AW69" s="1">
        <v>1.6717779014415726</v>
      </c>
      <c r="AX69" s="1">
        <v>3.8856432265668133</v>
      </c>
      <c r="AY69" s="1">
        <v>0.71535828618532094</v>
      </c>
      <c r="BA69" s="1">
        <v>1861</v>
      </c>
      <c r="BB69" s="1">
        <v>692.17295397783164</v>
      </c>
      <c r="BC69" s="1">
        <v>48.623507346726115</v>
      </c>
      <c r="BD69" s="1">
        <v>58.660695280827369</v>
      </c>
      <c r="BE69" s="1">
        <v>15.004409804760423</v>
      </c>
      <c r="BF69" s="1">
        <v>1.7999999999999999E-2</v>
      </c>
      <c r="BG69" s="1">
        <v>7.6566704375465227</v>
      </c>
      <c r="BH69" s="1">
        <v>103.05827290427496</v>
      </c>
      <c r="BI69" s="1">
        <v>146.73006214416776</v>
      </c>
      <c r="BJ69" s="1">
        <v>778.46444760779923</v>
      </c>
      <c r="BL69" s="1" t="s">
        <v>160</v>
      </c>
      <c r="BM69" s="1">
        <v>5.3257837040262785</v>
      </c>
      <c r="BN69" s="1">
        <v>2.4982525758284453</v>
      </c>
      <c r="BO69" s="1">
        <v>11.310390961151512</v>
      </c>
      <c r="BP69" s="1">
        <v>-7.2507409617312675</v>
      </c>
      <c r="BQ69" s="1">
        <v>26.791682350659855</v>
      </c>
      <c r="BR69" s="1">
        <v>0.70225762935005775</v>
      </c>
      <c r="BT69" s="1" t="s">
        <v>160</v>
      </c>
      <c r="BU69" s="1">
        <v>5.144957089343464</v>
      </c>
      <c r="BV69" s="1">
        <v>1.729848590922245</v>
      </c>
      <c r="BW69" s="1">
        <v>0.72656458661401757</v>
      </c>
      <c r="BX69" s="1">
        <v>1.7196220967559981</v>
      </c>
      <c r="BY69" s="1">
        <v>5.1461439634198598</v>
      </c>
      <c r="BZ69" s="1">
        <v>3.9905804845429458</v>
      </c>
      <c r="CB69" s="1">
        <v>1861</v>
      </c>
      <c r="CC69" s="1">
        <v>24.840633910344003</v>
      </c>
      <c r="CD69" s="1">
        <v>10.231980122486469</v>
      </c>
      <c r="CE69" s="1">
        <v>0.14128463885319467</v>
      </c>
      <c r="CF69" s="1">
        <v>17.440488911162408</v>
      </c>
      <c r="CG69" s="1">
        <v>3.2524761797488173</v>
      </c>
      <c r="CH69" s="1">
        <v>2.7530087282788962</v>
      </c>
      <c r="CI69" s="1">
        <v>22.679903032260523</v>
      </c>
      <c r="CJ69" s="1">
        <v>81.339775523134307</v>
      </c>
      <c r="CL69" s="1">
        <v>1861</v>
      </c>
      <c r="CM69" s="1">
        <v>15.713277096868307</v>
      </c>
      <c r="CN69" s="1">
        <v>3.7140159868637488</v>
      </c>
      <c r="CO69" s="1">
        <v>0.10340182102595658</v>
      </c>
      <c r="CP69" s="1">
        <v>7.6097265996599175</v>
      </c>
      <c r="CQ69" s="1">
        <v>0.53701589535921357</v>
      </c>
      <c r="CR69" s="1">
        <v>1.2601823083685912</v>
      </c>
      <c r="CS69" s="1">
        <v>10.182845358583828</v>
      </c>
      <c r="CT69" s="2">
        <v>39.120465066729565</v>
      </c>
      <c r="CV69" s="1">
        <v>1861</v>
      </c>
      <c r="CW69" s="1">
        <v>332.06481455125856</v>
      </c>
      <c r="CX69" s="1">
        <v>462.04404380146059</v>
      </c>
      <c r="CY69" s="1">
        <v>74.58787489164088</v>
      </c>
      <c r="CZ69" s="1">
        <v>137.3143657208864</v>
      </c>
      <c r="DA69" s="1">
        <v>151.20287852936525</v>
      </c>
      <c r="DB69" s="1">
        <v>1157.2139774946118</v>
      </c>
      <c r="DC69" s="1">
        <v>1119.3067497404566</v>
      </c>
      <c r="DD69" s="1">
        <v>147.7514423764369</v>
      </c>
      <c r="DF69" s="1">
        <v>1861</v>
      </c>
      <c r="DG69" s="1">
        <v>3.7307641693033133</v>
      </c>
      <c r="DH69" s="1">
        <v>3.7634392823475764</v>
      </c>
      <c r="DI69" s="1">
        <v>3.7072808505803607</v>
      </c>
      <c r="DJ69" s="1">
        <v>6.5932918342893174</v>
      </c>
      <c r="DK69" s="1">
        <v>4.0492707653795605</v>
      </c>
      <c r="DL69" s="1">
        <v>5.0638390697433238</v>
      </c>
      <c r="DM69" s="1">
        <v>4.1265432390118661</v>
      </c>
      <c r="DN69" s="1">
        <v>4.1329483533813232</v>
      </c>
      <c r="DO69" s="1">
        <v>5.250564381187715</v>
      </c>
      <c r="DQ69" s="1">
        <v>1861</v>
      </c>
      <c r="DR69" s="1">
        <v>613.53620481459143</v>
      </c>
      <c r="DS69" s="1">
        <v>947.85027111583429</v>
      </c>
      <c r="DT69" s="1">
        <v>133.27414496679913</v>
      </c>
      <c r="DU69" s="1">
        <v>137.3143657208864</v>
      </c>
      <c r="DV69" s="1">
        <v>151.20287852936525</v>
      </c>
      <c r="DW69" s="1">
        <v>1983.1778651474765</v>
      </c>
      <c r="DX69" s="1">
        <v>1909.1423928687482</v>
      </c>
      <c r="DY69" s="1">
        <v>208.41533934343062</v>
      </c>
      <c r="EA69" s="1">
        <v>1861</v>
      </c>
      <c r="EB69" s="1">
        <v>2.674049798872332</v>
      </c>
      <c r="EC69" s="1">
        <v>2.865986322620472</v>
      </c>
      <c r="ED69" s="1">
        <v>2.5498099741326143</v>
      </c>
      <c r="EE69" s="1">
        <v>6.5665745114789758</v>
      </c>
      <c r="EF69" s="1">
        <v>4.0492707653795605</v>
      </c>
      <c r="EG69" s="1">
        <v>5.0638390697433238</v>
      </c>
      <c r="EH69" s="1">
        <v>3.2064993564493278</v>
      </c>
      <c r="EI69" s="1">
        <v>3.2238614239897601</v>
      </c>
      <c r="EJ69" s="1">
        <v>4.3420434509009453</v>
      </c>
      <c r="EL69" s="1">
        <v>1861</v>
      </c>
      <c r="EM69" s="1">
        <v>1213013.5647363688</v>
      </c>
      <c r="EN69" s="1">
        <v>176873.72830625271</v>
      </c>
      <c r="EO69" s="1">
        <v>18179.14160901964</v>
      </c>
      <c r="EP69" s="1">
        <v>13709.420298111485</v>
      </c>
      <c r="EQ69" s="1">
        <v>22795.096129351772</v>
      </c>
      <c r="ER69" s="1">
        <v>148323.78052118063</v>
      </c>
      <c r="ES69" s="1">
        <v>54596.92664033045</v>
      </c>
      <c r="ET69" s="1">
        <v>1067.5044185690281</v>
      </c>
      <c r="EU69" s="1">
        <v>1648559.1626591838</v>
      </c>
      <c r="EV69" s="1">
        <v>1593962.236018854</v>
      </c>
      <c r="EX69" s="1">
        <v>1861</v>
      </c>
      <c r="EY69" s="1">
        <v>908411.60849587142</v>
      </c>
      <c r="EZ69" s="1">
        <v>127538.50170395977</v>
      </c>
      <c r="FA69" s="1">
        <v>13726.905776811032</v>
      </c>
      <c r="FB69" s="1">
        <v>13709.420298111485</v>
      </c>
      <c r="FC69" s="1">
        <v>9842.2409821627443</v>
      </c>
      <c r="FD69" s="1">
        <v>144409.16269218494</v>
      </c>
      <c r="FE69" s="1">
        <v>54596.92664033045</v>
      </c>
      <c r="FF69" s="1">
        <v>740.62698016020158</v>
      </c>
      <c r="FG69" s="1">
        <v>1272975.3935695919</v>
      </c>
      <c r="FH69" s="1">
        <v>1218378.4669292616</v>
      </c>
      <c r="FJ69" s="1">
        <v>1861</v>
      </c>
      <c r="FK69" s="1">
        <v>304601.95624049741</v>
      </c>
      <c r="FL69" s="1">
        <v>49335.226602292933</v>
      </c>
      <c r="FM69" s="1">
        <v>4452.2358322086075</v>
      </c>
      <c r="FN69" s="1">
        <v>0</v>
      </c>
      <c r="FO69" s="1">
        <v>12952.855147189031</v>
      </c>
      <c r="FP69" s="1">
        <v>3914.6178289956861</v>
      </c>
      <c r="FQ69" s="1">
        <v>326.87743840882644</v>
      </c>
      <c r="FR69" s="1">
        <v>375583.7690895925</v>
      </c>
      <c r="FS69" s="1">
        <v>611059.25051284768</v>
      </c>
      <c r="HC69" s="1">
        <v>1861</v>
      </c>
      <c r="HD69" s="1">
        <v>217.02002936404443</v>
      </c>
      <c r="HE69" s="1">
        <v>52.520496237606018</v>
      </c>
      <c r="HF69" s="1">
        <v>7.6133145827132127</v>
      </c>
      <c r="HG69" s="1">
        <v>11.543129802327114</v>
      </c>
      <c r="HH69" s="1">
        <v>62.315041550868415</v>
      </c>
      <c r="HI69" s="1">
        <v>38.067029053891332</v>
      </c>
      <c r="HJ69" s="1">
        <v>0.72655893090371582</v>
      </c>
      <c r="HK69" s="2">
        <v>389.80559952235421</v>
      </c>
      <c r="HL69" s="1">
        <v>351.73857046846285</v>
      </c>
      <c r="HN69" s="1">
        <v>1861</v>
      </c>
      <c r="HO69" s="1">
        <v>91.635512334942675</v>
      </c>
      <c r="HP69" s="1">
        <v>21.83889459658155</v>
      </c>
      <c r="HQ69" s="1">
        <v>2.7664839492610978</v>
      </c>
      <c r="HR69" s="1">
        <v>0</v>
      </c>
      <c r="HS69" s="1">
        <v>16.883307117347584</v>
      </c>
      <c r="HT69" s="1">
        <v>0.37129184333339993</v>
      </c>
      <c r="HU69" s="2">
        <v>133.49548984146631</v>
      </c>
      <c r="HW69" s="1">
        <v>1861</v>
      </c>
      <c r="HX69" s="1">
        <v>40.033764332590351</v>
      </c>
      <c r="HY69" s="1">
        <v>27.754757998111515</v>
      </c>
      <c r="HZ69" s="1">
        <v>44.150567220072368</v>
      </c>
      <c r="IA69" s="1">
        <v>6.4680974528317794</v>
      </c>
      <c r="IB69" s="1">
        <v>49.764804821839007</v>
      </c>
      <c r="IC69" s="1">
        <v>1.2601823083685844</v>
      </c>
      <c r="ID69" s="1">
        <v>48.237452056424388</v>
      </c>
      <c r="IE69" s="2">
        <v>217.66962619023803</v>
      </c>
      <c r="IF69" s="1">
        <v>216.40944388186944</v>
      </c>
      <c r="IH69" s="1">
        <v>1861</v>
      </c>
      <c r="II69" s="1">
        <v>137.35271068614438</v>
      </c>
      <c r="IJ69" s="1">
        <v>37.0627326560572</v>
      </c>
      <c r="IK69" s="1">
        <v>19.687057783305612</v>
      </c>
      <c r="IL69" s="1">
        <v>142.26457129635861</v>
      </c>
      <c r="IM69" s="1">
        <v>32.330471970723515</v>
      </c>
      <c r="IN69" s="1">
        <v>17.17336591869336</v>
      </c>
      <c r="IO69" s="1">
        <v>-2.2266581644966976</v>
      </c>
    </row>
    <row r="70" spans="1:249" x14ac:dyDescent="0.25">
      <c r="A70" s="1" t="s">
        <v>161</v>
      </c>
      <c r="B70" s="1">
        <v>-5.4709254913324514</v>
      </c>
      <c r="C70" s="1">
        <v>-5.6423357362077127</v>
      </c>
      <c r="D70" s="1">
        <v>-5.2310069388600482</v>
      </c>
      <c r="E70" s="1">
        <v>-5.7102366625300078</v>
      </c>
      <c r="F70" s="1">
        <v>-5.4358644511324599</v>
      </c>
      <c r="G70" s="1">
        <v>-5.5898304421365168</v>
      </c>
      <c r="H70" s="1">
        <v>-6.1103154633302665</v>
      </c>
      <c r="J70" s="1">
        <v>1862</v>
      </c>
      <c r="K70" s="2">
        <v>771.48394015335816</v>
      </c>
      <c r="L70" s="1">
        <v>734.24219140811056</v>
      </c>
      <c r="M70" s="1">
        <v>729.63736651261638</v>
      </c>
      <c r="N70" s="1">
        <v>692.39561776736878</v>
      </c>
      <c r="O70" s="1">
        <v>41.846573640741767</v>
      </c>
      <c r="P70" s="1">
        <v>37.241748745247648</v>
      </c>
      <c r="Q70" s="1">
        <v>442.69179656877827</v>
      </c>
      <c r="R70" s="1">
        <v>1214.1757367221364</v>
      </c>
      <c r="S70" s="1">
        <v>1176.9339879768888</v>
      </c>
      <c r="U70" s="1">
        <v>1862</v>
      </c>
      <c r="V70" s="1">
        <v>195.73139294554966</v>
      </c>
      <c r="W70" s="1">
        <v>12317.349664895648</v>
      </c>
      <c r="X70" s="1">
        <v>-6.8621297293957895</v>
      </c>
      <c r="Y70" s="1">
        <v>186.28287564240722</v>
      </c>
      <c r="Z70" s="1">
        <v>10893.830658162933</v>
      </c>
      <c r="AA70" s="1">
        <v>-6.7448271767747769</v>
      </c>
      <c r="AB70" s="1">
        <v>3941544.218039549</v>
      </c>
      <c r="AC70" s="1">
        <v>1.3660386302185401</v>
      </c>
      <c r="AE70" s="1">
        <v>1862</v>
      </c>
      <c r="AF70" s="1">
        <v>321.8905739423929</v>
      </c>
      <c r="AG70" s="1">
        <v>100.43071113917968</v>
      </c>
      <c r="AH70" s="1">
        <v>52.435904985830604</v>
      </c>
      <c r="AI70" s="1">
        <v>39.90203313620416</v>
      </c>
      <c r="AJ70" s="1">
        <v>62.020021889805783</v>
      </c>
      <c r="AK70" s="1">
        <v>63.945717631292347</v>
      </c>
      <c r="AL70" s="1">
        <v>39.495749011986057</v>
      </c>
      <c r="AM70" s="1">
        <v>54.121479671419024</v>
      </c>
      <c r="AN70" s="2">
        <v>734.24219140811056</v>
      </c>
      <c r="AP70" s="1" t="s">
        <v>161</v>
      </c>
      <c r="AQ70" s="1">
        <v>-8.697428138914006</v>
      </c>
      <c r="AR70" s="1">
        <v>-2.7033799632006748</v>
      </c>
      <c r="AS70" s="1">
        <v>-4.317123545819797</v>
      </c>
      <c r="AT70" s="1">
        <v>-10.319486286744691</v>
      </c>
      <c r="AU70" s="1">
        <v>-7.1072953846259281</v>
      </c>
      <c r="AV70" s="1">
        <v>-0.17289696330895765</v>
      </c>
      <c r="AW70" s="1">
        <v>1.3008732404397421</v>
      </c>
      <c r="AX70" s="1">
        <v>3.5922452791409967</v>
      </c>
      <c r="AY70" s="1">
        <v>-5.4709254913324514</v>
      </c>
      <c r="BA70" s="1">
        <v>1862</v>
      </c>
      <c r="BB70" s="1">
        <v>654.91862763190989</v>
      </c>
      <c r="BC70" s="1">
        <v>50.027897124053133</v>
      </c>
      <c r="BD70" s="1">
        <v>66.11895518239885</v>
      </c>
      <c r="BE70" s="1">
        <v>15.168551679120965</v>
      </c>
      <c r="BF70" s="1">
        <v>0.84317995273311408</v>
      </c>
      <c r="BG70" s="1">
        <v>3.6358341903921407</v>
      </c>
      <c r="BH70" s="1">
        <v>105.43105215132533</v>
      </c>
      <c r="BI70" s="1">
        <v>124.66015775857525</v>
      </c>
      <c r="BJ70" s="1">
        <v>771.48394015335816</v>
      </c>
      <c r="BL70" s="1" t="s">
        <v>161</v>
      </c>
      <c r="BM70" s="1">
        <v>-9.9072888711801994</v>
      </c>
      <c r="BN70" s="1">
        <v>3.2131932885634455</v>
      </c>
      <c r="BO70" s="1">
        <v>2.6546750444089753</v>
      </c>
      <c r="BP70" s="1">
        <v>6.4065404093900185</v>
      </c>
      <c r="BQ70" s="1">
        <v>-10.790143670664023</v>
      </c>
      <c r="BR70" s="1">
        <v>-5.5898304421365168</v>
      </c>
      <c r="BT70" s="1" t="s">
        <v>161</v>
      </c>
      <c r="BU70" s="1">
        <v>5.0226714704772633</v>
      </c>
      <c r="BV70" s="1">
        <v>-0.31478478475017369</v>
      </c>
      <c r="BW70" s="1">
        <v>2.7155253669296258</v>
      </c>
      <c r="BX70" s="1">
        <v>-3.8570691239760748</v>
      </c>
      <c r="BY70" s="1">
        <v>-4.7651875763428819</v>
      </c>
      <c r="BZ70" s="1">
        <v>4.9709986880556443</v>
      </c>
      <c r="CB70" s="1">
        <v>1862</v>
      </c>
      <c r="CC70" s="1">
        <v>24.989118000115734</v>
      </c>
      <c r="CD70" s="1">
        <v>8.1169595917959576</v>
      </c>
      <c r="CE70" s="1">
        <v>0.15675711340904597</v>
      </c>
      <c r="CF70" s="1">
        <v>22.057250780237759</v>
      </c>
      <c r="CG70" s="1">
        <v>1.8808363002008797</v>
      </c>
      <c r="CH70" s="1">
        <v>1.8789576235352343</v>
      </c>
      <c r="CI70" s="1">
        <v>26.686641595350459</v>
      </c>
      <c r="CJ70" s="1">
        <v>85.766521004645071</v>
      </c>
      <c r="CL70" s="1">
        <v>1862</v>
      </c>
      <c r="CM70" s="1">
        <v>16.623903915414036</v>
      </c>
      <c r="CN70" s="1">
        <v>3.8562499325479243</v>
      </c>
      <c r="CO70" s="1">
        <v>0.10373809244620623</v>
      </c>
      <c r="CP70" s="1">
        <v>8.3384608143419978</v>
      </c>
      <c r="CQ70" s="1">
        <v>0.56330836148647723</v>
      </c>
      <c r="CR70" s="1">
        <v>1.3240342507530269</v>
      </c>
      <c r="CS70" s="1">
        <v>11.036878273752096</v>
      </c>
      <c r="CT70" s="2">
        <v>41.846573640741767</v>
      </c>
      <c r="CV70" s="1">
        <v>1862</v>
      </c>
      <c r="CW70" s="1">
        <v>358.84533793656635</v>
      </c>
      <c r="CX70" s="1">
        <v>499.03031308290531</v>
      </c>
      <c r="CY70" s="1">
        <v>77.711955765166167</v>
      </c>
      <c r="CZ70" s="1">
        <v>150.51587742475141</v>
      </c>
      <c r="DA70" s="1">
        <v>161.64844457781317</v>
      </c>
      <c r="DB70" s="1">
        <v>1247.7519287872024</v>
      </c>
      <c r="DC70" s="1">
        <v>1206.7952594898386</v>
      </c>
      <c r="DD70" s="1">
        <v>157.88336620330759</v>
      </c>
      <c r="DF70" s="1">
        <v>1862</v>
      </c>
      <c r="DG70" s="1">
        <v>4.0498358464450206</v>
      </c>
      <c r="DH70" s="1">
        <v>4.3611443892757933</v>
      </c>
      <c r="DI70" s="1">
        <v>3.8259731625524864</v>
      </c>
      <c r="DJ70" s="1">
        <v>6.0406657221567741</v>
      </c>
      <c r="DK70" s="1">
        <v>6.6247584863148745E-2</v>
      </c>
      <c r="DL70" s="1">
        <v>2.2492231211305835</v>
      </c>
      <c r="DM70" s="1">
        <v>3.4761053936500588</v>
      </c>
      <c r="DN70" s="1">
        <v>3.5483826774819676</v>
      </c>
      <c r="DO70" s="1">
        <v>3.6783363181802855</v>
      </c>
      <c r="DQ70" s="1">
        <v>1862</v>
      </c>
      <c r="DR70" s="1">
        <v>657.28251593071457</v>
      </c>
      <c r="DS70" s="1">
        <v>1012.2998810092755</v>
      </c>
      <c r="DT70" s="1">
        <v>138.95984262791143</v>
      </c>
      <c r="DU70" s="1">
        <v>150.51587742475141</v>
      </c>
      <c r="DV70" s="1">
        <v>161.64844457781317</v>
      </c>
      <c r="DW70" s="1">
        <v>2120.706561570466</v>
      </c>
      <c r="DX70" s="1">
        <v>2041.6306830234498</v>
      </c>
      <c r="DY70" s="1">
        <v>221.36210329085119</v>
      </c>
      <c r="EA70" s="1">
        <v>1862</v>
      </c>
      <c r="EB70" s="1">
        <v>2.8941513107479295</v>
      </c>
      <c r="EC70" s="1">
        <v>3.2426113718008622</v>
      </c>
      <c r="ED70" s="1">
        <v>2.6678924043275032</v>
      </c>
      <c r="EE70" s="1">
        <v>6.2368112051276938</v>
      </c>
      <c r="EF70" s="1">
        <v>6.6247584863148745E-2</v>
      </c>
      <c r="EG70" s="1">
        <v>2.2492231211305835</v>
      </c>
      <c r="EH70" s="1">
        <v>2.872669318913097</v>
      </c>
      <c r="EI70" s="1">
        <v>2.9283742087298918</v>
      </c>
      <c r="EJ70" s="1">
        <v>3.2563963896089945</v>
      </c>
      <c r="EL70" s="1">
        <v>1862</v>
      </c>
      <c r="EM70" s="1">
        <v>1194474.6354182428</v>
      </c>
      <c r="EN70" s="1">
        <v>173954.69613360739</v>
      </c>
      <c r="EO70" s="1">
        <v>17947.44677628011</v>
      </c>
      <c r="EP70" s="1">
        <v>13196.670462064141</v>
      </c>
      <c r="EQ70" s="1">
        <v>23357.629122869002</v>
      </c>
      <c r="ER70" s="1">
        <v>146760.59439331532</v>
      </c>
      <c r="ES70" s="1">
        <v>56953.783077109329</v>
      </c>
      <c r="ET70" s="1">
        <v>1090.6673402013378</v>
      </c>
      <c r="EU70" s="1">
        <v>1627736.1227236893</v>
      </c>
      <c r="EV70" s="1">
        <v>1570782.3396465802</v>
      </c>
      <c r="EX70" s="1">
        <v>1862</v>
      </c>
      <c r="EY70" s="1">
        <v>888106.58042272716</v>
      </c>
      <c r="EZ70" s="1">
        <v>125255.03256793585</v>
      </c>
      <c r="FA70" s="1">
        <v>13398.38543197943</v>
      </c>
      <c r="FB70" s="1">
        <v>13196.670462064141</v>
      </c>
      <c r="FC70" s="1">
        <v>10517.127331282813</v>
      </c>
      <c r="FD70" s="1">
        <v>142927.55493301159</v>
      </c>
      <c r="FE70" s="1">
        <v>56953.783077109329</v>
      </c>
      <c r="FF70" s="1">
        <v>760.29387049758384</v>
      </c>
      <c r="FG70" s="1">
        <v>1251115.4280966078</v>
      </c>
      <c r="FH70" s="1">
        <v>1194161.6450194984</v>
      </c>
      <c r="FJ70" s="1">
        <v>1862</v>
      </c>
      <c r="FK70" s="1">
        <v>306368.05499551567</v>
      </c>
      <c r="FL70" s="1">
        <v>48699.663565671537</v>
      </c>
      <c r="FM70" s="1">
        <v>4549.0613443006814</v>
      </c>
      <c r="FN70" s="1">
        <v>0</v>
      </c>
      <c r="FO70" s="1">
        <v>12840.50179158619</v>
      </c>
      <c r="FP70" s="1">
        <v>3833.0394603037248</v>
      </c>
      <c r="FQ70" s="1">
        <v>330.37346970375398</v>
      </c>
      <c r="FR70" s="1">
        <v>376620.69462708157</v>
      </c>
      <c r="FS70" s="1">
        <v>617117.83326260943</v>
      </c>
      <c r="HC70" s="1">
        <v>1862</v>
      </c>
      <c r="HD70" s="1">
        <v>210.24033664065706</v>
      </c>
      <c r="HE70" s="1">
        <v>51.11125056305724</v>
      </c>
      <c r="HF70" s="1">
        <v>7.363552751427842</v>
      </c>
      <c r="HG70" s="1">
        <v>11.010389253307016</v>
      </c>
      <c r="HH70" s="1">
        <v>63.436539648733955</v>
      </c>
      <c r="HI70" s="1">
        <v>38.171714761233048</v>
      </c>
      <c r="HJ70" s="1">
        <v>0.77325695336862732</v>
      </c>
      <c r="HK70" s="2">
        <v>382.10704057178481</v>
      </c>
      <c r="HL70" s="1">
        <v>343.93532581055177</v>
      </c>
      <c r="HN70" s="1">
        <v>1862</v>
      </c>
      <c r="HO70" s="1">
        <v>91.328939851065002</v>
      </c>
      <c r="HP70" s="1">
        <v>21.361576395408829</v>
      </c>
      <c r="HQ70" s="1">
        <v>2.8009515744803988</v>
      </c>
      <c r="HR70" s="1">
        <v>0</v>
      </c>
      <c r="HS70" s="1">
        <v>16.247323130471806</v>
      </c>
      <c r="HT70" s="1">
        <v>0.38905110689070899</v>
      </c>
      <c r="HU70" s="2">
        <v>132.12784205831676</v>
      </c>
      <c r="HW70" s="1">
        <v>1862</v>
      </c>
      <c r="HX70" s="1">
        <v>43.628297450670857</v>
      </c>
      <c r="HY70" s="1">
        <v>27.957884180713606</v>
      </c>
      <c r="HZ70" s="1">
        <v>42.271400659922364</v>
      </c>
      <c r="IA70" s="1">
        <v>5.5846438828971454</v>
      </c>
      <c r="IB70" s="1">
        <v>46.281876741892383</v>
      </c>
      <c r="IC70" s="1">
        <v>1.3240342507530116</v>
      </c>
      <c r="ID70" s="1">
        <v>52.95917161115969</v>
      </c>
      <c r="IE70" s="2">
        <v>220.00730877800905</v>
      </c>
      <c r="IF70" s="1">
        <v>218.68327452725603</v>
      </c>
      <c r="IH70" s="1">
        <v>1862</v>
      </c>
      <c r="II70" s="1">
        <v>149.20799556499432</v>
      </c>
      <c r="IJ70" s="1">
        <v>38.296101251943831</v>
      </c>
      <c r="IK70" s="1">
        <v>18.558912730695937</v>
      </c>
      <c r="IL70" s="1">
        <v>154.85133059683048</v>
      </c>
      <c r="IM70" s="1">
        <v>33.256097850271857</v>
      </c>
      <c r="IN70" s="1">
        <v>16.116445214781557</v>
      </c>
      <c r="IO70" s="1">
        <v>-5.6480779783207282</v>
      </c>
    </row>
    <row r="71" spans="1:249" x14ac:dyDescent="0.25">
      <c r="A71" s="1" t="s">
        <v>162</v>
      </c>
      <c r="B71" s="1">
        <v>8.6603908868662813</v>
      </c>
      <c r="C71" s="1">
        <v>8.5458921508871413</v>
      </c>
      <c r="D71" s="1">
        <v>8.7672584778483582</v>
      </c>
      <c r="E71" s="1">
        <v>8.5536282969861759</v>
      </c>
      <c r="F71" s="1">
        <v>8.5761479327417902</v>
      </c>
      <c r="G71" s="1">
        <v>8.2375680400469662</v>
      </c>
      <c r="H71" s="1">
        <v>8.4796348870139298</v>
      </c>
      <c r="J71" s="1">
        <v>1863</v>
      </c>
      <c r="K71" s="2">
        <v>814.69417869844983</v>
      </c>
      <c r="L71" s="1">
        <v>775.0015318055282</v>
      </c>
      <c r="M71" s="1">
        <v>771.04755224873088</v>
      </c>
      <c r="N71" s="1">
        <v>731.35490535580925</v>
      </c>
      <c r="O71" s="1">
        <v>43.646626449718944</v>
      </c>
      <c r="P71" s="1">
        <v>39.69264689292158</v>
      </c>
      <c r="Q71" s="1">
        <v>465.95528789155799</v>
      </c>
      <c r="R71" s="1">
        <v>1280.6494665900077</v>
      </c>
      <c r="S71" s="1">
        <v>1240.9568196970863</v>
      </c>
      <c r="U71" s="1">
        <v>1863</v>
      </c>
      <c r="V71" s="1">
        <v>203.97282316184291</v>
      </c>
      <c r="W71" s="1">
        <v>13156.470397094436</v>
      </c>
      <c r="X71" s="1">
        <v>6.8125104428128367</v>
      </c>
      <c r="Y71" s="1">
        <v>194.03508031648485</v>
      </c>
      <c r="Z71" s="1">
        <v>11681.429166442846</v>
      </c>
      <c r="AA71" s="1">
        <v>7.2297663970914812</v>
      </c>
      <c r="AB71" s="1">
        <v>3994131.0125027196</v>
      </c>
      <c r="AC71" s="1">
        <v>1.3341673099211562</v>
      </c>
      <c r="AE71" s="1">
        <v>1863</v>
      </c>
      <c r="AF71" s="1">
        <v>344.08609964978228</v>
      </c>
      <c r="AG71" s="1">
        <v>107.14264794571419</v>
      </c>
      <c r="AH71" s="1">
        <v>57.862197409715336</v>
      </c>
      <c r="AI71" s="1">
        <v>42.787053178454698</v>
      </c>
      <c r="AJ71" s="1">
        <v>63.771105717603675</v>
      </c>
      <c r="AK71" s="1">
        <v>62.164163939761735</v>
      </c>
      <c r="AL71" s="1">
        <v>42.680515327071802</v>
      </c>
      <c r="AM71" s="1">
        <v>54.507748637424562</v>
      </c>
      <c r="AN71" s="2">
        <v>775.0015318055282</v>
      </c>
      <c r="AP71" s="1" t="s">
        <v>162</v>
      </c>
      <c r="AQ71" s="1">
        <v>13.014108558234255</v>
      </c>
      <c r="AR71" s="1">
        <v>3.85456905226917</v>
      </c>
      <c r="AS71" s="1">
        <v>9.2052043793587046</v>
      </c>
      <c r="AT71" s="1">
        <v>10.106655012524186</v>
      </c>
      <c r="AU71" s="1">
        <v>3.2933212305564723</v>
      </c>
      <c r="AV71" s="1">
        <v>1.9085178389083239</v>
      </c>
      <c r="AW71" s="1">
        <v>9.4486208611130849</v>
      </c>
      <c r="AX71" s="1">
        <v>4.2183950126611762</v>
      </c>
      <c r="AY71" s="1">
        <v>8.6603908868662813</v>
      </c>
      <c r="BA71" s="1">
        <v>1863</v>
      </c>
      <c r="BB71" s="1">
        <v>680.70279004210352</v>
      </c>
      <c r="BC71" s="1">
        <v>52.46981255054925</v>
      </c>
      <c r="BD71" s="1">
        <v>70.602319341176283</v>
      </c>
      <c r="BE71" s="1">
        <v>15.038829448619516</v>
      </c>
      <c r="BF71" s="1">
        <v>0.64012202839332388</v>
      </c>
      <c r="BG71" s="1">
        <v>1.7029851874599049</v>
      </c>
      <c r="BH71" s="1">
        <v>115.76133645715979</v>
      </c>
      <c r="BI71" s="1">
        <v>122.22401635701181</v>
      </c>
      <c r="BJ71" s="1">
        <v>814.69417869844983</v>
      </c>
      <c r="BL71" s="1" t="s">
        <v>162</v>
      </c>
      <c r="BM71" s="1">
        <v>7.9220926541885461</v>
      </c>
      <c r="BN71" s="1">
        <v>5.0668912919438043</v>
      </c>
      <c r="BO71" s="1">
        <v>2.5607198349217839</v>
      </c>
      <c r="BP71" s="1">
        <v>7.3231176253078445</v>
      </c>
      <c r="BQ71" s="1">
        <v>0.55262547522765715</v>
      </c>
      <c r="BR71" s="1">
        <v>8.2375680400469662</v>
      </c>
      <c r="BT71" s="1" t="s">
        <v>162</v>
      </c>
      <c r="BU71" s="1">
        <v>-3.69256202040944</v>
      </c>
      <c r="BV71" s="1">
        <v>-0.17682432009024751</v>
      </c>
      <c r="BW71" s="1">
        <v>2.443612000482176E-2</v>
      </c>
      <c r="BX71" s="1">
        <v>2.3061429150164088</v>
      </c>
      <c r="BY71" s="1">
        <v>-2.4930742617521844</v>
      </c>
      <c r="BZ71" s="1">
        <v>-2.4359775180814154</v>
      </c>
      <c r="CB71" s="1">
        <v>1863</v>
      </c>
      <c r="CC71" s="1">
        <v>25.287615912177067</v>
      </c>
      <c r="CD71" s="1">
        <v>6.8359289503815548</v>
      </c>
      <c r="CE71" s="1">
        <v>0.18025621127307664</v>
      </c>
      <c r="CF71" s="1">
        <v>17.848691825188073</v>
      </c>
      <c r="CG71" s="1">
        <v>1.241534611104506</v>
      </c>
      <c r="CH71" s="1">
        <v>1.8772526670004082</v>
      </c>
      <c r="CI71" s="1">
        <v>34.712975828524335</v>
      </c>
      <c r="CJ71" s="1">
        <v>87.98425600564903</v>
      </c>
      <c r="CL71" s="1">
        <v>1863</v>
      </c>
      <c r="CM71" s="1">
        <v>17.015086085847496</v>
      </c>
      <c r="CN71" s="1">
        <v>4.0363674277888109</v>
      </c>
      <c r="CO71" s="1">
        <v>0.11133168100902827</v>
      </c>
      <c r="CP71" s="1">
        <v>8.9699306018612486</v>
      </c>
      <c r="CQ71" s="1">
        <v>0.56620807040552101</v>
      </c>
      <c r="CR71" s="1">
        <v>1.3373746107917324</v>
      </c>
      <c r="CS71" s="1">
        <v>11.610327972015108</v>
      </c>
      <c r="CT71" s="2">
        <v>43.646626449718944</v>
      </c>
      <c r="CV71" s="1">
        <v>1863</v>
      </c>
      <c r="CW71" s="1">
        <v>372.87784684692087</v>
      </c>
      <c r="CX71" s="1">
        <v>515.86142431943711</v>
      </c>
      <c r="CY71" s="1">
        <v>84.192420762374539</v>
      </c>
      <c r="CZ71" s="1">
        <v>136.3611402978411</v>
      </c>
      <c r="DA71" s="1">
        <v>167.78869987298259</v>
      </c>
      <c r="DB71" s="1">
        <v>1277.0815320995562</v>
      </c>
      <c r="DC71" s="1">
        <v>1235.7724742126341</v>
      </c>
      <c r="DD71" s="1">
        <v>165.04147301048181</v>
      </c>
      <c r="DF71" s="1">
        <v>1863</v>
      </c>
      <c r="DG71" s="1">
        <v>4.296231631339495</v>
      </c>
      <c r="DH71" s="1">
        <v>6.1957684136686169</v>
      </c>
      <c r="DI71" s="1">
        <v>2.9232694487940023</v>
      </c>
      <c r="DJ71" s="1">
        <v>4.5390735717205644</v>
      </c>
      <c r="DK71" s="1">
        <v>-1.7191279581268759E-2</v>
      </c>
      <c r="DL71" s="1">
        <v>1.0149582115774649</v>
      </c>
      <c r="DM71" s="1">
        <v>3.4180379945202048</v>
      </c>
      <c r="DN71" s="1">
        <v>3.4884119040208645</v>
      </c>
      <c r="DO71" s="1">
        <v>2.0273482834586787</v>
      </c>
      <c r="DQ71" s="1">
        <v>1863</v>
      </c>
      <c r="DR71" s="1">
        <v>675.66512315636157</v>
      </c>
      <c r="DS71" s="1">
        <v>1034.7723859237185</v>
      </c>
      <c r="DT71" s="1">
        <v>150.90363187615077</v>
      </c>
      <c r="DU71" s="1">
        <v>136.3611402978411</v>
      </c>
      <c r="DV71" s="1">
        <v>167.78869987298259</v>
      </c>
      <c r="DW71" s="1">
        <v>2165.4909811270545</v>
      </c>
      <c r="DX71" s="1">
        <v>2085.6700453260205</v>
      </c>
      <c r="DY71" s="1">
        <v>229.65218967422078</v>
      </c>
      <c r="EA71" s="1">
        <v>1863</v>
      </c>
      <c r="EB71" s="1">
        <v>3.0816415965426245</v>
      </c>
      <c r="EC71" s="1">
        <v>4.3363287385578957</v>
      </c>
      <c r="ED71" s="1">
        <v>2.2624220471725351</v>
      </c>
      <c r="EE71" s="1">
        <v>5.3319461151012604</v>
      </c>
      <c r="EF71" s="1">
        <v>-1.7191279581268759E-2</v>
      </c>
      <c r="EG71" s="1">
        <v>1.0149582115774649</v>
      </c>
      <c r="EH71" s="1">
        <v>2.8846097773450765</v>
      </c>
      <c r="EI71" s="1">
        <v>2.9408480708004134</v>
      </c>
      <c r="EJ71" s="1">
        <v>2.1104113135181706</v>
      </c>
      <c r="EL71" s="1">
        <v>1863</v>
      </c>
      <c r="EM71" s="1">
        <v>1223786.0653677795</v>
      </c>
      <c r="EN71" s="1">
        <v>177692.70664597201</v>
      </c>
      <c r="EO71" s="1">
        <v>20126.682375149201</v>
      </c>
      <c r="EP71" s="1">
        <v>13285.739466750749</v>
      </c>
      <c r="EQ71" s="1">
        <v>24715.247058622321</v>
      </c>
      <c r="ER71" s="1">
        <v>148730.09207012682</v>
      </c>
      <c r="ES71" s="1">
        <v>60057.989541454954</v>
      </c>
      <c r="ET71" s="1">
        <v>1114.3976285596859</v>
      </c>
      <c r="EU71" s="1">
        <v>1669508.9201544148</v>
      </c>
      <c r="EV71" s="1">
        <v>1609450.9306129604</v>
      </c>
      <c r="EX71" s="1">
        <v>1863</v>
      </c>
      <c r="EY71" s="1">
        <v>915641.67168034241</v>
      </c>
      <c r="EZ71" s="1">
        <v>127542.4694723213</v>
      </c>
      <c r="FA71" s="1">
        <v>15358.712864479705</v>
      </c>
      <c r="FB71" s="1">
        <v>13285.739466750749</v>
      </c>
      <c r="FC71" s="1">
        <v>11248.191135734081</v>
      </c>
      <c r="FD71" s="1">
        <v>144800.66651265114</v>
      </c>
      <c r="FE71" s="1">
        <v>60057.989541454954</v>
      </c>
      <c r="FF71" s="1">
        <v>780.4884193980148</v>
      </c>
      <c r="FG71" s="1">
        <v>1288715.9290931323</v>
      </c>
      <c r="FH71" s="1">
        <v>1228657.9395516773</v>
      </c>
      <c r="FJ71" s="1">
        <v>1863</v>
      </c>
      <c r="FK71" s="1">
        <v>308144.39368743706</v>
      </c>
      <c r="FL71" s="1">
        <v>50150.237173650712</v>
      </c>
      <c r="FM71" s="1">
        <v>4767.9695106694971</v>
      </c>
      <c r="FN71" s="1">
        <v>0</v>
      </c>
      <c r="FO71" s="1">
        <v>13467.055922888238</v>
      </c>
      <c r="FP71" s="1">
        <v>3929.4255574756853</v>
      </c>
      <c r="FQ71" s="1">
        <v>333.90920916167113</v>
      </c>
      <c r="FR71" s="1">
        <v>380792.99106128281</v>
      </c>
      <c r="FS71" s="1">
        <v>623236.48616907839</v>
      </c>
      <c r="HC71" s="1">
        <v>1863</v>
      </c>
      <c r="HD71" s="1">
        <v>226.70174251295572</v>
      </c>
      <c r="HE71" s="1">
        <v>54.432025811520688</v>
      </c>
      <c r="HF71" s="1">
        <v>8.8281176039775389</v>
      </c>
      <c r="HG71" s="1">
        <v>11.59317485275116</v>
      </c>
      <c r="HH71" s="1">
        <v>62.761428555191507</v>
      </c>
      <c r="HI71" s="1">
        <v>41.343140716280061</v>
      </c>
      <c r="HJ71" s="1">
        <v>0.76186150660230645</v>
      </c>
      <c r="HK71" s="2">
        <v>406.42149155927899</v>
      </c>
      <c r="HL71" s="1">
        <v>365.07835084299893</v>
      </c>
      <c r="HN71" s="1">
        <v>1863</v>
      </c>
      <c r="HO71" s="1">
        <v>96.072161310890792</v>
      </c>
      <c r="HP71" s="1">
        <v>23.006930594570036</v>
      </c>
      <c r="HQ71" s="1">
        <v>3.0704047554769764</v>
      </c>
      <c r="HR71" s="1">
        <v>0</v>
      </c>
      <c r="HS71" s="1">
        <v>17.371665947379761</v>
      </c>
      <c r="HT71" s="1">
        <v>0.37739584171257645</v>
      </c>
      <c r="HU71" s="2">
        <v>139.89855845003012</v>
      </c>
      <c r="HW71" s="1">
        <v>1863</v>
      </c>
      <c r="HX71" s="1">
        <v>45.416195825935745</v>
      </c>
      <c r="HY71" s="1">
        <v>29.703691539623463</v>
      </c>
      <c r="HZ71" s="1">
        <v>45.963675050260818</v>
      </c>
      <c r="IA71" s="1">
        <v>7.0898783257035394</v>
      </c>
      <c r="IB71" s="1">
        <v>45.80217515479417</v>
      </c>
      <c r="IC71" s="1">
        <v>1.3373746107917408</v>
      </c>
      <c r="ID71" s="1">
        <v>53.368491289109677</v>
      </c>
      <c r="IE71" s="2">
        <v>228.68148179621912</v>
      </c>
      <c r="IF71" s="1">
        <v>227.34410718542739</v>
      </c>
      <c r="IH71" s="1">
        <v>1863</v>
      </c>
      <c r="II71" s="1">
        <v>146.11918017907405</v>
      </c>
      <c r="IJ71" s="1">
        <v>38.079636300249248</v>
      </c>
      <c r="IK71" s="1">
        <v>18.873651450485397</v>
      </c>
      <c r="IL71" s="1">
        <v>151.53439963395448</v>
      </c>
      <c r="IM71" s="1">
        <v>33.145235038079448</v>
      </c>
      <c r="IN71" s="1">
        <v>16.427982883571641</v>
      </c>
      <c r="IO71" s="1">
        <v>8.5971739643482294</v>
      </c>
    </row>
    <row r="72" spans="1:249" x14ac:dyDescent="0.25">
      <c r="A72" s="1" t="s">
        <v>163</v>
      </c>
      <c r="B72" s="1">
        <v>3.2690538786031738</v>
      </c>
      <c r="C72" s="1">
        <v>3.1553971942862518</v>
      </c>
      <c r="D72" s="1">
        <v>3.2620051714023219</v>
      </c>
      <c r="E72" s="1">
        <v>3.2761030669516771</v>
      </c>
      <c r="F72" s="1">
        <v>3.2926069636105098</v>
      </c>
      <c r="G72" s="1">
        <v>3.429712714474519</v>
      </c>
      <c r="H72" s="1">
        <v>3.3114670991537594</v>
      </c>
      <c r="J72" s="1">
        <v>1864</v>
      </c>
      <c r="K72" s="2">
        <v>809.14124485808907</v>
      </c>
      <c r="L72" s="1">
        <v>770.73469999202609</v>
      </c>
      <c r="M72" s="1">
        <v>765.10000337218173</v>
      </c>
      <c r="N72" s="1">
        <v>726.69345850611876</v>
      </c>
      <c r="O72" s="1">
        <v>44.041241485907292</v>
      </c>
      <c r="P72" s="1">
        <v>38.406544866062951</v>
      </c>
      <c r="Q72" s="1">
        <v>463.6153851357642</v>
      </c>
      <c r="R72" s="1">
        <v>1272.7566299938533</v>
      </c>
      <c r="S72" s="1">
        <v>1234.3500851277904</v>
      </c>
      <c r="U72" s="1">
        <v>1864</v>
      </c>
      <c r="V72" s="1">
        <v>199.9734774638541</v>
      </c>
      <c r="W72" s="1">
        <v>13432.445186565155</v>
      </c>
      <c r="X72" s="1">
        <v>2.0976354686411014</v>
      </c>
      <c r="Y72" s="1">
        <v>190.48157430968334</v>
      </c>
      <c r="Z72" s="1">
        <v>11907.937424243129</v>
      </c>
      <c r="AA72" s="1">
        <v>1.9390457671992039</v>
      </c>
      <c r="AB72" s="1">
        <v>4046242.807396017</v>
      </c>
      <c r="AC72" s="1">
        <v>1.3047092028321856</v>
      </c>
      <c r="AE72" s="1">
        <v>1864</v>
      </c>
      <c r="AF72" s="1">
        <v>330.52450175640735</v>
      </c>
      <c r="AG72" s="1">
        <v>110.26452235744294</v>
      </c>
      <c r="AH72" s="1">
        <v>63.811334276275183</v>
      </c>
      <c r="AI72" s="1">
        <v>40.768213065863591</v>
      </c>
      <c r="AJ72" s="1">
        <v>64.505803609344255</v>
      </c>
      <c r="AK72" s="1">
        <v>60.68418992459867</v>
      </c>
      <c r="AL72" s="1">
        <v>44.106499741899853</v>
      </c>
      <c r="AM72" s="1">
        <v>56.069635260194268</v>
      </c>
      <c r="AN72" s="2">
        <v>770.73469999202609</v>
      </c>
      <c r="AP72" s="1" t="s">
        <v>163</v>
      </c>
      <c r="AQ72" s="1">
        <v>1.3583878226125989</v>
      </c>
      <c r="AR72" s="1">
        <v>3.8265722622069518</v>
      </c>
      <c r="AS72" s="1">
        <v>12.240616448304763</v>
      </c>
      <c r="AT72" s="1">
        <v>-1.7962103626254446</v>
      </c>
      <c r="AU72" s="1">
        <v>2.7007952890978544</v>
      </c>
      <c r="AV72" s="1">
        <v>4.6072391877444829</v>
      </c>
      <c r="AW72" s="1">
        <v>6.795464288684002</v>
      </c>
      <c r="AX72" s="1">
        <v>4.8807737676202407</v>
      </c>
      <c r="AY72" s="1">
        <v>3.2690538786031738</v>
      </c>
      <c r="BA72" s="1">
        <v>1864</v>
      </c>
      <c r="BB72" s="1">
        <v>655.88569436883029</v>
      </c>
      <c r="BC72" s="1">
        <v>54.425314598686967</v>
      </c>
      <c r="BD72" s="1">
        <v>79.40300427992851</v>
      </c>
      <c r="BE72" s="1">
        <v>18.973861936493119</v>
      </c>
      <c r="BF72" s="1">
        <v>1.5814429328704003</v>
      </c>
      <c r="BG72" s="1">
        <v>5.963568013585216</v>
      </c>
      <c r="BH72" s="1">
        <v>119.63855871616975</v>
      </c>
      <c r="BI72" s="1">
        <v>126.73019998847519</v>
      </c>
      <c r="BJ72" s="1">
        <v>809.14124485808907</v>
      </c>
      <c r="BL72" s="1" t="s">
        <v>163</v>
      </c>
      <c r="BM72" s="1">
        <v>-1.3420764296263172</v>
      </c>
      <c r="BN72" s="1">
        <v>9.8981187975464735</v>
      </c>
      <c r="BO72" s="1">
        <v>25.965320224835708</v>
      </c>
      <c r="BP72" s="1">
        <v>4.6751321723112085</v>
      </c>
      <c r="BQ72" s="1">
        <v>-2.8953676123998378</v>
      </c>
      <c r="BR72" s="1">
        <v>3.4297127144745474</v>
      </c>
      <c r="BT72" s="1" t="s">
        <v>163</v>
      </c>
      <c r="BU72" s="1">
        <v>-2.3350668521360518</v>
      </c>
      <c r="BV72" s="1">
        <v>-5.6153918648792143</v>
      </c>
      <c r="BW72" s="1">
        <v>-4.4282127299230183</v>
      </c>
      <c r="BX72" s="1">
        <v>-1.2665932348413662</v>
      </c>
      <c r="BY72" s="1">
        <v>6.7784521163195848</v>
      </c>
      <c r="BZ72" s="1">
        <v>-3.9749796700108817</v>
      </c>
      <c r="CB72" s="1">
        <v>1864</v>
      </c>
      <c r="CC72" s="1">
        <v>27.54009241063418</v>
      </c>
      <c r="CD72" s="1">
        <v>13.378564152859042</v>
      </c>
      <c r="CE72" s="1">
        <v>0.19506915670787445</v>
      </c>
      <c r="CF72" s="1">
        <v>27.666997508171043</v>
      </c>
      <c r="CG72" s="1">
        <v>3.2610171053781487</v>
      </c>
      <c r="CH72" s="1">
        <v>1.8797492104978322</v>
      </c>
      <c r="CI72" s="1">
        <v>32.000387618629127</v>
      </c>
      <c r="CJ72" s="1">
        <v>105.92187716287725</v>
      </c>
      <c r="CL72" s="1">
        <v>1864</v>
      </c>
      <c r="CM72" s="1">
        <v>16.737631253136623</v>
      </c>
      <c r="CN72" s="1">
        <v>4.3529880185304002</v>
      </c>
      <c r="CO72" s="1">
        <v>0.11966898683062288</v>
      </c>
      <c r="CP72" s="1">
        <v>9.421446050507182</v>
      </c>
      <c r="CQ72" s="1">
        <v>0.56667217095674172</v>
      </c>
      <c r="CR72" s="1">
        <v>1.2944532583933583</v>
      </c>
      <c r="CS72" s="1">
        <v>11.548381747552366</v>
      </c>
      <c r="CT72" s="2">
        <v>44.041241485907292</v>
      </c>
      <c r="CV72" s="1">
        <v>1864</v>
      </c>
      <c r="CW72" s="1">
        <v>375.06574837033696</v>
      </c>
      <c r="CX72" s="1">
        <v>502.95044532303547</v>
      </c>
      <c r="CY72" s="1">
        <v>86.408104031000065</v>
      </c>
      <c r="CZ72" s="1">
        <v>127.12627865720887</v>
      </c>
      <c r="DA72" s="1">
        <v>166.78549014257695</v>
      </c>
      <c r="DB72" s="1">
        <v>1258.3360665241582</v>
      </c>
      <c r="DC72" s="1">
        <v>1218.6043321848265</v>
      </c>
      <c r="DD72" s="1">
        <v>164.5662537351468</v>
      </c>
      <c r="DF72" s="1">
        <v>1864</v>
      </c>
      <c r="DG72" s="1">
        <v>5.3745741487565937</v>
      </c>
      <c r="DH72" s="1">
        <v>5.4529121787155788</v>
      </c>
      <c r="DI72" s="1">
        <v>5.3161515271419546</v>
      </c>
      <c r="DJ72" s="1">
        <v>8.2665200127058682</v>
      </c>
      <c r="DK72" s="1">
        <v>1.4102161651758962</v>
      </c>
      <c r="DL72" s="1">
        <v>3.5755916228007862</v>
      </c>
      <c r="DM72" s="1">
        <v>4.9412296291460223</v>
      </c>
      <c r="DN72" s="1">
        <v>5.0544578726095466</v>
      </c>
      <c r="DO72" s="1">
        <v>6.1600017472408979</v>
      </c>
      <c r="DQ72" s="1">
        <v>1864</v>
      </c>
      <c r="DR72" s="1">
        <v>667.72965539591337</v>
      </c>
      <c r="DS72" s="1">
        <v>1002.3928302403191</v>
      </c>
      <c r="DT72" s="1">
        <v>155.9596350885414</v>
      </c>
      <c r="DU72" s="1">
        <v>127.12627865720887</v>
      </c>
      <c r="DV72" s="1">
        <v>166.78549014257695</v>
      </c>
      <c r="DW72" s="1">
        <v>2119.9938895245596</v>
      </c>
      <c r="DX72" s="1">
        <v>2043.1371896220676</v>
      </c>
      <c r="DY72" s="1">
        <v>227.88678030369914</v>
      </c>
      <c r="EA72" s="1">
        <v>1864</v>
      </c>
      <c r="EB72" s="1">
        <v>3.7300919944202917</v>
      </c>
      <c r="EC72" s="1">
        <v>4.01564581002512</v>
      </c>
      <c r="ED72" s="1">
        <v>3.5398632624697086</v>
      </c>
      <c r="EE72" s="1">
        <v>7.5132536008027557</v>
      </c>
      <c r="EF72" s="1">
        <v>1.4102161651758962</v>
      </c>
      <c r="EG72" s="1">
        <v>3.5755916228007862</v>
      </c>
      <c r="EH72" s="1">
        <v>3.8597751622218226</v>
      </c>
      <c r="EI72" s="1">
        <v>3.9485598238044872</v>
      </c>
      <c r="EJ72" s="1">
        <v>5.2126457942261055</v>
      </c>
      <c r="EL72" s="1">
        <v>1864</v>
      </c>
      <c r="EM72" s="1">
        <v>1228720.9630273839</v>
      </c>
      <c r="EN72" s="1">
        <v>188043.68288409096</v>
      </c>
      <c r="EO72" s="1">
        <v>23110.363678872371</v>
      </c>
      <c r="EP72" s="1">
        <v>13830.782548302437</v>
      </c>
      <c r="EQ72" s="1">
        <v>27677.148878120006</v>
      </c>
      <c r="ER72" s="1">
        <v>156076.16246699105</v>
      </c>
      <c r="ES72" s="1">
        <v>64264.104882060055</v>
      </c>
      <c r="ET72" s="1">
        <v>1138.7102051352081</v>
      </c>
      <c r="EU72" s="1">
        <v>1702861.9185709562</v>
      </c>
      <c r="EV72" s="1">
        <v>1638597.8136888961</v>
      </c>
      <c r="EX72" s="1">
        <v>1864</v>
      </c>
      <c r="EY72" s="1">
        <v>918789.93133940955</v>
      </c>
      <c r="EZ72" s="1">
        <v>134907.61476668267</v>
      </c>
      <c r="FA72" s="1">
        <v>18089.27190361387</v>
      </c>
      <c r="FB72" s="1">
        <v>13830.782548302437</v>
      </c>
      <c r="FC72" s="1">
        <v>11226.898507656651</v>
      </c>
      <c r="FD72" s="1">
        <v>151490.28156270157</v>
      </c>
      <c r="FE72" s="1">
        <v>64264.104882060055</v>
      </c>
      <c r="FF72" s="1">
        <v>801.22503025496076</v>
      </c>
      <c r="FG72" s="1">
        <v>1313400.110540682</v>
      </c>
      <c r="FH72" s="1">
        <v>1249136.0056586219</v>
      </c>
      <c r="FJ72" s="1">
        <v>1864</v>
      </c>
      <c r="FK72" s="1">
        <v>309931.03168797429</v>
      </c>
      <c r="FL72" s="1">
        <v>53136.068117408293</v>
      </c>
      <c r="FM72" s="1">
        <v>5021.091775258501</v>
      </c>
      <c r="FN72" s="1">
        <v>0</v>
      </c>
      <c r="FO72" s="1">
        <v>16450.250370463353</v>
      </c>
      <c r="FP72" s="1">
        <v>4585.8809042894727</v>
      </c>
      <c r="FQ72" s="1">
        <v>337.48517488024726</v>
      </c>
      <c r="FR72" s="1">
        <v>389461.80803027417</v>
      </c>
      <c r="FS72" s="1">
        <v>629415.80482100463</v>
      </c>
      <c r="HC72" s="1">
        <v>1864</v>
      </c>
      <c r="HD72" s="1">
        <v>225.48576407797543</v>
      </c>
      <c r="HE72" s="1">
        <v>57.070244388943181</v>
      </c>
      <c r="HF72" s="1">
        <v>10.306423112617061</v>
      </c>
      <c r="HG72" s="1">
        <v>11.962914528767355</v>
      </c>
      <c r="HH72" s="1">
        <v>61.818922262956221</v>
      </c>
      <c r="HI72" s="1">
        <v>42.812046483506492</v>
      </c>
      <c r="HJ72" s="1">
        <v>0.75244262216263602</v>
      </c>
      <c r="HK72" s="2">
        <v>410.20875747692833</v>
      </c>
      <c r="HL72" s="1">
        <v>367.39671099342183</v>
      </c>
      <c r="HN72" s="1">
        <v>1864</v>
      </c>
      <c r="HO72" s="1">
        <v>95.781568442376596</v>
      </c>
      <c r="HP72" s="1">
        <v>24.162880065019284</v>
      </c>
      <c r="HQ72" s="1">
        <v>3.2050433800615017</v>
      </c>
      <c r="HR72" s="1">
        <v>0</v>
      </c>
      <c r="HS72" s="1">
        <v>20.312885458441777</v>
      </c>
      <c r="HT72" s="1">
        <v>0.36697182848595661</v>
      </c>
      <c r="HU72" s="2">
        <v>143.8293491743851</v>
      </c>
      <c r="HW72" s="1">
        <v>1864</v>
      </c>
      <c r="HX72" s="1">
        <v>30.421169236055277</v>
      </c>
      <c r="HY72" s="1">
        <v>29.031397903480482</v>
      </c>
      <c r="HZ72" s="1">
        <v>50.299867783596625</v>
      </c>
      <c r="IA72" s="1">
        <v>7.641298537096235</v>
      </c>
      <c r="IB72" s="1">
        <v>43.058185812544927</v>
      </c>
      <c r="IC72" s="1">
        <v>1.2944532583933588</v>
      </c>
      <c r="ID72" s="1">
        <v>54.950220809545677</v>
      </c>
      <c r="IE72" s="2">
        <v>216.69659334071258</v>
      </c>
      <c r="IF72" s="1">
        <v>215.40214008231922</v>
      </c>
      <c r="IH72" s="1">
        <v>1864</v>
      </c>
      <c r="II72" s="1">
        <v>141.75424435394203</v>
      </c>
      <c r="IJ72" s="1">
        <v>35.458877983028295</v>
      </c>
      <c r="IK72" s="1">
        <v>18.466366213506085</v>
      </c>
      <c r="IL72" s="1">
        <v>147.27649612984257</v>
      </c>
      <c r="IM72" s="1">
        <v>30.379737392639829</v>
      </c>
      <c r="IN72" s="1">
        <v>15.821238236335194</v>
      </c>
      <c r="IO72" s="1">
        <v>1.4927301158059549</v>
      </c>
    </row>
    <row r="73" spans="1:249" x14ac:dyDescent="0.25">
      <c r="A73" s="1" t="s">
        <v>164</v>
      </c>
      <c r="B73" s="1">
        <v>4.3290059275256709</v>
      </c>
      <c r="C73" s="1">
        <v>4.234745441366357</v>
      </c>
      <c r="D73" s="1">
        <v>4.3999013474643931</v>
      </c>
      <c r="E73" s="1">
        <v>4.2581586509329128</v>
      </c>
      <c r="F73" s="1">
        <v>4.3513014036370379</v>
      </c>
      <c r="G73" s="1">
        <v>4.0915060415755704</v>
      </c>
      <c r="H73" s="1">
        <v>4.0244493053712631</v>
      </c>
      <c r="J73" s="1">
        <v>1865</v>
      </c>
      <c r="K73" s="2">
        <v>806.23144365277597</v>
      </c>
      <c r="L73" s="1">
        <v>766.89396571019847</v>
      </c>
      <c r="M73" s="1">
        <v>761.71082018909681</v>
      </c>
      <c r="N73" s="1">
        <v>722.37334224651931</v>
      </c>
      <c r="O73" s="1">
        <v>44.520623463679129</v>
      </c>
      <c r="P73" s="1">
        <v>39.337477942577465</v>
      </c>
      <c r="Q73" s="1">
        <v>459.02400513257737</v>
      </c>
      <c r="R73" s="1">
        <v>1265.2554487853533</v>
      </c>
      <c r="S73" s="1">
        <v>1225.917970842776</v>
      </c>
      <c r="U73" s="1">
        <v>1865</v>
      </c>
      <c r="V73" s="1">
        <v>197.02425180369562</v>
      </c>
      <c r="W73" s="1">
        <v>13825.545141989649</v>
      </c>
      <c r="X73" s="1">
        <v>2.9264958833977914</v>
      </c>
      <c r="Y73" s="1">
        <v>187.41108523657937</v>
      </c>
      <c r="Z73" s="1">
        <v>12284.387530933429</v>
      </c>
      <c r="AA73" s="1">
        <v>3.1613376295032651</v>
      </c>
      <c r="AB73" s="1">
        <v>4092041.6460003192</v>
      </c>
      <c r="AC73" s="1">
        <v>1.1318855734655244</v>
      </c>
      <c r="AE73" s="1">
        <v>1865</v>
      </c>
      <c r="AF73" s="1">
        <v>320.61798217660504</v>
      </c>
      <c r="AG73" s="1">
        <v>114.82426842383967</v>
      </c>
      <c r="AH73" s="1">
        <v>57.416921802866469</v>
      </c>
      <c r="AI73" s="1">
        <v>42.034484403394252</v>
      </c>
      <c r="AJ73" s="1">
        <v>65.547053218326155</v>
      </c>
      <c r="AK73" s="1">
        <v>59.553038372140819</v>
      </c>
      <c r="AL73" s="1">
        <v>44.294316147185839</v>
      </c>
      <c r="AM73" s="1">
        <v>62.605901165840272</v>
      </c>
      <c r="AN73" s="2">
        <v>766.89396571019836</v>
      </c>
      <c r="AP73" s="1" t="s">
        <v>164</v>
      </c>
      <c r="AQ73" s="1">
        <v>6.5954158395405784</v>
      </c>
      <c r="AR73" s="1">
        <v>7.2725904987110681</v>
      </c>
      <c r="AS73" s="1">
        <v>-5.2714428511267073</v>
      </c>
      <c r="AT73" s="1">
        <v>14.723499027430691</v>
      </c>
      <c r="AU73" s="1">
        <v>4.5200372887176172</v>
      </c>
      <c r="AV73" s="1">
        <v>-2.4842299125801759</v>
      </c>
      <c r="AW73" s="1">
        <v>-6.3597010124537832</v>
      </c>
      <c r="AX73" s="1">
        <v>5.2401022261067567</v>
      </c>
      <c r="AY73" s="1">
        <v>4.3290059275256709</v>
      </c>
      <c r="BA73" s="1">
        <v>1865</v>
      </c>
      <c r="BB73" s="1">
        <v>656.519775402905</v>
      </c>
      <c r="BC73" s="1">
        <v>54.903610491295922</v>
      </c>
      <c r="BD73" s="1">
        <v>66.627202148387198</v>
      </c>
      <c r="BE73" s="1">
        <v>21.216839653264941</v>
      </c>
      <c r="BF73" s="1">
        <v>-5.0784771051024418</v>
      </c>
      <c r="BG73" s="1">
        <v>7.170192452911933</v>
      </c>
      <c r="BH73" s="1">
        <v>137.87025400875399</v>
      </c>
      <c r="BI73" s="1">
        <v>132.99795339964055</v>
      </c>
      <c r="BJ73" s="1">
        <v>806.23144365277597</v>
      </c>
      <c r="BL73" s="1" t="s">
        <v>164</v>
      </c>
      <c r="BM73" s="1">
        <v>5.1200724715843648</v>
      </c>
      <c r="BN73" s="1">
        <v>-4.178581764291593</v>
      </c>
      <c r="BO73" s="1">
        <v>-11.781093760946675</v>
      </c>
      <c r="BP73" s="1">
        <v>19.615388732119342</v>
      </c>
      <c r="BQ73" s="1">
        <v>7.0344129554655837</v>
      </c>
      <c r="BR73" s="1">
        <v>4.0915060415755704</v>
      </c>
      <c r="BT73" s="1" t="s">
        <v>164</v>
      </c>
      <c r="BU73" s="1">
        <v>-4.7787228584339942</v>
      </c>
      <c r="BV73" s="1">
        <v>5.2779360819942696</v>
      </c>
      <c r="BW73" s="1">
        <v>-3.7534751570409526</v>
      </c>
      <c r="BX73" s="1">
        <v>-3.6587343811649475</v>
      </c>
      <c r="BY73" s="1">
        <v>-1.951397874783396</v>
      </c>
      <c r="BZ73" s="1">
        <v>-4.2761625701896406</v>
      </c>
      <c r="CB73" s="1">
        <v>1865</v>
      </c>
      <c r="CC73" s="1">
        <v>20.508416324343493</v>
      </c>
      <c r="CD73" s="1">
        <v>12.597075422429754</v>
      </c>
      <c r="CE73" s="1">
        <v>0.16784814173172757</v>
      </c>
      <c r="CF73" s="1">
        <v>27.832908415341723</v>
      </c>
      <c r="CG73" s="1">
        <v>2.9084790850928277</v>
      </c>
      <c r="CH73" s="1">
        <v>1.883357020308134</v>
      </c>
      <c r="CI73" s="1">
        <v>24.037672740213978</v>
      </c>
      <c r="CJ73" s="1">
        <v>89.935757149461637</v>
      </c>
      <c r="CL73" s="1">
        <v>1865</v>
      </c>
      <c r="CM73" s="1">
        <v>16.664002637891542</v>
      </c>
      <c r="CN73" s="1">
        <v>4.5455268562061439</v>
      </c>
      <c r="CO73" s="1">
        <v>0.12017435461909221</v>
      </c>
      <c r="CP73" s="1">
        <v>9.9055148453754853</v>
      </c>
      <c r="CQ73" s="1">
        <v>0.55136296550892738</v>
      </c>
      <c r="CR73" s="1">
        <v>1.2640826104829461</v>
      </c>
      <c r="CS73" s="1">
        <v>11.469959193594988</v>
      </c>
      <c r="CT73" s="2">
        <v>44.520623463679129</v>
      </c>
      <c r="CV73" s="1">
        <v>1865</v>
      </c>
      <c r="CW73" s="1">
        <v>380.37847751965518</v>
      </c>
      <c r="CX73" s="1">
        <v>509.35272362442316</v>
      </c>
      <c r="CY73" s="1">
        <v>89.543488980874571</v>
      </c>
      <c r="CZ73" s="1">
        <v>118.24244485308762</v>
      </c>
      <c r="DA73" s="1">
        <v>167.31862384968272</v>
      </c>
      <c r="DB73" s="1">
        <v>1264.8357588277233</v>
      </c>
      <c r="DC73" s="1">
        <v>1226.128520808209</v>
      </c>
      <c r="DD73" s="1">
        <v>168.59396063043096</v>
      </c>
      <c r="DF73" s="1">
        <v>1865</v>
      </c>
      <c r="DG73" s="1">
        <v>3.8754987621424988</v>
      </c>
      <c r="DH73" s="1">
        <v>3.3040022738851178</v>
      </c>
      <c r="DI73" s="1">
        <v>4.302308993410378</v>
      </c>
      <c r="DJ73" s="1">
        <v>9.877999708377061</v>
      </c>
      <c r="DK73" s="1">
        <v>-4.9763479700488489</v>
      </c>
      <c r="DL73" s="1">
        <v>4.2853522745642181</v>
      </c>
      <c r="DM73" s="1">
        <v>3.4674042811706016</v>
      </c>
      <c r="DN73" s="1">
        <v>3.5260765545026089</v>
      </c>
      <c r="DO73" s="1">
        <v>5.5149236398356294</v>
      </c>
      <c r="DQ73" s="1">
        <v>1865</v>
      </c>
      <c r="DR73" s="1">
        <v>667.95820228289836</v>
      </c>
      <c r="DS73" s="1">
        <v>998.03350486192562</v>
      </c>
      <c r="DT73" s="1">
        <v>160.52188702175124</v>
      </c>
      <c r="DU73" s="1">
        <v>118.24244485308762</v>
      </c>
      <c r="DV73" s="1">
        <v>167.31862384968272</v>
      </c>
      <c r="DW73" s="1">
        <v>2112.0746628693455</v>
      </c>
      <c r="DX73" s="1">
        <v>2037.1798158767363</v>
      </c>
      <c r="DY73" s="1">
        <v>231.04534840584586</v>
      </c>
      <c r="EA73" s="1">
        <v>1865</v>
      </c>
      <c r="EB73" s="1">
        <v>2.9998653638555766</v>
      </c>
      <c r="EC73" s="1">
        <v>2.8398902436311602</v>
      </c>
      <c r="ED73" s="1">
        <v>3.1069384326835063</v>
      </c>
      <c r="EE73" s="1">
        <v>8.5940608808609653</v>
      </c>
      <c r="EF73" s="1">
        <v>-4.9763479700488631</v>
      </c>
      <c r="EG73" s="1">
        <v>4.2853522745642181</v>
      </c>
      <c r="EH73" s="1">
        <v>3.0442310221451123</v>
      </c>
      <c r="EI73" s="1">
        <v>3.0982668867997063</v>
      </c>
      <c r="EJ73" s="1">
        <v>4.8330069827689215</v>
      </c>
      <c r="EL73" s="1">
        <v>1865</v>
      </c>
      <c r="EM73" s="1">
        <v>1245385.6430640174</v>
      </c>
      <c r="EN73" s="1">
        <v>197757.67596909488</v>
      </c>
      <c r="EO73" s="1">
        <v>22582.672962227411</v>
      </c>
      <c r="EP73" s="1">
        <v>15170.32268297412</v>
      </c>
      <c r="EQ73" s="1">
        <v>26384.086838064519</v>
      </c>
      <c r="ER73" s="1">
        <v>151264.58907366174</v>
      </c>
      <c r="ES73" s="1">
        <v>60448.807850440746</v>
      </c>
      <c r="ET73" s="1">
        <v>1163.6203981897027</v>
      </c>
      <c r="EU73" s="1">
        <v>1720157.4188386709</v>
      </c>
      <c r="EV73" s="1">
        <v>1659708.6109882297</v>
      </c>
      <c r="EX73" s="1">
        <v>1865</v>
      </c>
      <c r="EY73" s="1">
        <v>933657.61435093719</v>
      </c>
      <c r="EZ73" s="1">
        <v>141643.12487827748</v>
      </c>
      <c r="FA73" s="1">
        <v>17462.912466366684</v>
      </c>
      <c r="FB73" s="1">
        <v>15170.32268297412</v>
      </c>
      <c r="FC73" s="1">
        <v>11785.411619077357</v>
      </c>
      <c r="FD73" s="1">
        <v>147155.93987810382</v>
      </c>
      <c r="FE73" s="1">
        <v>60448.807850440746</v>
      </c>
      <c r="FF73" s="1">
        <v>822.51850642616068</v>
      </c>
      <c r="FG73" s="1">
        <v>1328146.6522326036</v>
      </c>
      <c r="FH73" s="1">
        <v>1267697.8443821629</v>
      </c>
      <c r="FJ73" s="1">
        <v>1865</v>
      </c>
      <c r="FK73" s="1">
        <v>311728.02871308033</v>
      </c>
      <c r="FL73" s="1">
        <v>56114.551090817411</v>
      </c>
      <c r="FM73" s="1">
        <v>5119.7604958607271</v>
      </c>
      <c r="FN73" s="1">
        <v>0</v>
      </c>
      <c r="FO73" s="1">
        <v>14598.675218987164</v>
      </c>
      <c r="FP73" s="1">
        <v>4108.6491955579349</v>
      </c>
      <c r="FQ73" s="1">
        <v>341.10189176354197</v>
      </c>
      <c r="FR73" s="1">
        <v>392010.76660606713</v>
      </c>
      <c r="FS73" s="1">
        <v>635656.39071233256</v>
      </c>
      <c r="HC73" s="1">
        <v>1865</v>
      </c>
      <c r="HD73" s="1">
        <v>225.07905316769055</v>
      </c>
      <c r="HE73" s="1">
        <v>58.859057459136416</v>
      </c>
      <c r="HF73" s="1">
        <v>9.7734544518457849</v>
      </c>
      <c r="HG73" s="1">
        <v>12.889307967014656</v>
      </c>
      <c r="HH73" s="1">
        <v>60.883115394462941</v>
      </c>
      <c r="HI73" s="1">
        <v>43.030233536702916</v>
      </c>
      <c r="HJ73" s="1">
        <v>0.76683064815820545</v>
      </c>
      <c r="HK73" s="2">
        <v>411.28105262501145</v>
      </c>
      <c r="HL73" s="1">
        <v>368.25081908830856</v>
      </c>
      <c r="HN73" s="1">
        <v>1865</v>
      </c>
      <c r="HO73" s="1">
        <v>94.631837054918449</v>
      </c>
      <c r="HP73" s="1">
        <v>25.065669642639264</v>
      </c>
      <c r="HQ73" s="1">
        <v>3.2101840522195806</v>
      </c>
      <c r="HR73" s="1">
        <v>0</v>
      </c>
      <c r="HS73" s="1">
        <v>17.962428144417409</v>
      </c>
      <c r="HT73" s="1">
        <v>0.36821125381559411</v>
      </c>
      <c r="HU73" s="2">
        <v>141.23833014801028</v>
      </c>
      <c r="HW73" s="1">
        <v>1865</v>
      </c>
      <c r="HX73" s="1">
        <v>21.347091953996028</v>
      </c>
      <c r="HY73" s="1">
        <v>30.899541322063996</v>
      </c>
      <c r="HZ73" s="1">
        <v>44.433283298801101</v>
      </c>
      <c r="IA73" s="1">
        <v>8.7051764363795954</v>
      </c>
      <c r="IB73" s="1">
        <v>46.254548051586625</v>
      </c>
      <c r="IC73" s="1">
        <v>1.2640826104829248</v>
      </c>
      <c r="ID73" s="1">
        <v>61.470859263866473</v>
      </c>
      <c r="IE73" s="2">
        <v>214.37458293717674</v>
      </c>
      <c r="IF73" s="1">
        <v>213.1105003266938</v>
      </c>
      <c r="IH73" s="1">
        <v>1865</v>
      </c>
      <c r="II73" s="1">
        <v>139.24734922664922</v>
      </c>
      <c r="IJ73" s="1">
        <v>36.52762495574229</v>
      </c>
      <c r="IK73" s="1">
        <v>19.213830861548644</v>
      </c>
      <c r="IL73" s="1">
        <v>144.67903651874545</v>
      </c>
      <c r="IM73" s="1">
        <v>31.401966233263156</v>
      </c>
      <c r="IN73" s="1">
        <v>16.517692257764232</v>
      </c>
      <c r="IO73" s="1">
        <v>3.1598099125850041</v>
      </c>
    </row>
    <row r="74" spans="1:249" x14ac:dyDescent="0.25">
      <c r="A74" s="1" t="s">
        <v>165</v>
      </c>
      <c r="B74" s="1">
        <v>-1.9160297150068999</v>
      </c>
      <c r="C74" s="1">
        <v>-2.020914655512783</v>
      </c>
      <c r="D74" s="1">
        <v>-1.8129518278548744</v>
      </c>
      <c r="E74" s="1">
        <v>-2.0189993898130325</v>
      </c>
      <c r="F74" s="1">
        <v>-1.912437375498385</v>
      </c>
      <c r="G74" s="1">
        <v>-1.1052082743601659</v>
      </c>
      <c r="H74" s="1">
        <v>-1.3897131360640458</v>
      </c>
      <c r="J74" s="1">
        <v>1866</v>
      </c>
      <c r="K74" s="2">
        <v>808.57785083100134</v>
      </c>
      <c r="L74" s="1">
        <v>768.17969266734224</v>
      </c>
      <c r="M74" s="1">
        <v>762.5533643900618</v>
      </c>
      <c r="N74" s="1">
        <v>722.1552062264027</v>
      </c>
      <c r="O74" s="1">
        <v>46.024486440939569</v>
      </c>
      <c r="P74" s="1">
        <v>40.398158163659097</v>
      </c>
      <c r="Q74" s="1">
        <v>454.71203067167755</v>
      </c>
      <c r="R74" s="1">
        <v>1263.2898815026788</v>
      </c>
      <c r="S74" s="1">
        <v>1222.8917233390198</v>
      </c>
      <c r="U74" s="1">
        <v>1866</v>
      </c>
      <c r="V74" s="1">
        <v>195.43405973990716</v>
      </c>
      <c r="W74" s="1">
        <v>13523.0340887741</v>
      </c>
      <c r="X74" s="1">
        <v>-2.1880587717065083</v>
      </c>
      <c r="Y74" s="1">
        <v>185.66978528219767</v>
      </c>
      <c r="Z74" s="1">
        <v>11917.084084951861</v>
      </c>
      <c r="AA74" s="1">
        <v>-2.9900021067933409</v>
      </c>
      <c r="AB74" s="1">
        <v>4137343.5720830583</v>
      </c>
      <c r="AC74" s="1">
        <v>1.1070739254821262</v>
      </c>
      <c r="AE74" s="1">
        <v>1866</v>
      </c>
      <c r="AF74" s="1">
        <v>320.44927855260437</v>
      </c>
      <c r="AG74" s="1">
        <v>112.49316183465147</v>
      </c>
      <c r="AH74" s="1">
        <v>54.712990058845982</v>
      </c>
      <c r="AI74" s="1">
        <v>46.585252324022534</v>
      </c>
      <c r="AJ74" s="1">
        <v>63.173691910543027</v>
      </c>
      <c r="AK74" s="1">
        <v>63.597632681130733</v>
      </c>
      <c r="AL74" s="1">
        <v>46.057270970723465</v>
      </c>
      <c r="AM74" s="1">
        <v>61.110414334820518</v>
      </c>
      <c r="AN74" s="2">
        <v>768.17969266734212</v>
      </c>
      <c r="AP74" s="1" t="s">
        <v>165</v>
      </c>
      <c r="AQ74" s="1">
        <v>-5.6849170445051982</v>
      </c>
      <c r="AR74" s="1">
        <v>1.8143026357453778</v>
      </c>
      <c r="AS74" s="1">
        <v>-5.6394483540557445</v>
      </c>
      <c r="AT74" s="1">
        <v>11.134619817635397</v>
      </c>
      <c r="AU74" s="1">
        <v>-3.6890784306457363</v>
      </c>
      <c r="AV74" s="1">
        <v>0.70197129966712168</v>
      </c>
      <c r="AW74" s="1">
        <v>-0.50297084205823239</v>
      </c>
      <c r="AX74" s="1">
        <v>4.4037442953873693</v>
      </c>
      <c r="AY74" s="1">
        <v>-1.9160297150068999</v>
      </c>
      <c r="BA74" s="1">
        <v>1866</v>
      </c>
      <c r="BB74" s="1">
        <v>642.04476531545333</v>
      </c>
      <c r="BC74" s="1">
        <v>58.193509739807439</v>
      </c>
      <c r="BD74" s="1">
        <v>61.700560390340755</v>
      </c>
      <c r="BE74" s="1">
        <v>16.730184774563487</v>
      </c>
      <c r="BF74" s="1">
        <v>3.3610690456669898</v>
      </c>
      <c r="BG74" s="1">
        <v>6.0444902207818831</v>
      </c>
      <c r="BH74" s="1">
        <v>144.71597455981848</v>
      </c>
      <c r="BI74" s="1">
        <v>124.21270321543095</v>
      </c>
      <c r="BJ74" s="1">
        <v>808.57785083100157</v>
      </c>
      <c r="BL74" s="1" t="s">
        <v>165</v>
      </c>
      <c r="BM74" s="1">
        <v>-4.0417688798722224</v>
      </c>
      <c r="BN74" s="1">
        <v>1.3786891114743014</v>
      </c>
      <c r="BO74" s="1">
        <v>-1.4646823143092149</v>
      </c>
      <c r="BP74" s="1">
        <v>6.3370803892330656</v>
      </c>
      <c r="BQ74" s="1">
        <v>-7.2533410527331768</v>
      </c>
      <c r="BR74" s="1">
        <v>-1.1052082743601659</v>
      </c>
      <c r="BT74" s="1" t="s">
        <v>165</v>
      </c>
      <c r="BU74" s="1">
        <v>1.9143323116767874</v>
      </c>
      <c r="BV74" s="1">
        <v>4.5507072188450053</v>
      </c>
      <c r="BW74" s="1">
        <v>-0.88263706781705764</v>
      </c>
      <c r="BX74" s="1">
        <v>-1.2899968362387995</v>
      </c>
      <c r="BY74" s="1">
        <v>0.69844903061260766</v>
      </c>
      <c r="BZ74" s="1">
        <v>1.4118460590658373</v>
      </c>
      <c r="CB74" s="1">
        <v>1866</v>
      </c>
      <c r="CC74" s="1">
        <v>27.972958341103293</v>
      </c>
      <c r="CD74" s="1">
        <v>10.415057925974864</v>
      </c>
      <c r="CE74" s="1">
        <v>0.16043758370389946</v>
      </c>
      <c r="CF74" s="1">
        <v>21.272107800388905</v>
      </c>
      <c r="CG74" s="1">
        <v>2.5221072915846534</v>
      </c>
      <c r="CH74" s="1">
        <v>5.4326282114292477</v>
      </c>
      <c r="CI74" s="1">
        <v>20.061007277168251</v>
      </c>
      <c r="CJ74" s="1">
        <v>87.836304431353113</v>
      </c>
      <c r="CL74" s="1">
        <v>1866</v>
      </c>
      <c r="CM74" s="1">
        <v>17.073410668888151</v>
      </c>
      <c r="CN74" s="1">
        <v>4.743530184999182</v>
      </c>
      <c r="CO74" s="1">
        <v>0.1234176733204571</v>
      </c>
      <c r="CP74" s="1">
        <v>10.39720591203346</v>
      </c>
      <c r="CQ74" s="1">
        <v>0.55745871801931968</v>
      </c>
      <c r="CR74" s="1">
        <v>1.3741052128354985</v>
      </c>
      <c r="CS74" s="1">
        <v>11.755358070843508</v>
      </c>
      <c r="CT74" s="2">
        <v>46.024486440939569</v>
      </c>
      <c r="CV74" s="1">
        <v>1866</v>
      </c>
      <c r="CW74" s="1">
        <v>393.52710141502166</v>
      </c>
      <c r="CX74" s="1">
        <v>531.9941433749641</v>
      </c>
      <c r="CY74" s="1">
        <v>96.559651287620312</v>
      </c>
      <c r="CZ74" s="1">
        <v>130.22223555356027</v>
      </c>
      <c r="DA74" s="1">
        <v>168.80689282487856</v>
      </c>
      <c r="DB74" s="1">
        <v>1321.1100244560448</v>
      </c>
      <c r="DC74" s="1">
        <v>1281.7948416099919</v>
      </c>
      <c r="DD74" s="1">
        <v>173.92855569635998</v>
      </c>
      <c r="DF74" s="1">
        <v>1866</v>
      </c>
      <c r="DG74" s="1">
        <v>3.0780193366614981</v>
      </c>
      <c r="DH74" s="1">
        <v>2.1105660007810769</v>
      </c>
      <c r="DI74" s="1">
        <v>3.79367480570059</v>
      </c>
      <c r="DJ74" s="1">
        <v>4.0583958497513635</v>
      </c>
      <c r="DK74" s="1">
        <v>-2.7094018276336129</v>
      </c>
      <c r="DL74" s="1">
        <v>3.5807129197339691</v>
      </c>
      <c r="DM74" s="1">
        <v>2.6584369590110271</v>
      </c>
      <c r="DN74" s="1">
        <v>2.4228944298468633</v>
      </c>
      <c r="DO74" s="1">
        <v>2.0715262044574274</v>
      </c>
      <c r="DQ74" s="1">
        <v>1866</v>
      </c>
      <c r="DR74" s="1">
        <v>687.94299845486523</v>
      </c>
      <c r="DS74" s="1">
        <v>1030.4517773624671</v>
      </c>
      <c r="DT74" s="1">
        <v>171.05966488763707</v>
      </c>
      <c r="DU74" s="1">
        <v>130.22223555356027</v>
      </c>
      <c r="DV74" s="1">
        <v>168.80689282487856</v>
      </c>
      <c r="DW74" s="1">
        <v>2188.4835690834079</v>
      </c>
      <c r="DX74" s="1">
        <v>2112.4354182212951</v>
      </c>
      <c r="DY74" s="1">
        <v>238.12927998058041</v>
      </c>
      <c r="EA74" s="1">
        <v>1866</v>
      </c>
      <c r="EB74" s="1">
        <v>2.6033286127927369</v>
      </c>
      <c r="EC74" s="1">
        <v>2.1631636154076546</v>
      </c>
      <c r="ED74" s="1">
        <v>2.8971926537145123</v>
      </c>
      <c r="EE74" s="1">
        <v>5.1830946804154649</v>
      </c>
      <c r="EF74" s="1">
        <v>-2.7094018276336129</v>
      </c>
      <c r="EG74" s="1">
        <v>3.5807129197339691</v>
      </c>
      <c r="EH74" s="1">
        <v>2.5715971856903082</v>
      </c>
      <c r="EI74" s="1">
        <v>2.4408071883748903</v>
      </c>
      <c r="EJ74" s="1">
        <v>2.3166434066820756</v>
      </c>
      <c r="EL74" s="1">
        <v>1866</v>
      </c>
      <c r="EM74" s="1">
        <v>1233767.9505128129</v>
      </c>
      <c r="EN74" s="1">
        <v>201556.82548945941</v>
      </c>
      <c r="EO74" s="1">
        <v>21918.130624473029</v>
      </c>
      <c r="EP74" s="1">
        <v>16169.056674099256</v>
      </c>
      <c r="EQ74" s="1">
        <v>27342.831091638269</v>
      </c>
      <c r="ER74" s="1">
        <v>152396.80900813994</v>
      </c>
      <c r="ES74" s="1">
        <v>61318.110576118757</v>
      </c>
      <c r="ET74" s="1">
        <v>1189.1439540315687</v>
      </c>
      <c r="EU74" s="1">
        <v>1715658.8579307734</v>
      </c>
      <c r="EV74" s="1">
        <v>1654340.7473546544</v>
      </c>
      <c r="EX74" s="1">
        <v>1866</v>
      </c>
      <c r="EY74" s="1">
        <v>920232.50568786822</v>
      </c>
      <c r="EZ74" s="1">
        <v>145282.50923935266</v>
      </c>
      <c r="FA74" s="1">
        <v>16704.826621873173</v>
      </c>
      <c r="FB74" s="1">
        <v>16169.056674099256</v>
      </c>
      <c r="FC74" s="1">
        <v>11899.092764289795</v>
      </c>
      <c r="FD74" s="1">
        <v>148161.67063988908</v>
      </c>
      <c r="FE74" s="1">
        <v>61318.110576118757</v>
      </c>
      <c r="FF74" s="1">
        <v>844.38406244270209</v>
      </c>
      <c r="FG74" s="1">
        <v>1320612.1562659338</v>
      </c>
      <c r="FH74" s="1">
        <v>1259294.045689815</v>
      </c>
      <c r="FJ74" s="1">
        <v>1866</v>
      </c>
      <c r="FK74" s="1">
        <v>313535.44482494466</v>
      </c>
      <c r="FL74" s="1">
        <v>56274.316250106749</v>
      </c>
      <c r="FM74" s="1">
        <v>5213.3040025998553</v>
      </c>
      <c r="FN74" s="1">
        <v>0</v>
      </c>
      <c r="FO74" s="1">
        <v>15443.738327348476</v>
      </c>
      <c r="FP74" s="1">
        <v>4235.1383682508567</v>
      </c>
      <c r="FQ74" s="1">
        <v>344.75989158886665</v>
      </c>
      <c r="FR74" s="1">
        <v>395046.70166483946</v>
      </c>
      <c r="FS74" s="1">
        <v>641958.85130075063</v>
      </c>
      <c r="HC74" s="1">
        <v>1866</v>
      </c>
      <c r="HD74" s="1">
        <v>207.85255462281344</v>
      </c>
      <c r="HE74" s="1">
        <v>56.564180107253208</v>
      </c>
      <c r="HF74" s="1">
        <v>8.7595893970724443</v>
      </c>
      <c r="HG74" s="1">
        <v>12.871519698814989</v>
      </c>
      <c r="HH74" s="1">
        <v>63.341440803015388</v>
      </c>
      <c r="HI74" s="1">
        <v>44.683165757887956</v>
      </c>
      <c r="HJ74" s="1">
        <v>0.81600636394919668</v>
      </c>
      <c r="HK74" s="2">
        <v>394.8884567508066</v>
      </c>
      <c r="HL74" s="1">
        <v>350.20529099291866</v>
      </c>
      <c r="HN74" s="1">
        <v>1866</v>
      </c>
      <c r="HO74" s="1">
        <v>89.178142623059699</v>
      </c>
      <c r="HP74" s="1">
        <v>23.551816338002077</v>
      </c>
      <c r="HQ74" s="1">
        <v>3.0626946437550515</v>
      </c>
      <c r="HR74" s="1">
        <v>0</v>
      </c>
      <c r="HS74" s="1">
        <v>18.339380674594299</v>
      </c>
      <c r="HT74" s="1">
        <v>0.38577084270454909</v>
      </c>
      <c r="HU74" s="2">
        <v>134.51780512211567</v>
      </c>
      <c r="HW74" s="1">
        <v>1866</v>
      </c>
      <c r="HX74" s="1">
        <v>46.840581306731224</v>
      </c>
      <c r="HY74" s="1">
        <v>32.377165389396197</v>
      </c>
      <c r="HZ74" s="1">
        <v>42.890706018018484</v>
      </c>
      <c r="IA74" s="1">
        <v>10.291732625207544</v>
      </c>
      <c r="IB74" s="1">
        <v>45.090503114064056</v>
      </c>
      <c r="IC74" s="1">
        <v>1.374105212835506</v>
      </c>
      <c r="ID74" s="1">
        <v>59.908637128166774</v>
      </c>
      <c r="IE74" s="2">
        <v>238.77343079441977</v>
      </c>
      <c r="IF74" s="1">
        <v>237.39932558158426</v>
      </c>
      <c r="IH74" s="1">
        <v>1866</v>
      </c>
      <c r="II74" s="1">
        <v>146.42122212476386</v>
      </c>
      <c r="IJ74" s="1">
        <v>40.086128388504441</v>
      </c>
      <c r="IK74" s="1">
        <v>19.543167441354004</v>
      </c>
      <c r="IL74" s="1">
        <v>152.51150423098969</v>
      </c>
      <c r="IM74" s="1">
        <v>34.492032091593074</v>
      </c>
      <c r="IN74" s="1">
        <v>16.815880846000265</v>
      </c>
      <c r="IO74" s="1">
        <v>-8.0662242802538628</v>
      </c>
    </row>
    <row r="75" spans="1:249" x14ac:dyDescent="0.25">
      <c r="A75" s="1" t="s">
        <v>166</v>
      </c>
      <c r="B75" s="1">
        <v>2.4630510391528304</v>
      </c>
      <c r="C75" s="1">
        <v>2.4332496017484289</v>
      </c>
      <c r="D75" s="1">
        <v>2.4295772946899348</v>
      </c>
      <c r="E75" s="1">
        <v>2.4965357227565477</v>
      </c>
      <c r="F75" s="1">
        <v>2.4493287698319222</v>
      </c>
      <c r="G75" s="1">
        <v>2.8983934100550215</v>
      </c>
      <c r="H75" s="1">
        <v>2.9396069906829183</v>
      </c>
      <c r="J75" s="1">
        <v>1867</v>
      </c>
      <c r="K75" s="2">
        <v>853.33654559361662</v>
      </c>
      <c r="L75" s="1">
        <v>810.40326077905127</v>
      </c>
      <c r="M75" s="1">
        <v>806.63783664213554</v>
      </c>
      <c r="N75" s="1">
        <v>763.70455182757019</v>
      </c>
      <c r="O75" s="1">
        <v>46.69870895148108</v>
      </c>
      <c r="P75" s="1">
        <v>42.933284814565411</v>
      </c>
      <c r="Q75" s="1">
        <v>476.10864794764154</v>
      </c>
      <c r="R75" s="1">
        <v>1329.445193541258</v>
      </c>
      <c r="S75" s="1">
        <v>1286.5119087266928</v>
      </c>
      <c r="U75" s="1">
        <v>1867</v>
      </c>
      <c r="V75" s="1">
        <v>204.23826562067578</v>
      </c>
      <c r="W75" s="1">
        <v>13779.1076197313</v>
      </c>
      <c r="X75" s="1">
        <v>1.8936100380740299</v>
      </c>
      <c r="Y75" s="1">
        <v>193.96257817566485</v>
      </c>
      <c r="Z75" s="1">
        <v>12091.373668567776</v>
      </c>
      <c r="AA75" s="1">
        <v>1.4625187031783753</v>
      </c>
      <c r="AB75" s="1">
        <v>4178142.3427208653</v>
      </c>
      <c r="AC75" s="1">
        <v>0.98611028857015981</v>
      </c>
      <c r="AE75" s="1">
        <v>1867</v>
      </c>
      <c r="AF75" s="1">
        <v>366.52813294169323</v>
      </c>
      <c r="AG75" s="1">
        <v>110.75355181008133</v>
      </c>
      <c r="AH75" s="1">
        <v>52.856066279334541</v>
      </c>
      <c r="AI75" s="1">
        <v>44.237559353426207</v>
      </c>
      <c r="AJ75" s="1">
        <v>64.870120662504931</v>
      </c>
      <c r="AK75" s="1">
        <v>62.456566220725279</v>
      </c>
      <c r="AL75" s="1">
        <v>48.400837727060029</v>
      </c>
      <c r="AM75" s="1">
        <v>60.300425784225681</v>
      </c>
      <c r="AN75" s="2">
        <v>810.40326077905127</v>
      </c>
      <c r="AP75" s="1" t="s">
        <v>166</v>
      </c>
      <c r="AQ75" s="1">
        <v>5.9153473738138018</v>
      </c>
      <c r="AR75" s="1">
        <v>2.0421945938495156</v>
      </c>
      <c r="AS75" s="1">
        <v>-5.0564814940772749</v>
      </c>
      <c r="AT75" s="1">
        <v>-2.9025250328062526</v>
      </c>
      <c r="AU75" s="1">
        <v>1.9961374358807404</v>
      </c>
      <c r="AV75" s="1">
        <v>0.22682675733804558</v>
      </c>
      <c r="AW75" s="1">
        <v>-3.5329328437453</v>
      </c>
      <c r="AX75" s="1">
        <v>2.7640811673566077</v>
      </c>
      <c r="AY75" s="1">
        <v>2.4630510391528304</v>
      </c>
      <c r="BA75" s="1">
        <v>1867</v>
      </c>
      <c r="BB75" s="1">
        <v>708.46443728277995</v>
      </c>
      <c r="BC75" s="1">
        <v>60.520039846111679</v>
      </c>
      <c r="BD75" s="1">
        <v>56.863528574648896</v>
      </c>
      <c r="BE75" s="1">
        <v>12.86376645475919</v>
      </c>
      <c r="BF75" s="1">
        <v>-0.8357876102008841</v>
      </c>
      <c r="BG75" s="1">
        <v>3.760923719864631</v>
      </c>
      <c r="BH75" s="1">
        <v>160.0251686994163</v>
      </c>
      <c r="BI75" s="1">
        <v>148.32553137376311</v>
      </c>
      <c r="BJ75" s="1">
        <v>853.33654559361662</v>
      </c>
      <c r="BL75" s="1" t="s">
        <v>166</v>
      </c>
      <c r="BM75" s="1">
        <v>6.4323042427195958</v>
      </c>
      <c r="BN75" s="1">
        <v>-4.3404494448493125</v>
      </c>
      <c r="BO75" s="1">
        <v>-16.654723902746454</v>
      </c>
      <c r="BP75" s="1">
        <v>9.0788975871749784</v>
      </c>
      <c r="BQ75" s="1">
        <v>11.119665411265316</v>
      </c>
      <c r="BR75" s="1">
        <v>2.8983934100550073</v>
      </c>
      <c r="BT75" s="1" t="s">
        <v>166</v>
      </c>
      <c r="BU75" s="1">
        <v>3.6762501248992692</v>
      </c>
      <c r="BV75" s="1">
        <v>8.7167142642646098</v>
      </c>
      <c r="BW75" s="1">
        <v>-0.75809170070797904</v>
      </c>
      <c r="BX75" s="1">
        <v>1.3750496715978073</v>
      </c>
      <c r="BY75" s="1">
        <v>7.4630034780147128</v>
      </c>
      <c r="BZ75" s="1">
        <v>2.5628099298267557</v>
      </c>
      <c r="CB75" s="1">
        <v>1867</v>
      </c>
      <c r="CC75" s="1">
        <v>20.274093502798671</v>
      </c>
      <c r="CD75" s="1">
        <v>8.4060140540915729</v>
      </c>
      <c r="CE75" s="1">
        <v>0.14708719853576352</v>
      </c>
      <c r="CF75" s="1">
        <v>16.156496977364725</v>
      </c>
      <c r="CG75" s="1">
        <v>2.1415353300463438</v>
      </c>
      <c r="CH75" s="1">
        <v>2.7824953426356669</v>
      </c>
      <c r="CI75" s="1">
        <v>22.744708733599094</v>
      </c>
      <c r="CJ75" s="1">
        <v>72.652431139071837</v>
      </c>
      <c r="CL75" s="1">
        <v>1867</v>
      </c>
      <c r="CM75" s="1">
        <v>17.26127831751749</v>
      </c>
      <c r="CN75" s="1">
        <v>4.7772439593944434</v>
      </c>
      <c r="CO75" s="1">
        <v>0.12275125390525433</v>
      </c>
      <c r="CP75" s="1">
        <v>10.47421742355953</v>
      </c>
      <c r="CQ75" s="1">
        <v>0.57198230228983893</v>
      </c>
      <c r="CR75" s="1">
        <v>1.4156883624683931</v>
      </c>
      <c r="CS75" s="1">
        <v>12.075547332346122</v>
      </c>
      <c r="CT75" s="2">
        <v>46.69870895148108</v>
      </c>
      <c r="CV75" s="1">
        <v>1867</v>
      </c>
      <c r="CW75" s="1">
        <v>401.9900578430329</v>
      </c>
      <c r="CX75" s="1">
        <v>552.37623063985313</v>
      </c>
      <c r="CY75" s="1">
        <v>97.768045921142971</v>
      </c>
      <c r="CZ75" s="1">
        <v>135.39030459922728</v>
      </c>
      <c r="DA75" s="1">
        <v>171.33048290641489</v>
      </c>
      <c r="DB75" s="1">
        <v>1358.8551219096712</v>
      </c>
      <c r="DC75" s="1">
        <v>1315.5074317626793</v>
      </c>
      <c r="DD75" s="1">
        <v>174.43233256717951</v>
      </c>
      <c r="DF75" s="1">
        <v>1867</v>
      </c>
      <c r="DG75" s="1">
        <v>2.3906014647907767</v>
      </c>
      <c r="DH75" s="1">
        <v>2.654085889213448</v>
      </c>
      <c r="DI75" s="1">
        <v>2.1988348298671383</v>
      </c>
      <c r="DJ75" s="1">
        <v>0.24105160694307415</v>
      </c>
      <c r="DK75" s="1">
        <v>-4.706909154686727</v>
      </c>
      <c r="DL75" s="1">
        <v>2.1951281850521127</v>
      </c>
      <c r="DM75" s="1">
        <v>1.5777748489356895</v>
      </c>
      <c r="DN75" s="1">
        <v>1.5255212084721848</v>
      </c>
      <c r="DO75" s="1">
        <v>1.5802370241307955</v>
      </c>
      <c r="DQ75" s="1">
        <v>1867</v>
      </c>
      <c r="DR75" s="1">
        <v>703.09946880230666</v>
      </c>
      <c r="DS75" s="1">
        <v>1060.6904520958944</v>
      </c>
      <c r="DT75" s="1">
        <v>175.12979971040838</v>
      </c>
      <c r="DU75" s="1">
        <v>135.39030459922728</v>
      </c>
      <c r="DV75" s="1">
        <v>171.33048290641489</v>
      </c>
      <c r="DW75" s="1">
        <v>2245.640508114252</v>
      </c>
      <c r="DX75" s="1">
        <v>2164.9295142231053</v>
      </c>
      <c r="DY75" s="1">
        <v>240.0210364206788</v>
      </c>
      <c r="EA75" s="1">
        <v>1867</v>
      </c>
      <c r="EB75" s="1">
        <v>2.2450497617510621</v>
      </c>
      <c r="EC75" s="1">
        <v>2.4855762697112169</v>
      </c>
      <c r="ED75" s="1">
        <v>2.0855986180026349</v>
      </c>
      <c r="EE75" s="1">
        <v>2.7414185530556097</v>
      </c>
      <c r="EF75" s="1">
        <v>-4.706909154686727</v>
      </c>
      <c r="EG75" s="1">
        <v>2.1951281850521127</v>
      </c>
      <c r="EH75" s="1">
        <v>1.9054180780852192</v>
      </c>
      <c r="EI75" s="1">
        <v>1.8815625622016512</v>
      </c>
      <c r="EJ75" s="1">
        <v>1.9303250592240317</v>
      </c>
      <c r="EL75" s="1">
        <v>1867</v>
      </c>
      <c r="EM75" s="1">
        <v>1248371.6239105917</v>
      </c>
      <c r="EN75" s="1">
        <v>196578.97276835304</v>
      </c>
      <c r="EO75" s="1">
        <v>21326.448281746489</v>
      </c>
      <c r="EP75" s="1">
        <v>16804.400798567694</v>
      </c>
      <c r="EQ75" s="1">
        <v>28609.940381813743</v>
      </c>
      <c r="ER75" s="1">
        <v>152005.84256888783</v>
      </c>
      <c r="ES75" s="1">
        <v>58836.846608048065</v>
      </c>
      <c r="ET75" s="1">
        <v>1215.2970486066779</v>
      </c>
      <c r="EU75" s="1">
        <v>1723749.3723666153</v>
      </c>
      <c r="EV75" s="1">
        <v>1664912.5257585675</v>
      </c>
      <c r="EX75" s="1">
        <v>1867</v>
      </c>
      <c r="EY75" s="1">
        <v>933018.28347659111</v>
      </c>
      <c r="EZ75" s="1">
        <v>141941.88445912223</v>
      </c>
      <c r="FA75" s="1">
        <v>16015.233948162037</v>
      </c>
      <c r="FB75" s="1">
        <v>16804.400798567694</v>
      </c>
      <c r="FC75" s="1">
        <v>12334.785602145901</v>
      </c>
      <c r="FD75" s="1">
        <v>147643.56489702169</v>
      </c>
      <c r="FE75" s="1">
        <v>58836.846608048065</v>
      </c>
      <c r="FF75" s="1">
        <v>866.83733553232059</v>
      </c>
      <c r="FG75" s="1">
        <v>1327461.8371251912</v>
      </c>
      <c r="FH75" s="1">
        <v>1268624.9905171432</v>
      </c>
      <c r="FJ75" s="1">
        <v>1867</v>
      </c>
      <c r="FK75" s="1">
        <v>315353.34043400054</v>
      </c>
      <c r="FL75" s="1">
        <v>54637.088309230814</v>
      </c>
      <c r="FM75" s="1">
        <v>5311.214333584453</v>
      </c>
      <c r="FN75" s="1">
        <v>0</v>
      </c>
      <c r="FO75" s="1">
        <v>16275.154779667842</v>
      </c>
      <c r="FP75" s="1">
        <v>4362.2776718661671</v>
      </c>
      <c r="FQ75" s="1">
        <v>348.45971307435735</v>
      </c>
      <c r="FR75" s="1">
        <v>396287.53524142422</v>
      </c>
      <c r="FS75" s="1">
        <v>648323.80006682093</v>
      </c>
      <c r="HC75" s="1">
        <v>1867</v>
      </c>
      <c r="HD75" s="1">
        <v>200.60871970944251</v>
      </c>
      <c r="HE75" s="1">
        <v>52.606642685816688</v>
      </c>
      <c r="HF75" s="1">
        <v>7.994235156197635</v>
      </c>
      <c r="HG75" s="1">
        <v>12.734151984925667</v>
      </c>
      <c r="HH75" s="1">
        <v>62.695419146696111</v>
      </c>
      <c r="HI75" s="1">
        <v>46.985149364591642</v>
      </c>
      <c r="HJ75" s="1">
        <v>0.84192734065243369</v>
      </c>
      <c r="HK75" s="2">
        <v>384.4662453883227</v>
      </c>
      <c r="HL75" s="1">
        <v>337.48109602373108</v>
      </c>
      <c r="HN75" s="1">
        <v>1867</v>
      </c>
      <c r="HO75" s="1">
        <v>85.382933013569783</v>
      </c>
      <c r="HP75" s="1">
        <v>21.767250813327731</v>
      </c>
      <c r="HQ75" s="1">
        <v>2.9702043608710107</v>
      </c>
      <c r="HR75" s="1">
        <v>0</v>
      </c>
      <c r="HS75" s="1">
        <v>18.183791704096638</v>
      </c>
      <c r="HT75" s="1">
        <v>0.391876052957988</v>
      </c>
      <c r="HU75" s="2">
        <v>128.69605594482317</v>
      </c>
      <c r="HW75" s="1">
        <v>1867</v>
      </c>
      <c r="HX75" s="1">
        <v>100.45348021868097</v>
      </c>
      <c r="HY75" s="1">
        <v>36.379658310936918</v>
      </c>
      <c r="HZ75" s="1">
        <v>41.891626762265901</v>
      </c>
      <c r="IA75" s="1">
        <v>11.586407368500538</v>
      </c>
      <c r="IB75" s="1">
        <v>46.447476032437464</v>
      </c>
      <c r="IC75" s="1">
        <v>1.4156883624683863</v>
      </c>
      <c r="ID75" s="1">
        <v>59.066622390615258</v>
      </c>
      <c r="IE75" s="2">
        <v>297.24095944590545</v>
      </c>
      <c r="IF75" s="1">
        <v>295.82527108343703</v>
      </c>
      <c r="IH75" s="1">
        <v>1867</v>
      </c>
      <c r="II75" s="1">
        <v>149.09548234643802</v>
      </c>
      <c r="IJ75" s="1">
        <v>48.557366929131867</v>
      </c>
      <c r="IK75" s="1">
        <v>21.922821666577917</v>
      </c>
      <c r="IL75" s="1">
        <v>155.44272828259543</v>
      </c>
      <c r="IM75" s="1">
        <v>42.491273301304339</v>
      </c>
      <c r="IN75" s="1">
        <v>19.184084020244732</v>
      </c>
      <c r="IO75" s="1">
        <v>-8.1831108111751121</v>
      </c>
    </row>
    <row r="76" spans="1:249" x14ac:dyDescent="0.25">
      <c r="A76" s="1" t="s">
        <v>167</v>
      </c>
      <c r="B76" s="1">
        <v>-10.555820843616772</v>
      </c>
      <c r="C76" s="1">
        <v>-10.64456675475796</v>
      </c>
      <c r="D76" s="1">
        <v>-9.854953377214116</v>
      </c>
      <c r="E76" s="1">
        <v>-11.251239145324703</v>
      </c>
      <c r="F76" s="1">
        <v>-10.338699848119148</v>
      </c>
      <c r="G76" s="1">
        <v>-13.812388557219705</v>
      </c>
      <c r="H76" s="1">
        <v>-14.65618461931038</v>
      </c>
      <c r="J76" s="1">
        <v>1868</v>
      </c>
      <c r="K76" s="2">
        <v>823.89630218698358</v>
      </c>
      <c r="L76" s="1">
        <v>781.00060814879635</v>
      </c>
      <c r="M76" s="1">
        <v>777.22719295597665</v>
      </c>
      <c r="N76" s="1">
        <v>734.33149891778942</v>
      </c>
      <c r="O76" s="1">
        <v>46.669109231006921</v>
      </c>
      <c r="P76" s="1">
        <v>42.895694038187202</v>
      </c>
      <c r="Q76" s="1">
        <v>485.36713065051504</v>
      </c>
      <c r="R76" s="1">
        <v>1309.2634328374986</v>
      </c>
      <c r="S76" s="1">
        <v>1266.3677387993114</v>
      </c>
      <c r="U76" s="1">
        <v>1868</v>
      </c>
      <c r="V76" s="1">
        <v>196.8987540034791</v>
      </c>
      <c r="W76" s="1">
        <v>11858.222176771797</v>
      </c>
      <c r="X76" s="1">
        <v>-13.940564918796696</v>
      </c>
      <c r="Y76" s="1">
        <v>186.64733196673265</v>
      </c>
      <c r="Z76" s="1">
        <v>10798.946046739267</v>
      </c>
      <c r="AA76" s="1">
        <v>-10.688840302638638</v>
      </c>
      <c r="AB76" s="1">
        <v>4184365.2406882457</v>
      </c>
      <c r="AC76" s="1">
        <v>0.14893934808664255</v>
      </c>
      <c r="AE76" s="1">
        <v>1868</v>
      </c>
      <c r="AF76" s="1">
        <v>344.90558232614598</v>
      </c>
      <c r="AG76" s="1">
        <v>106.96658021501989</v>
      </c>
      <c r="AH76" s="1">
        <v>47.76685494280084</v>
      </c>
      <c r="AI76" s="1">
        <v>43.928035841997648</v>
      </c>
      <c r="AJ76" s="1">
        <v>64.177864643280699</v>
      </c>
      <c r="AK76" s="1">
        <v>63.398470890816881</v>
      </c>
      <c r="AL76" s="1">
        <v>49.536304627723773</v>
      </c>
      <c r="AM76" s="1">
        <v>60.320914661010676</v>
      </c>
      <c r="AN76" s="2">
        <v>781.00060814879623</v>
      </c>
      <c r="AP76" s="1" t="s">
        <v>167</v>
      </c>
      <c r="AQ76" s="1">
        <v>-19.634871807621593</v>
      </c>
      <c r="AR76" s="1">
        <v>-2.812914386913036</v>
      </c>
      <c r="AS76" s="1">
        <v>-7.3136350971280706</v>
      </c>
      <c r="AT76" s="1">
        <v>-3.2754874574834787</v>
      </c>
      <c r="AU76" s="1">
        <v>-5.0992794621707134</v>
      </c>
      <c r="AV76" s="1">
        <v>-6.9095283973155119E-2</v>
      </c>
      <c r="AW76" s="1">
        <v>-1.1078558359442212</v>
      </c>
      <c r="AX76" s="1">
        <v>2.5078031615782805</v>
      </c>
      <c r="AY76" s="1">
        <v>-10.555820843616772</v>
      </c>
      <c r="BA76" s="1">
        <v>1868</v>
      </c>
      <c r="BB76" s="1">
        <v>701.46289914354429</v>
      </c>
      <c r="BC76" s="1">
        <v>62.726599923370195</v>
      </c>
      <c r="BD76" s="1">
        <v>49.463770077490565</v>
      </c>
      <c r="BE76" s="1">
        <v>14.295903583325686</v>
      </c>
      <c r="BF76" s="1">
        <v>-11.429808359168586</v>
      </c>
      <c r="BG76" s="1">
        <v>2.9481325566382166</v>
      </c>
      <c r="BH76" s="1">
        <v>157.1497865669387</v>
      </c>
      <c r="BI76" s="1">
        <v>152.72098130515542</v>
      </c>
      <c r="BJ76" s="1">
        <v>823.89630218698369</v>
      </c>
      <c r="BL76" s="1" t="s">
        <v>167</v>
      </c>
      <c r="BM76" s="1">
        <v>-12.880238250021591</v>
      </c>
      <c r="BN76" s="1">
        <v>0.10280581981614034</v>
      </c>
      <c r="BO76" s="1">
        <v>-24.684379576845558</v>
      </c>
      <c r="BP76" s="1">
        <v>0.40367254965036636</v>
      </c>
      <c r="BQ76" s="1">
        <v>6.8994251259292412</v>
      </c>
      <c r="BR76" s="1">
        <v>-13.812388557219677</v>
      </c>
      <c r="BT76" s="1" t="s">
        <v>167</v>
      </c>
      <c r="BU76" s="1">
        <v>13.650139170172721</v>
      </c>
      <c r="BV76" s="1">
        <v>3.5395543613294222</v>
      </c>
      <c r="BW76" s="1">
        <v>1.0222635341994959</v>
      </c>
      <c r="BX76" s="1">
        <v>-2.1916566169040976</v>
      </c>
      <c r="BY76" s="1">
        <v>-3.6820072531675265</v>
      </c>
      <c r="BZ76" s="1">
        <v>12.023042345257281</v>
      </c>
      <c r="CB76" s="1">
        <v>1868</v>
      </c>
      <c r="CC76" s="1">
        <v>12.054599223123333</v>
      </c>
      <c r="CD76" s="1">
        <v>9.7720280846874026</v>
      </c>
      <c r="CE76" s="1">
        <v>0.14834125534604808</v>
      </c>
      <c r="CF76" s="1">
        <v>12.965637612658995</v>
      </c>
      <c r="CG76" s="1">
        <v>1.4499448825396413</v>
      </c>
      <c r="CH76" s="1">
        <v>2.7961349949142766</v>
      </c>
      <c r="CI76" s="1">
        <v>16.091311805016183</v>
      </c>
      <c r="CJ76" s="1">
        <v>55.277997858285872</v>
      </c>
      <c r="CL76" s="1">
        <v>1868</v>
      </c>
      <c r="CM76" s="1">
        <v>17.11158242141687</v>
      </c>
      <c r="CN76" s="1">
        <v>4.8356392853559385</v>
      </c>
      <c r="CO76" s="1">
        <v>0.12148616865277362</v>
      </c>
      <c r="CP76" s="1">
        <v>10.518865759932799</v>
      </c>
      <c r="CQ76" s="1">
        <v>0.5650535343708285</v>
      </c>
      <c r="CR76" s="1">
        <v>1.4381809008675035</v>
      </c>
      <c r="CS76" s="1">
        <v>12.078301160410213</v>
      </c>
      <c r="CT76" s="2">
        <v>46.669109231006921</v>
      </c>
      <c r="CV76" s="1">
        <v>1868</v>
      </c>
      <c r="CW76" s="1">
        <v>407.68182351850533</v>
      </c>
      <c r="CX76" s="1">
        <v>557.61552675428015</v>
      </c>
      <c r="CY76" s="1">
        <v>94.377359682735005</v>
      </c>
      <c r="CZ76" s="1">
        <v>106.21486830579418</v>
      </c>
      <c r="DA76" s="1">
        <v>175.90183666243865</v>
      </c>
      <c r="DB76" s="1">
        <v>1341.7914149237533</v>
      </c>
      <c r="DC76" s="1">
        <v>1297.7305295619674</v>
      </c>
      <c r="DD76" s="1">
        <v>176.40377837214973</v>
      </c>
      <c r="DF76" s="1">
        <v>1868</v>
      </c>
      <c r="DG76" s="1">
        <v>1.5748072243789721</v>
      </c>
      <c r="DH76" s="1">
        <v>0.98434867906831869</v>
      </c>
      <c r="DI76" s="1">
        <v>2.0065216244745727</v>
      </c>
      <c r="DJ76" s="1">
        <v>1.997735634364588</v>
      </c>
      <c r="DK76" s="1">
        <v>-10.868383359847641</v>
      </c>
      <c r="DL76" s="1">
        <v>1.6760101045992997</v>
      </c>
      <c r="DM76" s="1">
        <v>0.3776607879896261</v>
      </c>
      <c r="DN76" s="1">
        <v>0.28816703659366283</v>
      </c>
      <c r="DO76" s="1">
        <v>3.3143719263170794</v>
      </c>
      <c r="DQ76" s="1">
        <v>1868</v>
      </c>
      <c r="DR76" s="1">
        <v>711.8841343872167</v>
      </c>
      <c r="DS76" s="1">
        <v>1069.5710152477907</v>
      </c>
      <c r="DT76" s="1">
        <v>173.2237081003276</v>
      </c>
      <c r="DU76" s="1">
        <v>106.21486830579418</v>
      </c>
      <c r="DV76" s="1">
        <v>175.90183666243865</v>
      </c>
      <c r="DW76" s="1">
        <v>2236.7955627035676</v>
      </c>
      <c r="DX76" s="1">
        <v>2155.2437209081195</v>
      </c>
      <c r="DY76" s="1">
        <v>242.73058066173485</v>
      </c>
      <c r="EA76" s="1">
        <v>1868</v>
      </c>
      <c r="EB76" s="1">
        <v>1.801528403802962</v>
      </c>
      <c r="EC76" s="1">
        <v>1.5162236879885853</v>
      </c>
      <c r="ED76" s="1">
        <v>1.9914299623197564</v>
      </c>
      <c r="EE76" s="1">
        <v>3.5639505046062112</v>
      </c>
      <c r="EF76" s="1">
        <v>-10.868383359847641</v>
      </c>
      <c r="EG76" s="1">
        <v>1.6760101045992997</v>
      </c>
      <c r="EH76" s="1">
        <v>1.1618371744118008</v>
      </c>
      <c r="EI76" s="1">
        <v>1.110905699899817</v>
      </c>
      <c r="EJ76" s="1">
        <v>3.1875945370165653</v>
      </c>
      <c r="EL76" s="1">
        <v>1868</v>
      </c>
      <c r="EM76" s="1">
        <v>1201011.4202953677</v>
      </c>
      <c r="EN76" s="1">
        <v>191841.41056706017</v>
      </c>
      <c r="EO76" s="1">
        <v>20342.415704640891</v>
      </c>
      <c r="EP76" s="1">
        <v>17275.782531104807</v>
      </c>
      <c r="EQ76" s="1">
        <v>29166.547023908341</v>
      </c>
      <c r="ER76" s="1">
        <v>151112.24453715596</v>
      </c>
      <c r="ES76" s="1">
        <v>59017.832227600018</v>
      </c>
      <c r="ET76" s="1">
        <v>1242.0962994130014</v>
      </c>
      <c r="EU76" s="1">
        <v>1671009.7491862508</v>
      </c>
      <c r="EV76" s="1">
        <v>1611991.9169586503</v>
      </c>
      <c r="EX76" s="1">
        <v>1868</v>
      </c>
      <c r="EY76" s="1">
        <v>883829.64399442344</v>
      </c>
      <c r="EZ76" s="1">
        <v>140380.73291911479</v>
      </c>
      <c r="FA76" s="1">
        <v>14952.916670797269</v>
      </c>
      <c r="FB76" s="1">
        <v>17275.782531104807</v>
      </c>
      <c r="FC76" s="1">
        <v>12862.416672282039</v>
      </c>
      <c r="FD76" s="1">
        <v>146780.46067012163</v>
      </c>
      <c r="FE76" s="1">
        <v>59017.832227600018</v>
      </c>
      <c r="FF76" s="1">
        <v>889.89439746571884</v>
      </c>
      <c r="FG76" s="1">
        <v>1275989.68008291</v>
      </c>
      <c r="FH76" s="1">
        <v>1216971.84785531</v>
      </c>
      <c r="FJ76" s="1">
        <v>1868</v>
      </c>
      <c r="FK76" s="1">
        <v>317181.77630094427</v>
      </c>
      <c r="FL76" s="1">
        <v>51460.677647945384</v>
      </c>
      <c r="FM76" s="1">
        <v>5389.4990338436219</v>
      </c>
      <c r="FN76" s="1">
        <v>0</v>
      </c>
      <c r="FO76" s="1">
        <v>16304.130351626301</v>
      </c>
      <c r="FP76" s="1">
        <v>4331.7838670343572</v>
      </c>
      <c r="FQ76" s="1">
        <v>352.20190194728247</v>
      </c>
      <c r="FR76" s="1">
        <v>395020.0691033412</v>
      </c>
      <c r="FS76" s="1">
        <v>654751.8565736952</v>
      </c>
      <c r="HC76" s="1">
        <v>1868</v>
      </c>
      <c r="HD76" s="1">
        <v>182.35455944467097</v>
      </c>
      <c r="HE76" s="1">
        <v>49.925903827088945</v>
      </c>
      <c r="HF76" s="1">
        <v>7.1623898465675264</v>
      </c>
      <c r="HG76" s="1">
        <v>12.562415017898894</v>
      </c>
      <c r="HH76" s="1">
        <v>63.523920128441581</v>
      </c>
      <c r="HI76" s="1">
        <v>48.098123726856244</v>
      </c>
      <c r="HJ76" s="1">
        <v>0.88079334920108543</v>
      </c>
      <c r="HK76" s="2">
        <v>364.50810534072525</v>
      </c>
      <c r="HL76" s="1">
        <v>316.40998161386904</v>
      </c>
      <c r="HN76" s="1">
        <v>1868</v>
      </c>
      <c r="HO76" s="1">
        <v>82.408170222324628</v>
      </c>
      <c r="HP76" s="1">
        <v>19.673423725067284</v>
      </c>
      <c r="HQ76" s="1">
        <v>2.8922065997069892</v>
      </c>
      <c r="HR76" s="1">
        <v>0</v>
      </c>
      <c r="HS76" s="1">
        <v>17.627355364467736</v>
      </c>
      <c r="HT76" s="1">
        <v>0.40363275012265232</v>
      </c>
      <c r="HU76" s="2">
        <v>123.00478866168929</v>
      </c>
      <c r="HW76" s="1">
        <v>1868</v>
      </c>
      <c r="HX76" s="1">
        <v>99.55385265915038</v>
      </c>
      <c r="HY76" s="1">
        <v>37.367252662863663</v>
      </c>
      <c r="HZ76" s="1">
        <v>37.712258496526324</v>
      </c>
      <c r="IA76" s="1">
        <v>11.954620824098752</v>
      </c>
      <c r="IB76" s="1">
        <v>46.42506004118826</v>
      </c>
      <c r="IC76" s="1">
        <v>1.4381809008675324</v>
      </c>
      <c r="ID76" s="1">
        <v>59.036488561686937</v>
      </c>
      <c r="IE76" s="2">
        <v>293.48771414638185</v>
      </c>
      <c r="IF76" s="1">
        <v>292.04953324551434</v>
      </c>
      <c r="IH76" s="1">
        <v>1868</v>
      </c>
      <c r="II76" s="1">
        <v>155.77938990720224</v>
      </c>
      <c r="IJ76" s="1">
        <v>53.287056825969323</v>
      </c>
      <c r="IK76" s="1">
        <v>22.315480853874398</v>
      </c>
      <c r="IL76" s="1">
        <v>162.72834024125811</v>
      </c>
      <c r="IM76" s="1">
        <v>46.741275414089657</v>
      </c>
      <c r="IN76" s="1">
        <v>19.574247457413666</v>
      </c>
      <c r="IO76" s="1">
        <v>-15.56579106699381</v>
      </c>
    </row>
    <row r="77" spans="1:249" x14ac:dyDescent="0.25">
      <c r="A77" s="1" t="s">
        <v>168</v>
      </c>
      <c r="B77" s="1">
        <v>9.3676561358080335</v>
      </c>
      <c r="C77" s="1">
        <v>9.3780058957631383</v>
      </c>
      <c r="D77" s="1">
        <v>9.4294319770797728</v>
      </c>
      <c r="E77" s="1">
        <v>9.3059151686509978</v>
      </c>
      <c r="F77" s="1">
        <v>9.3563347552633189</v>
      </c>
      <c r="G77" s="1">
        <v>11.37482637822869</v>
      </c>
      <c r="H77" s="1">
        <v>11.923693751418085</v>
      </c>
      <c r="J77" s="1">
        <v>1869</v>
      </c>
      <c r="K77" s="2">
        <v>881.6153482279517</v>
      </c>
      <c r="L77" s="1">
        <v>834.62115899269781</v>
      </c>
      <c r="M77" s="1">
        <v>834.98970739310914</v>
      </c>
      <c r="N77" s="1">
        <v>787.99551815785526</v>
      </c>
      <c r="O77" s="1">
        <v>46.625640834842521</v>
      </c>
      <c r="P77" s="1">
        <v>46.994189235253884</v>
      </c>
      <c r="Q77" s="1">
        <v>518.65127122642775</v>
      </c>
      <c r="R77" s="1">
        <v>1400.2666194543795</v>
      </c>
      <c r="S77" s="1">
        <v>1353.2724302191255</v>
      </c>
      <c r="U77" s="1">
        <v>1869</v>
      </c>
      <c r="V77" s="1">
        <v>211.62599578085954</v>
      </c>
      <c r="W77" s="1">
        <v>13265.575057235392</v>
      </c>
      <c r="X77" s="1">
        <v>11.868160837974145</v>
      </c>
      <c r="Y77" s="1">
        <v>200.34534814602125</v>
      </c>
      <c r="Z77" s="1">
        <v>11862.86899303742</v>
      </c>
      <c r="AA77" s="1">
        <v>9.8520998409784966</v>
      </c>
      <c r="AB77" s="1">
        <v>4165912.3444402907</v>
      </c>
      <c r="AC77" s="1">
        <v>-0.4409963085564641</v>
      </c>
      <c r="AE77" s="1">
        <v>1869</v>
      </c>
      <c r="AF77" s="1">
        <v>384.8917042112015</v>
      </c>
      <c r="AG77" s="1">
        <v>110.39435199444334</v>
      </c>
      <c r="AH77" s="1">
        <v>49.752486432469915</v>
      </c>
      <c r="AI77" s="1">
        <v>49.34344006303283</v>
      </c>
      <c r="AJ77" s="1">
        <v>65.629786763258579</v>
      </c>
      <c r="AK77" s="1">
        <v>62.997309447986964</v>
      </c>
      <c r="AL77" s="1">
        <v>49.994946654331869</v>
      </c>
      <c r="AM77" s="1">
        <v>61.617133425972668</v>
      </c>
      <c r="AN77" s="2">
        <v>834.6211589926977</v>
      </c>
      <c r="AP77" s="1" t="s">
        <v>168</v>
      </c>
      <c r="AQ77" s="1">
        <v>14.661766975309988</v>
      </c>
      <c r="AR77" s="1">
        <v>6.1893780218650392</v>
      </c>
      <c r="AS77" s="1">
        <v>5.7868960154946762</v>
      </c>
      <c r="AT77" s="1">
        <v>6.8661052483024179</v>
      </c>
      <c r="AU77" s="1">
        <v>1.8202916915276433</v>
      </c>
      <c r="AV77" s="1">
        <v>0.15833021406889713</v>
      </c>
      <c r="AW77" s="1">
        <v>16.641104334865105</v>
      </c>
      <c r="AX77" s="1">
        <v>1.8546365346163896</v>
      </c>
      <c r="AY77" s="1">
        <v>9.3676561358080335</v>
      </c>
      <c r="BA77" s="1">
        <v>1869</v>
      </c>
      <c r="BB77" s="1">
        <v>728.44966207840309</v>
      </c>
      <c r="BC77" s="1">
        <v>61.785014299852008</v>
      </c>
      <c r="BD77" s="1">
        <v>52.433830286270705</v>
      </c>
      <c r="BE77" s="1">
        <v>15.393350501831359</v>
      </c>
      <c r="BF77" s="1">
        <v>9.2415066668215662</v>
      </c>
      <c r="BG77" s="1">
        <v>3.1168499735597432</v>
      </c>
      <c r="BH77" s="1">
        <v>158.21333017270882</v>
      </c>
      <c r="BI77" s="1">
        <v>147.01819575149554</v>
      </c>
      <c r="BJ77" s="1">
        <v>881.6153482279517</v>
      </c>
      <c r="BL77" s="1" t="s">
        <v>168</v>
      </c>
      <c r="BM77" s="1">
        <v>7.0792646884167567</v>
      </c>
      <c r="BN77" s="1">
        <v>10.111004600447558</v>
      </c>
      <c r="BO77" s="1">
        <v>54.615516016795709</v>
      </c>
      <c r="BP77" s="1">
        <v>7.7871130103565065</v>
      </c>
      <c r="BQ77" s="1">
        <v>2.1502080140135718</v>
      </c>
      <c r="BR77" s="1">
        <v>11.37482637822869</v>
      </c>
      <c r="BT77" s="1" t="s">
        <v>168</v>
      </c>
      <c r="BU77" s="1">
        <v>-3.0183742559221827</v>
      </c>
      <c r="BV77" s="1">
        <v>-10.545811722779035</v>
      </c>
      <c r="BW77" s="1">
        <v>-6.1810289830799121</v>
      </c>
      <c r="BX77" s="1">
        <v>-6.5966535130955464</v>
      </c>
      <c r="BY77" s="1">
        <v>-5.7604665548174125</v>
      </c>
      <c r="BZ77" s="1">
        <v>-3.9229745964983067</v>
      </c>
      <c r="CB77" s="1">
        <v>1869</v>
      </c>
      <c r="CC77" s="1">
        <v>32.235874987246319</v>
      </c>
      <c r="CD77" s="1">
        <v>8.7206546875657729</v>
      </c>
      <c r="CE77" s="1">
        <v>0.12860568425460825</v>
      </c>
      <c r="CF77" s="1">
        <v>16.918890639678949</v>
      </c>
      <c r="CG77" s="1">
        <v>1.4891021569828045</v>
      </c>
      <c r="CH77" s="1">
        <v>1.8962507541027569</v>
      </c>
      <c r="CI77" s="1">
        <v>18.796158518652167</v>
      </c>
      <c r="CJ77" s="1">
        <v>80.185537428483372</v>
      </c>
      <c r="CL77" s="1">
        <v>1869</v>
      </c>
      <c r="CM77" s="1">
        <v>17.041040312351782</v>
      </c>
      <c r="CN77" s="1">
        <v>4.8326410354930776</v>
      </c>
      <c r="CO77" s="1">
        <v>0.1174120985861514</v>
      </c>
      <c r="CP77" s="1">
        <v>10.662013455361668</v>
      </c>
      <c r="CQ77" s="1">
        <v>0.55298698290748005</v>
      </c>
      <c r="CR77" s="1">
        <v>1.4207784477743748</v>
      </c>
      <c r="CS77" s="1">
        <v>11.998768502367996</v>
      </c>
      <c r="CT77" s="2">
        <v>46.625640834842521</v>
      </c>
      <c r="CV77" s="1">
        <v>1869</v>
      </c>
      <c r="CW77" s="1">
        <v>401.87983983182386</v>
      </c>
      <c r="CX77" s="1">
        <v>555.19063102638165</v>
      </c>
      <c r="CY77" s="1">
        <v>94.02563902137085</v>
      </c>
      <c r="CZ77" s="1">
        <v>144.82143397904858</v>
      </c>
      <c r="DA77" s="1">
        <v>173.59598261466263</v>
      </c>
      <c r="DB77" s="1">
        <v>1369.5135264732876</v>
      </c>
      <c r="DC77" s="1">
        <v>1325.2496086884171</v>
      </c>
      <c r="DD77" s="1">
        <v>176.68711740217481</v>
      </c>
      <c r="DF77" s="1">
        <v>1869</v>
      </c>
      <c r="DG77" s="1">
        <v>1.9111076727307221</v>
      </c>
      <c r="DH77" s="1">
        <v>1.6913986078845653</v>
      </c>
      <c r="DI77" s="1">
        <v>2.0701530366467864</v>
      </c>
      <c r="DJ77" s="1">
        <v>3.012908887136561</v>
      </c>
      <c r="DK77" s="1">
        <v>6.0586977923787373</v>
      </c>
      <c r="DL77" s="1">
        <v>1.7954620415832494</v>
      </c>
      <c r="DM77" s="1">
        <v>2.4280799114673357</v>
      </c>
      <c r="DN77" s="1">
        <v>2.4734762010970996</v>
      </c>
      <c r="DO77" s="1">
        <v>1.4371849012037501</v>
      </c>
      <c r="DQ77" s="1">
        <v>1869</v>
      </c>
      <c r="DR77" s="1">
        <v>705.44891674341716</v>
      </c>
      <c r="DS77" s="1">
        <v>1064.7661377664958</v>
      </c>
      <c r="DT77" s="1">
        <v>175.34372799103915</v>
      </c>
      <c r="DU77" s="1">
        <v>144.82143397904858</v>
      </c>
      <c r="DV77" s="1">
        <v>173.59598261466263</v>
      </c>
      <c r="DW77" s="1">
        <v>2263.9761990946631</v>
      </c>
      <c r="DX77" s="1">
        <v>2182.4885199399378</v>
      </c>
      <c r="DY77" s="1">
        <v>242.87107501118649</v>
      </c>
      <c r="EA77" s="1">
        <v>1869</v>
      </c>
      <c r="EB77" s="1">
        <v>1.9875461135989099</v>
      </c>
      <c r="EC77" s="1">
        <v>1.9203034586229535</v>
      </c>
      <c r="ED77" s="1">
        <v>2.0320988483972826</v>
      </c>
      <c r="EE77" s="1">
        <v>3.9884630901317166</v>
      </c>
      <c r="EF77" s="1">
        <v>6.0586977923787089</v>
      </c>
      <c r="EG77" s="1">
        <v>1.7954620415832494</v>
      </c>
      <c r="EH77" s="1">
        <v>2.3944551518287653</v>
      </c>
      <c r="EI77" s="1">
        <v>2.4304308096455287</v>
      </c>
      <c r="EJ77" s="1">
        <v>1.7998034383704749</v>
      </c>
      <c r="EL77" s="1">
        <v>1869</v>
      </c>
      <c r="EM77" s="1">
        <v>1233088.2469617943</v>
      </c>
      <c r="EN77" s="1">
        <v>193021.53560519734</v>
      </c>
      <c r="EO77" s="1">
        <v>22049.743223545833</v>
      </c>
      <c r="EP77" s="1">
        <v>17768.995253585086</v>
      </c>
      <c r="EQ77" s="1">
        <v>29251.144631582039</v>
      </c>
      <c r="ER77" s="1">
        <v>150902.92490319203</v>
      </c>
      <c r="ES77" s="1">
        <v>66085.626388248755</v>
      </c>
      <c r="ET77" s="1">
        <v>1269.5587777480616</v>
      </c>
      <c r="EU77" s="1">
        <v>1713437.7757448934</v>
      </c>
      <c r="EV77" s="1">
        <v>1647352.1493566448</v>
      </c>
      <c r="EX77" s="1">
        <v>1869</v>
      </c>
      <c r="EY77" s="1">
        <v>914067.43342302856</v>
      </c>
      <c r="EZ77" s="1">
        <v>143120.29561690724</v>
      </c>
      <c r="FA77" s="1">
        <v>16439.181130475357</v>
      </c>
      <c r="FB77" s="1">
        <v>17768.995253585086</v>
      </c>
      <c r="FC77" s="1">
        <v>13290.432262724107</v>
      </c>
      <c r="FD77" s="1">
        <v>146675.63958243068</v>
      </c>
      <c r="FE77" s="1">
        <v>66085.626388248755</v>
      </c>
      <c r="FF77" s="1">
        <v>913.57176673495201</v>
      </c>
      <c r="FG77" s="1">
        <v>1318361.1754241348</v>
      </c>
      <c r="FH77" s="1">
        <v>1252275.5490358861</v>
      </c>
      <c r="FJ77" s="1">
        <v>1869</v>
      </c>
      <c r="FK77" s="1">
        <v>319020.81353876583</v>
      </c>
      <c r="FL77" s="1">
        <v>49901.239988290086</v>
      </c>
      <c r="FM77" s="1">
        <v>5610.5620930704763</v>
      </c>
      <c r="FN77" s="1">
        <v>0</v>
      </c>
      <c r="FO77" s="1">
        <v>15960.712368857934</v>
      </c>
      <c r="FP77" s="1">
        <v>4227.2853207613634</v>
      </c>
      <c r="FQ77" s="1">
        <v>355.98701101310962</v>
      </c>
      <c r="FR77" s="1">
        <v>395076.60032075876</v>
      </c>
      <c r="FS77" s="1">
        <v>661243.64652742317</v>
      </c>
      <c r="HC77" s="1">
        <v>1869</v>
      </c>
      <c r="HD77" s="1">
        <v>194.54889531572576</v>
      </c>
      <c r="HE77" s="1">
        <v>52.507594819713759</v>
      </c>
      <c r="HF77" s="1">
        <v>8.1229670913323577</v>
      </c>
      <c r="HG77" s="1">
        <v>13.329097665213395</v>
      </c>
      <c r="HH77" s="1">
        <v>63.179867069082974</v>
      </c>
      <c r="HI77" s="1">
        <v>48.574168206557523</v>
      </c>
      <c r="HJ77" s="1">
        <v>0.87841889372455972</v>
      </c>
      <c r="HK77" s="2">
        <v>381.14100906135036</v>
      </c>
      <c r="HL77" s="1">
        <v>332.56684085479282</v>
      </c>
      <c r="HN77" s="1">
        <v>1869</v>
      </c>
      <c r="HO77" s="1">
        <v>85.5034292020962</v>
      </c>
      <c r="HP77" s="1">
        <v>19.679689995613714</v>
      </c>
      <c r="HQ77" s="1">
        <v>3.1059163715279259</v>
      </c>
      <c r="HR77" s="1">
        <v>0</v>
      </c>
      <c r="HS77" s="1">
        <v>17.86744822407185</v>
      </c>
      <c r="HT77" s="1">
        <v>0.39632575610336074</v>
      </c>
      <c r="HU77" s="2">
        <v>126.55280954941306</v>
      </c>
      <c r="HW77" s="1">
        <v>1869</v>
      </c>
      <c r="HX77" s="1">
        <v>128.50837969337954</v>
      </c>
      <c r="HY77" s="1">
        <v>38.207067179115867</v>
      </c>
      <c r="HZ77" s="1">
        <v>38.523602969609627</v>
      </c>
      <c r="IA77" s="1">
        <v>12.345342397819435</v>
      </c>
      <c r="IB77" s="1">
        <v>47.579780918090748</v>
      </c>
      <c r="IC77" s="1">
        <v>1.4207784477743475</v>
      </c>
      <c r="ID77" s="1">
        <v>60.342388776144745</v>
      </c>
      <c r="IE77" s="2">
        <v>326.9273403819343</v>
      </c>
      <c r="IF77" s="1">
        <v>325.50656193415995</v>
      </c>
      <c r="IH77" s="1">
        <v>1869</v>
      </c>
      <c r="II77" s="1">
        <v>151.00652323870091</v>
      </c>
      <c r="IJ77" s="1">
        <v>52.533092961873272</v>
      </c>
      <c r="IK77" s="1">
        <v>22.807263811600077</v>
      </c>
      <c r="IL77" s="1">
        <v>157.51215432044813</v>
      </c>
      <c r="IM77" s="1">
        <v>46.233109098094829</v>
      </c>
      <c r="IN77" s="1">
        <v>20.072123238508361</v>
      </c>
      <c r="IO77" s="1">
        <v>6.3684939754079579</v>
      </c>
    </row>
    <row r="78" spans="1:249" x14ac:dyDescent="0.25">
      <c r="A78" s="1" t="s">
        <v>169</v>
      </c>
      <c r="B78" s="1">
        <v>13.012384405468325</v>
      </c>
      <c r="C78" s="1">
        <v>13.049864733757886</v>
      </c>
      <c r="D78" s="1">
        <v>13.539401373696293</v>
      </c>
      <c r="E78" s="1">
        <v>12.487813697141675</v>
      </c>
      <c r="F78" s="1">
        <v>12.875426393025009</v>
      </c>
      <c r="G78" s="1">
        <v>17.301306493022153</v>
      </c>
      <c r="H78" s="1">
        <v>18.155352974309949</v>
      </c>
      <c r="J78" s="1">
        <v>1870</v>
      </c>
      <c r="K78" s="2">
        <v>937.81568080274792</v>
      </c>
      <c r="L78" s="1">
        <v>886.78248151300909</v>
      </c>
      <c r="M78" s="1">
        <v>890.45368749061493</v>
      </c>
      <c r="N78" s="1">
        <v>839.42048820087609</v>
      </c>
      <c r="O78" s="1">
        <v>47.361993312133038</v>
      </c>
      <c r="P78" s="1">
        <v>51.033199289738839</v>
      </c>
      <c r="Q78" s="1">
        <v>519.82268106992456</v>
      </c>
      <c r="R78" s="1">
        <v>1457.6383618726725</v>
      </c>
      <c r="S78" s="1">
        <v>1406.6051625829336</v>
      </c>
      <c r="U78" s="1">
        <v>1870</v>
      </c>
      <c r="V78" s="1">
        <v>225.23947813951398</v>
      </c>
      <c r="W78" s="1">
        <v>15569.192217707949</v>
      </c>
      <c r="X78" s="1">
        <v>17.3653773057965</v>
      </c>
      <c r="Y78" s="1">
        <v>212.98260143004009</v>
      </c>
      <c r="Z78" s="1">
        <v>13413.833840205238</v>
      </c>
      <c r="AA78" s="1">
        <v>13.074112578315706</v>
      </c>
      <c r="AB78" s="1">
        <v>4163638.1355042132</v>
      </c>
      <c r="AC78" s="1">
        <v>-5.4590897456421317E-2</v>
      </c>
      <c r="AE78" s="1">
        <v>1870</v>
      </c>
      <c r="AF78" s="1">
        <v>421.1417204985384</v>
      </c>
      <c r="AG78" s="1">
        <v>116.3096094585225</v>
      </c>
      <c r="AH78" s="1">
        <v>53.258531919310606</v>
      </c>
      <c r="AI78" s="1">
        <v>48.798495485877567</v>
      </c>
      <c r="AJ78" s="1">
        <v>69.952045814643284</v>
      </c>
      <c r="AK78" s="1">
        <v>63.356066933310373</v>
      </c>
      <c r="AL78" s="1">
        <v>50.622534488264613</v>
      </c>
      <c r="AM78" s="1">
        <v>63.343476914541888</v>
      </c>
      <c r="AN78" s="2">
        <v>886.78248151300909</v>
      </c>
      <c r="AP78" s="1" t="s">
        <v>169</v>
      </c>
      <c r="AQ78" s="1">
        <v>22.139936143273275</v>
      </c>
      <c r="AR78" s="1">
        <v>7.6785641879473019</v>
      </c>
      <c r="AS78" s="1">
        <v>5.133870963832905</v>
      </c>
      <c r="AT78" s="1">
        <v>7.2843441789928391</v>
      </c>
      <c r="AU78" s="1">
        <v>15.489200697853647</v>
      </c>
      <c r="AV78" s="1">
        <v>0.13897227556358871</v>
      </c>
      <c r="AW78" s="1">
        <v>-0.73646591093526581</v>
      </c>
      <c r="AX78" s="1">
        <v>1.1574069248026433</v>
      </c>
      <c r="AY78" s="1">
        <v>13.012384405468325</v>
      </c>
      <c r="BA78" s="1">
        <v>1870</v>
      </c>
      <c r="BB78" s="1">
        <v>749.9679019049338</v>
      </c>
      <c r="BC78" s="1">
        <v>64.330777749721065</v>
      </c>
      <c r="BD78" s="1">
        <v>57.59799438580896</v>
      </c>
      <c r="BE78" s="1">
        <v>15.131318609146087</v>
      </c>
      <c r="BF78" s="1">
        <v>5.8963131298378979</v>
      </c>
      <c r="BG78" s="1">
        <v>9.8180583755218613</v>
      </c>
      <c r="BH78" s="1">
        <v>187.59203945994673</v>
      </c>
      <c r="BI78" s="1">
        <v>152.51872281216848</v>
      </c>
      <c r="BJ78" s="1">
        <v>937.81568080274803</v>
      </c>
      <c r="BL78" s="1" t="s">
        <v>169</v>
      </c>
      <c r="BM78" s="1">
        <v>15.524470180414696</v>
      </c>
      <c r="BN78" s="1">
        <v>6.1887683361470067</v>
      </c>
      <c r="BO78" s="1">
        <v>10.910632254651148</v>
      </c>
      <c r="BP78" s="1">
        <v>22.598059942262609</v>
      </c>
      <c r="BQ78" s="1">
        <v>6.3062676841292955</v>
      </c>
      <c r="BR78" s="1">
        <v>17.301306493022111</v>
      </c>
      <c r="BT78" s="1" t="s">
        <v>169</v>
      </c>
      <c r="BU78" s="1">
        <v>-10.881238029768596</v>
      </c>
      <c r="BV78" s="1">
        <v>-1.9478621911503353</v>
      </c>
      <c r="BW78" s="1">
        <v>-0.55164555482485866</v>
      </c>
      <c r="BX78" s="1">
        <v>-3.2863586120633528</v>
      </c>
      <c r="BY78" s="1">
        <v>-2.4127228888044669</v>
      </c>
      <c r="BZ78" s="1">
        <v>-9.3149913981176553</v>
      </c>
      <c r="CB78" s="1">
        <v>1870</v>
      </c>
      <c r="CC78" s="1">
        <v>29.183245451336838</v>
      </c>
      <c r="CD78" s="1">
        <v>13.34295316566033</v>
      </c>
      <c r="CE78" s="1">
        <v>0.1461925325991979</v>
      </c>
      <c r="CF78" s="1">
        <v>14.623929353243131</v>
      </c>
      <c r="CG78" s="1">
        <v>4.1531361279044479</v>
      </c>
      <c r="CH78" s="1">
        <v>2.8008388482112521</v>
      </c>
      <c r="CI78" s="1">
        <v>24.193389021359611</v>
      </c>
      <c r="CJ78" s="1">
        <v>88.443684500314802</v>
      </c>
      <c r="CL78" s="1">
        <v>1870</v>
      </c>
      <c r="CM78" s="1">
        <v>17.666164915995335</v>
      </c>
      <c r="CN78" s="1">
        <v>4.6951693706297846</v>
      </c>
      <c r="CO78" s="1">
        <v>0.10672767831870972</v>
      </c>
      <c r="CP78" s="1">
        <v>10.312697050765713</v>
      </c>
      <c r="CQ78" s="1">
        <v>0.58058093716224513</v>
      </c>
      <c r="CR78" s="1">
        <v>1.4676360946640779</v>
      </c>
      <c r="CS78" s="1">
        <v>12.533017264597174</v>
      </c>
      <c r="CT78" s="2">
        <v>47.361993312133038</v>
      </c>
      <c r="CV78" s="1">
        <v>1870</v>
      </c>
      <c r="CW78" s="1">
        <v>414.66093721272534</v>
      </c>
      <c r="CX78" s="1">
        <v>574.93121066559956</v>
      </c>
      <c r="CY78" s="1">
        <v>89.354185858766115</v>
      </c>
      <c r="CZ78" s="1">
        <v>169.19295237794918</v>
      </c>
      <c r="DA78" s="1">
        <v>168.52435582785122</v>
      </c>
      <c r="DB78" s="1">
        <v>1416.6636419428914</v>
      </c>
      <c r="DC78" s="1">
        <v>1371.4327845939424</v>
      </c>
      <c r="DD78" s="1">
        <v>171.3815552409805</v>
      </c>
      <c r="DF78" s="1">
        <v>1870</v>
      </c>
      <c r="DG78" s="1">
        <v>2.2389703470048801</v>
      </c>
      <c r="DH78" s="1">
        <v>2.8120256118508138</v>
      </c>
      <c r="DI78" s="1">
        <v>1.8256605606526506</v>
      </c>
      <c r="DJ78" s="1">
        <v>3.6213581690124528</v>
      </c>
      <c r="DK78" s="1">
        <v>4.7264616043915453</v>
      </c>
      <c r="DL78" s="1">
        <v>5.8258987713034571</v>
      </c>
      <c r="DM78" s="1">
        <v>3.0435980536495606</v>
      </c>
      <c r="DN78" s="1">
        <v>3.0467302019529257</v>
      </c>
      <c r="DO78" s="1">
        <v>4.8837427361053045</v>
      </c>
      <c r="DQ78" s="1">
        <v>1870</v>
      </c>
      <c r="DR78" s="1">
        <v>729.52295692904659</v>
      </c>
      <c r="DS78" s="1">
        <v>1102.2180235556766</v>
      </c>
      <c r="DT78" s="1">
        <v>168.61873630705929</v>
      </c>
      <c r="DU78" s="1">
        <v>169.19295237794918</v>
      </c>
      <c r="DV78" s="1">
        <v>168.52435582785122</v>
      </c>
      <c r="DW78" s="1">
        <v>2338.0770249975826</v>
      </c>
      <c r="DX78" s="1">
        <v>2254.5197850852451</v>
      </c>
      <c r="DY78" s="1">
        <v>237.72074547445089</v>
      </c>
      <c r="EA78" s="1">
        <v>1870</v>
      </c>
      <c r="EB78" s="1">
        <v>2.1712856236262041</v>
      </c>
      <c r="EC78" s="1">
        <v>2.5703080269413618</v>
      </c>
      <c r="ED78" s="1">
        <v>1.9071842834031969</v>
      </c>
      <c r="EE78" s="1">
        <v>4.2406974749195712</v>
      </c>
      <c r="EF78" s="1">
        <v>4.7264616043915595</v>
      </c>
      <c r="EG78" s="1">
        <v>5.8258987713034571</v>
      </c>
      <c r="EH78" s="1">
        <v>2.7647688137342215</v>
      </c>
      <c r="EI78" s="1">
        <v>2.7756551793553115</v>
      </c>
      <c r="EJ78" s="1">
        <v>4.2959937587909707</v>
      </c>
      <c r="EL78" s="1">
        <v>1870</v>
      </c>
      <c r="EM78" s="1">
        <v>1281254.1145826587</v>
      </c>
      <c r="EN78" s="1">
        <v>198130.19736667554</v>
      </c>
      <c r="EO78" s="1">
        <v>23689.100837567523</v>
      </c>
      <c r="EP78" s="1">
        <v>19493.890715872374</v>
      </c>
      <c r="EQ78" s="1">
        <v>30037.956037280066</v>
      </c>
      <c r="ER78" s="1">
        <v>151062.67451243283</v>
      </c>
      <c r="ES78" s="1">
        <v>67746.114925910675</v>
      </c>
      <c r="ET78" s="1">
        <v>1297.7020212985447</v>
      </c>
      <c r="EU78" s="1">
        <v>1772711.7509996963</v>
      </c>
      <c r="EV78" s="1">
        <v>1704965.6360737858</v>
      </c>
      <c r="EX78" s="1">
        <v>1870</v>
      </c>
      <c r="EY78" s="1">
        <v>960383.60096786718</v>
      </c>
      <c r="EZ78" s="1">
        <v>148992.63074870565</v>
      </c>
      <c r="FA78" s="1">
        <v>17858.770610593794</v>
      </c>
      <c r="FB78" s="1">
        <v>19493.890715872374</v>
      </c>
      <c r="FC78" s="1">
        <v>13395.33486543992</v>
      </c>
      <c r="FD78" s="1">
        <v>146751.81672986681</v>
      </c>
      <c r="FE78" s="1">
        <v>67746.114925910675</v>
      </c>
      <c r="FF78" s="1">
        <v>937.88642107318606</v>
      </c>
      <c r="FG78" s="1">
        <v>1375560.0459853297</v>
      </c>
      <c r="FH78" s="1">
        <v>1307813.9310594189</v>
      </c>
      <c r="FJ78" s="1">
        <v>1870</v>
      </c>
      <c r="FK78" s="1">
        <v>320870.51361479156</v>
      </c>
      <c r="FL78" s="1">
        <v>49137.566617969875</v>
      </c>
      <c r="FM78" s="1">
        <v>5830.3302269737296</v>
      </c>
      <c r="FN78" s="1">
        <v>0</v>
      </c>
      <c r="FO78" s="1">
        <v>16642.621171840146</v>
      </c>
      <c r="FP78" s="1">
        <v>4310.8577825660122</v>
      </c>
      <c r="FQ78" s="1">
        <v>359.81560022535865</v>
      </c>
      <c r="FR78" s="1">
        <v>397151.70501436666</v>
      </c>
      <c r="FS78" s="1">
        <v>667799.80183785839</v>
      </c>
      <c r="HC78" s="1">
        <v>1870</v>
      </c>
      <c r="HD78" s="1">
        <v>204.4067667392406</v>
      </c>
      <c r="HE78" s="1">
        <v>54.662021572516075</v>
      </c>
      <c r="HF78" s="1">
        <v>8.824418005382249</v>
      </c>
      <c r="HG78" s="1">
        <v>14.62299750316129</v>
      </c>
      <c r="HH78" s="1">
        <v>63.267688898661902</v>
      </c>
      <c r="HI78" s="1">
        <v>49.154898393600533</v>
      </c>
      <c r="HJ78" s="1">
        <v>0.8981432536234597</v>
      </c>
      <c r="HK78" s="2">
        <v>395.83693436618614</v>
      </c>
      <c r="HL78" s="1">
        <v>346.6820359725856</v>
      </c>
      <c r="HN78" s="1">
        <v>1870</v>
      </c>
      <c r="HO78" s="1">
        <v>85.999182747895375</v>
      </c>
      <c r="HP78" s="1">
        <v>19.378518016934745</v>
      </c>
      <c r="HQ78" s="1">
        <v>3.2275764536564711</v>
      </c>
      <c r="HR78" s="1">
        <v>0</v>
      </c>
      <c r="HS78" s="1">
        <v>18.648003537613</v>
      </c>
      <c r="HT78" s="1">
        <v>0.39896472504887681</v>
      </c>
      <c r="HU78" s="2">
        <v>127.65224548114847</v>
      </c>
      <c r="HW78" s="1">
        <v>1870</v>
      </c>
      <c r="HX78" s="1">
        <v>151.81777101140244</v>
      </c>
      <c r="HY78" s="1">
        <v>42.269069869071686</v>
      </c>
      <c r="HZ78" s="1">
        <v>41.206537460271889</v>
      </c>
      <c r="IA78" s="1">
        <v>13.093497982716276</v>
      </c>
      <c r="IB78" s="1">
        <v>51.392420311678748</v>
      </c>
      <c r="IC78" s="1">
        <v>1.4676360946640785</v>
      </c>
      <c r="ID78" s="1">
        <v>62.046368935869552</v>
      </c>
      <c r="IE78" s="2">
        <v>363.29330166567473</v>
      </c>
      <c r="IF78" s="1">
        <v>361.82566557101063</v>
      </c>
      <c r="IH78" s="1">
        <v>1870</v>
      </c>
      <c r="II78" s="1">
        <v>138.87359063434494</v>
      </c>
      <c r="IJ78" s="1">
        <v>56.709895041138537</v>
      </c>
      <c r="IK78" s="1">
        <v>26.058100771407638</v>
      </c>
      <c r="IL78" s="1">
        <v>144.36611664997864</v>
      </c>
      <c r="IM78" s="1">
        <v>50.747739963520431</v>
      </c>
      <c r="IN78" s="1">
        <v>23.318500606134375</v>
      </c>
      <c r="IO78" s="1">
        <v>12.209817314790897</v>
      </c>
    </row>
    <row r="79" spans="1:249" x14ac:dyDescent="0.25">
      <c r="A79" s="1" t="s">
        <v>170</v>
      </c>
      <c r="B79" s="1">
        <v>4.0730311156127215</v>
      </c>
      <c r="C79" s="1">
        <v>4.0772681583899413</v>
      </c>
      <c r="D79" s="1">
        <v>4.0915360801851079</v>
      </c>
      <c r="E79" s="1">
        <v>4.0545294407767045</v>
      </c>
      <c r="F79" s="1">
        <v>4.2193192549789842</v>
      </c>
      <c r="G79" s="1">
        <v>3.4974218939175756</v>
      </c>
      <c r="H79" s="1">
        <v>3.5682968205074985</v>
      </c>
      <c r="J79" s="1">
        <v>1871</v>
      </c>
      <c r="K79" s="2">
        <v>981.77649569706273</v>
      </c>
      <c r="L79" s="1">
        <v>928.21166268362595</v>
      </c>
      <c r="M79" s="1">
        <v>931.39491515857128</v>
      </c>
      <c r="N79" s="1">
        <v>877.8300821451345</v>
      </c>
      <c r="O79" s="1">
        <v>50.38158053849142</v>
      </c>
      <c r="P79" s="1">
        <v>53.564833013436839</v>
      </c>
      <c r="Q79" s="1">
        <v>561.7349745274206</v>
      </c>
      <c r="R79" s="1">
        <v>1543.5114702244832</v>
      </c>
      <c r="S79" s="1">
        <v>1489.9466372110464</v>
      </c>
      <c r="U79" s="1">
        <v>1871</v>
      </c>
      <c r="V79" s="1">
        <v>234.52056371183642</v>
      </c>
      <c r="W79" s="1">
        <v>16026.433604629654</v>
      </c>
      <c r="X79" s="1">
        <v>2.9368343619115507</v>
      </c>
      <c r="Y79" s="1">
        <v>221.72533497240471</v>
      </c>
      <c r="Z79" s="1">
        <v>13884.568976092041</v>
      </c>
      <c r="AA79" s="1">
        <v>3.509325831037728</v>
      </c>
      <c r="AB79" s="1">
        <v>4186313.0471722968</v>
      </c>
      <c r="AC79" s="1">
        <v>0.54459371660399825</v>
      </c>
      <c r="AE79" s="1">
        <v>1871</v>
      </c>
      <c r="AF79" s="1">
        <v>438.49853321791028</v>
      </c>
      <c r="AG79" s="1">
        <v>126.02776340896351</v>
      </c>
      <c r="AH79" s="1">
        <v>48.44103552521733</v>
      </c>
      <c r="AI79" s="1">
        <v>52.835761236254477</v>
      </c>
      <c r="AJ79" s="1">
        <v>75.43851707112745</v>
      </c>
      <c r="AK79" s="1">
        <v>67.054425672554487</v>
      </c>
      <c r="AL79" s="1">
        <v>52.267319583666463</v>
      </c>
      <c r="AM79" s="1">
        <v>67.648306967931916</v>
      </c>
      <c r="AN79" s="2">
        <v>928.21166268362583</v>
      </c>
      <c r="AP79" s="1" t="s">
        <v>170</v>
      </c>
      <c r="AQ79" s="1">
        <v>4.7860034463070917</v>
      </c>
      <c r="AR79" s="1">
        <v>6.559435684618748</v>
      </c>
      <c r="AS79" s="1">
        <v>-8.169757373564309</v>
      </c>
      <c r="AT79" s="1">
        <v>9.5586374713440279</v>
      </c>
      <c r="AU79" s="1">
        <v>8.5411530674555536</v>
      </c>
      <c r="AV79" s="1">
        <v>1.7869243477627066</v>
      </c>
      <c r="AW79" s="1">
        <v>-0.62155417222248843</v>
      </c>
      <c r="AX79" s="1">
        <v>2.0712731084033749</v>
      </c>
      <c r="AY79" s="1">
        <v>4.0730311156127215</v>
      </c>
      <c r="BA79" s="1">
        <v>1871</v>
      </c>
      <c r="BB79" s="1">
        <v>805.82880274064155</v>
      </c>
      <c r="BC79" s="1">
        <v>65.965636208073249</v>
      </c>
      <c r="BD79" s="1">
        <v>50.274935098477371</v>
      </c>
      <c r="BE79" s="1">
        <v>16.470599797182331</v>
      </c>
      <c r="BF79" s="1">
        <v>5.0459629399737089</v>
      </c>
      <c r="BG79" s="1">
        <v>12.665048774866451</v>
      </c>
      <c r="BH79" s="1">
        <v>210.70728466383605</v>
      </c>
      <c r="BI79" s="1">
        <v>185.18177452598798</v>
      </c>
      <c r="BJ79" s="1">
        <v>981.77649569706273</v>
      </c>
      <c r="BL79" s="1" t="s">
        <v>170</v>
      </c>
      <c r="BM79" s="1">
        <v>7.1606428944700866</v>
      </c>
      <c r="BN79" s="1">
        <v>-1.2729266690526231</v>
      </c>
      <c r="BO79" s="1">
        <v>-7.4203364091650457</v>
      </c>
      <c r="BP79" s="1">
        <v>9.8324552707432105</v>
      </c>
      <c r="BQ79" s="1">
        <v>20.894463039883846</v>
      </c>
      <c r="BR79" s="1">
        <v>3.4974218939176467</v>
      </c>
      <c r="BT79" s="1" t="s">
        <v>170</v>
      </c>
      <c r="BU79" s="1">
        <v>0.26856500992340671</v>
      </c>
      <c r="BV79" s="1">
        <v>3.8634371067131923</v>
      </c>
      <c r="BW79" s="1">
        <v>3.1456446076817031</v>
      </c>
      <c r="BX79" s="1">
        <v>2.2667497237806629</v>
      </c>
      <c r="BY79" s="1">
        <v>0.43120441215485528</v>
      </c>
      <c r="BZ79" s="1">
        <v>1.1499351807113385</v>
      </c>
      <c r="CB79" s="1">
        <v>1871</v>
      </c>
      <c r="CC79" s="1">
        <v>30.507563610184434</v>
      </c>
      <c r="CD79" s="1">
        <v>17.077125466873376</v>
      </c>
      <c r="CE79" s="1">
        <v>0.15347985433973799</v>
      </c>
      <c r="CF79" s="1">
        <v>18.084253812464823</v>
      </c>
      <c r="CG79" s="1">
        <v>5.0814828693481591</v>
      </c>
      <c r="CH79" s="1">
        <v>2.7987837666737385</v>
      </c>
      <c r="CI79" s="1">
        <v>10.753857230615592</v>
      </c>
      <c r="CJ79" s="1">
        <v>84.456546610499871</v>
      </c>
      <c r="CL79" s="1">
        <v>1871</v>
      </c>
      <c r="CM79" s="1">
        <v>18.56760489514798</v>
      </c>
      <c r="CN79" s="1">
        <v>5.3666539867567762</v>
      </c>
      <c r="CO79" s="1">
        <v>0.11787734120087477</v>
      </c>
      <c r="CP79" s="1">
        <v>11.098042834004513</v>
      </c>
      <c r="CQ79" s="1">
        <v>0.62048949614470927</v>
      </c>
      <c r="CR79" s="1">
        <v>1.5674805406649901</v>
      </c>
      <c r="CS79" s="1">
        <v>13.043431444571578</v>
      </c>
      <c r="CT79" s="2">
        <v>50.38158053849142</v>
      </c>
      <c r="CV79" s="1">
        <v>1871</v>
      </c>
      <c r="CW79" s="1">
        <v>443.14454918958933</v>
      </c>
      <c r="CX79" s="1">
        <v>608.5238279745588</v>
      </c>
      <c r="CY79" s="1">
        <v>96.781290648897041</v>
      </c>
      <c r="CZ79" s="1">
        <v>180.05681477289323</v>
      </c>
      <c r="DA79" s="1">
        <v>179.36634241258034</v>
      </c>
      <c r="DB79" s="1">
        <v>1507.8728249985186</v>
      </c>
      <c r="DC79" s="1">
        <v>1459.459670849757</v>
      </c>
      <c r="DD79" s="1">
        <v>183.63741691534091</v>
      </c>
      <c r="DF79" s="1">
        <v>1871</v>
      </c>
      <c r="DG79" s="1">
        <v>1.2190781831512396</v>
      </c>
      <c r="DH79" s="1">
        <v>-0.51666532244232144</v>
      </c>
      <c r="DI79" s="1">
        <v>2.4829948460892979</v>
      </c>
      <c r="DJ79" s="1">
        <v>3.6102104549191836</v>
      </c>
      <c r="DK79" s="1">
        <v>3.9851378858862319</v>
      </c>
      <c r="DL79" s="1">
        <v>7.0609951702834621</v>
      </c>
      <c r="DM79" s="1">
        <v>2.4180497705348358</v>
      </c>
      <c r="DN79" s="1">
        <v>2.4139514974168605</v>
      </c>
      <c r="DO79" s="1">
        <v>7.9182824659495736</v>
      </c>
      <c r="DQ79" s="1">
        <v>1871</v>
      </c>
      <c r="DR79" s="1">
        <v>777.80188939560651</v>
      </c>
      <c r="DS79" s="1">
        <v>1167.5538804003618</v>
      </c>
      <c r="DT79" s="1">
        <v>183.60167887676349</v>
      </c>
      <c r="DU79" s="1">
        <v>180.05681477289323</v>
      </c>
      <c r="DV79" s="1">
        <v>179.36634241258034</v>
      </c>
      <c r="DW79" s="1">
        <v>2488.3806058582049</v>
      </c>
      <c r="DX79" s="1">
        <v>2399.3581830577191</v>
      </c>
      <c r="DY79" s="1">
        <v>254.92422056809303</v>
      </c>
      <c r="EA79" s="1">
        <v>1871</v>
      </c>
      <c r="EB79" s="1">
        <v>1.6137942478235487</v>
      </c>
      <c r="EC79" s="1">
        <v>0.63726565399116453</v>
      </c>
      <c r="ED79" s="1">
        <v>2.2642886424090847</v>
      </c>
      <c r="EE79" s="1">
        <v>4.1601996741138549</v>
      </c>
      <c r="EF79" s="1">
        <v>3.9851378858862319</v>
      </c>
      <c r="EG79" s="1">
        <v>7.0609951702834621</v>
      </c>
      <c r="EH79" s="1">
        <v>2.3765349828821769</v>
      </c>
      <c r="EI79" s="1">
        <v>2.3806118324801702</v>
      </c>
      <c r="EJ79" s="1">
        <v>6.5843490880875208</v>
      </c>
      <c r="EL79" s="1">
        <v>1871</v>
      </c>
      <c r="EM79" s="1">
        <v>1294794.3198459856</v>
      </c>
      <c r="EN79" s="1">
        <v>205501.11244728102</v>
      </c>
      <c r="EO79" s="1">
        <v>23908.935218781087</v>
      </c>
      <c r="EP79" s="1">
        <v>21682.555715165705</v>
      </c>
      <c r="EQ79" s="1">
        <v>31435.541725092986</v>
      </c>
      <c r="ER79" s="1">
        <v>152372.71065469325</v>
      </c>
      <c r="ES79" s="1">
        <v>67259.60781692747</v>
      </c>
      <c r="ET79" s="1">
        <v>1329.7765602883685</v>
      </c>
      <c r="EU79" s="1">
        <v>1798284.5599842153</v>
      </c>
      <c r="EV79" s="1">
        <v>1731024.9521672879</v>
      </c>
      <c r="EX79" s="1">
        <v>1871</v>
      </c>
      <c r="EY79" s="1">
        <v>971513.15389482351</v>
      </c>
      <c r="EZ79" s="1">
        <v>155663.45993310516</v>
      </c>
      <c r="FA79" s="1">
        <v>18196.734233435662</v>
      </c>
      <c r="FB79" s="1">
        <v>21682.555715165705</v>
      </c>
      <c r="FC79" s="1">
        <v>14531.549210705321</v>
      </c>
      <c r="FD79" s="1">
        <v>147969.20695556366</v>
      </c>
      <c r="FE79" s="1">
        <v>67259.60781692747</v>
      </c>
      <c r="FF79" s="1">
        <v>964.97752944601348</v>
      </c>
      <c r="FG79" s="1">
        <v>1397781.2452891727</v>
      </c>
      <c r="FH79" s="1">
        <v>1330521.6374722454</v>
      </c>
      <c r="FJ79" s="1">
        <v>1871</v>
      </c>
      <c r="FK79" s="1">
        <v>323281.16595116211</v>
      </c>
      <c r="FL79" s="1">
        <v>49837.652514175854</v>
      </c>
      <c r="FM79" s="1">
        <v>5712.2009853454265</v>
      </c>
      <c r="FN79" s="1">
        <v>0</v>
      </c>
      <c r="FO79" s="1">
        <v>16903.992514387664</v>
      </c>
      <c r="FP79" s="1">
        <v>4403.5036991296311</v>
      </c>
      <c r="FQ79" s="1">
        <v>364.79903084235508</v>
      </c>
      <c r="FR79" s="1">
        <v>400503.31469504302</v>
      </c>
      <c r="FS79" s="1">
        <v>672666.23440487869</v>
      </c>
      <c r="HC79" s="1">
        <v>1871</v>
      </c>
      <c r="HD79" s="1">
        <v>214.24938160083019</v>
      </c>
      <c r="HE79" s="1">
        <v>58.113991391632183</v>
      </c>
      <c r="HF79" s="1">
        <v>9.1495785520126951</v>
      </c>
      <c r="HG79" s="1">
        <v>17.060163753688173</v>
      </c>
      <c r="HH79" s="1">
        <v>67.601407011773262</v>
      </c>
      <c r="HI79" s="1">
        <v>50.699839043001482</v>
      </c>
      <c r="HJ79" s="1">
        <v>0.96826954294386813</v>
      </c>
      <c r="HK79" s="2">
        <v>417.84263089588183</v>
      </c>
      <c r="HL79" s="1">
        <v>367.14279185288035</v>
      </c>
      <c r="HN79" s="1">
        <v>1871</v>
      </c>
      <c r="HO79" s="1">
        <v>89.777038960972334</v>
      </c>
      <c r="HP79" s="1">
        <v>20.00035101963811</v>
      </c>
      <c r="HQ79" s="1">
        <v>3.2178069794272988</v>
      </c>
      <c r="HR79" s="1">
        <v>0</v>
      </c>
      <c r="HS79" s="1">
        <v>19.784467055177316</v>
      </c>
      <c r="HT79" s="1">
        <v>0.42383019373856795</v>
      </c>
      <c r="HU79" s="2">
        <v>133.20349420895366</v>
      </c>
      <c r="HW79" s="1">
        <v>1871</v>
      </c>
      <c r="HX79" s="1">
        <v>157.66111265610778</v>
      </c>
      <c r="HY79" s="1">
        <v>47.913420997693208</v>
      </c>
      <c r="HZ79" s="1">
        <v>36.073649993777337</v>
      </c>
      <c r="IA79" s="1">
        <v>12.586597482566305</v>
      </c>
      <c r="IB79" s="1">
        <v>55.107068676731373</v>
      </c>
      <c r="IC79" s="1">
        <v>1.5674805406649837</v>
      </c>
      <c r="ID79" s="1">
        <v>66.256207231249476</v>
      </c>
      <c r="IE79" s="2">
        <v>377.16553757879046</v>
      </c>
      <c r="IF79" s="1">
        <v>375.59805703812549</v>
      </c>
      <c r="IH79" s="1">
        <v>1871</v>
      </c>
      <c r="II79" s="1">
        <v>137.31493544298914</v>
      </c>
      <c r="IJ79" s="1">
        <v>60.925082325993962</v>
      </c>
      <c r="IK79" s="1">
        <v>27.571132646118297</v>
      </c>
      <c r="IL79" s="1">
        <v>143.05563979314891</v>
      </c>
      <c r="IM79" s="1">
        <v>54.467292045971064</v>
      </c>
      <c r="IN79" s="1">
        <v>24.648714068846068</v>
      </c>
      <c r="IO79" s="1">
        <v>1.4865116924606951</v>
      </c>
    </row>
    <row r="80" spans="1:249" x14ac:dyDescent="0.25">
      <c r="A80" s="1" t="s">
        <v>171</v>
      </c>
      <c r="B80" s="1">
        <v>3.7243571864493958</v>
      </c>
      <c r="C80" s="1">
        <v>3.764879590517836</v>
      </c>
      <c r="D80" s="1">
        <v>3.6945313900091747</v>
      </c>
      <c r="E80" s="1">
        <v>3.7541915617232462</v>
      </c>
      <c r="F80" s="1">
        <v>3.932611021170203</v>
      </c>
      <c r="G80" s="1">
        <v>4.2512520237529401</v>
      </c>
      <c r="H80" s="1">
        <v>4.1782658152971379</v>
      </c>
      <c r="J80" s="1">
        <v>1872</v>
      </c>
      <c r="K80" s="2">
        <v>1119.7019168896697</v>
      </c>
      <c r="L80" s="1">
        <v>1060.3253388595235</v>
      </c>
      <c r="M80" s="1">
        <v>1062.7833857830624</v>
      </c>
      <c r="N80" s="1">
        <v>1003.4068077529162</v>
      </c>
      <c r="O80" s="1">
        <v>56.918531106607333</v>
      </c>
      <c r="P80" s="1">
        <v>59.376578030146327</v>
      </c>
      <c r="Q80" s="1">
        <v>664.32625722425223</v>
      </c>
      <c r="R80" s="1">
        <v>1784.028174113922</v>
      </c>
      <c r="S80" s="1">
        <v>1724.6515960837758</v>
      </c>
      <c r="U80" s="1">
        <v>1872</v>
      </c>
      <c r="V80" s="1">
        <v>264.87831877009722</v>
      </c>
      <c r="W80" s="1">
        <v>16546.031956682018</v>
      </c>
      <c r="X80" s="1">
        <v>3.2421333708471707</v>
      </c>
      <c r="Y80" s="1">
        <v>250.83210885859236</v>
      </c>
      <c r="Z80" s="1">
        <v>14262.276280168979</v>
      </c>
      <c r="AA80" s="1">
        <v>2.7203387064252098</v>
      </c>
      <c r="AB80" s="1">
        <v>4227231.2890264234</v>
      </c>
      <c r="AC80" s="1">
        <v>0.9774290979449205</v>
      </c>
      <c r="AE80" s="1">
        <v>1872</v>
      </c>
      <c r="AF80" s="1">
        <v>474.45705749940646</v>
      </c>
      <c r="AG80" s="1">
        <v>161.86567548497771</v>
      </c>
      <c r="AH80" s="1">
        <v>76.66231039319986</v>
      </c>
      <c r="AI80" s="1">
        <v>62.230314510810771</v>
      </c>
      <c r="AJ80" s="1">
        <v>87.606750017116582</v>
      </c>
      <c r="AK80" s="1">
        <v>71.91067435462017</v>
      </c>
      <c r="AL80" s="1">
        <v>54.81632645956347</v>
      </c>
      <c r="AM80" s="1">
        <v>70.776230139828513</v>
      </c>
      <c r="AN80" s="2">
        <v>1060.3253388595235</v>
      </c>
      <c r="AP80" s="1" t="s">
        <v>171</v>
      </c>
      <c r="AQ80" s="1">
        <v>0.62805885110842041</v>
      </c>
      <c r="AR80" s="1">
        <v>5.1080804690470956</v>
      </c>
      <c r="AS80" s="1">
        <v>40.227269037207378</v>
      </c>
      <c r="AT80" s="1">
        <v>12.936675065508581</v>
      </c>
      <c r="AU80" s="1">
        <v>2.4390309243726733</v>
      </c>
      <c r="AV80" s="1">
        <v>0.99825563847811338</v>
      </c>
      <c r="AW80" s="1">
        <v>-8.8589242715820404</v>
      </c>
      <c r="AX80" s="1">
        <v>1.3652470441592612</v>
      </c>
      <c r="AY80" s="1">
        <v>3.7243571864493958</v>
      </c>
      <c r="BA80" s="1">
        <v>1872</v>
      </c>
      <c r="BB80" s="1">
        <v>884.51400090391223</v>
      </c>
      <c r="BC80" s="1">
        <v>67.946514498793817</v>
      </c>
      <c r="BD80" s="1">
        <v>100.60546258728975</v>
      </c>
      <c r="BE80" s="1">
        <v>24.48676754227796</v>
      </c>
      <c r="BF80" s="1">
        <v>5.8743239374908702</v>
      </c>
      <c r="BG80" s="1">
        <v>11.978464456928872</v>
      </c>
      <c r="BH80" s="1">
        <v>258.03191544394895</v>
      </c>
      <c r="BI80" s="1">
        <v>233.73553248097264</v>
      </c>
      <c r="BJ80" s="1">
        <v>1119.7019168896697</v>
      </c>
      <c r="BL80" s="1" t="s">
        <v>171</v>
      </c>
      <c r="BM80" s="1">
        <v>1.8709408173316717</v>
      </c>
      <c r="BN80" s="1">
        <v>-7.6151478378062194</v>
      </c>
      <c r="BO80" s="1">
        <v>54.372530130641593</v>
      </c>
      <c r="BP80" s="1">
        <v>5.7522123893805315</v>
      </c>
      <c r="BQ80" s="1">
        <v>14.36781609195404</v>
      </c>
      <c r="BR80" s="1">
        <v>4.2512520237529401</v>
      </c>
      <c r="BT80" s="1" t="s">
        <v>171</v>
      </c>
      <c r="BU80" s="1">
        <v>7.7485931403601143</v>
      </c>
      <c r="BV80" s="1">
        <v>11.493271710982071</v>
      </c>
      <c r="BW80" s="1">
        <v>9.6391560078220095</v>
      </c>
      <c r="BX80" s="1">
        <v>15.798894681493763</v>
      </c>
      <c r="BY80" s="1">
        <v>10.36278955754382</v>
      </c>
      <c r="BZ80" s="1">
        <v>9.3977806757981313</v>
      </c>
      <c r="CB80" s="1">
        <v>1872</v>
      </c>
      <c r="CC80" s="1">
        <v>38.456325674763143</v>
      </c>
      <c r="CD80" s="1">
        <v>19.647263889162637</v>
      </c>
      <c r="CE80" s="1">
        <v>0.22488407466211413</v>
      </c>
      <c r="CF80" s="1">
        <v>41.363588467702549</v>
      </c>
      <c r="CG80" s="1">
        <v>4.7018742401332716</v>
      </c>
      <c r="CH80" s="1">
        <v>3.6726674203291592</v>
      </c>
      <c r="CI80" s="1">
        <v>34.87841475723458</v>
      </c>
      <c r="CJ80" s="1">
        <v>142.94501852398747</v>
      </c>
      <c r="CL80" s="1">
        <v>1872</v>
      </c>
      <c r="CM80" s="1">
        <v>20.614348696742407</v>
      </c>
      <c r="CN80" s="1">
        <v>6.198683955678244</v>
      </c>
      <c r="CO80" s="1">
        <v>0.12975733146388813</v>
      </c>
      <c r="CP80" s="1">
        <v>12.812577305675269</v>
      </c>
      <c r="CQ80" s="1">
        <v>0.67871541142472813</v>
      </c>
      <c r="CR80" s="1">
        <v>1.7494884758250366</v>
      </c>
      <c r="CS80" s="1">
        <v>14.734959929797757</v>
      </c>
      <c r="CT80" s="2">
        <v>56.918531106607333</v>
      </c>
      <c r="CV80" s="1">
        <v>1872</v>
      </c>
      <c r="CW80" s="1">
        <v>477.56735336320526</v>
      </c>
      <c r="CX80" s="1">
        <v>675.6754638206512</v>
      </c>
      <c r="CY80" s="1">
        <v>103.38518663579821</v>
      </c>
      <c r="CZ80" s="1">
        <v>195.76618183145905</v>
      </c>
      <c r="DA80" s="1">
        <v>230.19608723368242</v>
      </c>
      <c r="DB80" s="1">
        <v>1682.5902728847961</v>
      </c>
      <c r="DC80" s="1">
        <v>1628.7599849483743</v>
      </c>
      <c r="DD80" s="1">
        <v>226.84361975299777</v>
      </c>
      <c r="DF80" s="1">
        <v>1872</v>
      </c>
      <c r="DG80" s="1">
        <v>5.0363827060539563</v>
      </c>
      <c r="DH80" s="1">
        <v>4.2179296146562848</v>
      </c>
      <c r="DI80" s="1">
        <v>5.6148683330598601</v>
      </c>
      <c r="DJ80" s="1">
        <v>9.7680142988225498</v>
      </c>
      <c r="DK80" s="1">
        <v>3.4968075349804337</v>
      </c>
      <c r="DL80" s="1">
        <v>5.2035916860606619</v>
      </c>
      <c r="DM80" s="1">
        <v>5.1639549185291713</v>
      </c>
      <c r="DN80" s="1">
        <v>5.2169671926187533</v>
      </c>
      <c r="DO80" s="1">
        <v>6.7952757932184369</v>
      </c>
      <c r="DQ80" s="1">
        <v>1872</v>
      </c>
      <c r="DR80" s="1">
        <v>847.9430924651615</v>
      </c>
      <c r="DS80" s="1">
        <v>1293.6200548874258</v>
      </c>
      <c r="DT80" s="1">
        <v>197.43552135345968</v>
      </c>
      <c r="DU80" s="1">
        <v>195.76618183145905</v>
      </c>
      <c r="DV80" s="1">
        <v>230.19608723368242</v>
      </c>
      <c r="DW80" s="1">
        <v>2764.9609377711886</v>
      </c>
      <c r="DX80" s="1">
        <v>2666.2446046592972</v>
      </c>
      <c r="DY80" s="1">
        <v>305.02770915815495</v>
      </c>
      <c r="EA80" s="1">
        <v>1872</v>
      </c>
      <c r="EB80" s="1">
        <v>3.7274319876785995</v>
      </c>
      <c r="EC80" s="1">
        <v>3.3526484249063202</v>
      </c>
      <c r="ED80" s="1">
        <v>3.9730966570466393</v>
      </c>
      <c r="EE80" s="1">
        <v>7.6012667942985388</v>
      </c>
      <c r="EF80" s="1">
        <v>3.4968075349804337</v>
      </c>
      <c r="EG80" s="1">
        <v>5.2035916860606619</v>
      </c>
      <c r="EH80" s="1">
        <v>4.098899907503295</v>
      </c>
      <c r="EI80" s="1">
        <v>4.1452243685410366</v>
      </c>
      <c r="EJ80" s="1">
        <v>5.906463444654392</v>
      </c>
      <c r="EL80" s="1">
        <v>1872</v>
      </c>
      <c r="EM80" s="1">
        <v>1297873.8951465415</v>
      </c>
      <c r="EN80" s="1">
        <v>221422.28902138892</v>
      </c>
      <c r="EO80" s="1">
        <v>29565.349923642716</v>
      </c>
      <c r="EP80" s="1">
        <v>24704.951434299699</v>
      </c>
      <c r="EQ80" s="1">
        <v>33404.36835626822</v>
      </c>
      <c r="ER80" s="1">
        <v>153378.14637504658</v>
      </c>
      <c r="ES80" s="1">
        <v>61056.642177391666</v>
      </c>
      <c r="ET80" s="1">
        <v>1362.7123940149161</v>
      </c>
      <c r="EU80" s="1">
        <v>1822768.3548285943</v>
      </c>
      <c r="EV80" s="1">
        <v>1761711.7126512027</v>
      </c>
      <c r="EX80" s="1">
        <v>1872</v>
      </c>
      <c r="EY80" s="1">
        <v>973323.96480781597</v>
      </c>
      <c r="EZ80" s="1">
        <v>169033.80829720484</v>
      </c>
      <c r="FA80" s="1">
        <v>23579.124053661828</v>
      </c>
      <c r="FB80" s="1">
        <v>24704.951434299699</v>
      </c>
      <c r="FC80" s="1">
        <v>15713.833790631979</v>
      </c>
      <c r="FD80" s="1">
        <v>148909.81319466335</v>
      </c>
      <c r="FE80" s="1">
        <v>61056.642177391666</v>
      </c>
      <c r="FF80" s="1">
        <v>992.85826864159731</v>
      </c>
      <c r="FG80" s="1">
        <v>1417314.9960243111</v>
      </c>
      <c r="FH80" s="1">
        <v>1356258.3538469195</v>
      </c>
      <c r="FJ80" s="1">
        <v>1872</v>
      </c>
      <c r="FK80" s="1">
        <v>324549.93033872551</v>
      </c>
      <c r="FL80" s="1">
        <v>52388.48072418409</v>
      </c>
      <c r="FM80" s="1">
        <v>5986.225869980889</v>
      </c>
      <c r="FN80" s="1">
        <v>0</v>
      </c>
      <c r="FO80" s="1">
        <v>17690.534565636237</v>
      </c>
      <c r="FP80" s="1">
        <v>4468.3331803832552</v>
      </c>
      <c r="FQ80" s="1">
        <v>369.85412537331871</v>
      </c>
      <c r="FR80" s="1">
        <v>405453.35880428326</v>
      </c>
      <c r="FS80" s="1">
        <v>677568.12994428107</v>
      </c>
      <c r="HC80" s="1">
        <v>1872</v>
      </c>
      <c r="HD80" s="1">
        <v>248.75956621501766</v>
      </c>
      <c r="HE80" s="1">
        <v>69.680378239094438</v>
      </c>
      <c r="HF80" s="1">
        <v>13.091162177897361</v>
      </c>
      <c r="HG80" s="1">
        <v>20.715913129478494</v>
      </c>
      <c r="HH80" s="1">
        <v>73.795991419053991</v>
      </c>
      <c r="HI80" s="1">
        <v>53.066837983738438</v>
      </c>
      <c r="HJ80" s="1">
        <v>1.0736236803365322</v>
      </c>
      <c r="HK80" s="2">
        <v>480.18347284461692</v>
      </c>
      <c r="HL80" s="1">
        <v>427.11663486087849</v>
      </c>
      <c r="HN80" s="1">
        <v>1872</v>
      </c>
      <c r="HO80" s="1">
        <v>104.45226843517334</v>
      </c>
      <c r="HP80" s="1">
        <v>23.214468350276139</v>
      </c>
      <c r="HQ80" s="1">
        <v>3.7235098482192517</v>
      </c>
      <c r="HR80" s="1">
        <v>0</v>
      </c>
      <c r="HS80" s="1">
        <v>21.966558518835615</v>
      </c>
      <c r="HT80" s="1">
        <v>0.4630783083404113</v>
      </c>
      <c r="HU80" s="2">
        <v>153.81988346084478</v>
      </c>
      <c r="HW80" s="1">
        <v>1872</v>
      </c>
      <c r="HX80" s="1">
        <v>150.67722284921547</v>
      </c>
      <c r="HY80" s="1">
        <v>68.970828895607141</v>
      </c>
      <c r="HZ80" s="1">
        <v>59.847638367083249</v>
      </c>
      <c r="IA80" s="1">
        <v>12.082401381332275</v>
      </c>
      <c r="IB80" s="1">
        <v>63.754874433847171</v>
      </c>
      <c r="IC80" s="1">
        <v>1.7494884758250293</v>
      </c>
      <c r="ID80" s="1">
        <v>69.239528151151575</v>
      </c>
      <c r="IE80" s="2">
        <v>426.32198255406195</v>
      </c>
      <c r="IF80" s="1">
        <v>424.5724940782369</v>
      </c>
      <c r="IH80" s="1">
        <v>1872</v>
      </c>
      <c r="II80" s="1">
        <v>132.32893641952933</v>
      </c>
      <c r="IJ80" s="1">
        <v>73.860105640008086</v>
      </c>
      <c r="IK80" s="1">
        <v>32.103705544241592</v>
      </c>
      <c r="IL80" s="1">
        <v>137.29346023097554</v>
      </c>
      <c r="IM80" s="1">
        <v>67.573333984182014</v>
      </c>
      <c r="IN80" s="1">
        <v>29.371125292512328</v>
      </c>
      <c r="IO80" s="1">
        <v>2.4781530369396734</v>
      </c>
    </row>
    <row r="81" spans="1:249" x14ac:dyDescent="0.25">
      <c r="A81" s="1" t="s">
        <v>172</v>
      </c>
      <c r="B81" s="1">
        <v>1.5496548973783746</v>
      </c>
      <c r="C81" s="1">
        <v>1.4824342589951414</v>
      </c>
      <c r="D81" s="1">
        <v>1.5102541477796763</v>
      </c>
      <c r="E81" s="1">
        <v>1.5890709402011964</v>
      </c>
      <c r="F81" s="1">
        <v>1.8019506955943285</v>
      </c>
      <c r="G81" s="1">
        <v>3.8487202845675341</v>
      </c>
      <c r="H81" s="1">
        <v>3.5859210691203032</v>
      </c>
      <c r="J81" s="1">
        <v>1873</v>
      </c>
      <c r="K81" s="2">
        <v>1267.5777799919947</v>
      </c>
      <c r="L81" s="1">
        <v>1199.9742603862753</v>
      </c>
      <c r="M81" s="1">
        <v>1197.3222262633412</v>
      </c>
      <c r="N81" s="1">
        <v>1129.7187066576219</v>
      </c>
      <c r="O81" s="1">
        <v>70.255553728653553</v>
      </c>
      <c r="P81" s="1">
        <v>67.603519605719299</v>
      </c>
      <c r="Q81" s="1">
        <v>758.26750628643299</v>
      </c>
      <c r="R81" s="1">
        <v>2025.8452862784277</v>
      </c>
      <c r="S81" s="1">
        <v>1958.2417666727083</v>
      </c>
      <c r="U81" s="1">
        <v>1873</v>
      </c>
      <c r="V81" s="1">
        <v>296.57006486784456</v>
      </c>
      <c r="W81" s="1">
        <v>16994.31692017044</v>
      </c>
      <c r="X81" s="1">
        <v>2.7093200633363068</v>
      </c>
      <c r="Y81" s="1">
        <v>280.75314182672798</v>
      </c>
      <c r="Z81" s="1">
        <v>14324.385555778497</v>
      </c>
      <c r="AA81" s="1">
        <v>0.43547940307311706</v>
      </c>
      <c r="AB81" s="1">
        <v>4274125.8479909077</v>
      </c>
      <c r="AC81" s="1">
        <v>1.109344527379406</v>
      </c>
      <c r="AE81" s="1">
        <v>1873</v>
      </c>
      <c r="AF81" s="1">
        <v>505.61221524123715</v>
      </c>
      <c r="AG81" s="1">
        <v>188.49727863469241</v>
      </c>
      <c r="AH81" s="1">
        <v>108.42396120085553</v>
      </c>
      <c r="AI81" s="1">
        <v>77.047981670777531</v>
      </c>
      <c r="AJ81" s="1">
        <v>100.4550529793495</v>
      </c>
      <c r="AK81" s="1">
        <v>76.165452249980873</v>
      </c>
      <c r="AL81" s="1">
        <v>57.812414982115342</v>
      </c>
      <c r="AM81" s="1">
        <v>85.959903427267136</v>
      </c>
      <c r="AN81" s="2">
        <v>1199.9742603862753</v>
      </c>
      <c r="AP81" s="1" t="s">
        <v>172</v>
      </c>
      <c r="AQ81" s="1">
        <v>-2.3764635774031859</v>
      </c>
      <c r="AR81" s="1">
        <v>1.2416819625177453</v>
      </c>
      <c r="AS81" s="1">
        <v>21.363587833183416</v>
      </c>
      <c r="AT81" s="1">
        <v>16.370830399321633</v>
      </c>
      <c r="AU81" s="1">
        <v>0.69918781582150302</v>
      </c>
      <c r="AV81" s="1">
        <v>1.1374221947423138</v>
      </c>
      <c r="AW81" s="1">
        <v>-6.7875831394625692</v>
      </c>
      <c r="AX81" s="1">
        <v>1.5895834546181646</v>
      </c>
      <c r="AY81" s="1">
        <v>1.5496548973783746</v>
      </c>
      <c r="BA81" s="1">
        <v>1873</v>
      </c>
      <c r="BB81" s="1">
        <v>991.23602946332176</v>
      </c>
      <c r="BC81" s="1">
        <v>75.061424898672612</v>
      </c>
      <c r="BD81" s="1">
        <v>160.71644076055321</v>
      </c>
      <c r="BE81" s="1">
        <v>35.839059864246579</v>
      </c>
      <c r="BF81" s="1">
        <v>7.081195153484602</v>
      </c>
      <c r="BG81" s="1">
        <v>9.535021547921863</v>
      </c>
      <c r="BH81" s="1">
        <v>283.94778468067744</v>
      </c>
      <c r="BI81" s="1">
        <v>295.83917637688324</v>
      </c>
      <c r="BJ81" s="1">
        <v>1267.5777799919949</v>
      </c>
      <c r="BL81" s="1" t="s">
        <v>172</v>
      </c>
      <c r="BM81" s="1">
        <v>4.1296428601169026</v>
      </c>
      <c r="BN81" s="1">
        <v>-1.1651989837851886</v>
      </c>
      <c r="BO81" s="1">
        <v>30.898229486271646</v>
      </c>
      <c r="BP81" s="1">
        <v>-1.2552301255229992</v>
      </c>
      <c r="BQ81" s="1">
        <v>14.572864321608051</v>
      </c>
      <c r="BR81" s="1">
        <v>3.8487202845675341</v>
      </c>
      <c r="BT81" s="1" t="s">
        <v>172</v>
      </c>
      <c r="BU81" s="1">
        <v>7.6212393023327394</v>
      </c>
      <c r="BV81" s="1">
        <v>11.773726097749801</v>
      </c>
      <c r="BW81" s="1">
        <v>13.927032755249002</v>
      </c>
      <c r="BX81" s="1">
        <v>11.442528310265686</v>
      </c>
      <c r="BY81" s="1">
        <v>10.47122637511653</v>
      </c>
      <c r="BZ81" s="1">
        <v>9.0111815172704013</v>
      </c>
      <c r="CB81" s="1">
        <v>1873</v>
      </c>
      <c r="CC81" s="1">
        <v>47.340269721910786</v>
      </c>
      <c r="CD81" s="1">
        <v>26.481737860450981</v>
      </c>
      <c r="CE81" s="1">
        <v>0.24538547649201004</v>
      </c>
      <c r="CF81" s="1">
        <v>65.633366477892025</v>
      </c>
      <c r="CG81" s="1">
        <v>4.8906297056796282</v>
      </c>
      <c r="CH81" s="1">
        <v>4.1807292448811593</v>
      </c>
      <c r="CI81" s="1">
        <v>64.399598838899649</v>
      </c>
      <c r="CJ81" s="1">
        <v>213.17171732620625</v>
      </c>
      <c r="CL81" s="1">
        <v>1873</v>
      </c>
      <c r="CM81" s="1">
        <v>24.505930164347685</v>
      </c>
      <c r="CN81" s="1">
        <v>7.9676438701954577</v>
      </c>
      <c r="CO81" s="1">
        <v>0.14332097152985696</v>
      </c>
      <c r="CP81" s="1">
        <v>16.239440486039275</v>
      </c>
      <c r="CQ81" s="1">
        <v>0.86003450605463971</v>
      </c>
      <c r="CR81" s="1">
        <v>2.107497173365581</v>
      </c>
      <c r="CS81" s="1">
        <v>18.431686557121054</v>
      </c>
      <c r="CT81" s="2">
        <v>70.255553728653553</v>
      </c>
      <c r="CV81" s="1">
        <v>1873</v>
      </c>
      <c r="CW81" s="1">
        <v>579.65814015581134</v>
      </c>
      <c r="CX81" s="1">
        <v>831.1004689514449</v>
      </c>
      <c r="CY81" s="1">
        <v>119.63724490595362</v>
      </c>
      <c r="CZ81" s="1">
        <v>219.96616445158463</v>
      </c>
      <c r="DA81" s="1">
        <v>273.88728926462278</v>
      </c>
      <c r="DB81" s="1">
        <v>2024.2493077294171</v>
      </c>
      <c r="DC81" s="1">
        <v>1959.4890482294472</v>
      </c>
      <c r="DD81" s="1">
        <v>273.1268351822913</v>
      </c>
      <c r="DF81" s="1">
        <v>1873</v>
      </c>
      <c r="DG81" s="1">
        <v>7.6349565796120658</v>
      </c>
      <c r="DH81" s="1">
        <v>7.9301762706933658</v>
      </c>
      <c r="DI81" s="1">
        <v>7.4290116105386232</v>
      </c>
      <c r="DJ81" s="1">
        <v>15.654294830712104</v>
      </c>
      <c r="DK81" s="1">
        <v>2.9837137885952387</v>
      </c>
      <c r="DL81" s="1">
        <v>3.4813669424101761</v>
      </c>
      <c r="DM81" s="1">
        <v>7.119659704078444</v>
      </c>
      <c r="DN81" s="1">
        <v>7.2507362087459626</v>
      </c>
      <c r="DO81" s="1">
        <v>7.1297607253281114</v>
      </c>
      <c r="DQ81" s="1">
        <v>1873</v>
      </c>
      <c r="DR81" s="1">
        <v>1020.6649090636686</v>
      </c>
      <c r="DS81" s="1">
        <v>1566.4560336922007</v>
      </c>
      <c r="DT81" s="1">
        <v>224.03363100727304</v>
      </c>
      <c r="DU81" s="1">
        <v>219.96616445158463</v>
      </c>
      <c r="DV81" s="1">
        <v>273.88728926462278</v>
      </c>
      <c r="DW81" s="1">
        <v>3305.0080274793495</v>
      </c>
      <c r="DX81" s="1">
        <v>3187.0766108972025</v>
      </c>
      <c r="DY81" s="1">
        <v>364.80966073919137</v>
      </c>
      <c r="EA81" s="1">
        <v>1873</v>
      </c>
      <c r="EB81" s="1">
        <v>5.2606659710116048</v>
      </c>
      <c r="EC81" s="1">
        <v>5.5561266254437101</v>
      </c>
      <c r="ED81" s="1">
        <v>5.0681134675477892</v>
      </c>
      <c r="EE81" s="1">
        <v>11.320217981615912</v>
      </c>
      <c r="EF81" s="1">
        <v>2.9837137885952387</v>
      </c>
      <c r="EG81" s="1">
        <v>3.4813669424101761</v>
      </c>
      <c r="EH81" s="1">
        <v>5.4011936619958334</v>
      </c>
      <c r="EI81" s="1">
        <v>5.5014706116077008</v>
      </c>
      <c r="EJ81" s="1">
        <v>6.3869913104524016</v>
      </c>
      <c r="EL81" s="1">
        <v>1873</v>
      </c>
      <c r="EM81" s="1">
        <v>1294852.7680751772</v>
      </c>
      <c r="EN81" s="1">
        <v>231839.84900197794</v>
      </c>
      <c r="EO81" s="1">
        <v>33528.30836759571</v>
      </c>
      <c r="EP81" s="1">
        <v>27657.988140733305</v>
      </c>
      <c r="EQ81" s="1">
        <v>35476.626837677963</v>
      </c>
      <c r="ER81" s="1">
        <v>154489.72682263225</v>
      </c>
      <c r="ES81" s="1">
        <v>56678.078196542861</v>
      </c>
      <c r="ET81" s="1">
        <v>1396.5339287528984</v>
      </c>
      <c r="EU81" s="1">
        <v>1835919.8793710896</v>
      </c>
      <c r="EV81" s="1">
        <v>1779241.8011745471</v>
      </c>
      <c r="EX81" s="1">
        <v>1873</v>
      </c>
      <c r="EY81" s="1">
        <v>967765.30896132486</v>
      </c>
      <c r="EZ81" s="1">
        <v>177953.17789043242</v>
      </c>
      <c r="FA81" s="1">
        <v>27255.938118905346</v>
      </c>
      <c r="FB81" s="1">
        <v>27657.988140733305</v>
      </c>
      <c r="FC81" s="1">
        <v>17143.237517813726</v>
      </c>
      <c r="FD81" s="1">
        <v>150014.65549649057</v>
      </c>
      <c r="FE81" s="1">
        <v>56678.078196542861</v>
      </c>
      <c r="FF81" s="1">
        <v>1021.5519464544633</v>
      </c>
      <c r="FG81" s="1">
        <v>1425489.9362686975</v>
      </c>
      <c r="FH81" s="1">
        <v>1368811.8580721547</v>
      </c>
      <c r="FJ81" s="1">
        <v>1873</v>
      </c>
      <c r="FK81" s="1">
        <v>327087.45911385235</v>
      </c>
      <c r="FL81" s="1">
        <v>53886.671111545518</v>
      </c>
      <c r="FM81" s="1">
        <v>6272.3702486903649</v>
      </c>
      <c r="FN81" s="1">
        <v>0</v>
      </c>
      <c r="FO81" s="1">
        <v>18333.389319864236</v>
      </c>
      <c r="FP81" s="1">
        <v>4475.0713261416586</v>
      </c>
      <c r="FQ81" s="1">
        <v>374.98198229843513</v>
      </c>
      <c r="FR81" s="1">
        <v>410429.94310239254</v>
      </c>
      <c r="FS81" s="1">
        <v>682505.74688406033</v>
      </c>
      <c r="HC81" s="1">
        <v>1873</v>
      </c>
      <c r="HD81" s="1">
        <v>311.86209085866653</v>
      </c>
      <c r="HE81" s="1">
        <v>80.710774175636843</v>
      </c>
      <c r="HF81" s="1">
        <v>16.649473786703751</v>
      </c>
      <c r="HG81" s="1">
        <v>24.371662505268816</v>
      </c>
      <c r="HH81" s="1">
        <v>79.574965767947305</v>
      </c>
      <c r="HI81" s="1">
        <v>55.704917808749762</v>
      </c>
      <c r="HJ81" s="1">
        <v>1.1693382831998369</v>
      </c>
      <c r="HK81" s="2">
        <v>570.0432231861729</v>
      </c>
      <c r="HL81" s="1">
        <v>514.33830537742313</v>
      </c>
      <c r="HN81" s="1">
        <v>1873</v>
      </c>
      <c r="HO81" s="1">
        <v>132.73040236513629</v>
      </c>
      <c r="HP81" s="1">
        <v>26.271999993669652</v>
      </c>
      <c r="HQ81" s="1">
        <v>4.2925951970306695</v>
      </c>
      <c r="HR81" s="1">
        <v>0</v>
      </c>
      <c r="HS81" s="1">
        <v>23.793436809635843</v>
      </c>
      <c r="HT81" s="1">
        <v>0.49699184126803569</v>
      </c>
      <c r="HU81" s="2">
        <v>187.58542620674046</v>
      </c>
      <c r="HW81" s="1">
        <v>1873</v>
      </c>
      <c r="HX81" s="1">
        <v>97.508722017434309</v>
      </c>
      <c r="HY81" s="1">
        <v>81.514504465385912</v>
      </c>
      <c r="HZ81" s="1">
        <v>87.4818922171211</v>
      </c>
      <c r="IA81" s="1">
        <v>16.187319165508718</v>
      </c>
      <c r="IB81" s="1">
        <v>73.252102651747236</v>
      </c>
      <c r="IC81" s="1">
        <v>2.1074971733655814</v>
      </c>
      <c r="ID81" s="1">
        <v>84.29357330279926</v>
      </c>
      <c r="IE81" s="2">
        <v>442.34561099336213</v>
      </c>
      <c r="IF81" s="1">
        <v>440.23811381999656</v>
      </c>
      <c r="IH81" s="1">
        <v>1873</v>
      </c>
      <c r="II81" s="1">
        <v>136.7999029566964</v>
      </c>
      <c r="IJ81" s="1">
        <v>75.760564342024495</v>
      </c>
      <c r="IK81" s="1">
        <v>31.509098177411087</v>
      </c>
      <c r="IL81" s="1">
        <v>142.48612625717112</v>
      </c>
      <c r="IM81" s="1">
        <v>68.746451161191828</v>
      </c>
      <c r="IN81" s="1">
        <v>28.591902631657533</v>
      </c>
      <c r="IO81" s="1">
        <v>2.2329406014414559</v>
      </c>
    </row>
    <row r="82" spans="1:249" x14ac:dyDescent="0.25">
      <c r="A82" s="1" t="s">
        <v>173</v>
      </c>
      <c r="B82" s="1">
        <v>3.0172220028772898</v>
      </c>
      <c r="C82" s="1">
        <v>2.8344812660219958</v>
      </c>
      <c r="D82" s="1">
        <v>3.0643405110564856</v>
      </c>
      <c r="E82" s="1">
        <v>2.9701250361332825</v>
      </c>
      <c r="F82" s="1">
        <v>3.0606977671784961</v>
      </c>
      <c r="G82" s="1">
        <v>-1.1178074029110689</v>
      </c>
      <c r="H82" s="1">
        <v>-1.6950929756522584</v>
      </c>
      <c r="J82" s="1">
        <v>1874</v>
      </c>
      <c r="K82" s="2">
        <v>1369.243562067461</v>
      </c>
      <c r="L82" s="1">
        <v>1289.7967292211104</v>
      </c>
      <c r="M82" s="1">
        <v>1283.0759193346162</v>
      </c>
      <c r="N82" s="1">
        <v>1203.6290864882656</v>
      </c>
      <c r="O82" s="1">
        <v>86.167642732844712</v>
      </c>
      <c r="P82" s="1">
        <v>79.446832846350702</v>
      </c>
      <c r="Q82" s="1">
        <v>823.86926163737371</v>
      </c>
      <c r="R82" s="1">
        <v>2193.1128237048347</v>
      </c>
      <c r="S82" s="1">
        <v>2113.6659908584843</v>
      </c>
      <c r="U82" s="1">
        <v>1874</v>
      </c>
      <c r="V82" s="1">
        <v>316.9757682132136</v>
      </c>
      <c r="W82" s="1">
        <v>16627.021626759601</v>
      </c>
      <c r="X82" s="1">
        <v>-2.16128306383942</v>
      </c>
      <c r="Y82" s="1">
        <v>298.58406525311011</v>
      </c>
      <c r="Z82" s="1">
        <v>14600.862032963038</v>
      </c>
      <c r="AA82" s="1">
        <v>1.9301105524418745</v>
      </c>
      <c r="AB82" s="1">
        <v>4319710.5248324219</v>
      </c>
      <c r="AC82" s="1">
        <v>1.0665263135137195</v>
      </c>
      <c r="AE82" s="1">
        <v>1874</v>
      </c>
      <c r="AF82" s="1">
        <v>538.42581980146235</v>
      </c>
      <c r="AG82" s="1">
        <v>208.86729748547273</v>
      </c>
      <c r="AH82" s="1">
        <v>112.45507017845131</v>
      </c>
      <c r="AI82" s="1">
        <v>95.041188463029556</v>
      </c>
      <c r="AJ82" s="1">
        <v>112.4362778387181</v>
      </c>
      <c r="AK82" s="1">
        <v>79.783002406146664</v>
      </c>
      <c r="AL82" s="1">
        <v>59.544051438072323</v>
      </c>
      <c r="AM82" s="1">
        <v>83.244021609757453</v>
      </c>
      <c r="AN82" s="2">
        <v>1289.7967292211104</v>
      </c>
      <c r="AP82" s="1" t="s">
        <v>173</v>
      </c>
      <c r="AQ82" s="1">
        <v>1.9721781560075584</v>
      </c>
      <c r="AR82" s="1">
        <v>3.8382296717324351</v>
      </c>
      <c r="AS82" s="1">
        <v>-2.8683973282001887</v>
      </c>
      <c r="AT82" s="1">
        <v>18.669899041750384</v>
      </c>
      <c r="AU82" s="1">
        <v>3.0879067483639915</v>
      </c>
      <c r="AV82" s="1">
        <v>1.1334476997543135</v>
      </c>
      <c r="AW82" s="1">
        <v>-2.3199476678599069</v>
      </c>
      <c r="AX82" s="1">
        <v>6.2458296794541752</v>
      </c>
      <c r="AY82" s="1">
        <v>3.0172220028772898</v>
      </c>
      <c r="BA82" s="1">
        <v>1874</v>
      </c>
      <c r="BB82" s="1">
        <v>1101.0429110098146</v>
      </c>
      <c r="BC82" s="1">
        <v>76.702117239602273</v>
      </c>
      <c r="BD82" s="1">
        <v>182.82718933071249</v>
      </c>
      <c r="BE82" s="1">
        <v>45.504070475355519</v>
      </c>
      <c r="BF82" s="1">
        <v>-5.3302618797880932</v>
      </c>
      <c r="BG82" s="1">
        <v>8.6416590156437163</v>
      </c>
      <c r="BH82" s="1">
        <v>295.21555391403768</v>
      </c>
      <c r="BI82" s="1">
        <v>335.35967703791727</v>
      </c>
      <c r="BJ82" s="1">
        <v>1369.2435620674607</v>
      </c>
      <c r="BL82" s="1" t="s">
        <v>173</v>
      </c>
      <c r="BM82" s="1">
        <v>5.4687872476170298</v>
      </c>
      <c r="BN82" s="1">
        <v>-3.2369541103025625</v>
      </c>
      <c r="BO82" s="1">
        <v>-3.2589889045805904</v>
      </c>
      <c r="BP82" s="1">
        <v>-1.2711864406779654</v>
      </c>
      <c r="BQ82" s="1">
        <v>19.736842105263165</v>
      </c>
      <c r="BR82" s="1">
        <v>-1.1178074029110689</v>
      </c>
      <c r="BT82" s="1" t="s">
        <v>173</v>
      </c>
      <c r="BU82" s="1">
        <v>5.3181479880457942</v>
      </c>
      <c r="BV82" s="1">
        <v>5.6041577457718716</v>
      </c>
      <c r="BW82" s="1">
        <v>12.325492532698945</v>
      </c>
      <c r="BX82" s="1">
        <v>5.30690101505553</v>
      </c>
      <c r="BY82" s="1">
        <v>-5.3267343343679272</v>
      </c>
      <c r="BZ82" s="1">
        <v>9.241587375134003</v>
      </c>
      <c r="CB82" s="1">
        <v>1874</v>
      </c>
      <c r="CC82" s="1">
        <v>38.045319316996952</v>
      </c>
      <c r="CD82" s="1">
        <v>36.949674057891961</v>
      </c>
      <c r="CE82" s="1">
        <v>0.69032824715323748</v>
      </c>
      <c r="CF82" s="1">
        <v>85.714510817213096</v>
      </c>
      <c r="CG82" s="1">
        <v>4.6882742839196023</v>
      </c>
      <c r="CH82" s="1">
        <v>4.8618005818391827</v>
      </c>
      <c r="CI82" s="1">
        <v>60.692749636909603</v>
      </c>
      <c r="CJ82" s="1">
        <v>231.64265694192366</v>
      </c>
      <c r="CL82" s="1">
        <v>1874</v>
      </c>
      <c r="CM82" s="1">
        <v>28.185764459556811</v>
      </c>
      <c r="CN82" s="1">
        <v>11.395760120470264</v>
      </c>
      <c r="CO82" s="1">
        <v>0.25151716836160232</v>
      </c>
      <c r="CP82" s="1">
        <v>21.166977393436273</v>
      </c>
      <c r="CQ82" s="1">
        <v>1.0381817609528008</v>
      </c>
      <c r="CR82" s="1">
        <v>2.4484666538988789</v>
      </c>
      <c r="CS82" s="1">
        <v>21.680975176168079</v>
      </c>
      <c r="CT82" s="2">
        <v>86.167642732844712</v>
      </c>
      <c r="CV82" s="1">
        <v>1874</v>
      </c>
      <c r="CW82" s="1">
        <v>698.31330196779732</v>
      </c>
      <c r="CX82" s="1">
        <v>996.18362030819981</v>
      </c>
      <c r="CY82" s="1">
        <v>161.97526536396273</v>
      </c>
      <c r="CZ82" s="1">
        <v>178.8347476001434</v>
      </c>
      <c r="DA82" s="1">
        <v>303.84740716379775</v>
      </c>
      <c r="DB82" s="1">
        <v>2339.154342403901</v>
      </c>
      <c r="DC82" s="1">
        <v>2264.8744721106609</v>
      </c>
      <c r="DD82" s="1">
        <v>322.15135278528464</v>
      </c>
      <c r="DF82" s="1">
        <v>1874</v>
      </c>
      <c r="DG82" s="1">
        <v>7.060156419920645</v>
      </c>
      <c r="DH82" s="1">
        <v>5.5865718654949319</v>
      </c>
      <c r="DI82" s="1">
        <v>8.0929812578506528</v>
      </c>
      <c r="DJ82" s="1">
        <v>13.925929005975334</v>
      </c>
      <c r="DK82" s="1">
        <v>-3.4284734398739118</v>
      </c>
      <c r="DL82" s="1">
        <v>2.8440785775687658</v>
      </c>
      <c r="DM82" s="1">
        <v>6.1038060794065245</v>
      </c>
      <c r="DN82" s="1">
        <v>6.1958966592602422</v>
      </c>
      <c r="DO82" s="1">
        <v>8.2843295776242627</v>
      </c>
      <c r="DQ82" s="1">
        <v>1874</v>
      </c>
      <c r="DR82" s="1">
        <v>1202.5471646615354</v>
      </c>
      <c r="DS82" s="1">
        <v>1836.3592172516253</v>
      </c>
      <c r="DT82" s="1">
        <v>291.1365159450142</v>
      </c>
      <c r="DU82" s="1">
        <v>178.8347476001434</v>
      </c>
      <c r="DV82" s="1">
        <v>303.84740716379775</v>
      </c>
      <c r="DW82" s="1">
        <v>3812.7250526221164</v>
      </c>
      <c r="DX82" s="1">
        <v>3678.1275827976965</v>
      </c>
      <c r="DY82" s="1">
        <v>431.0679558176505</v>
      </c>
      <c r="EA82" s="1">
        <v>1874</v>
      </c>
      <c r="EB82" s="1">
        <v>5.0939017381980136</v>
      </c>
      <c r="EC82" s="1">
        <v>4.3163062306142592</v>
      </c>
      <c r="ED82" s="1">
        <v>5.603044742961643</v>
      </c>
      <c r="EE82" s="1">
        <v>10.961839158729063</v>
      </c>
      <c r="EF82" s="1">
        <v>-3.4284734398738976</v>
      </c>
      <c r="EG82" s="1">
        <v>2.8440785775687658</v>
      </c>
      <c r="EH82" s="1">
        <v>4.9237993256979991</v>
      </c>
      <c r="EI82" s="1">
        <v>5.0017665608154118</v>
      </c>
      <c r="EJ82" s="1">
        <v>7.569295112755043</v>
      </c>
      <c r="EL82" s="1">
        <v>1874</v>
      </c>
      <c r="EM82" s="1">
        <v>1300976.1844419856</v>
      </c>
      <c r="EN82" s="1">
        <v>245500.61161803349</v>
      </c>
      <c r="EO82" s="1">
        <v>34482.171806899183</v>
      </c>
      <c r="EP82" s="1">
        <v>31662.465639940448</v>
      </c>
      <c r="EQ82" s="1">
        <v>37052.648183601756</v>
      </c>
      <c r="ER82" s="1">
        <v>155588.47529144853</v>
      </c>
      <c r="ES82" s="1">
        <v>55218.55686959326</v>
      </c>
      <c r="ET82" s="1">
        <v>1431.2662843089201</v>
      </c>
      <c r="EU82" s="1">
        <v>1861912.3801358109</v>
      </c>
      <c r="EV82" s="1">
        <v>1806693.823266218</v>
      </c>
      <c r="EX82" s="1">
        <v>1874</v>
      </c>
      <c r="EY82" s="1">
        <v>972746.83737932611</v>
      </c>
      <c r="EZ82" s="1">
        <v>189302.72150974697</v>
      </c>
      <c r="FA82" s="1">
        <v>28103.856888249407</v>
      </c>
      <c r="FB82" s="1">
        <v>31662.465639940448</v>
      </c>
      <c r="FC82" s="1">
        <v>18730.573026254471</v>
      </c>
      <c r="FD82" s="1">
        <v>151202.63884978503</v>
      </c>
      <c r="FE82" s="1">
        <v>55218.55686959326</v>
      </c>
      <c r="FF82" s="1">
        <v>1051.0825669933013</v>
      </c>
      <c r="FG82" s="1">
        <v>1448018.7327298892</v>
      </c>
      <c r="FH82" s="1">
        <v>1392800.175860296</v>
      </c>
      <c r="FJ82" s="1">
        <v>1874</v>
      </c>
      <c r="FK82" s="1">
        <v>328229.34706265945</v>
      </c>
      <c r="FL82" s="1">
        <v>56197.890108286505</v>
      </c>
      <c r="FM82" s="1">
        <v>6378.3149186497776</v>
      </c>
      <c r="FN82" s="1">
        <v>0</v>
      </c>
      <c r="FO82" s="1">
        <v>18322.075157347281</v>
      </c>
      <c r="FP82" s="1">
        <v>4385.8364416635177</v>
      </c>
      <c r="FQ82" s="1">
        <v>380.18371731561882</v>
      </c>
      <c r="FR82" s="1">
        <v>413893.64740592218</v>
      </c>
      <c r="FS82" s="1">
        <v>687479.34553544398</v>
      </c>
      <c r="HC82" s="1">
        <v>1874</v>
      </c>
      <c r="HD82" s="1">
        <v>362.52461726880068</v>
      </c>
      <c r="HE82" s="1">
        <v>91.488843038221205</v>
      </c>
      <c r="HF82" s="1">
        <v>18.293247726476817</v>
      </c>
      <c r="HG82" s="1">
        <v>28.027411881059137</v>
      </c>
      <c r="HH82" s="1">
        <v>84.841390479332404</v>
      </c>
      <c r="HI82" s="1">
        <v>57.095584784173433</v>
      </c>
      <c r="HJ82" s="1">
        <v>1.2522906447870781</v>
      </c>
      <c r="HK82" s="2">
        <v>643.52338582285074</v>
      </c>
      <c r="HL82" s="1">
        <v>586.42780103867733</v>
      </c>
      <c r="HN82" s="1">
        <v>1874</v>
      </c>
      <c r="HO82" s="1">
        <v>154.03842367524527</v>
      </c>
      <c r="HP82" s="1">
        <v>29.195593178538772</v>
      </c>
      <c r="HQ82" s="1">
        <v>4.6513574963863817</v>
      </c>
      <c r="HR82" s="1">
        <v>0</v>
      </c>
      <c r="HS82" s="1">
        <v>24.602508888492171</v>
      </c>
      <c r="HT82" s="1">
        <v>0.52447037506834926</v>
      </c>
      <c r="HU82" s="2">
        <v>213.01235361373094</v>
      </c>
      <c r="HW82" s="1">
        <v>1874</v>
      </c>
      <c r="HX82" s="1">
        <v>68.900778857416412</v>
      </c>
      <c r="HY82" s="1">
        <v>88.182861268712742</v>
      </c>
      <c r="HZ82" s="1">
        <v>89.510464955588105</v>
      </c>
      <c r="IA82" s="1">
        <v>19.975776581970422</v>
      </c>
      <c r="IB82" s="1">
        <v>82.775380877040192</v>
      </c>
      <c r="IC82" s="1">
        <v>2.44846665389889</v>
      </c>
      <c r="ID82" s="1">
        <v>81.467260589902025</v>
      </c>
      <c r="IE82" s="2">
        <v>433.26098978452876</v>
      </c>
      <c r="IF82" s="1">
        <v>430.81252313062987</v>
      </c>
      <c r="IH82" s="1">
        <v>1874</v>
      </c>
      <c r="II82" s="1">
        <v>144.88124378007089</v>
      </c>
      <c r="IJ82" s="1">
        <v>72.465225567807394</v>
      </c>
      <c r="IK82" s="1">
        <v>29.0011982400131</v>
      </c>
      <c r="IL82" s="1">
        <v>152.70753438775722</v>
      </c>
      <c r="IM82" s="1">
        <v>63.626349474198982</v>
      </c>
      <c r="IN82" s="1">
        <v>25.46380501724877</v>
      </c>
      <c r="IO82" s="1">
        <v>1.1771168213590641</v>
      </c>
    </row>
    <row r="83" spans="1:249" x14ac:dyDescent="0.25">
      <c r="A83" s="1" t="s">
        <v>174</v>
      </c>
      <c r="B83" s="1">
        <v>-0.81663135732542003</v>
      </c>
      <c r="C83" s="1">
        <v>-0.94461412869011951</v>
      </c>
      <c r="D83" s="1">
        <v>-0.74093161483180836</v>
      </c>
      <c r="E83" s="1">
        <v>-0.89227336755229203</v>
      </c>
      <c r="F83" s="1">
        <v>-0.65626415636418756</v>
      </c>
      <c r="G83" s="1">
        <v>2.403210537510887</v>
      </c>
      <c r="H83" s="1">
        <v>2.0736351346862421</v>
      </c>
      <c r="J83" s="1">
        <v>1875</v>
      </c>
      <c r="K83" s="2">
        <v>1340.2019319625251</v>
      </c>
      <c r="L83" s="1">
        <v>1267.1690730642495</v>
      </c>
      <c r="M83" s="1">
        <v>1253.0060493958956</v>
      </c>
      <c r="N83" s="1">
        <v>1179.97319049762</v>
      </c>
      <c r="O83" s="1">
        <v>87.195882566629464</v>
      </c>
      <c r="P83" s="1">
        <v>73.032858898275748</v>
      </c>
      <c r="Q83" s="1">
        <v>795.52184134176423</v>
      </c>
      <c r="R83" s="1">
        <v>2135.7237733042894</v>
      </c>
      <c r="S83" s="1">
        <v>2062.6909144060137</v>
      </c>
      <c r="U83" s="1">
        <v>1875</v>
      </c>
      <c r="V83" s="1">
        <v>307.21840786968829</v>
      </c>
      <c r="W83" s="1">
        <v>16860.081651989418</v>
      </c>
      <c r="X83" s="1">
        <v>1.4016943651214717</v>
      </c>
      <c r="Y83" s="1">
        <v>290.47687206243569</v>
      </c>
      <c r="Z83" s="1">
        <v>14339.994698534403</v>
      </c>
      <c r="AA83" s="1">
        <v>-1.7866570743542241</v>
      </c>
      <c r="AB83" s="1">
        <v>4362375.0974290371</v>
      </c>
      <c r="AC83" s="1">
        <v>0.98767202921010266</v>
      </c>
      <c r="AE83" s="1">
        <v>1875</v>
      </c>
      <c r="AF83" s="1">
        <v>518.84154937504786</v>
      </c>
      <c r="AG83" s="1">
        <v>198.11295809511384</v>
      </c>
      <c r="AH83" s="1">
        <v>109.35811660306047</v>
      </c>
      <c r="AI83" s="1">
        <v>89.627050639618815</v>
      </c>
      <c r="AJ83" s="1">
        <v>108.55682097526478</v>
      </c>
      <c r="AK83" s="1">
        <v>81.937093379769024</v>
      </c>
      <c r="AL83" s="1">
        <v>64.927862720415646</v>
      </c>
      <c r="AM83" s="1">
        <v>95.807621275959008</v>
      </c>
      <c r="AN83" s="2">
        <v>1267.1690730642497</v>
      </c>
      <c r="AP83" s="1" t="s">
        <v>174</v>
      </c>
      <c r="AQ83" s="1">
        <v>-5.1563426139159532</v>
      </c>
      <c r="AR83" s="1">
        <v>3.9646653760209745</v>
      </c>
      <c r="AS83" s="1">
        <v>1.5223368769755439</v>
      </c>
      <c r="AT83" s="1">
        <v>-4.3510464771110549</v>
      </c>
      <c r="AU83" s="1">
        <v>2.9654559277943378</v>
      </c>
      <c r="AV83" s="1">
        <v>1.6142053683987143</v>
      </c>
      <c r="AW83" s="1">
        <v>3.2869717282841577</v>
      </c>
      <c r="AX83" s="1">
        <v>6.3415771299303714</v>
      </c>
      <c r="AY83" s="1">
        <v>-0.81663135732542003</v>
      </c>
      <c r="BA83" s="1">
        <v>1875</v>
      </c>
      <c r="BB83" s="1">
        <v>1055.8273931700403</v>
      </c>
      <c r="BC83" s="1">
        <v>82.153914086708312</v>
      </c>
      <c r="BD83" s="1">
        <v>162.14405331162459</v>
      </c>
      <c r="BE83" s="1">
        <v>46.785089763904139</v>
      </c>
      <c r="BF83" s="1">
        <v>8.0363223243092481</v>
      </c>
      <c r="BG83" s="1">
        <v>11.787510290289109</v>
      </c>
      <c r="BH83" s="1">
        <v>265.91935390730112</v>
      </c>
      <c r="BI83" s="1">
        <v>292.45170489165179</v>
      </c>
      <c r="BJ83" s="1">
        <v>1340.2019319625251</v>
      </c>
      <c r="BL83" s="1" t="s">
        <v>174</v>
      </c>
      <c r="BM83" s="1">
        <v>-1.9220597014168703</v>
      </c>
      <c r="BN83" s="1">
        <v>3.0950077196121981</v>
      </c>
      <c r="BO83" s="1">
        <v>5.4638247357495544</v>
      </c>
      <c r="BP83" s="1">
        <v>2.5751072961373467</v>
      </c>
      <c r="BQ83" s="1">
        <v>-9.5238095238095184</v>
      </c>
      <c r="BR83" s="1">
        <v>2.4032105375108728</v>
      </c>
      <c r="BT83" s="1" t="s">
        <v>174</v>
      </c>
      <c r="BU83" s="1">
        <v>-2.2273596231529069</v>
      </c>
      <c r="BV83" s="1">
        <v>3.8922787036498789</v>
      </c>
      <c r="BW83" s="1">
        <v>-6.3636023677821782</v>
      </c>
      <c r="BX83" s="1">
        <v>-12.184994729949878</v>
      </c>
      <c r="BY83" s="1">
        <v>-3.6150983519404463</v>
      </c>
      <c r="BZ83" s="1">
        <v>-4.4180339914288425</v>
      </c>
      <c r="CB83" s="1">
        <v>1875</v>
      </c>
      <c r="CC83" s="1">
        <v>50.145922784826801</v>
      </c>
      <c r="CD83" s="1">
        <v>38.920580604776674</v>
      </c>
      <c r="CE83" s="1">
        <v>0.88857602082121068</v>
      </c>
      <c r="CF83" s="1">
        <v>61.458033565475297</v>
      </c>
      <c r="CG83" s="1">
        <v>4.2201993647196723</v>
      </c>
      <c r="CH83" s="1">
        <v>4.5908342754114493</v>
      </c>
      <c r="CI83" s="1">
        <v>68.528829074095981</v>
      </c>
      <c r="CJ83" s="1">
        <v>228.75297569012707</v>
      </c>
      <c r="CL83" s="1">
        <v>1875</v>
      </c>
      <c r="CM83" s="1">
        <v>27.324021063162974</v>
      </c>
      <c r="CN83" s="1">
        <v>13.030086091027863</v>
      </c>
      <c r="CO83" s="1">
        <v>0.38677955348460785</v>
      </c>
      <c r="CP83" s="1">
        <v>21.75695085033227</v>
      </c>
      <c r="CQ83" s="1">
        <v>0.94755098062867404</v>
      </c>
      <c r="CR83" s="1">
        <v>2.3787035611456866</v>
      </c>
      <c r="CS83" s="1">
        <v>21.371790466847383</v>
      </c>
      <c r="CT83" s="2">
        <v>87.195882566629464</v>
      </c>
      <c r="CV83" s="1">
        <v>1875</v>
      </c>
      <c r="CW83" s="1">
        <v>682.2693017134003</v>
      </c>
      <c r="CX83" s="1">
        <v>996.66582833916698</v>
      </c>
      <c r="CY83" s="1">
        <v>182.42882073188366</v>
      </c>
      <c r="CZ83" s="1">
        <v>205.80020486410768</v>
      </c>
      <c r="DA83" s="1">
        <v>284.09074546491377</v>
      </c>
      <c r="DB83" s="1">
        <v>2351.2549011134724</v>
      </c>
      <c r="DC83" s="1">
        <v>2279.7076898672526</v>
      </c>
      <c r="DD83" s="1">
        <v>323.35364797725919</v>
      </c>
      <c r="DF83" s="1">
        <v>1875</v>
      </c>
      <c r="DG83" s="1">
        <v>5.9788873178567883</v>
      </c>
      <c r="DH83" s="1">
        <v>6.9117925266199052</v>
      </c>
      <c r="DI83" s="1">
        <v>5.3402367020609631</v>
      </c>
      <c r="DJ83" s="1">
        <v>11.727956239069329</v>
      </c>
      <c r="DK83" s="1">
        <v>5.8109370926231918E-2</v>
      </c>
      <c r="DL83" s="1">
        <v>4.1492060119730212</v>
      </c>
      <c r="DM83" s="1">
        <v>5.6957153196866699</v>
      </c>
      <c r="DN83" s="1">
        <v>5.7797258919003411</v>
      </c>
      <c r="DO83" s="1">
        <v>7.9869266448181691</v>
      </c>
      <c r="DQ83" s="1">
        <v>1875</v>
      </c>
      <c r="DR83" s="1">
        <v>1160.78328481274</v>
      </c>
      <c r="DS83" s="1">
        <v>1794.9243233945315</v>
      </c>
      <c r="DT83" s="1">
        <v>319.42240530102731</v>
      </c>
      <c r="DU83" s="1">
        <v>205.80020486410768</v>
      </c>
      <c r="DV83" s="1">
        <v>284.09074546491377</v>
      </c>
      <c r="DW83" s="1">
        <v>3765.0209638373208</v>
      </c>
      <c r="DX83" s="1">
        <v>3636.0584929553688</v>
      </c>
      <c r="DY83" s="1">
        <v>431.73586882457727</v>
      </c>
      <c r="EA83" s="1">
        <v>1875</v>
      </c>
      <c r="EB83" s="1">
        <v>4.590308128127802</v>
      </c>
      <c r="EC83" s="1">
        <v>5.1863367268136784</v>
      </c>
      <c r="ED83" s="1">
        <v>4.2048371000130658</v>
      </c>
      <c r="EE83" s="1">
        <v>10.058827133657104</v>
      </c>
      <c r="EF83" s="1">
        <v>5.8109370926203496E-2</v>
      </c>
      <c r="EG83" s="1">
        <v>4.1492060119730212</v>
      </c>
      <c r="EH83" s="1">
        <v>4.7489649033805534</v>
      </c>
      <c r="EI83" s="1">
        <v>4.823200139254169</v>
      </c>
      <c r="EJ83" s="1">
        <v>7.4791935474879665</v>
      </c>
      <c r="EL83" s="1">
        <v>1875</v>
      </c>
      <c r="EM83" s="1">
        <v>1290711.7829563026</v>
      </c>
      <c r="EN83" s="1">
        <v>247466.18897286162</v>
      </c>
      <c r="EO83" s="1">
        <v>36255.891490612848</v>
      </c>
      <c r="EP83" s="1">
        <v>35239.382797480219</v>
      </c>
      <c r="EQ83" s="1">
        <v>39683.741447348097</v>
      </c>
      <c r="ER83" s="1">
        <v>156934.3413546925</v>
      </c>
      <c r="ES83" s="1">
        <v>57042.958528280258</v>
      </c>
      <c r="ET83" s="1">
        <v>1466.9353152388687</v>
      </c>
      <c r="EU83" s="1">
        <v>1864801.2228628164</v>
      </c>
      <c r="EV83" s="1">
        <v>1807758.2643345369</v>
      </c>
      <c r="EX83" s="1">
        <v>1875</v>
      </c>
      <c r="EY83" s="1">
        <v>959944.90711851639</v>
      </c>
      <c r="EZ83" s="1">
        <v>189982.24600136644</v>
      </c>
      <c r="FA83" s="1">
        <v>29555.632520262006</v>
      </c>
      <c r="FB83" s="1">
        <v>35239.382797480219</v>
      </c>
      <c r="FC83" s="1">
        <v>20023.480411543471</v>
      </c>
      <c r="FD83" s="1">
        <v>152212.95758569508</v>
      </c>
      <c r="FE83" s="1">
        <v>57042.958528280258</v>
      </c>
      <c r="FF83" s="1">
        <v>1081.4748516431623</v>
      </c>
      <c r="FG83" s="1">
        <v>1445083.039814787</v>
      </c>
      <c r="FH83" s="1">
        <v>1388040.0812865067</v>
      </c>
      <c r="FJ83" s="1">
        <v>1875</v>
      </c>
      <c r="FK83" s="1">
        <v>330766.8758377863</v>
      </c>
      <c r="FL83" s="1">
        <v>57483.942971495177</v>
      </c>
      <c r="FM83" s="1">
        <v>6700.258970350842</v>
      </c>
      <c r="FN83" s="1">
        <v>0</v>
      </c>
      <c r="FO83" s="1">
        <v>19660.26103580463</v>
      </c>
      <c r="FP83" s="1">
        <v>4721.3837689974052</v>
      </c>
      <c r="FQ83" s="1">
        <v>385.46046359570636</v>
      </c>
      <c r="FR83" s="1">
        <v>419718.18304803001</v>
      </c>
      <c r="FS83" s="1">
        <v>692489.18810661591</v>
      </c>
      <c r="HC83" s="1">
        <v>1875</v>
      </c>
      <c r="HD83" s="1">
        <v>352.0098263687679</v>
      </c>
      <c r="HE83" s="1">
        <v>92.638694406908968</v>
      </c>
      <c r="HF83" s="1">
        <v>19.41034607325685</v>
      </c>
      <c r="HG83" s="1">
        <v>31.683161256849459</v>
      </c>
      <c r="HH83" s="1">
        <v>86.533417000111456</v>
      </c>
      <c r="HI83" s="1">
        <v>62.549159159269927</v>
      </c>
      <c r="HJ83" s="1">
        <v>1.2737510995114032</v>
      </c>
      <c r="HK83" s="2">
        <v>646.09835536467597</v>
      </c>
      <c r="HL83" s="1">
        <v>583.54919620540602</v>
      </c>
      <c r="HN83" s="1">
        <v>1875</v>
      </c>
      <c r="HO83" s="1">
        <v>152.73707559823228</v>
      </c>
      <c r="HP83" s="1">
        <v>30.130890882314155</v>
      </c>
      <c r="HQ83" s="1">
        <v>4.9298474546806625</v>
      </c>
      <c r="HR83" s="1">
        <v>0</v>
      </c>
      <c r="HS83" s="1">
        <v>26.444554118745547</v>
      </c>
      <c r="HT83" s="1">
        <v>0.52566266483925383</v>
      </c>
      <c r="HU83" s="2">
        <v>214.7680307188119</v>
      </c>
      <c r="HW83" s="1">
        <v>1875</v>
      </c>
      <c r="HX83" s="1">
        <v>58.054647408047686</v>
      </c>
      <c r="HY83" s="1">
        <v>75.343372805890709</v>
      </c>
      <c r="HZ83" s="1">
        <v>85.017923075122951</v>
      </c>
      <c r="IA83" s="1">
        <v>13.983889382769355</v>
      </c>
      <c r="IB83" s="1">
        <v>77.515943236176824</v>
      </c>
      <c r="IC83" s="1">
        <v>2.3787035611457252</v>
      </c>
      <c r="ID83" s="1">
        <v>94.008207511608347</v>
      </c>
      <c r="IE83" s="2">
        <v>406.30268698076156</v>
      </c>
      <c r="IF83" s="1">
        <v>403.92398341961587</v>
      </c>
      <c r="IH83" s="1">
        <v>1875</v>
      </c>
      <c r="II83" s="1">
        <v>153.86964925081489</v>
      </c>
      <c r="IJ83" s="1">
        <v>60.72174474948968</v>
      </c>
      <c r="IK83" s="1">
        <v>24.553682725254543</v>
      </c>
      <c r="IL83" s="1">
        <v>164.04090665206377</v>
      </c>
      <c r="IM83" s="1">
        <v>50.756289978551209</v>
      </c>
      <c r="IN83" s="1">
        <v>20.524012371282151</v>
      </c>
      <c r="IO83" s="1">
        <v>3.1931302654012228</v>
      </c>
    </row>
    <row r="84" spans="1:249" x14ac:dyDescent="0.25">
      <c r="A84" s="1" t="s">
        <v>175</v>
      </c>
      <c r="B84" s="1">
        <v>6.9886176404854154</v>
      </c>
      <c r="C84" s="1">
        <v>6.7000576065167365</v>
      </c>
      <c r="D84" s="1">
        <v>7.2436392582178257</v>
      </c>
      <c r="E84" s="1">
        <v>6.734202455227333</v>
      </c>
      <c r="F84" s="1">
        <v>7.1516904052198953</v>
      </c>
      <c r="G84" s="1">
        <v>6.7391612343692202</v>
      </c>
      <c r="H84" s="1">
        <v>6.8728284770279231</v>
      </c>
      <c r="J84" s="1">
        <v>1876</v>
      </c>
      <c r="K84" s="2">
        <v>1416.4901366555871</v>
      </c>
      <c r="L84" s="1">
        <v>1337.8692658739428</v>
      </c>
      <c r="M84" s="1">
        <v>1314.06324835379</v>
      </c>
      <c r="N84" s="1">
        <v>1235.4423775721457</v>
      </c>
      <c r="O84" s="1">
        <v>102.42688830179719</v>
      </c>
      <c r="P84" s="1">
        <v>78.620870781644257</v>
      </c>
      <c r="Q84" s="1">
        <v>804.37128276688691</v>
      </c>
      <c r="R84" s="1">
        <v>2220.8614194224738</v>
      </c>
      <c r="S84" s="1">
        <v>2142.2405486408297</v>
      </c>
      <c r="U84" s="1">
        <v>1876</v>
      </c>
      <c r="V84" s="1">
        <v>321.45901397617587</v>
      </c>
      <c r="W84" s="1">
        <v>17816.341078231399</v>
      </c>
      <c r="X84" s="1">
        <v>5.6717366260746758</v>
      </c>
      <c r="Y84" s="1">
        <v>303.61675235684146</v>
      </c>
      <c r="Z84" s="1">
        <v>15188.735734028342</v>
      </c>
      <c r="AA84" s="1">
        <v>5.9186983910160222</v>
      </c>
      <c r="AB84" s="1">
        <v>4406440.8682612544</v>
      </c>
      <c r="AC84" s="1">
        <v>1.0101325504582945</v>
      </c>
      <c r="AE84" s="1">
        <v>1876</v>
      </c>
      <c r="AF84" s="1">
        <v>556.42551051646421</v>
      </c>
      <c r="AG84" s="1">
        <v>197.78542043007894</v>
      </c>
      <c r="AH84" s="1">
        <v>115.69220318931079</v>
      </c>
      <c r="AI84" s="1">
        <v>92.815409794783605</v>
      </c>
      <c r="AJ84" s="1">
        <v>109.07916305582464</v>
      </c>
      <c r="AK84" s="1">
        <v>86.979915528256043</v>
      </c>
      <c r="AL84" s="1">
        <v>71.205646320339639</v>
      </c>
      <c r="AM84" s="1">
        <v>107.88599703888502</v>
      </c>
      <c r="AN84" s="2">
        <v>1337.8692658739428</v>
      </c>
      <c r="AP84" s="1" t="s">
        <v>175</v>
      </c>
      <c r="AQ84" s="1">
        <v>11.665243688930559</v>
      </c>
      <c r="AR84" s="1">
        <v>8.4400778459313415</v>
      </c>
      <c r="AS84" s="1">
        <v>-12.727874404252802</v>
      </c>
      <c r="AT84" s="1">
        <v>5.8063760256669639</v>
      </c>
      <c r="AU84" s="1">
        <v>7.0139134906304719</v>
      </c>
      <c r="AV84" s="1">
        <v>1.8454536718266183</v>
      </c>
      <c r="AW84" s="1">
        <v>13.030880121852718</v>
      </c>
      <c r="AX84" s="1">
        <v>5.7506009734799051</v>
      </c>
      <c r="AY84" s="1">
        <v>6.9886176404854154</v>
      </c>
      <c r="BA84" s="1">
        <v>1876</v>
      </c>
      <c r="BB84" s="1">
        <v>1136.7272471484084</v>
      </c>
      <c r="BC84" s="1">
        <v>89.102244384434357</v>
      </c>
      <c r="BD84" s="1">
        <v>158.83364284008681</v>
      </c>
      <c r="BE84" s="1">
        <v>39.921939864702168</v>
      </c>
      <c r="BF84" s="1">
        <v>1.1056523560417968</v>
      </c>
      <c r="BG84" s="1">
        <v>15.130572444564017</v>
      </c>
      <c r="BH84" s="1">
        <v>292.96200006736564</v>
      </c>
      <c r="BI84" s="1">
        <v>317.29316245001598</v>
      </c>
      <c r="BJ84" s="1">
        <v>1416.4901366555873</v>
      </c>
      <c r="BL84" s="1" t="s">
        <v>175</v>
      </c>
      <c r="BM84" s="1">
        <v>11.126962267024638</v>
      </c>
      <c r="BN84" s="1">
        <v>10.65336678930953</v>
      </c>
      <c r="BO84" s="1">
        <v>-14.733029199356167</v>
      </c>
      <c r="BP84" s="1">
        <v>13.389121338912119</v>
      </c>
      <c r="BQ84" s="1">
        <v>11.7408906882591</v>
      </c>
      <c r="BR84" s="1">
        <v>6.7391612343692628</v>
      </c>
      <c r="BT84" s="1" t="s">
        <v>175</v>
      </c>
      <c r="BU84" s="1">
        <v>-3.1178201571469515</v>
      </c>
      <c r="BV84" s="1">
        <v>-1.9842761482033069</v>
      </c>
      <c r="BW84" s="1">
        <v>10.223532212713152</v>
      </c>
      <c r="BX84" s="1">
        <v>-2.8394521233347803</v>
      </c>
      <c r="BY84" s="1">
        <v>-2.9055452968496525</v>
      </c>
      <c r="BZ84" s="1">
        <v>-0.98077352400976281</v>
      </c>
      <c r="CB84" s="1">
        <v>1876</v>
      </c>
      <c r="CC84" s="1">
        <v>42.938535936519841</v>
      </c>
      <c r="CD84" s="1">
        <v>34.87589516340558</v>
      </c>
      <c r="CE84" s="1">
        <v>0.45247307591123553</v>
      </c>
      <c r="CF84" s="1">
        <v>52.732531722519823</v>
      </c>
      <c r="CG84" s="1">
        <v>7.6702258889020731</v>
      </c>
      <c r="CH84" s="1">
        <v>6.3594264089690951</v>
      </c>
      <c r="CI84" s="1">
        <v>69.962719309167142</v>
      </c>
      <c r="CJ84" s="1">
        <v>214.99180750539477</v>
      </c>
      <c r="CL84" s="1">
        <v>1876</v>
      </c>
      <c r="CM84" s="1">
        <v>31.435476169555166</v>
      </c>
      <c r="CN84" s="1">
        <v>14.605998788268586</v>
      </c>
      <c r="CO84" s="1">
        <v>0.41001437551749131</v>
      </c>
      <c r="CP84" s="1">
        <v>25.331912036697631</v>
      </c>
      <c r="CQ84" s="1">
        <v>1.2180045279670988</v>
      </c>
      <c r="CR84" s="1">
        <v>2.867918522479751</v>
      </c>
      <c r="CS84" s="1">
        <v>26.557563881311467</v>
      </c>
      <c r="CT84" s="2">
        <v>102.42688830179719</v>
      </c>
      <c r="CV84" s="1">
        <v>1876</v>
      </c>
      <c r="CW84" s="1">
        <v>864.15321527623996</v>
      </c>
      <c r="CX84" s="1">
        <v>1243.6965737778253</v>
      </c>
      <c r="CY84" s="1">
        <v>196.55103867914133</v>
      </c>
      <c r="CZ84" s="1">
        <v>199.49636278994117</v>
      </c>
      <c r="DA84" s="1">
        <v>271.5210849863484</v>
      </c>
      <c r="DB84" s="1">
        <v>2775.4182755094957</v>
      </c>
      <c r="DC84" s="1">
        <v>2688.4873896745166</v>
      </c>
      <c r="DD84" s="1">
        <v>343.44817618688717</v>
      </c>
      <c r="DF84" s="1">
        <v>1876</v>
      </c>
      <c r="DG84" s="1">
        <v>3.9322705231836608</v>
      </c>
      <c r="DH84" s="1">
        <v>5.0228541259295554</v>
      </c>
      <c r="DI84" s="1">
        <v>3.1744913622522972</v>
      </c>
      <c r="DJ84" s="1">
        <v>6.8759370467806633</v>
      </c>
      <c r="DK84" s="1">
        <v>3.8083827122661091</v>
      </c>
      <c r="DL84" s="1">
        <v>5.5725220917280467</v>
      </c>
      <c r="DM84" s="1">
        <v>4.2840449004021508</v>
      </c>
      <c r="DN84" s="1">
        <v>4.2922004124219058</v>
      </c>
      <c r="DO84" s="1">
        <v>5.5353222605270389</v>
      </c>
      <c r="DQ84" s="1">
        <v>1876</v>
      </c>
      <c r="DR84" s="1">
        <v>1446.5044837776961</v>
      </c>
      <c r="DS84" s="1">
        <v>2215.6661481410169</v>
      </c>
      <c r="DT84" s="1">
        <v>338.77962145063327</v>
      </c>
      <c r="DU84" s="1">
        <v>199.49636278994117</v>
      </c>
      <c r="DV84" s="1">
        <v>271.5210849863484</v>
      </c>
      <c r="DW84" s="1">
        <v>4471.967701145637</v>
      </c>
      <c r="DX84" s="1">
        <v>4315.8211196120801</v>
      </c>
      <c r="DY84" s="1">
        <v>471.02075734421214</v>
      </c>
      <c r="EA84" s="1">
        <v>1876</v>
      </c>
      <c r="EB84" s="1">
        <v>3.4618919309027802</v>
      </c>
      <c r="EC84" s="1">
        <v>4.1380034252200204</v>
      </c>
      <c r="ED84" s="1">
        <v>3.0204828765708243</v>
      </c>
      <c r="EE84" s="1">
        <v>7.2581881010626859</v>
      </c>
      <c r="EF84" s="1">
        <v>3.8083827122661091</v>
      </c>
      <c r="EG84" s="1">
        <v>5.5725220917280467</v>
      </c>
      <c r="EH84" s="1">
        <v>3.886621444275292</v>
      </c>
      <c r="EI84" s="1">
        <v>3.9102258897042645</v>
      </c>
      <c r="EJ84" s="1">
        <v>5.6540620532320389</v>
      </c>
      <c r="EL84" s="1">
        <v>1876</v>
      </c>
      <c r="EM84" s="1">
        <v>1321029.8904689066</v>
      </c>
      <c r="EN84" s="1">
        <v>257883.74895345062</v>
      </c>
      <c r="EO84" s="1">
        <v>35781.019449115229</v>
      </c>
      <c r="EP84" s="1">
        <v>36707.17111999957</v>
      </c>
      <c r="EQ84" s="1">
        <v>41348.511108629318</v>
      </c>
      <c r="ER84" s="1">
        <v>158252.35783845361</v>
      </c>
      <c r="ES84" s="1">
        <v>64705.44549476567</v>
      </c>
      <c r="ET84" s="1">
        <v>1503.5676327018441</v>
      </c>
      <c r="EU84" s="1">
        <v>1917211.7120660224</v>
      </c>
      <c r="EV84" s="1">
        <v>1852506.266571257</v>
      </c>
      <c r="EX84" s="1">
        <v>1876</v>
      </c>
      <c r="EY84" s="1">
        <v>987725.48585599358</v>
      </c>
      <c r="EZ84" s="1">
        <v>197838.81265000373</v>
      </c>
      <c r="FA84" s="1">
        <v>28397.820238683595</v>
      </c>
      <c r="FB84" s="1">
        <v>36707.17111999957</v>
      </c>
      <c r="FC84" s="1">
        <v>20764.161375009942</v>
      </c>
      <c r="FD84" s="1">
        <v>153353.10017541103</v>
      </c>
      <c r="FE84" s="1">
        <v>64705.44549476567</v>
      </c>
      <c r="FF84" s="1">
        <v>1112.7542606604761</v>
      </c>
      <c r="FG84" s="1">
        <v>1490604.7511705274</v>
      </c>
      <c r="FH84" s="1">
        <v>1425899.3056757618</v>
      </c>
      <c r="FJ84" s="1">
        <v>1876</v>
      </c>
      <c r="FK84" s="1">
        <v>333304.40461291315</v>
      </c>
      <c r="FL84" s="1">
        <v>60044.936303446877</v>
      </c>
      <c r="FM84" s="1">
        <v>7383.1992104316332</v>
      </c>
      <c r="FN84" s="1">
        <v>0</v>
      </c>
      <c r="FO84" s="1">
        <v>20584.349733619376</v>
      </c>
      <c r="FP84" s="1">
        <v>4899.2576630425747</v>
      </c>
      <c r="FQ84" s="1">
        <v>390.81337204136793</v>
      </c>
      <c r="FR84" s="1">
        <v>426606.96089549502</v>
      </c>
      <c r="FS84" s="1">
        <v>697535.53871653974</v>
      </c>
      <c r="HC84" s="1">
        <v>1876</v>
      </c>
      <c r="HD84" s="1">
        <v>367.26259856413242</v>
      </c>
      <c r="HE84" s="1">
        <v>95.348658032963868</v>
      </c>
      <c r="HF84" s="1">
        <v>18.433241216914453</v>
      </c>
      <c r="HG84" s="1">
        <v>32.901744382112902</v>
      </c>
      <c r="HH84" s="1">
        <v>91.222695432850642</v>
      </c>
      <c r="HI84" s="1">
        <v>68.337727797859912</v>
      </c>
      <c r="HJ84" s="1">
        <v>1.3550369094080472</v>
      </c>
      <c r="HK84" s="2">
        <v>674.86170233624216</v>
      </c>
      <c r="HL84" s="1">
        <v>606.52397453838228</v>
      </c>
      <c r="HN84" s="1">
        <v>1876</v>
      </c>
      <c r="HO84" s="1">
        <v>156.06139240908863</v>
      </c>
      <c r="HP84" s="1">
        <v>31.107527328354358</v>
      </c>
      <c r="HQ84" s="1">
        <v>5.3692071364181944</v>
      </c>
      <c r="HR84" s="1">
        <v>0</v>
      </c>
      <c r="HS84" s="1">
        <v>28.75904970587046</v>
      </c>
      <c r="HT84" s="1">
        <v>0.55103656757642461</v>
      </c>
      <c r="HU84" s="2">
        <v>221.84821314730809</v>
      </c>
      <c r="HW84" s="1">
        <v>1876</v>
      </c>
      <c r="HX84" s="1">
        <v>74.156519543243121</v>
      </c>
      <c r="HY84" s="1">
        <v>71.329235068760724</v>
      </c>
      <c r="HZ84" s="1">
        <v>91.889754835978138</v>
      </c>
      <c r="IA84" s="1">
        <v>18.858665412670703</v>
      </c>
      <c r="IB84" s="1">
        <v>76.077333445359542</v>
      </c>
      <c r="IC84" s="1">
        <v>2.8679185224797292</v>
      </c>
      <c r="ID84" s="1">
        <v>105.97992356190055</v>
      </c>
      <c r="IE84" s="2">
        <v>441.15935039039249</v>
      </c>
      <c r="IF84" s="1">
        <v>438.29143186791276</v>
      </c>
      <c r="IH84" s="1">
        <v>1876</v>
      </c>
      <c r="II84" s="1">
        <v>163.4986238225884</v>
      </c>
      <c r="IJ84" s="1">
        <v>55.680824112165674</v>
      </c>
      <c r="IK84" s="1">
        <v>21.875421560398664</v>
      </c>
      <c r="IL84" s="1">
        <v>175.71652939106156</v>
      </c>
      <c r="IM84" s="1">
        <v>44.856039361316405</v>
      </c>
      <c r="IN84" s="1">
        <v>17.622669674966978</v>
      </c>
      <c r="IO84" s="1">
        <v>2.0186983769962836</v>
      </c>
    </row>
    <row r="85" spans="1:249" x14ac:dyDescent="0.25">
      <c r="A85" s="1" t="s">
        <v>176</v>
      </c>
      <c r="B85" s="1">
        <v>-1.0731970108736135</v>
      </c>
      <c r="C85" s="1">
        <v>-1.3913648772806795</v>
      </c>
      <c r="D85" s="1">
        <v>-1.023475610133346</v>
      </c>
      <c r="E85" s="1">
        <v>-1.1228934337950989</v>
      </c>
      <c r="F85" s="1">
        <v>-0.79487751778923155</v>
      </c>
      <c r="G85" s="1">
        <v>-0.67277506944269305</v>
      </c>
      <c r="H85" s="1">
        <v>-1.0154480805010735</v>
      </c>
      <c r="J85" s="1">
        <v>1877</v>
      </c>
      <c r="K85" s="2">
        <v>1389.8078094781663</v>
      </c>
      <c r="L85" s="1">
        <v>1312.0929349230864</v>
      </c>
      <c r="M85" s="1">
        <v>1281.7801200563874</v>
      </c>
      <c r="N85" s="1">
        <v>1204.0652455013076</v>
      </c>
      <c r="O85" s="1">
        <v>108.0276894217789</v>
      </c>
      <c r="P85" s="1">
        <v>77.714874555079916</v>
      </c>
      <c r="Q85" s="1">
        <v>837.86418023697979</v>
      </c>
      <c r="R85" s="1">
        <v>2227.6719897151461</v>
      </c>
      <c r="S85" s="1">
        <v>2149.9571151600662</v>
      </c>
      <c r="U85" s="1">
        <v>1877</v>
      </c>
      <c r="V85" s="1">
        <v>311.82282743729115</v>
      </c>
      <c r="W85" s="1">
        <v>17495.56307527137</v>
      </c>
      <c r="X85" s="1">
        <v>-1.8004707114187823</v>
      </c>
      <c r="Y85" s="1">
        <v>294.38640798962791</v>
      </c>
      <c r="Z85" s="1">
        <v>14855.138464259397</v>
      </c>
      <c r="AA85" s="1">
        <v>-2.1963465268644171</v>
      </c>
      <c r="AB85" s="1">
        <v>4457043.1898789136</v>
      </c>
      <c r="AC85" s="1">
        <v>1.1483717387912264</v>
      </c>
      <c r="AE85" s="1">
        <v>1877</v>
      </c>
      <c r="AF85" s="1">
        <v>534.20459342375113</v>
      </c>
      <c r="AG85" s="1">
        <v>195.77167742309459</v>
      </c>
      <c r="AH85" s="1">
        <v>111.81539840899862</v>
      </c>
      <c r="AI85" s="1">
        <v>92.685417431299285</v>
      </c>
      <c r="AJ85" s="1">
        <v>112.35128259471142</v>
      </c>
      <c r="AK85" s="1">
        <v>89.208275440594122</v>
      </c>
      <c r="AL85" s="1">
        <v>70.22743393786044</v>
      </c>
      <c r="AM85" s="1">
        <v>105.82885626277668</v>
      </c>
      <c r="AN85" s="2">
        <v>1312.0929349230864</v>
      </c>
      <c r="AP85" s="1" t="s">
        <v>176</v>
      </c>
      <c r="AQ85" s="1">
        <v>-5.536039079031525</v>
      </c>
      <c r="AR85" s="1">
        <v>2.7732390587514431</v>
      </c>
      <c r="AS85" s="1">
        <v>-1.2568336360581185</v>
      </c>
      <c r="AT85" s="1">
        <v>0.25195360209137618</v>
      </c>
      <c r="AU85" s="1">
        <v>0.45022674570644483</v>
      </c>
      <c r="AV85" s="1">
        <v>1.1409043160910386</v>
      </c>
      <c r="AW85" s="1">
        <v>6.7082620069268302</v>
      </c>
      <c r="AX85" s="1">
        <v>6.2483641513844077</v>
      </c>
      <c r="AY85" s="1">
        <v>-1.0731970108736135</v>
      </c>
      <c r="BA85" s="1">
        <v>1877</v>
      </c>
      <c r="BB85" s="1">
        <v>1135.923262145333</v>
      </c>
      <c r="BC85" s="1">
        <v>93.791531793684427</v>
      </c>
      <c r="BD85" s="1">
        <v>164.44897703520348</v>
      </c>
      <c r="BE85" s="1">
        <v>33.816352147789559</v>
      </c>
      <c r="BF85" s="1">
        <v>-2.2782864691902223</v>
      </c>
      <c r="BG85" s="1">
        <v>15.520245420993835</v>
      </c>
      <c r="BH85" s="1">
        <v>285.07456160401347</v>
      </c>
      <c r="BI85" s="1">
        <v>336.48883419966108</v>
      </c>
      <c r="BJ85" s="1">
        <v>1389.8078094781663</v>
      </c>
      <c r="BL85" s="1" t="s">
        <v>176</v>
      </c>
      <c r="BM85" s="1">
        <v>-0.20198705276978046</v>
      </c>
      <c r="BN85" s="1">
        <v>11.565502223963463</v>
      </c>
      <c r="BO85" s="1">
        <v>-2.7064072845880247</v>
      </c>
      <c r="BP85" s="1">
        <v>-1.4760147601476064</v>
      </c>
      <c r="BQ85" s="1">
        <v>2.1739130434782652</v>
      </c>
      <c r="BR85" s="1">
        <v>-0.67277506944269305</v>
      </c>
      <c r="BT85" s="1" t="s">
        <v>176</v>
      </c>
      <c r="BU85" s="1">
        <v>0.13152466668063312</v>
      </c>
      <c r="BV85" s="1">
        <v>-5.6493143795381542</v>
      </c>
      <c r="BW85" s="1">
        <v>1.1158379616928755</v>
      </c>
      <c r="BX85" s="1">
        <v>-1.2345145491212861</v>
      </c>
      <c r="BY85" s="1">
        <v>3.7934428712046468</v>
      </c>
      <c r="BZ85" s="1">
        <v>-1.2191199807545559</v>
      </c>
      <c r="CB85" s="1">
        <v>1877</v>
      </c>
      <c r="CC85" s="1">
        <v>39.615759012132713</v>
      </c>
      <c r="CD85" s="1">
        <v>31.264200408902219</v>
      </c>
      <c r="CE85" s="1">
        <v>0.45395731077824431</v>
      </c>
      <c r="CF85" s="1">
        <v>45.831255954759399</v>
      </c>
      <c r="CG85" s="1">
        <v>5.9434269040737533</v>
      </c>
      <c r="CH85" s="1">
        <v>8.9784438210020987</v>
      </c>
      <c r="CI85" s="1">
        <v>79.42024472314823</v>
      </c>
      <c r="CJ85" s="1">
        <v>211.50728813479662</v>
      </c>
      <c r="CL85" s="1">
        <v>1877</v>
      </c>
      <c r="CM85" s="1">
        <v>32.287755266136593</v>
      </c>
      <c r="CN85" s="1">
        <v>15.955821759293997</v>
      </c>
      <c r="CO85" s="1">
        <v>0.41588417921767484</v>
      </c>
      <c r="CP85" s="1">
        <v>26.686053776549119</v>
      </c>
      <c r="CQ85" s="1">
        <v>1.2565791857740025</v>
      </c>
      <c r="CR85" s="1">
        <v>3.0159039600346271</v>
      </c>
      <c r="CS85" s="1">
        <v>28.409691294772902</v>
      </c>
      <c r="CT85" s="2">
        <v>108.0276894217789</v>
      </c>
      <c r="CV85" s="1">
        <v>1877</v>
      </c>
      <c r="CW85" s="1">
        <v>921.39190623613649</v>
      </c>
      <c r="CX85" s="1">
        <v>1302.692056957545</v>
      </c>
      <c r="CY85" s="1">
        <v>215.0929959193185</v>
      </c>
      <c r="CZ85" s="1">
        <v>194.02709516775761</v>
      </c>
      <c r="DA85" s="1">
        <v>279.05185291086934</v>
      </c>
      <c r="DB85" s="1">
        <v>2912.2559071916271</v>
      </c>
      <c r="DC85" s="1">
        <v>2820.8853777862437</v>
      </c>
      <c r="DD85" s="1">
        <v>362.76429630896382</v>
      </c>
      <c r="DF85" s="1">
        <v>1877</v>
      </c>
      <c r="DG85" s="1">
        <v>3.8031258035818638</v>
      </c>
      <c r="DH85" s="1">
        <v>5.5362493509143178</v>
      </c>
      <c r="DI85" s="1">
        <v>2.5772810980095358</v>
      </c>
      <c r="DJ85" s="1">
        <v>2.6133859817601035</v>
      </c>
      <c r="DK85" s="1">
        <v>-1.460119054649482</v>
      </c>
      <c r="DL85" s="1">
        <v>5.5617783071847668</v>
      </c>
      <c r="DM85" s="1">
        <v>3.483504862368008</v>
      </c>
      <c r="DN85" s="1">
        <v>3.386470395729873</v>
      </c>
      <c r="DO85" s="1">
        <v>2.9016661839338553</v>
      </c>
      <c r="DQ85" s="1">
        <v>1877</v>
      </c>
      <c r="DR85" s="1">
        <v>1529.321722625597</v>
      </c>
      <c r="DS85" s="1">
        <v>2317.3028668604347</v>
      </c>
      <c r="DT85" s="1">
        <v>371.39450218837527</v>
      </c>
      <c r="DU85" s="1">
        <v>194.02709516775761</v>
      </c>
      <c r="DV85" s="1">
        <v>279.05185291086934</v>
      </c>
      <c r="DW85" s="1">
        <v>4691.0980397530338</v>
      </c>
      <c r="DX85" s="1">
        <v>4528.193769433924</v>
      </c>
      <c r="DY85" s="1">
        <v>501.31695097794397</v>
      </c>
      <c r="EA85" s="1">
        <v>1877</v>
      </c>
      <c r="EB85" s="1">
        <v>3.4097529159229083</v>
      </c>
      <c r="EC85" s="1">
        <v>4.5046037351115871</v>
      </c>
      <c r="ED85" s="1">
        <v>2.6871922431921007</v>
      </c>
      <c r="EE85" s="1">
        <v>4.5437021926400263</v>
      </c>
      <c r="EF85" s="1">
        <v>-1.4601190546494678</v>
      </c>
      <c r="EG85" s="1">
        <v>5.5617783071847668</v>
      </c>
      <c r="EH85" s="1">
        <v>3.4019171801811865</v>
      </c>
      <c r="EI85" s="1">
        <v>3.3558570765897002</v>
      </c>
      <c r="EJ85" s="1">
        <v>3.7501519812634001</v>
      </c>
      <c r="EL85" s="1">
        <v>1877</v>
      </c>
      <c r="EM85" s="1">
        <v>1308898.8885689436</v>
      </c>
      <c r="EN85" s="1">
        <v>261520.06705988274</v>
      </c>
      <c r="EO85" s="1">
        <v>37533.909552857687</v>
      </c>
      <c r="EP85" s="1">
        <v>40035.900658725848</v>
      </c>
      <c r="EQ85" s="1">
        <v>42368.6080354859</v>
      </c>
      <c r="ER85" s="1">
        <v>159186.32349388459</v>
      </c>
      <c r="ES85" s="1">
        <v>69084.009475614468</v>
      </c>
      <c r="ET85" s="1">
        <v>1541.1906269698163</v>
      </c>
      <c r="EU85" s="1">
        <v>1920168.8974723644</v>
      </c>
      <c r="EV85" s="1">
        <v>1851084.8879967502</v>
      </c>
      <c r="EX85" s="1">
        <v>1877</v>
      </c>
      <c r="EY85" s="1">
        <v>974452.59600722336</v>
      </c>
      <c r="EZ85" s="1">
        <v>200454.00116863617</v>
      </c>
      <c r="FA85" s="1">
        <v>29592.421978973438</v>
      </c>
      <c r="FB85" s="1">
        <v>40035.900658725848</v>
      </c>
      <c r="FC85" s="1">
        <v>21522.885050142067</v>
      </c>
      <c r="FD85" s="1">
        <v>154196.0754382835</v>
      </c>
      <c r="FE85" s="1">
        <v>69084.009475614468</v>
      </c>
      <c r="FF85" s="1">
        <v>1144.9470154200119</v>
      </c>
      <c r="FG85" s="1">
        <v>1490482.836793019</v>
      </c>
      <c r="FH85" s="1">
        <v>1421398.8273174046</v>
      </c>
      <c r="FJ85" s="1">
        <v>1877</v>
      </c>
      <c r="FK85" s="1">
        <v>334446.2925617203</v>
      </c>
      <c r="FL85" s="1">
        <v>61066.065891246581</v>
      </c>
      <c r="FM85" s="1">
        <v>7941.4875738842484</v>
      </c>
      <c r="FN85" s="1">
        <v>0</v>
      </c>
      <c r="FO85" s="1">
        <v>20845.722985343826</v>
      </c>
      <c r="FP85" s="1">
        <v>4990.2480556010778</v>
      </c>
      <c r="FQ85" s="1">
        <v>396.24361154980448</v>
      </c>
      <c r="FR85" s="1">
        <v>429686.06067934586</v>
      </c>
      <c r="FS85" s="1">
        <v>702618.66340888338</v>
      </c>
      <c r="HC85" s="1">
        <v>1877</v>
      </c>
      <c r="HD85" s="1">
        <v>362.3273852015954</v>
      </c>
      <c r="HE85" s="1">
        <v>99.308223297393639</v>
      </c>
      <c r="HF85" s="1">
        <v>19.745339545118036</v>
      </c>
      <c r="HG85" s="1">
        <v>36.557493757903224</v>
      </c>
      <c r="HH85" s="1">
        <v>92.55952888329908</v>
      </c>
      <c r="HI85" s="1">
        <v>67.211529977825833</v>
      </c>
      <c r="HJ85" s="1">
        <v>1.3797389833953317</v>
      </c>
      <c r="HK85" s="2">
        <v>679.08923964653059</v>
      </c>
      <c r="HL85" s="1">
        <v>611.87770966870471</v>
      </c>
      <c r="HN85" s="1">
        <v>1877</v>
      </c>
      <c r="HO85" s="1">
        <v>156.5960526799991</v>
      </c>
      <c r="HP85" s="1">
        <v>32.52044198111426</v>
      </c>
      <c r="HQ85" s="1">
        <v>5.936559534288941</v>
      </c>
      <c r="HR85" s="1">
        <v>0</v>
      </c>
      <c r="HS85" s="1">
        <v>29.274336213477799</v>
      </c>
      <c r="HT85" s="1">
        <v>0.55288265449996143</v>
      </c>
      <c r="HU85" s="2">
        <v>224.88027306338006</v>
      </c>
      <c r="HW85" s="1">
        <v>1877</v>
      </c>
      <c r="HX85" s="1">
        <v>52.672155542156588</v>
      </c>
      <c r="HY85" s="1">
        <v>63.943012144586675</v>
      </c>
      <c r="HZ85" s="1">
        <v>86.133499329591643</v>
      </c>
      <c r="IA85" s="1">
        <v>18.736923673396063</v>
      </c>
      <c r="IB85" s="1">
        <v>79.725692938528709</v>
      </c>
      <c r="IC85" s="1">
        <v>3.0159039600346049</v>
      </c>
      <c r="ID85" s="1">
        <v>103.89623462488139</v>
      </c>
      <c r="IE85" s="2">
        <v>408.12342221317573</v>
      </c>
      <c r="IF85" s="1">
        <v>405.10751825314111</v>
      </c>
      <c r="IH85" s="1">
        <v>1877</v>
      </c>
      <c r="II85" s="1">
        <v>174.38671191543557</v>
      </c>
      <c r="IJ85" s="1">
        <v>47.732601456339786</v>
      </c>
      <c r="IK85" s="1">
        <v>18.527864664008568</v>
      </c>
      <c r="IL85" s="1">
        <v>188.87375107883017</v>
      </c>
      <c r="IM85" s="1">
        <v>36.401180489776266</v>
      </c>
      <c r="IN85" s="1">
        <v>14.129465504653444</v>
      </c>
      <c r="IO85" s="1">
        <v>2.6588903161306519</v>
      </c>
    </row>
    <row r="86" spans="1:249" x14ac:dyDescent="0.25">
      <c r="A86" s="1" t="s">
        <v>177</v>
      </c>
      <c r="B86" s="1">
        <v>-2.3679347110027464</v>
      </c>
      <c r="C86" s="1">
        <v>-2.6625235056853853</v>
      </c>
      <c r="D86" s="1">
        <v>-2.3361230932971324</v>
      </c>
      <c r="E86" s="1">
        <v>-2.3997359668524467</v>
      </c>
      <c r="F86" s="1">
        <v>-2.4866324870356777</v>
      </c>
      <c r="G86" s="1">
        <v>-0.86572132910660571</v>
      </c>
      <c r="H86" s="1">
        <v>-1.1522927190810748</v>
      </c>
      <c r="J86" s="1">
        <v>1878</v>
      </c>
      <c r="K86" s="2">
        <v>1295.3521344971318</v>
      </c>
      <c r="L86" s="1">
        <v>1223.1829254302399</v>
      </c>
      <c r="M86" s="1">
        <v>1193.3215021897654</v>
      </c>
      <c r="N86" s="1">
        <v>1121.1522931228735</v>
      </c>
      <c r="O86" s="1">
        <v>102.03063230736653</v>
      </c>
      <c r="P86" s="1">
        <v>72.169209066891938</v>
      </c>
      <c r="Q86" s="1">
        <v>701.55366633557105</v>
      </c>
      <c r="R86" s="1">
        <v>1996.9058008327029</v>
      </c>
      <c r="S86" s="1">
        <v>1924.736591765811</v>
      </c>
      <c r="U86" s="1">
        <v>1878</v>
      </c>
      <c r="V86" s="1">
        <v>287.33624433023766</v>
      </c>
      <c r="W86" s="1">
        <v>17147.514691456963</v>
      </c>
      <c r="X86" s="1">
        <v>-1.9893522850164516</v>
      </c>
      <c r="Y86" s="1">
        <v>271.3276016319997</v>
      </c>
      <c r="Z86" s="1">
        <v>14338.990895477529</v>
      </c>
      <c r="AA86" s="1">
        <v>-3.4745389282212926</v>
      </c>
      <c r="AB86" s="1">
        <v>4508140.410606795</v>
      </c>
      <c r="AC86" s="1">
        <v>1.1464376392832207</v>
      </c>
      <c r="AE86" s="1">
        <v>1878</v>
      </c>
      <c r="AF86" s="1">
        <v>510.73892315558055</v>
      </c>
      <c r="AG86" s="1">
        <v>153.69429083490726</v>
      </c>
      <c r="AH86" s="1">
        <v>117.18096928723493</v>
      </c>
      <c r="AI86" s="1">
        <v>78.819976429993261</v>
      </c>
      <c r="AJ86" s="1">
        <v>99.180435149408908</v>
      </c>
      <c r="AK86" s="1">
        <v>85.074384557161551</v>
      </c>
      <c r="AL86" s="1">
        <v>74.089984405907543</v>
      </c>
      <c r="AM86" s="1">
        <v>104.40396161004617</v>
      </c>
      <c r="AN86" s="2">
        <v>1223.1829254302402</v>
      </c>
      <c r="AP86" s="1" t="s">
        <v>177</v>
      </c>
      <c r="AQ86" s="1">
        <v>-4.4994201670018299</v>
      </c>
      <c r="AR86" s="1">
        <v>-7.6126509082550058</v>
      </c>
      <c r="AS86" s="1">
        <v>5.7803906353494057</v>
      </c>
      <c r="AT86" s="1">
        <v>-15.48182239038637</v>
      </c>
      <c r="AU86" s="1">
        <v>-9.8069018222361137E-2</v>
      </c>
      <c r="AV86" s="1">
        <v>-6.0106140243448181E-2</v>
      </c>
      <c r="AW86" s="1">
        <v>15.343982335428933</v>
      </c>
      <c r="AX86" s="1">
        <v>5.1687225173970575</v>
      </c>
      <c r="AY86" s="1">
        <v>-2.3679347110027464</v>
      </c>
      <c r="BA86" s="1">
        <v>1878</v>
      </c>
      <c r="BB86" s="1">
        <v>1036.1756797571943</v>
      </c>
      <c r="BC86" s="1">
        <v>94.012564902373796</v>
      </c>
      <c r="BD86" s="1">
        <v>149.91941406732579</v>
      </c>
      <c r="BE86" s="1">
        <v>24.933849802856887</v>
      </c>
      <c r="BF86" s="1">
        <v>3.905021311589679</v>
      </c>
      <c r="BG86" s="1">
        <v>4.9886309781870333</v>
      </c>
      <c r="BH86" s="1">
        <v>244.51059236391669</v>
      </c>
      <c r="BI86" s="1">
        <v>263.0936186863122</v>
      </c>
      <c r="BJ86" s="1">
        <v>1295.3521344971318</v>
      </c>
      <c r="BL86" s="1" t="s">
        <v>177</v>
      </c>
      <c r="BM86" s="1">
        <v>-3.6684017831607321</v>
      </c>
      <c r="BN86" s="1">
        <v>8.2018941165522534</v>
      </c>
      <c r="BO86" s="1">
        <v>-3.982642157342795</v>
      </c>
      <c r="BP86" s="1">
        <v>-1.4981273408239844</v>
      </c>
      <c r="BQ86" s="1">
        <v>-10.638297872340431</v>
      </c>
      <c r="BR86" s="1">
        <v>-0.86572132910663413</v>
      </c>
      <c r="BT86" s="1" t="s">
        <v>177</v>
      </c>
      <c r="BU86" s="1">
        <v>-5.3074884360287484</v>
      </c>
      <c r="BV86" s="1">
        <v>-7.3623756154688067</v>
      </c>
      <c r="BW86" s="1">
        <v>-9.5215877133524174</v>
      </c>
      <c r="BX86" s="1">
        <v>-12.924750897969602</v>
      </c>
      <c r="BY86" s="1">
        <v>-12.503994886545215</v>
      </c>
      <c r="BZ86" s="1">
        <v>-5.9823814263821191</v>
      </c>
      <c r="CB86" s="1">
        <v>1878</v>
      </c>
      <c r="CC86" s="1">
        <v>39.907700433388982</v>
      </c>
      <c r="CD86" s="1">
        <v>21.837770585785957</v>
      </c>
      <c r="CE86" s="1">
        <v>0.48058039302793049</v>
      </c>
      <c r="CF86" s="1">
        <v>40.589006705762493</v>
      </c>
      <c r="CG86" s="1">
        <v>2.3287953880398988</v>
      </c>
      <c r="CH86" s="1">
        <v>7.2437224757479184</v>
      </c>
      <c r="CI86" s="1">
        <v>71.359340178206196</v>
      </c>
      <c r="CJ86" s="1">
        <v>183.74691615995937</v>
      </c>
      <c r="CL86" s="1">
        <v>1878</v>
      </c>
      <c r="CM86" s="1">
        <v>29.668423511919354</v>
      </c>
      <c r="CN86" s="1">
        <v>15.915026748444868</v>
      </c>
      <c r="CO86" s="1">
        <v>0.41904604484199542</v>
      </c>
      <c r="CP86" s="1">
        <v>25.242836152650025</v>
      </c>
      <c r="CQ86" s="1">
        <v>1.0742589202834092</v>
      </c>
      <c r="CR86" s="1">
        <v>2.8849701816986202</v>
      </c>
      <c r="CS86" s="1">
        <v>26.826070747528252</v>
      </c>
      <c r="CT86" s="2">
        <v>102.03063230736653</v>
      </c>
      <c r="CV86" s="1">
        <v>1878</v>
      </c>
      <c r="CW86" s="1">
        <v>873.05207767094862</v>
      </c>
      <c r="CX86" s="1">
        <v>1199.7211309534682</v>
      </c>
      <c r="CY86" s="1">
        <v>217.93017282447238</v>
      </c>
      <c r="CZ86" s="1">
        <v>209.05313368495825</v>
      </c>
      <c r="DA86" s="1">
        <v>249.07362409022033</v>
      </c>
      <c r="DB86" s="1">
        <v>2748.8301392240674</v>
      </c>
      <c r="DC86" s="1">
        <v>2660.9718404102409</v>
      </c>
      <c r="DD86" s="1">
        <v>335.81115245025148</v>
      </c>
      <c r="DF86" s="1">
        <v>1878</v>
      </c>
      <c r="DG86" s="1">
        <v>3.6525609863020492</v>
      </c>
      <c r="DH86" s="1">
        <v>5.1008720521552391</v>
      </c>
      <c r="DI86" s="1">
        <v>2.5985446857989416</v>
      </c>
      <c r="DJ86" s="1">
        <v>-1.3385459037989449</v>
      </c>
      <c r="DK86" s="1">
        <v>-2.2953006024671367</v>
      </c>
      <c r="DL86" s="1">
        <v>2.0028740483496676</v>
      </c>
      <c r="DM86" s="1">
        <v>2.6495404937712124</v>
      </c>
      <c r="DN86" s="1">
        <v>2.5734200114498833</v>
      </c>
      <c r="DO86" s="1">
        <v>0.33445417005970057</v>
      </c>
      <c r="DQ86" s="1">
        <v>1878</v>
      </c>
      <c r="DR86" s="1">
        <v>1434.9222889812017</v>
      </c>
      <c r="DS86" s="1">
        <v>2136.4192598111485</v>
      </c>
      <c r="DT86" s="1">
        <v>382.9448279780562</v>
      </c>
      <c r="DU86" s="1">
        <v>209.05313368495825</v>
      </c>
      <c r="DV86" s="1">
        <v>249.07362409022033</v>
      </c>
      <c r="DW86" s="1">
        <v>4412.4131345455853</v>
      </c>
      <c r="DX86" s="1">
        <v>4258.4370964528334</v>
      </c>
      <c r="DY86" s="1">
        <v>473.21708724561637</v>
      </c>
      <c r="EA86" s="1">
        <v>1878</v>
      </c>
      <c r="EB86" s="1">
        <v>3.3412841411770273</v>
      </c>
      <c r="EC86" s="1">
        <v>4.2917907090481719</v>
      </c>
      <c r="ED86" s="1">
        <v>2.7028409827973121</v>
      </c>
      <c r="EE86" s="1">
        <v>1.9038276406851509</v>
      </c>
      <c r="EF86" s="1">
        <v>-2.2953006024671225</v>
      </c>
      <c r="EG86" s="1">
        <v>2.0028740483496676</v>
      </c>
      <c r="EH86" s="1">
        <v>2.8737319453683483</v>
      </c>
      <c r="EI86" s="1">
        <v>2.8369437242727713</v>
      </c>
      <c r="EJ86" s="1">
        <v>1.8836582111875231</v>
      </c>
      <c r="EL86" s="1">
        <v>1878</v>
      </c>
      <c r="EM86" s="1">
        <v>1299803.3609779484</v>
      </c>
      <c r="EN86" s="1">
        <v>237343.46559549673</v>
      </c>
      <c r="EO86" s="1">
        <v>38614.103985417634</v>
      </c>
      <c r="EP86" s="1">
        <v>41804.288226174191</v>
      </c>
      <c r="EQ86" s="1">
        <v>43788.296901948845</v>
      </c>
      <c r="ER86" s="1">
        <v>159539.03427184204</v>
      </c>
      <c r="ES86" s="1">
        <v>80030.419427736488</v>
      </c>
      <c r="ET86" s="1">
        <v>1579.8324906127684</v>
      </c>
      <c r="EU86" s="1">
        <v>1902502.8018771771</v>
      </c>
      <c r="EV86" s="1">
        <v>1822472.3824494407</v>
      </c>
      <c r="EX86" s="1">
        <v>1878</v>
      </c>
      <c r="EY86" s="1">
        <v>962692.66320234491</v>
      </c>
      <c r="EZ86" s="1">
        <v>177734.84266017255</v>
      </c>
      <c r="FA86" s="1">
        <v>30415.304646813365</v>
      </c>
      <c r="FB86" s="1">
        <v>41804.288226174191</v>
      </c>
      <c r="FC86" s="1">
        <v>21970.613417417608</v>
      </c>
      <c r="FD86" s="1">
        <v>154372.14185311014</v>
      </c>
      <c r="FE86" s="1">
        <v>80030.419427736488</v>
      </c>
      <c r="FF86" s="1">
        <v>1178.0801213334737</v>
      </c>
      <c r="FG86" s="1">
        <v>1470198.3535551026</v>
      </c>
      <c r="FH86" s="1">
        <v>1390167.9341273662</v>
      </c>
      <c r="FJ86" s="1">
        <v>1878</v>
      </c>
      <c r="FK86" s="1">
        <v>337110.69777560345</v>
      </c>
      <c r="FL86" s="1">
        <v>59608.62293532418</v>
      </c>
      <c r="FM86" s="1">
        <v>8198.799338604269</v>
      </c>
      <c r="FN86" s="1">
        <v>0</v>
      </c>
      <c r="FO86" s="1">
        <v>21817.68348453123</v>
      </c>
      <c r="FP86" s="1">
        <v>5166.8924187318917</v>
      </c>
      <c r="FQ86" s="1">
        <v>401.75236927929467</v>
      </c>
      <c r="FR86" s="1">
        <v>432304.44832207425</v>
      </c>
      <c r="FS86" s="1">
        <v>707738.83016604488</v>
      </c>
      <c r="HC86" s="1">
        <v>1878</v>
      </c>
      <c r="HD86" s="1">
        <v>325.03935207147663</v>
      </c>
      <c r="HE86" s="1">
        <v>79.481409420738885</v>
      </c>
      <c r="HF86" s="1">
        <v>18.318873720713288</v>
      </c>
      <c r="HG86" s="1">
        <v>37.776076883166667</v>
      </c>
      <c r="HH86" s="1">
        <v>87.153617571552019</v>
      </c>
      <c r="HI86" s="1">
        <v>71.205014224208895</v>
      </c>
      <c r="HJ86" s="1">
        <v>1.3129334056415658</v>
      </c>
      <c r="HK86" s="2">
        <v>620.28727729749789</v>
      </c>
      <c r="HL86" s="1">
        <v>549.08226307328903</v>
      </c>
      <c r="HN86" s="1">
        <v>1878</v>
      </c>
      <c r="HO86" s="1">
        <v>143.32923990411214</v>
      </c>
      <c r="HP86" s="1">
        <v>28.654186904950986</v>
      </c>
      <c r="HQ86" s="1">
        <v>5.5323000584455082</v>
      </c>
      <c r="HR86" s="1">
        <v>0</v>
      </c>
      <c r="HS86" s="1">
        <v>28.759224895845207</v>
      </c>
      <c r="HT86" s="1">
        <v>0.5184244352100722</v>
      </c>
      <c r="HU86" s="2">
        <v>206.79337619856392</v>
      </c>
      <c r="HW86" s="1">
        <v>1878</v>
      </c>
      <c r="HX86" s="1">
        <v>71.160331179991772</v>
      </c>
      <c r="HY86" s="1">
        <v>45.558694509217389</v>
      </c>
      <c r="HZ86" s="1">
        <v>93.329795508076131</v>
      </c>
      <c r="IA86" s="1">
        <v>12.253899546826595</v>
      </c>
      <c r="IB86" s="1">
        <v>68.341977239173261</v>
      </c>
      <c r="IC86" s="1">
        <v>2.8849701816986415</v>
      </c>
      <c r="ID86" s="1">
        <v>102.57260376919453</v>
      </c>
      <c r="IE86" s="2">
        <v>396.1022719341783</v>
      </c>
      <c r="IF86" s="1">
        <v>393.21730175247967</v>
      </c>
      <c r="IH86" s="1">
        <v>1878</v>
      </c>
      <c r="II86" s="1">
        <v>205.58131470446762</v>
      </c>
      <c r="IJ86" s="1">
        <v>41.167470154693646</v>
      </c>
      <c r="IK86" s="1">
        <v>14.185214535741192</v>
      </c>
      <c r="IL86" s="1">
        <v>227.77344463763808</v>
      </c>
      <c r="IM86" s="1">
        <v>27.413422377114177</v>
      </c>
      <c r="IN86" s="1">
        <v>9.4459357380238966</v>
      </c>
      <c r="IO86" s="1">
        <v>-4.6749882826446196</v>
      </c>
    </row>
    <row r="87" spans="1:249" x14ac:dyDescent="0.25">
      <c r="A87" s="1" t="s">
        <v>178</v>
      </c>
      <c r="B87" s="1">
        <v>5.8815111494289454</v>
      </c>
      <c r="C87" s="1">
        <v>5.5633919585599045</v>
      </c>
      <c r="D87" s="1">
        <v>6.0913536015017513</v>
      </c>
      <c r="E87" s="1">
        <v>5.6720837533733857</v>
      </c>
      <c r="F87" s="1">
        <v>5.8761357850447382</v>
      </c>
      <c r="G87" s="1">
        <v>7.2564169103522858</v>
      </c>
      <c r="H87" s="1">
        <v>7.7870358316902042</v>
      </c>
      <c r="J87" s="1">
        <v>1879</v>
      </c>
      <c r="K87" s="2">
        <v>1264.7033678343339</v>
      </c>
      <c r="L87" s="1">
        <v>1192.585361002775</v>
      </c>
      <c r="M87" s="1">
        <v>1165.8284223160874</v>
      </c>
      <c r="N87" s="1">
        <v>1093.7104154845285</v>
      </c>
      <c r="O87" s="1">
        <v>98.874945518246435</v>
      </c>
      <c r="P87" s="1">
        <v>72.118006831558958</v>
      </c>
      <c r="Q87" s="1">
        <v>682.85350650342275</v>
      </c>
      <c r="R87" s="1">
        <v>1947.5568743377567</v>
      </c>
      <c r="S87" s="1">
        <v>1875.4388675061978</v>
      </c>
      <c r="U87" s="1">
        <v>1879</v>
      </c>
      <c r="V87" s="1">
        <v>277.63208966247851</v>
      </c>
      <c r="W87" s="1">
        <v>18201.320166719612</v>
      </c>
      <c r="X87" s="1">
        <v>6.1455289248864915</v>
      </c>
      <c r="Y87" s="1">
        <v>261.80049353632563</v>
      </c>
      <c r="Z87" s="1">
        <v>15025.092035595606</v>
      </c>
      <c r="AA87" s="1">
        <v>4.7848634894835698</v>
      </c>
      <c r="AB87" s="1">
        <v>4555321.2864256892</v>
      </c>
      <c r="AC87" s="1">
        <v>1.0465706815139697</v>
      </c>
      <c r="AE87" s="1">
        <v>1879</v>
      </c>
      <c r="AF87" s="1">
        <v>520.5048871776562</v>
      </c>
      <c r="AG87" s="1">
        <v>141.32350344821376</v>
      </c>
      <c r="AH87" s="1">
        <v>99.571261115088703</v>
      </c>
      <c r="AI87" s="1">
        <v>70.370541706179964</v>
      </c>
      <c r="AJ87" s="1">
        <v>97.986716776904416</v>
      </c>
      <c r="AK87" s="1">
        <v>84.42054968769088</v>
      </c>
      <c r="AL87" s="1">
        <v>74.403100192454957</v>
      </c>
      <c r="AM87" s="1">
        <v>104.00480089858625</v>
      </c>
      <c r="AN87" s="2">
        <v>1192.5853610027752</v>
      </c>
      <c r="AP87" s="1" t="s">
        <v>178</v>
      </c>
      <c r="AQ87" s="1">
        <v>14.4947587599668</v>
      </c>
      <c r="AR87" s="1">
        <v>-0.70398954674797665</v>
      </c>
      <c r="AS87" s="1">
        <v>-9.9531170134695515</v>
      </c>
      <c r="AT87" s="1">
        <v>-2.3608447967675801</v>
      </c>
      <c r="AU87" s="1">
        <v>7.488209349775758</v>
      </c>
      <c r="AV87" s="1">
        <v>5.4887943384088089E-2</v>
      </c>
      <c r="AW87" s="1">
        <v>0.98926222132726593</v>
      </c>
      <c r="AX87" s="1">
        <v>5.3579636852299615</v>
      </c>
      <c r="AY87" s="1">
        <v>5.8815111494289454</v>
      </c>
      <c r="BA87" s="1">
        <v>1879</v>
      </c>
      <c r="BB87" s="1">
        <v>1029.2765359043995</v>
      </c>
      <c r="BC87" s="1">
        <v>91.457009438772715</v>
      </c>
      <c r="BD87" s="1">
        <v>118.87600110314592</v>
      </c>
      <c r="BE87" s="1">
        <v>20.34061066943767</v>
      </c>
      <c r="BF87" s="1">
        <v>0.44530705219273092</v>
      </c>
      <c r="BG87" s="1">
        <v>3.688117523912362</v>
      </c>
      <c r="BH87" s="1">
        <v>241.13026159390864</v>
      </c>
      <c r="BI87" s="1">
        <v>240.51047545143561</v>
      </c>
      <c r="BJ87" s="1">
        <v>1264.7033678343337</v>
      </c>
      <c r="BL87" s="1" t="s">
        <v>178</v>
      </c>
      <c r="BM87" s="1">
        <v>7.1395096711656549</v>
      </c>
      <c r="BN87" s="1">
        <v>-1.0045800468766686</v>
      </c>
      <c r="BO87" s="1">
        <v>-17.757902389757135</v>
      </c>
      <c r="BP87" s="1">
        <v>13.307984790874514</v>
      </c>
      <c r="BQ87" s="1">
        <v>-7.9365079365079509</v>
      </c>
      <c r="BR87" s="1">
        <v>7.2564169103523</v>
      </c>
      <c r="BT87" s="1" t="s">
        <v>178</v>
      </c>
      <c r="BU87" s="1">
        <v>-7.2852090827168325</v>
      </c>
      <c r="BV87" s="1">
        <v>-1.7311231412852237</v>
      </c>
      <c r="BW87" s="1">
        <v>-5.1399018264673231</v>
      </c>
      <c r="BX87" s="1">
        <v>-12.965082114248588</v>
      </c>
      <c r="BY87" s="1">
        <v>-0.70297469291104164</v>
      </c>
      <c r="BZ87" s="1">
        <v>-8.9714666415908795</v>
      </c>
      <c r="CB87" s="1">
        <v>1879</v>
      </c>
      <c r="CC87" s="1">
        <v>31.204064690375606</v>
      </c>
      <c r="CD87" s="1">
        <v>16.341717246101172</v>
      </c>
      <c r="CE87" s="1">
        <v>0.25038410536034894</v>
      </c>
      <c r="CF87" s="1">
        <v>34.042922919259595</v>
      </c>
      <c r="CG87" s="1">
        <v>1.9893919012524621</v>
      </c>
      <c r="CH87" s="1">
        <v>5.5767427071006717</v>
      </c>
      <c r="CI87" s="1">
        <v>53.944812779238831</v>
      </c>
      <c r="CJ87" s="1">
        <v>143.35003634868869</v>
      </c>
      <c r="CL87" s="1">
        <v>1879</v>
      </c>
      <c r="CM87" s="1">
        <v>28.318374870091219</v>
      </c>
      <c r="CN87" s="1">
        <v>15.613862098955938</v>
      </c>
      <c r="CO87" s="1">
        <v>0.2232688075423544</v>
      </c>
      <c r="CP87" s="1">
        <v>24.711578428388695</v>
      </c>
      <c r="CQ87" s="1">
        <v>1.0306007049012793</v>
      </c>
      <c r="CR87" s="1">
        <v>2.8013822351616353</v>
      </c>
      <c r="CS87" s="1">
        <v>26.175878373205322</v>
      </c>
      <c r="CT87" s="2">
        <v>98.874945518246435</v>
      </c>
      <c r="CV87" s="1">
        <v>1879</v>
      </c>
      <c r="CW87" s="1">
        <v>865.60570498620655</v>
      </c>
      <c r="CX87" s="1">
        <v>1161.0294868244355</v>
      </c>
      <c r="CY87" s="1">
        <v>214.2206200746451</v>
      </c>
      <c r="CZ87" s="1">
        <v>204.30816915005909</v>
      </c>
      <c r="DA87" s="1">
        <v>232.24523856760086</v>
      </c>
      <c r="DB87" s="1">
        <v>2677.4092196029474</v>
      </c>
      <c r="DC87" s="1">
        <v>2590.5285042749606</v>
      </c>
      <c r="DD87" s="1">
        <v>319.03709492317148</v>
      </c>
      <c r="DF87" s="1">
        <v>1879</v>
      </c>
      <c r="DG87" s="1">
        <v>2.3248848237803941</v>
      </c>
      <c r="DH87" s="1">
        <v>3.2080350494543097</v>
      </c>
      <c r="DI87" s="1">
        <v>1.6663888274772773</v>
      </c>
      <c r="DJ87" s="1">
        <v>-3.1148619194527782</v>
      </c>
      <c r="DK87" s="1">
        <v>4.0102053168427574</v>
      </c>
      <c r="DL87" s="1">
        <v>1.5880271848237584</v>
      </c>
      <c r="DM87" s="1">
        <v>1.9713194724935619</v>
      </c>
      <c r="DN87" s="1">
        <v>1.9300725998167962</v>
      </c>
      <c r="DO87" s="1">
        <v>3.330654107834448</v>
      </c>
      <c r="DQ87" s="1">
        <v>1879</v>
      </c>
      <c r="DR87" s="1">
        <v>1411.7316339873666</v>
      </c>
      <c r="DS87" s="1">
        <v>2069.6258511805613</v>
      </c>
      <c r="DT87" s="1">
        <v>388.91096531014534</v>
      </c>
      <c r="DU87" s="1">
        <v>204.30816915005909</v>
      </c>
      <c r="DV87" s="1">
        <v>232.24523856760086</v>
      </c>
      <c r="DW87" s="1">
        <v>4306.8218581957335</v>
      </c>
      <c r="DX87" s="1">
        <v>4156.1031148688162</v>
      </c>
      <c r="DY87" s="1">
        <v>459.44967926961453</v>
      </c>
      <c r="EA87" s="1">
        <v>1879</v>
      </c>
      <c r="EB87" s="1">
        <v>2.5618499233874559</v>
      </c>
      <c r="EC87" s="1">
        <v>3.1470940774286191</v>
      </c>
      <c r="ED87" s="1">
        <v>2.1626063730601146</v>
      </c>
      <c r="EE87" s="1">
        <v>0.57264252652149139</v>
      </c>
      <c r="EF87" s="1">
        <v>4.0102053168427574</v>
      </c>
      <c r="EG87" s="1">
        <v>1.5880271848237584</v>
      </c>
      <c r="EH87" s="1">
        <v>2.4020676462416617</v>
      </c>
      <c r="EI87" s="1">
        <v>2.3838188478023454</v>
      </c>
      <c r="EJ87" s="1">
        <v>3.7708338546414808</v>
      </c>
      <c r="EL87" s="1">
        <v>1879</v>
      </c>
      <c r="EM87" s="1">
        <v>1334343.3659681175</v>
      </c>
      <c r="EN87" s="1">
        <v>232232.96447294363</v>
      </c>
      <c r="EO87" s="1">
        <v>36858.479236369814</v>
      </c>
      <c r="EP87" s="1">
        <v>42289.738431215359</v>
      </c>
      <c r="EQ87" s="1">
        <v>44449.459608399957</v>
      </c>
      <c r="ER87" s="1">
        <v>159859.18066213597</v>
      </c>
      <c r="ES87" s="1">
        <v>80760.180091211281</v>
      </c>
      <c r="ET87" s="1">
        <v>1619.5222423796906</v>
      </c>
      <c r="EU87" s="1">
        <v>1932412.8907127732</v>
      </c>
      <c r="EV87" s="1">
        <v>1851652.7106215619</v>
      </c>
      <c r="EX87" s="1">
        <v>1879</v>
      </c>
      <c r="EY87" s="1">
        <v>996090.78024370689</v>
      </c>
      <c r="EZ87" s="1">
        <v>175496.41049105895</v>
      </c>
      <c r="FA87" s="1">
        <v>28511.933646310557</v>
      </c>
      <c r="FB87" s="1">
        <v>42289.738431215359</v>
      </c>
      <c r="FC87" s="1">
        <v>21958.390624011998</v>
      </c>
      <c r="FD87" s="1">
        <v>154683.26004893414</v>
      </c>
      <c r="FE87" s="1">
        <v>80760.180091211281</v>
      </c>
      <c r="FF87" s="1">
        <v>1212.1813914600318</v>
      </c>
      <c r="FG87" s="1">
        <v>1501002.8749679094</v>
      </c>
      <c r="FH87" s="1">
        <v>1420242.6948766981</v>
      </c>
      <c r="FJ87" s="1">
        <v>1879</v>
      </c>
      <c r="FK87" s="1">
        <v>338252.58572441054</v>
      </c>
      <c r="FL87" s="1">
        <v>56736.553981884659</v>
      </c>
      <c r="FM87" s="1">
        <v>8346.5455900592569</v>
      </c>
      <c r="FN87" s="1">
        <v>0</v>
      </c>
      <c r="FO87" s="1">
        <v>22491.068984387963</v>
      </c>
      <c r="FP87" s="1">
        <v>5175.9206132018635</v>
      </c>
      <c r="FQ87" s="1">
        <v>407.34085091965875</v>
      </c>
      <c r="FR87" s="1">
        <v>431410.01574486395</v>
      </c>
      <c r="FS87" s="1">
        <v>712896.30892328045</v>
      </c>
      <c r="HC87" s="1">
        <v>1879</v>
      </c>
      <c r="HD87" s="1">
        <v>295.44699768581376</v>
      </c>
      <c r="HE87" s="1">
        <v>75.563023143174959</v>
      </c>
      <c r="HF87" s="1">
        <v>16.534130876359459</v>
      </c>
      <c r="HG87" s="1">
        <v>38.99466000843011</v>
      </c>
      <c r="HH87" s="1">
        <v>86.020829520623849</v>
      </c>
      <c r="HI87" s="1">
        <v>71.601717957293303</v>
      </c>
      <c r="HJ87" s="1">
        <v>1.3261395125778694</v>
      </c>
      <c r="HK87" s="2">
        <v>585.48749870427343</v>
      </c>
      <c r="HL87" s="1">
        <v>513.88578074698012</v>
      </c>
      <c r="HN87" s="1">
        <v>1879</v>
      </c>
      <c r="HO87" s="1">
        <v>126.33851492715581</v>
      </c>
      <c r="HP87" s="1">
        <v>26.259717886856887</v>
      </c>
      <c r="HQ87" s="1">
        <v>5.4226346006495403</v>
      </c>
      <c r="HR87" s="1">
        <v>0</v>
      </c>
      <c r="HS87" s="1">
        <v>29.125822476554216</v>
      </c>
      <c r="HT87" s="1">
        <v>0.51598694617778218</v>
      </c>
      <c r="HU87" s="2">
        <v>187.66267683739423</v>
      </c>
      <c r="HW87" s="1">
        <v>1879</v>
      </c>
      <c r="HX87" s="1">
        <v>121.63737456468664</v>
      </c>
      <c r="HY87" s="1">
        <v>39.500762418181907</v>
      </c>
      <c r="HZ87" s="1">
        <v>77.614495638079703</v>
      </c>
      <c r="IA87" s="1">
        <v>8.4578816977498548</v>
      </c>
      <c r="IB87" s="1">
        <v>67.260614467417241</v>
      </c>
      <c r="IC87" s="1">
        <v>2.8013822351616553</v>
      </c>
      <c r="ID87" s="1">
        <v>102.1626744398306</v>
      </c>
      <c r="IE87" s="2">
        <v>419.43518546110761</v>
      </c>
      <c r="IF87" s="1">
        <v>416.63380322594594</v>
      </c>
      <c r="IH87" s="1">
        <v>1879</v>
      </c>
      <c r="II87" s="1">
        <v>212.0717664440659</v>
      </c>
      <c r="IJ87" s="1">
        <v>37.756979742701397</v>
      </c>
      <c r="IK87" s="1">
        <v>12.924114012508559</v>
      </c>
      <c r="IL87" s="1">
        <v>236.63155785923124</v>
      </c>
      <c r="IM87" s="1">
        <v>23.459298067983369</v>
      </c>
      <c r="IN87" s="1">
        <v>8.0300555010003691</v>
      </c>
      <c r="IO87" s="1">
        <v>3.8482250255164701</v>
      </c>
    </row>
    <row r="88" spans="1:249" x14ac:dyDescent="0.25">
      <c r="A88" s="1" t="s">
        <v>179</v>
      </c>
      <c r="B88" s="1">
        <v>0.25793139721368163</v>
      </c>
      <c r="C88" s="1">
        <v>-6.6042506605128892E-2</v>
      </c>
      <c r="D88" s="1">
        <v>0.2595163411034207</v>
      </c>
      <c r="E88" s="1">
        <v>0.25634647837939895</v>
      </c>
      <c r="F88" s="1">
        <v>0.40744693099838969</v>
      </c>
      <c r="G88" s="1">
        <v>-3.4249646735297858</v>
      </c>
      <c r="H88" s="1">
        <v>-3.8227094139236613</v>
      </c>
      <c r="J88" s="1">
        <v>1880</v>
      </c>
      <c r="K88" s="2">
        <v>1314.293332519703</v>
      </c>
      <c r="L88" s="1">
        <v>1236.3136580488388</v>
      </c>
      <c r="M88" s="1">
        <v>1211.2059021450025</v>
      </c>
      <c r="N88" s="1">
        <v>1133.2262276741383</v>
      </c>
      <c r="O88" s="1">
        <v>103.08743037470059</v>
      </c>
      <c r="P88" s="1">
        <v>77.979674470864296</v>
      </c>
      <c r="Q88" s="1">
        <v>741.52862797523267</v>
      </c>
      <c r="R88" s="1">
        <v>2055.8219604949354</v>
      </c>
      <c r="S88" s="1">
        <v>1977.8422860240714</v>
      </c>
      <c r="U88" s="1">
        <v>1880</v>
      </c>
      <c r="V88" s="1">
        <v>287.44814733852382</v>
      </c>
      <c r="W88" s="1">
        <v>17512.73544548831</v>
      </c>
      <c r="X88" s="1">
        <v>-3.7831581166862378</v>
      </c>
      <c r="Y88" s="1">
        <v>270.39326894715441</v>
      </c>
      <c r="Z88" s="1">
        <v>15007.97518341833</v>
      </c>
      <c r="AA88" s="1">
        <v>-0.11392177922587621</v>
      </c>
      <c r="AB88" s="1">
        <v>4572279.7126671942</v>
      </c>
      <c r="AC88" s="1">
        <v>0.37227728134212157</v>
      </c>
      <c r="AE88" s="1">
        <v>1880</v>
      </c>
      <c r="AF88" s="1">
        <v>507.42099115015822</v>
      </c>
      <c r="AG88" s="1">
        <v>174.83864342354974</v>
      </c>
      <c r="AH88" s="1">
        <v>97.609496166165073</v>
      </c>
      <c r="AI88" s="1">
        <v>84.984946266316072</v>
      </c>
      <c r="AJ88" s="1">
        <v>100.38955572996645</v>
      </c>
      <c r="AK88" s="1">
        <v>86.478435537124085</v>
      </c>
      <c r="AL88" s="1">
        <v>75.727945794929099</v>
      </c>
      <c r="AM88" s="1">
        <v>108.86364398063007</v>
      </c>
      <c r="AN88" s="2">
        <v>1236.3136580488388</v>
      </c>
      <c r="AP88" s="1" t="s">
        <v>179</v>
      </c>
      <c r="AQ88" s="1">
        <v>-3.7282465884060088</v>
      </c>
      <c r="AR88" s="1">
        <v>8.8048446695705422</v>
      </c>
      <c r="AS88" s="1">
        <v>-1.4651670462692863</v>
      </c>
      <c r="AT88" s="1">
        <v>16.527123728596166</v>
      </c>
      <c r="AU88" s="1">
        <v>-5.9082057400633374</v>
      </c>
      <c r="AV88" s="1">
        <v>0.34717763438800375</v>
      </c>
      <c r="AW88" s="1">
        <v>0.39788464624830056</v>
      </c>
      <c r="AX88" s="1">
        <v>4.2543515444553748</v>
      </c>
      <c r="AY88" s="1">
        <v>0.25793139721368163</v>
      </c>
      <c r="BA88" s="1">
        <v>1880</v>
      </c>
      <c r="BB88" s="1">
        <v>1061.7987491152926</v>
      </c>
      <c r="BC88" s="1">
        <v>91.688742498769102</v>
      </c>
      <c r="BD88" s="1">
        <v>128.44838713239218</v>
      </c>
      <c r="BE88" s="1">
        <v>23.172029078041426</v>
      </c>
      <c r="BF88" s="1">
        <v>-0.41781831459033153</v>
      </c>
      <c r="BG88" s="1">
        <v>10.2459073799062</v>
      </c>
      <c r="BH88" s="1">
        <v>304.22976930072582</v>
      </c>
      <c r="BI88" s="1">
        <v>304.87243367083386</v>
      </c>
      <c r="BJ88" s="1">
        <v>1314.2933325197032</v>
      </c>
      <c r="BL88" s="1" t="s">
        <v>179</v>
      </c>
      <c r="BM88" s="1">
        <v>-0.47744986545855284</v>
      </c>
      <c r="BN88" s="1">
        <v>-2.0411323891648721</v>
      </c>
      <c r="BO88" s="1">
        <v>6.6483883403438426</v>
      </c>
      <c r="BP88" s="1">
        <v>3.3557046979865675</v>
      </c>
      <c r="BQ88" s="1">
        <v>23.275862068965509</v>
      </c>
      <c r="BR88" s="1">
        <v>-3.4249646735297858</v>
      </c>
      <c r="BT88" s="1" t="s">
        <v>179</v>
      </c>
      <c r="BU88" s="1">
        <v>3.6546146063431593</v>
      </c>
      <c r="BV88" s="1">
        <v>2.3423214949678908</v>
      </c>
      <c r="BW88" s="1">
        <v>5.6043783420116142</v>
      </c>
      <c r="BX88" s="1">
        <v>22.071853380264599</v>
      </c>
      <c r="BY88" s="1">
        <v>2.8267507140746488</v>
      </c>
      <c r="BZ88" s="1">
        <v>7.6065614884776949</v>
      </c>
      <c r="CB88" s="1">
        <v>1880</v>
      </c>
      <c r="CC88" s="1">
        <v>29.894366556005366</v>
      </c>
      <c r="CD88" s="1">
        <v>21.890453885211663</v>
      </c>
      <c r="CE88" s="1">
        <v>0.24860253835982124</v>
      </c>
      <c r="CF88" s="1">
        <v>26.516915419340542</v>
      </c>
      <c r="CG88" s="1">
        <v>4.2711880759743899</v>
      </c>
      <c r="CH88" s="1">
        <v>5.610613495404138</v>
      </c>
      <c r="CI88" s="1">
        <v>73.016365305453547</v>
      </c>
      <c r="CJ88" s="1">
        <v>161.44850527574948</v>
      </c>
      <c r="CL88" s="1">
        <v>1880</v>
      </c>
      <c r="CM88" s="1">
        <v>30.044369865329053</v>
      </c>
      <c r="CN88" s="1">
        <v>14.153373278104043</v>
      </c>
      <c r="CO88" s="1">
        <v>0.22781618880711424</v>
      </c>
      <c r="CP88" s="1">
        <v>24.980002248646255</v>
      </c>
      <c r="CQ88" s="1">
        <v>1.1793896624416644</v>
      </c>
      <c r="CR88" s="1">
        <v>3.0374964812819458</v>
      </c>
      <c r="CS88" s="1">
        <v>29.464982650090516</v>
      </c>
      <c r="CT88" s="2">
        <v>103.08743037470059</v>
      </c>
      <c r="CV88" s="1">
        <v>1880</v>
      </c>
      <c r="CW88" s="1">
        <v>963.7428667916231</v>
      </c>
      <c r="CX88" s="1">
        <v>1273.1049301401129</v>
      </c>
      <c r="CY88" s="1">
        <v>185.37525842166056</v>
      </c>
      <c r="CZ88" s="1">
        <v>200.61622906017234</v>
      </c>
      <c r="DA88" s="1">
        <v>267.48598762325616</v>
      </c>
      <c r="DB88" s="1">
        <v>2890.325272036825</v>
      </c>
      <c r="DC88" s="1">
        <v>2794.3157030301272</v>
      </c>
      <c r="DD88" s="1">
        <v>342.08906223721908</v>
      </c>
      <c r="DF88" s="1">
        <v>1880</v>
      </c>
      <c r="DG88" s="1">
        <v>2.2092035864591537</v>
      </c>
      <c r="DH88" s="1">
        <v>4.518983657990546</v>
      </c>
      <c r="DI88" s="1">
        <v>0.46067094892447358</v>
      </c>
      <c r="DJ88" s="1">
        <v>-0.47153648661131342</v>
      </c>
      <c r="DK88" s="1">
        <v>2.2189266286514879</v>
      </c>
      <c r="DL88" s="1">
        <v>3.8304463986865755</v>
      </c>
      <c r="DM88" s="1">
        <v>2.1895988993782822</v>
      </c>
      <c r="DN88" s="1">
        <v>2.1726128384941035</v>
      </c>
      <c r="DO88" s="1">
        <v>1.6615858837882342</v>
      </c>
      <c r="DQ88" s="1">
        <v>1880</v>
      </c>
      <c r="DR88" s="1">
        <v>1570.8571767974261</v>
      </c>
      <c r="DS88" s="1">
        <v>2280.4998423451007</v>
      </c>
      <c r="DT88" s="1">
        <v>350.06555977547174</v>
      </c>
      <c r="DU88" s="1">
        <v>200.61622906017234</v>
      </c>
      <c r="DV88" s="1">
        <v>267.48598762325616</v>
      </c>
      <c r="DW88" s="1">
        <v>4669.5247956014273</v>
      </c>
      <c r="DX88" s="1">
        <v>4503.5016786703873</v>
      </c>
      <c r="DY88" s="1">
        <v>486.33560667677921</v>
      </c>
      <c r="EA88" s="1">
        <v>1880</v>
      </c>
      <c r="EB88" s="1">
        <v>2.4837192631468525</v>
      </c>
      <c r="EC88" s="1">
        <v>3.9793547780014933</v>
      </c>
      <c r="ED88" s="1">
        <v>1.4534794240741462</v>
      </c>
      <c r="EE88" s="1">
        <v>1.8436341229881634</v>
      </c>
      <c r="EF88" s="1">
        <v>2.2189266286514595</v>
      </c>
      <c r="EG88" s="1">
        <v>3.8304463986865755</v>
      </c>
      <c r="EH88" s="1">
        <v>2.5032797996486806</v>
      </c>
      <c r="EI88" s="1">
        <v>2.4991334025786784</v>
      </c>
      <c r="EJ88" s="1">
        <v>2.416008853768048</v>
      </c>
      <c r="EL88" s="1">
        <v>1880</v>
      </c>
      <c r="EM88" s="1">
        <v>1328306.6022350802</v>
      </c>
      <c r="EN88" s="1">
        <v>246090.28482448187</v>
      </c>
      <c r="EO88" s="1">
        <v>36793.912470275332</v>
      </c>
      <c r="EP88" s="1">
        <v>45104.088554178954</v>
      </c>
      <c r="EQ88" s="1">
        <v>47429.787256936521</v>
      </c>
      <c r="ER88" s="1">
        <v>160625.80636928944</v>
      </c>
      <c r="ES88" s="1">
        <v>81003.433645702884</v>
      </c>
      <c r="ET88" s="1">
        <v>1660.2897517964</v>
      </c>
      <c r="EU88" s="1">
        <v>1947014.2051077418</v>
      </c>
      <c r="EV88" s="1">
        <v>1866010.7714620389</v>
      </c>
      <c r="EX88" s="1">
        <v>1880</v>
      </c>
      <c r="EY88" s="1">
        <v>987516.48773554282</v>
      </c>
      <c r="EZ88" s="1">
        <v>189776.29679042316</v>
      </c>
      <c r="FA88" s="1">
        <v>28488.875625346933</v>
      </c>
      <c r="FB88" s="1">
        <v>45104.088554178954</v>
      </c>
      <c r="FC88" s="1">
        <v>23903.704474347614</v>
      </c>
      <c r="FD88" s="1">
        <v>155499.44217169529</v>
      </c>
      <c r="FE88" s="1">
        <v>81003.433645702884</v>
      </c>
      <c r="FF88" s="1">
        <v>1247.2794708296942</v>
      </c>
      <c r="FG88" s="1">
        <v>1512539.6084680678</v>
      </c>
      <c r="FH88" s="1">
        <v>1431536.1748223649</v>
      </c>
      <c r="FJ88" s="1">
        <v>1880</v>
      </c>
      <c r="FK88" s="1">
        <v>340790.11449953739</v>
      </c>
      <c r="FL88" s="1">
        <v>56313.988034058711</v>
      </c>
      <c r="FM88" s="1">
        <v>8305.0368449283997</v>
      </c>
      <c r="FN88" s="1">
        <v>0</v>
      </c>
      <c r="FO88" s="1">
        <v>23526.082782588903</v>
      </c>
      <c r="FP88" s="1">
        <v>5126.3641975941428</v>
      </c>
      <c r="FQ88" s="1">
        <v>413.01028096670586</v>
      </c>
      <c r="FR88" s="1">
        <v>434474.59663967422</v>
      </c>
      <c r="FS88" s="1">
        <v>718091.3715829351</v>
      </c>
      <c r="HC88" s="1">
        <v>1880</v>
      </c>
      <c r="HD88" s="1">
        <v>281.93046534930892</v>
      </c>
      <c r="HE88" s="1">
        <v>87.878253273403629</v>
      </c>
      <c r="HF88" s="1">
        <v>17.767583695707145</v>
      </c>
      <c r="HG88" s="1">
        <v>41.431826258956995</v>
      </c>
      <c r="HH88" s="1">
        <v>89.959353362242098</v>
      </c>
      <c r="HI88" s="1">
        <v>72.690449313647179</v>
      </c>
      <c r="HJ88" s="1">
        <v>1.3997745705344462</v>
      </c>
      <c r="HK88" s="2">
        <v>593.05770582380046</v>
      </c>
      <c r="HL88" s="1">
        <v>520.36725651015331</v>
      </c>
      <c r="HN88" s="1">
        <v>1880</v>
      </c>
      <c r="HO88" s="1">
        <v>122.51764007159186</v>
      </c>
      <c r="HP88" s="1">
        <v>28.031203689134603</v>
      </c>
      <c r="HQ88" s="1">
        <v>5.8028787459982398</v>
      </c>
      <c r="HR88" s="1">
        <v>0</v>
      </c>
      <c r="HS88" s="1">
        <v>30.796581848164241</v>
      </c>
      <c r="HT88" s="1">
        <v>0.53667866870177061</v>
      </c>
      <c r="HU88" s="2">
        <v>187.68498302359072</v>
      </c>
      <c r="HW88" s="1">
        <v>1880</v>
      </c>
      <c r="HX88" s="1">
        <v>131.71488572925739</v>
      </c>
      <c r="HY88" s="1">
        <v>58.929186461011511</v>
      </c>
      <c r="HZ88" s="1">
        <v>74.039033724459685</v>
      </c>
      <c r="IA88" s="1">
        <v>14.811120007359072</v>
      </c>
      <c r="IB88" s="1">
        <v>66.112056056684168</v>
      </c>
      <c r="IC88" s="1">
        <v>3.0374964812819258</v>
      </c>
      <c r="ID88" s="1">
        <v>106.92719074139386</v>
      </c>
      <c r="IE88" s="2">
        <v>455.57096920144761</v>
      </c>
      <c r="IF88" s="1">
        <v>452.53347272016566</v>
      </c>
      <c r="IH88" s="1">
        <v>1880</v>
      </c>
      <c r="II88" s="1">
        <v>183.34118802920725</v>
      </c>
      <c r="IJ88" s="1">
        <v>50.008821423947957</v>
      </c>
      <c r="IK88" s="1">
        <v>18.183177546734026</v>
      </c>
      <c r="IL88" s="1">
        <v>198.38993907136143</v>
      </c>
      <c r="IM88" s="1">
        <v>38.629991336581753</v>
      </c>
      <c r="IN88" s="1">
        <v>14.045841735544162</v>
      </c>
      <c r="IO88" s="1">
        <v>3.7551637431616314</v>
      </c>
    </row>
    <row r="89" spans="1:249" x14ac:dyDescent="0.25">
      <c r="A89" s="1" t="s">
        <v>180</v>
      </c>
      <c r="B89" s="1">
        <v>2.8755884185906098</v>
      </c>
      <c r="C89" s="1">
        <v>2.6200658291909917</v>
      </c>
      <c r="D89" s="1">
        <v>2.9168447662451626</v>
      </c>
      <c r="E89" s="1">
        <v>2.8343486093970398</v>
      </c>
      <c r="F89" s="1">
        <v>3.0775351542839076</v>
      </c>
      <c r="G89" s="1">
        <v>2.1898380253125822</v>
      </c>
      <c r="H89" s="1">
        <v>2.2456428008357676</v>
      </c>
      <c r="J89" s="1">
        <v>1881</v>
      </c>
      <c r="K89" s="2">
        <v>1375.9595068982703</v>
      </c>
      <c r="L89" s="1">
        <v>1293.8213715515424</v>
      </c>
      <c r="M89" s="1">
        <v>1271.3523008163766</v>
      </c>
      <c r="N89" s="1">
        <v>1189.2141654696486</v>
      </c>
      <c r="O89" s="1">
        <v>104.60720608189369</v>
      </c>
      <c r="P89" s="1">
        <v>82.13813534672785</v>
      </c>
      <c r="Q89" s="1">
        <v>840.03608606344642</v>
      </c>
      <c r="R89" s="1">
        <v>2215.9955929617167</v>
      </c>
      <c r="S89" s="1">
        <v>2133.8574576149886</v>
      </c>
      <c r="U89" s="1">
        <v>1881</v>
      </c>
      <c r="V89" s="1">
        <v>301.15407386743277</v>
      </c>
      <c r="W89" s="1">
        <v>17909.257381739011</v>
      </c>
      <c r="X89" s="1">
        <v>2.2641918932936136</v>
      </c>
      <c r="Y89" s="1">
        <v>283.17663052296774</v>
      </c>
      <c r="Z89" s="1">
        <v>15450.776672848117</v>
      </c>
      <c r="AA89" s="1">
        <v>2.9504412421938184</v>
      </c>
      <c r="AB89" s="1">
        <v>4568955.3165532276</v>
      </c>
      <c r="AC89" s="1">
        <v>-7.2707627767314875E-2</v>
      </c>
      <c r="AE89" s="1">
        <v>1881</v>
      </c>
      <c r="AF89" s="1">
        <v>527.67489061578067</v>
      </c>
      <c r="AG89" s="1">
        <v>189.19911566230877</v>
      </c>
      <c r="AH89" s="1">
        <v>89.092098755093005</v>
      </c>
      <c r="AI89" s="1">
        <v>93.894783050324065</v>
      </c>
      <c r="AJ89" s="1">
        <v>111.06822515990878</v>
      </c>
      <c r="AK89" s="1">
        <v>89.956687626949801</v>
      </c>
      <c r="AL89" s="1">
        <v>78.43242354184072</v>
      </c>
      <c r="AM89" s="1">
        <v>114.50314713933648</v>
      </c>
      <c r="AN89" s="2">
        <v>1293.8213715515424</v>
      </c>
      <c r="AP89" s="1" t="s">
        <v>180</v>
      </c>
      <c r="AQ89" s="1">
        <v>-0.86140078426605271</v>
      </c>
      <c r="AR89" s="1">
        <v>9.4813811380336546</v>
      </c>
      <c r="AS89" s="1">
        <v>-4.3398951067820377</v>
      </c>
      <c r="AT89" s="1">
        <v>8.1598465237815248</v>
      </c>
      <c r="AU89" s="1">
        <v>12.970830405447913</v>
      </c>
      <c r="AV89" s="1">
        <v>3.1632060067147165</v>
      </c>
      <c r="AW89" s="1">
        <v>1.3004950725391495</v>
      </c>
      <c r="AX89" s="1">
        <v>3.9778378612297161</v>
      </c>
      <c r="AY89" s="1">
        <v>2.8755884185906098</v>
      </c>
      <c r="BA89" s="1">
        <v>1881</v>
      </c>
      <c r="BB89" s="1">
        <v>1149.1334118169138</v>
      </c>
      <c r="BC89" s="1">
        <v>95.167469049989521</v>
      </c>
      <c r="BD89" s="1">
        <v>119.71325139499243</v>
      </c>
      <c r="BE89" s="1">
        <v>26.969096080715584</v>
      </c>
      <c r="BF89" s="1">
        <v>-1.8507743271771306</v>
      </c>
      <c r="BG89" s="1">
        <v>14.538546035494534</v>
      </c>
      <c r="BH89" s="1">
        <v>289.58166929735756</v>
      </c>
      <c r="BI89" s="1">
        <v>317.29316245001598</v>
      </c>
      <c r="BJ89" s="1">
        <v>1375.9595068982703</v>
      </c>
      <c r="BL89" s="1" t="s">
        <v>180</v>
      </c>
      <c r="BM89" s="1">
        <v>4.4420427033571741</v>
      </c>
      <c r="BN89" s="1">
        <v>1.5811384031028979</v>
      </c>
      <c r="BO89" s="1">
        <v>-1.1833051134866395</v>
      </c>
      <c r="BP89" s="1">
        <v>-2.9220779220779178</v>
      </c>
      <c r="BQ89" s="1">
        <v>3.1468531468531467</v>
      </c>
      <c r="BR89" s="1">
        <v>2.1898380253125822</v>
      </c>
      <c r="BT89" s="1" t="s">
        <v>180</v>
      </c>
      <c r="BU89" s="1">
        <v>3.6222183829053023</v>
      </c>
      <c r="BV89" s="1">
        <v>2.1784775578978781</v>
      </c>
      <c r="BW89" s="1">
        <v>-0.10527748388162195</v>
      </c>
      <c r="BX89" s="1">
        <v>-1.9497089062306401</v>
      </c>
      <c r="BY89" s="1">
        <v>0.89893283113622147</v>
      </c>
      <c r="BZ89" s="1">
        <v>2.4485079484939405</v>
      </c>
      <c r="CB89" s="1">
        <v>1881</v>
      </c>
      <c r="CC89" s="1">
        <v>28.749368619763761</v>
      </c>
      <c r="CD89" s="1">
        <v>30.406413664225784</v>
      </c>
      <c r="CE89" s="1">
        <v>0.47440399906196057</v>
      </c>
      <c r="CF89" s="1">
        <v>20.744876316243051</v>
      </c>
      <c r="CG89" s="1">
        <v>5.6493817439234366</v>
      </c>
      <c r="CH89" s="1">
        <v>5.7122258603145379</v>
      </c>
      <c r="CI89" s="1">
        <v>67.633448980492872</v>
      </c>
      <c r="CJ89" s="1">
        <v>159.37011918402538</v>
      </c>
      <c r="CL89" s="1">
        <v>1881</v>
      </c>
      <c r="CM89" s="1">
        <v>30.06287478659096</v>
      </c>
      <c r="CN89" s="1">
        <v>14.540521615540737</v>
      </c>
      <c r="CO89" s="1">
        <v>0.4336561952658991</v>
      </c>
      <c r="CP89" s="1">
        <v>24.725486384996309</v>
      </c>
      <c r="CQ89" s="1">
        <v>1.1895230928254312</v>
      </c>
      <c r="CR89" s="1">
        <v>3.1556862794460279</v>
      </c>
      <c r="CS89" s="1">
        <v>30.49945772722835</v>
      </c>
      <c r="CT89" s="2">
        <v>104.60720608189369</v>
      </c>
      <c r="CV89" s="1">
        <v>1881</v>
      </c>
      <c r="CW89" s="1">
        <v>1007.1112009750303</v>
      </c>
      <c r="CX89" s="1">
        <v>1278.7008175004034</v>
      </c>
      <c r="CY89" s="1">
        <v>184.22790737504047</v>
      </c>
      <c r="CZ89" s="1">
        <v>183.57822122246634</v>
      </c>
      <c r="DA89" s="1">
        <v>274.80584005554942</v>
      </c>
      <c r="DB89" s="1">
        <v>2928.4239871284899</v>
      </c>
      <c r="DC89" s="1">
        <v>2829.8416576433715</v>
      </c>
      <c r="DD89" s="1">
        <v>345.17068176487038</v>
      </c>
      <c r="DF89" s="1">
        <v>1881</v>
      </c>
      <c r="DG89" s="1">
        <v>1.7242438815052878</v>
      </c>
      <c r="DH89" s="1">
        <v>3.687178855454448</v>
      </c>
      <c r="DI89" s="1">
        <v>0.17829345556643261</v>
      </c>
      <c r="DJ89" s="1">
        <v>1.4216544106458571</v>
      </c>
      <c r="DK89" s="1">
        <v>-3.4700004871972823</v>
      </c>
      <c r="DL89" s="1">
        <v>5.2904792825930116</v>
      </c>
      <c r="DM89" s="1">
        <v>1.6328888991546933</v>
      </c>
      <c r="DN89" s="1">
        <v>1.5999175031730317</v>
      </c>
      <c r="DO89" s="1">
        <v>7.4380177299884167</v>
      </c>
      <c r="DQ89" s="1">
        <v>1881</v>
      </c>
      <c r="DR89" s="1">
        <v>1633.0703366368482</v>
      </c>
      <c r="DS89" s="1">
        <v>2313.1626297401453</v>
      </c>
      <c r="DT89" s="1">
        <v>355.82168050624824</v>
      </c>
      <c r="DU89" s="1">
        <v>183.57822122246634</v>
      </c>
      <c r="DV89" s="1">
        <v>274.80584005554942</v>
      </c>
      <c r="DW89" s="1">
        <v>4760.4387081612576</v>
      </c>
      <c r="DX89" s="1">
        <v>4590.0695909861752</v>
      </c>
      <c r="DY89" s="1">
        <v>494.94333216183441</v>
      </c>
      <c r="EA89" s="1">
        <v>1881</v>
      </c>
      <c r="EB89" s="1">
        <v>2.1853201076347233</v>
      </c>
      <c r="EC89" s="1">
        <v>3.485561183772063</v>
      </c>
      <c r="ED89" s="1">
        <v>1.2674005301850997</v>
      </c>
      <c r="EE89" s="1">
        <v>2.7163153455486366</v>
      </c>
      <c r="EF89" s="1">
        <v>-3.4700004871972823</v>
      </c>
      <c r="EG89" s="1">
        <v>5.2904792825930116</v>
      </c>
      <c r="EH89" s="1">
        <v>2.1315443768407789</v>
      </c>
      <c r="EI89" s="1">
        <v>2.1154758226938952</v>
      </c>
      <c r="EJ89" s="1">
        <v>6.4325256891999913</v>
      </c>
      <c r="EL89" s="1">
        <v>1881</v>
      </c>
      <c r="EM89" s="1">
        <v>1322823.3951328851</v>
      </c>
      <c r="EN89" s="1">
        <v>271937.62704047177</v>
      </c>
      <c r="EO89" s="1">
        <v>38488.795067366067</v>
      </c>
      <c r="EP89" s="1">
        <v>45421.891523097831</v>
      </c>
      <c r="EQ89" s="1">
        <v>50830.288314115918</v>
      </c>
      <c r="ER89" s="1">
        <v>161212.13674708424</v>
      </c>
      <c r="ES89" s="1">
        <v>81976.447863669295</v>
      </c>
      <c r="ET89" s="1">
        <v>1704.5010230182568</v>
      </c>
      <c r="EU89" s="1">
        <v>1974395.0827117083</v>
      </c>
      <c r="EV89" s="1">
        <v>1892418.6348480391</v>
      </c>
      <c r="EX89" s="1">
        <v>1881</v>
      </c>
      <c r="EY89" s="1">
        <v>980130.13405200257</v>
      </c>
      <c r="EZ89" s="1">
        <v>211315.80789182187</v>
      </c>
      <c r="FA89" s="1">
        <v>29638.346416574313</v>
      </c>
      <c r="FB89" s="1">
        <v>45421.891523097831</v>
      </c>
      <c r="FC89" s="1">
        <v>26338.046171560691</v>
      </c>
      <c r="FD89" s="1">
        <v>155770.7105405918</v>
      </c>
      <c r="FE89" s="1">
        <v>81976.447863669295</v>
      </c>
      <c r="FF89" s="1">
        <v>1284.9449113978862</v>
      </c>
      <c r="FG89" s="1">
        <v>1531876.3293707164</v>
      </c>
      <c r="FH89" s="1">
        <v>1449899.881507047</v>
      </c>
      <c r="FJ89" s="1">
        <v>1881</v>
      </c>
      <c r="FK89" s="1">
        <v>342693.26108088251</v>
      </c>
      <c r="FL89" s="1">
        <v>60621.819148649891</v>
      </c>
      <c r="FM89" s="1">
        <v>8850.4486507917518</v>
      </c>
      <c r="FN89" s="1">
        <v>0</v>
      </c>
      <c r="FO89" s="1">
        <v>24492.242142555235</v>
      </c>
      <c r="FP89" s="1">
        <v>5441.4262064924351</v>
      </c>
      <c r="FQ89" s="1">
        <v>419.55611162037053</v>
      </c>
      <c r="FR89" s="1">
        <v>442518.7533409922</v>
      </c>
      <c r="FS89" s="1">
        <v>721826.39659658039</v>
      </c>
      <c r="HC89" s="1">
        <v>1881</v>
      </c>
      <c r="HD89" s="1">
        <v>277.30833386567917</v>
      </c>
      <c r="HE89" s="1">
        <v>100.89776237867946</v>
      </c>
      <c r="HF89" s="1">
        <v>19.059746964095776</v>
      </c>
      <c r="HG89" s="1">
        <v>42.650409384220438</v>
      </c>
      <c r="HH89" s="1">
        <v>94.077416250700423</v>
      </c>
      <c r="HI89" s="1">
        <v>75.276737262394676</v>
      </c>
      <c r="HJ89" s="1">
        <v>1.4533110468590773</v>
      </c>
      <c r="HK89" s="2">
        <v>610.72371715262898</v>
      </c>
      <c r="HL89" s="1">
        <v>535.44697989023427</v>
      </c>
      <c r="HN89" s="1">
        <v>1881</v>
      </c>
      <c r="HO89" s="1">
        <v>122.09523797250469</v>
      </c>
      <c r="HP89" s="1">
        <v>31.11462189297286</v>
      </c>
      <c r="HQ89" s="1">
        <v>6.3764259304398303</v>
      </c>
      <c r="HR89" s="1">
        <v>0</v>
      </c>
      <c r="HS89" s="1">
        <v>32.480277813125738</v>
      </c>
      <c r="HT89" s="1">
        <v>0.54944378295985552</v>
      </c>
      <c r="HU89" s="2">
        <v>192.61600739200296</v>
      </c>
      <c r="HW89" s="1">
        <v>1881</v>
      </c>
      <c r="HX89" s="1">
        <v>165.32231877759682</v>
      </c>
      <c r="HY89" s="1">
        <v>57.186731390656462</v>
      </c>
      <c r="HZ89" s="1">
        <v>63.655925860557403</v>
      </c>
      <c r="IA89" s="1">
        <v>14.193373666103632</v>
      </c>
      <c r="IB89" s="1">
        <v>74.467218723032374</v>
      </c>
      <c r="IC89" s="1">
        <v>3.1556862794460492</v>
      </c>
      <c r="ID89" s="1">
        <v>112.50039230951755</v>
      </c>
      <c r="IE89" s="2">
        <v>490.48164700691029</v>
      </c>
      <c r="IF89" s="1">
        <v>487.32596072746423</v>
      </c>
      <c r="IH89" s="1">
        <v>1881</v>
      </c>
      <c r="II89" s="1">
        <v>170.88881937779422</v>
      </c>
      <c r="IJ89" s="1">
        <v>42.567870930183609</v>
      </c>
      <c r="IK89" s="1">
        <v>17.472160709959461</v>
      </c>
      <c r="IL89" s="1">
        <v>184.14504123273724</v>
      </c>
      <c r="IM89" s="1">
        <v>32.304703843057055</v>
      </c>
      <c r="IN89" s="1">
        <v>13.259600842129862</v>
      </c>
      <c r="IO89" s="1">
        <v>-0.49217938306924225</v>
      </c>
    </row>
    <row r="90" spans="1:249" x14ac:dyDescent="0.25">
      <c r="A90" s="1" t="s">
        <v>181</v>
      </c>
      <c r="B90" s="1">
        <v>-0.87236679868540534</v>
      </c>
      <c r="C90" s="1">
        <v>-1.101768290850714</v>
      </c>
      <c r="D90" s="1">
        <v>-0.80144789991007315</v>
      </c>
      <c r="E90" s="1">
        <v>-0.94323499621462759</v>
      </c>
      <c r="F90" s="1">
        <v>-0.75160889042176393</v>
      </c>
      <c r="G90" s="1">
        <v>-1.7782947789591077</v>
      </c>
      <c r="H90" s="1">
        <v>-2.0322630966216479</v>
      </c>
      <c r="J90" s="1">
        <v>1882</v>
      </c>
      <c r="K90" s="2">
        <v>1387.3383652795139</v>
      </c>
      <c r="L90" s="1">
        <v>1305.8476757713179</v>
      </c>
      <c r="M90" s="1">
        <v>1281.6999412108926</v>
      </c>
      <c r="N90" s="1">
        <v>1200.2092517026965</v>
      </c>
      <c r="O90" s="1">
        <v>105.63842406862136</v>
      </c>
      <c r="P90" s="1">
        <v>81.490689508196027</v>
      </c>
      <c r="Q90" s="1">
        <v>842.62846444307525</v>
      </c>
      <c r="R90" s="1">
        <v>2229.966829722589</v>
      </c>
      <c r="S90" s="1">
        <v>2148.4761402143931</v>
      </c>
      <c r="U90" s="1">
        <v>1882</v>
      </c>
      <c r="V90" s="1">
        <v>303.19837842806186</v>
      </c>
      <c r="W90" s="1">
        <v>17564.930519520854</v>
      </c>
      <c r="X90" s="1">
        <v>-1.9226194301570843</v>
      </c>
      <c r="Y90" s="1">
        <v>285.38884793843852</v>
      </c>
      <c r="Z90" s="1">
        <v>15293.484274591798</v>
      </c>
      <c r="AA90" s="1">
        <v>-1.0180225990369109</v>
      </c>
      <c r="AB90" s="1">
        <v>4575678.7106586713</v>
      </c>
      <c r="AC90" s="1">
        <v>0.14715385990065499</v>
      </c>
      <c r="AE90" s="1">
        <v>1882</v>
      </c>
      <c r="AF90" s="1">
        <v>522.5287808243578</v>
      </c>
      <c r="AG90" s="1">
        <v>206.68912521691476</v>
      </c>
      <c r="AH90" s="1">
        <v>79.089930068364254</v>
      </c>
      <c r="AI90" s="1">
        <v>104.46666755973293</v>
      </c>
      <c r="AJ90" s="1">
        <v>104.78972613291397</v>
      </c>
      <c r="AK90" s="1">
        <v>90.239882226492696</v>
      </c>
      <c r="AL90" s="1">
        <v>78.670817891766404</v>
      </c>
      <c r="AM90" s="1">
        <v>119.37274585077505</v>
      </c>
      <c r="AN90" s="2">
        <v>1305.8476757713179</v>
      </c>
      <c r="AP90" s="1" t="s">
        <v>181</v>
      </c>
      <c r="AQ90" s="1">
        <v>-4.9390226593637294</v>
      </c>
      <c r="AR90" s="1">
        <v>7.2863973549627872</v>
      </c>
      <c r="AS90" s="1">
        <v>-9.1754298645439576</v>
      </c>
      <c r="AT90" s="1">
        <v>10.228949033608245</v>
      </c>
      <c r="AU90" s="1">
        <v>-6.0850989759644563</v>
      </c>
      <c r="AV90" s="1">
        <v>0.41979184342106635</v>
      </c>
      <c r="AW90" s="1">
        <v>1.9875574649496741</v>
      </c>
      <c r="AX90" s="1">
        <v>3.9917109542955984</v>
      </c>
      <c r="AY90" s="1">
        <v>-0.87236679868540534</v>
      </c>
      <c r="BA90" s="1">
        <v>1882</v>
      </c>
      <c r="BB90" s="1">
        <v>1143.9633283293124</v>
      </c>
      <c r="BC90" s="1">
        <v>96.841696578311513</v>
      </c>
      <c r="BD90" s="1">
        <v>101.4239782847136</v>
      </c>
      <c r="BE90" s="1">
        <v>29.986832970454703</v>
      </c>
      <c r="BF90" s="1">
        <v>5.6780460080393524</v>
      </c>
      <c r="BG90" s="1">
        <v>16.902554502185954</v>
      </c>
      <c r="BH90" s="1">
        <v>323.38497699743823</v>
      </c>
      <c r="BI90" s="1">
        <v>330.84304839094193</v>
      </c>
      <c r="BJ90" s="1">
        <v>1387.3383652795137</v>
      </c>
      <c r="BL90" s="1" t="s">
        <v>181</v>
      </c>
      <c r="BM90" s="1">
        <v>-1.7730351838872735</v>
      </c>
      <c r="BN90" s="1">
        <v>3.5554986881144259</v>
      </c>
      <c r="BO90" s="1">
        <v>-3.5231871549516427</v>
      </c>
      <c r="BP90" s="1">
        <v>9.3645484949832678</v>
      </c>
      <c r="BQ90" s="1">
        <v>9.4915254237288167</v>
      </c>
      <c r="BR90" s="1">
        <v>-1.7782947789591077</v>
      </c>
      <c r="BT90" s="1" t="s">
        <v>181</v>
      </c>
      <c r="BU90" s="1">
        <v>1.3470065741516066</v>
      </c>
      <c r="BV90" s="1">
        <v>-1.7345821276182249</v>
      </c>
      <c r="BW90" s="1">
        <v>0.15362090611969847</v>
      </c>
      <c r="BX90" s="1">
        <v>2.1109246897273977</v>
      </c>
      <c r="BY90" s="1">
        <v>-4.7684629199122952</v>
      </c>
      <c r="BZ90" s="1">
        <v>2.6524392207397511</v>
      </c>
      <c r="CB90" s="1">
        <v>1882</v>
      </c>
      <c r="CC90" s="1">
        <v>36.36229429500672</v>
      </c>
      <c r="CD90" s="1">
        <v>37.778817826605952</v>
      </c>
      <c r="CE90" s="1">
        <v>0.28675001414049711</v>
      </c>
      <c r="CF90" s="1">
        <v>21.007275311638413</v>
      </c>
      <c r="CG90" s="1">
        <v>5.3853145083359131</v>
      </c>
      <c r="CH90" s="1">
        <v>5.8815798018318715</v>
      </c>
      <c r="CI90" s="1">
        <v>47.289380007834254</v>
      </c>
      <c r="CJ90" s="1">
        <v>153.99141176539362</v>
      </c>
      <c r="CL90" s="1">
        <v>1882</v>
      </c>
      <c r="CM90" s="1">
        <v>30.162198561826646</v>
      </c>
      <c r="CN90" s="1">
        <v>15.060076652556937</v>
      </c>
      <c r="CO90" s="1">
        <v>0.23314981882976987</v>
      </c>
      <c r="CP90" s="1">
        <v>24.68887786485174</v>
      </c>
      <c r="CQ90" s="1">
        <v>1.1595585220248927</v>
      </c>
      <c r="CR90" s="1">
        <v>3.2662538709334328</v>
      </c>
      <c r="CS90" s="1">
        <v>31.068308777597938</v>
      </c>
      <c r="CT90" s="2">
        <v>105.63842406862136</v>
      </c>
      <c r="CV90" s="1">
        <v>1882</v>
      </c>
      <c r="CW90" s="1">
        <v>1046.0061020777791</v>
      </c>
      <c r="CX90" s="1">
        <v>1283.2533226180169</v>
      </c>
      <c r="CY90" s="1">
        <v>182.87845051775886</v>
      </c>
      <c r="CZ90" s="1">
        <v>223.97752812031146</v>
      </c>
      <c r="DA90" s="1">
        <v>294.3919300734288</v>
      </c>
      <c r="DB90" s="1">
        <v>3030.5073334072949</v>
      </c>
      <c r="DC90" s="1">
        <v>2929.1198680373691</v>
      </c>
      <c r="DD90" s="1">
        <v>371.76509895009531</v>
      </c>
      <c r="DF90" s="1">
        <v>1882</v>
      </c>
      <c r="DG90" s="1">
        <v>0.86853705171682805</v>
      </c>
      <c r="DH90" s="1">
        <v>1.5507625814051238</v>
      </c>
      <c r="DI90" s="1">
        <v>0.31239574867704789</v>
      </c>
      <c r="DJ90" s="1">
        <v>3.0123090201217337</v>
      </c>
      <c r="DK90" s="1">
        <v>3.2236002136481119</v>
      </c>
      <c r="DL90" s="1">
        <v>5.7415142113338646</v>
      </c>
      <c r="DM90" s="1">
        <v>1.6273620857990778</v>
      </c>
      <c r="DN90" s="1">
        <v>1.5945366733757282</v>
      </c>
      <c r="DO90" s="1">
        <v>4.2122661791981812</v>
      </c>
      <c r="DQ90" s="1">
        <v>1882</v>
      </c>
      <c r="DR90" s="1">
        <v>1692.8418345838795</v>
      </c>
      <c r="DS90" s="1">
        <v>2346.6251326550764</v>
      </c>
      <c r="DT90" s="1">
        <v>358.46211905038791</v>
      </c>
      <c r="DU90" s="1">
        <v>223.97752812031146</v>
      </c>
      <c r="DV90" s="1">
        <v>294.3919300734288</v>
      </c>
      <c r="DW90" s="1">
        <v>4916.2985444830838</v>
      </c>
      <c r="DX90" s="1">
        <v>4741.125598698186</v>
      </c>
      <c r="DY90" s="1">
        <v>525.85254529575275</v>
      </c>
      <c r="EA90" s="1">
        <v>1882</v>
      </c>
      <c r="EB90" s="1">
        <v>1.6654599614802237</v>
      </c>
      <c r="EC90" s="1">
        <v>2.1459581195355355</v>
      </c>
      <c r="ED90" s="1">
        <v>1.3188047147269657</v>
      </c>
      <c r="EE90" s="1">
        <v>3.4464780597785989</v>
      </c>
      <c r="EF90" s="1">
        <v>3.2236002136481119</v>
      </c>
      <c r="EG90" s="1">
        <v>5.7415142113338646</v>
      </c>
      <c r="EH90" s="1">
        <v>2.1001713184026158</v>
      </c>
      <c r="EI90" s="1">
        <v>2.082821512525058</v>
      </c>
      <c r="EJ90" s="1">
        <v>4.1958528697496007</v>
      </c>
      <c r="EL90" s="1">
        <v>1882</v>
      </c>
      <c r="EM90" s="1">
        <v>1306039.019673415</v>
      </c>
      <c r="EN90" s="1">
        <v>275672.22401464521</v>
      </c>
      <c r="EO90" s="1">
        <v>36057.38295376538</v>
      </c>
      <c r="EP90" s="1">
        <v>46840.663902608751</v>
      </c>
      <c r="EQ90" s="1">
        <v>52689.653833946759</v>
      </c>
      <c r="ER90" s="1">
        <v>160391.70713511712</v>
      </c>
      <c r="ES90" s="1">
        <v>83557.59596786469</v>
      </c>
      <c r="ET90" s="1">
        <v>1749.9660204400298</v>
      </c>
      <c r="EU90" s="1">
        <v>1962998.2135018024</v>
      </c>
      <c r="EV90" s="1">
        <v>1879440.617533938</v>
      </c>
      <c r="EX90" s="1">
        <v>1882</v>
      </c>
      <c r="EY90" s="1">
        <v>962711.37639875081</v>
      </c>
      <c r="EZ90" s="1">
        <v>215133.19858004118</v>
      </c>
      <c r="FA90" s="1">
        <v>27040.549882910193</v>
      </c>
      <c r="FB90" s="1">
        <v>46840.663902608751</v>
      </c>
      <c r="FC90" s="1">
        <v>27697.986638503004</v>
      </c>
      <c r="FD90" s="1">
        <v>154897.52237704472</v>
      </c>
      <c r="FE90" s="1">
        <v>83557.59596786469</v>
      </c>
      <c r="FF90" s="1">
        <v>1323.7572745202156</v>
      </c>
      <c r="FG90" s="1">
        <v>1519202.6510222433</v>
      </c>
      <c r="FH90" s="1">
        <v>1435645.0550543787</v>
      </c>
      <c r="FJ90" s="1">
        <v>1882</v>
      </c>
      <c r="FK90" s="1">
        <v>343327.64327466424</v>
      </c>
      <c r="FL90" s="1">
        <v>60539.025434604031</v>
      </c>
      <c r="FM90" s="1">
        <v>9016.8330708551894</v>
      </c>
      <c r="FN90" s="1">
        <v>0</v>
      </c>
      <c r="FO90" s="1">
        <v>24991.667195443748</v>
      </c>
      <c r="FP90" s="1">
        <v>5494.1847580723816</v>
      </c>
      <c r="FQ90" s="1">
        <v>426.20874591981408</v>
      </c>
      <c r="FR90" s="1">
        <v>443795.56247955939</v>
      </c>
      <c r="FS90" s="1">
        <v>725580.8486809365</v>
      </c>
      <c r="HC90" s="1">
        <v>1882</v>
      </c>
      <c r="HD90" s="1">
        <v>278.96324616778389</v>
      </c>
      <c r="HE90" s="1">
        <v>105.4794168950972</v>
      </c>
      <c r="HF90" s="1">
        <v>17.85621544763341</v>
      </c>
      <c r="HG90" s="1">
        <v>43.868992509483881</v>
      </c>
      <c r="HH90" s="1">
        <v>94.956064059061731</v>
      </c>
      <c r="HI90" s="1">
        <v>75.404564020832993</v>
      </c>
      <c r="HJ90" s="1">
        <v>1.4856027167678689</v>
      </c>
      <c r="HK90" s="2">
        <v>618.01410181666085</v>
      </c>
      <c r="HL90" s="1">
        <v>542.60953779582792</v>
      </c>
      <c r="HN90" s="1">
        <v>1882</v>
      </c>
      <c r="HO90" s="1">
        <v>125.27766154671328</v>
      </c>
      <c r="HP90" s="1">
        <v>31.90668803388726</v>
      </c>
      <c r="HQ90" s="1">
        <v>6.6707827906223169</v>
      </c>
      <c r="HR90" s="1">
        <v>0</v>
      </c>
      <c r="HS90" s="1">
        <v>32.923583972991011</v>
      </c>
      <c r="HT90" s="1">
        <v>0.55382917300244217</v>
      </c>
      <c r="HU90" s="2">
        <v>197.33254551721632</v>
      </c>
      <c r="HW90" s="1">
        <v>1882</v>
      </c>
      <c r="HX90" s="1">
        <v>160.41687310986066</v>
      </c>
      <c r="HY90" s="1">
        <v>69.303020287930309</v>
      </c>
      <c r="HZ90" s="1">
        <v>54.562931830108525</v>
      </c>
      <c r="IA90" s="1">
        <v>18.468675050249047</v>
      </c>
      <c r="IB90" s="1">
        <v>67.149960327353952</v>
      </c>
      <c r="IC90" s="1">
        <v>3.2662538709334124</v>
      </c>
      <c r="ID90" s="1">
        <v>117.33331396100473</v>
      </c>
      <c r="IE90" s="2">
        <v>490.5010284374406</v>
      </c>
      <c r="IF90" s="1">
        <v>487.23477456650721</v>
      </c>
      <c r="IH90" s="1">
        <v>1882</v>
      </c>
      <c r="II90" s="1">
        <v>168.6664921810852</v>
      </c>
      <c r="IJ90" s="1">
        <v>49.711326333482134</v>
      </c>
      <c r="IK90" s="1">
        <v>19.686652701106265</v>
      </c>
      <c r="IL90" s="1">
        <v>181.03599709378469</v>
      </c>
      <c r="IM90" s="1">
        <v>39.482117688256622</v>
      </c>
      <c r="IN90" s="1">
        <v>15.635686998546177</v>
      </c>
      <c r="IO90" s="1">
        <v>1.3210803379613196</v>
      </c>
    </row>
    <row r="91" spans="1:249" x14ac:dyDescent="0.25">
      <c r="A91" s="1" t="s">
        <v>182</v>
      </c>
      <c r="B91" s="1">
        <v>7.3755158830107064</v>
      </c>
      <c r="C91" s="1">
        <v>7.2106411801769639</v>
      </c>
      <c r="D91" s="1">
        <v>7.4571404426767742</v>
      </c>
      <c r="E91" s="1">
        <v>7.2939533254481148</v>
      </c>
      <c r="F91" s="1">
        <v>7.4154028179155347</v>
      </c>
      <c r="G91" s="1">
        <v>7.4221632257408743</v>
      </c>
      <c r="H91" s="1">
        <v>7.8771892347507873</v>
      </c>
      <c r="J91" s="1">
        <v>1883</v>
      </c>
      <c r="K91" s="2">
        <v>1445.6313507265063</v>
      </c>
      <c r="L91" s="1">
        <v>1357.9363589539244</v>
      </c>
      <c r="M91" s="1">
        <v>1337.0116665229675</v>
      </c>
      <c r="N91" s="1">
        <v>1249.3166747503856</v>
      </c>
      <c r="O91" s="1">
        <v>108.61968420353878</v>
      </c>
      <c r="P91" s="1">
        <v>87.69499177258183</v>
      </c>
      <c r="Q91" s="1">
        <v>856.73039025140247</v>
      </c>
      <c r="R91" s="1">
        <v>2302.361740977909</v>
      </c>
      <c r="S91" s="1">
        <v>2214.6667492053266</v>
      </c>
      <c r="U91" s="1">
        <v>1883</v>
      </c>
      <c r="V91" s="1">
        <v>314.86053414363954</v>
      </c>
      <c r="W91" s="1">
        <v>18804.271889039414</v>
      </c>
      <c r="X91" s="1">
        <v>7.0557715451319893</v>
      </c>
      <c r="Y91" s="1">
        <v>295.76044203692021</v>
      </c>
      <c r="Z91" s="1">
        <v>16365.447914679056</v>
      </c>
      <c r="AA91" s="1">
        <v>7.0092833054936392</v>
      </c>
      <c r="AB91" s="1">
        <v>4591338.6847873684</v>
      </c>
      <c r="AC91" s="1">
        <v>0.34224374391101264</v>
      </c>
      <c r="AE91" s="1">
        <v>1883</v>
      </c>
      <c r="AF91" s="1">
        <v>551.82496273293555</v>
      </c>
      <c r="AG91" s="1">
        <v>196.40566597105666</v>
      </c>
      <c r="AH91" s="1">
        <v>93.873137815006942</v>
      </c>
      <c r="AI91" s="1">
        <v>105.29062535936934</v>
      </c>
      <c r="AJ91" s="1">
        <v>113.37106307928535</v>
      </c>
      <c r="AK91" s="1">
        <v>90.316496206517414</v>
      </c>
      <c r="AL91" s="1">
        <v>78.977761058216743</v>
      </c>
      <c r="AM91" s="1">
        <v>127.87664673153591</v>
      </c>
      <c r="AN91" s="2">
        <v>1357.9363589539239</v>
      </c>
      <c r="AP91" s="1" t="s">
        <v>182</v>
      </c>
      <c r="AQ91" s="1">
        <v>12.268182967983449</v>
      </c>
      <c r="AR91" s="1">
        <v>0.89122972468082651</v>
      </c>
      <c r="AS91" s="1">
        <v>10.213850144896881</v>
      </c>
      <c r="AT91" s="1">
        <v>4.8155214386384415</v>
      </c>
      <c r="AU91" s="1">
        <v>14.05282663624665</v>
      </c>
      <c r="AV91" s="1">
        <v>-0.30245172047148117</v>
      </c>
      <c r="AW91" s="1">
        <v>0.24837427948641277</v>
      </c>
      <c r="AX91" s="1">
        <v>2.6543165591719458</v>
      </c>
      <c r="AY91" s="1">
        <v>7.3755158830107064</v>
      </c>
      <c r="BA91" s="1">
        <v>1883</v>
      </c>
      <c r="BB91" s="1">
        <v>1220.5315927971342</v>
      </c>
      <c r="BC91" s="1">
        <v>98.314434884371806</v>
      </c>
      <c r="BD91" s="1">
        <v>117.50516738792857</v>
      </c>
      <c r="BE91" s="1">
        <v>34.29267753968147</v>
      </c>
      <c r="BF91" s="1">
        <v>3.325278589163136</v>
      </c>
      <c r="BG91" s="1">
        <v>11.875349565933172</v>
      </c>
      <c r="BH91" s="1">
        <v>327.89208469078227</v>
      </c>
      <c r="BI91" s="1">
        <v>368.10523472848831</v>
      </c>
      <c r="BJ91" s="1">
        <v>1445.6313507265065</v>
      </c>
      <c r="BL91" s="1" t="s">
        <v>182</v>
      </c>
      <c r="BM91" s="1">
        <v>11.013234630461383</v>
      </c>
      <c r="BN91" s="1">
        <v>1.5874622126633255</v>
      </c>
      <c r="BO91" s="1">
        <v>9.1654403875614463</v>
      </c>
      <c r="BP91" s="1">
        <v>1.8348623853210739</v>
      </c>
      <c r="BQ91" s="1">
        <v>13.312693498452035</v>
      </c>
      <c r="BR91" s="1">
        <v>7.4221632257409169</v>
      </c>
      <c r="BT91" s="1" t="s">
        <v>182</v>
      </c>
      <c r="BU91" s="1">
        <v>-3.8914188724148033</v>
      </c>
      <c r="BV91" s="1">
        <v>-6.5651225193704477E-2</v>
      </c>
      <c r="BW91" s="1">
        <v>-0.65847361922207881</v>
      </c>
      <c r="BX91" s="1">
        <v>-0.43318579903943544</v>
      </c>
      <c r="BY91" s="1">
        <v>-1.8090602211902649</v>
      </c>
      <c r="BZ91" s="1">
        <v>-2.9978706441131493</v>
      </c>
      <c r="CB91" s="1">
        <v>1883</v>
      </c>
      <c r="CC91" s="1">
        <v>35.427479914735933</v>
      </c>
      <c r="CD91" s="1">
        <v>34.482196159274153</v>
      </c>
      <c r="CE91" s="1">
        <v>0.27234841005439575</v>
      </c>
      <c r="CF91" s="1">
        <v>26.809532287230791</v>
      </c>
      <c r="CG91" s="1">
        <v>4.7880954562984366</v>
      </c>
      <c r="CH91" s="1">
        <v>5.6444842837076052</v>
      </c>
      <c r="CI91" s="1">
        <v>59.57433657140502</v>
      </c>
      <c r="CJ91" s="1">
        <v>166.99847308270634</v>
      </c>
      <c r="CL91" s="1">
        <v>1883</v>
      </c>
      <c r="CM91" s="1">
        <v>30.625754082520949</v>
      </c>
      <c r="CN91" s="1">
        <v>15.967240261015714</v>
      </c>
      <c r="CO91" s="1">
        <v>0.23634745446109867</v>
      </c>
      <c r="CP91" s="1">
        <v>25.032147884565159</v>
      </c>
      <c r="CQ91" s="1">
        <v>1.1445883545295235</v>
      </c>
      <c r="CR91" s="1">
        <v>3.3759471256556672</v>
      </c>
      <c r="CS91" s="1">
        <v>32.237659040790668</v>
      </c>
      <c r="CT91" s="2">
        <v>108.61968420353878</v>
      </c>
      <c r="CV91" s="1">
        <v>1883</v>
      </c>
      <c r="CW91" s="1">
        <v>1076.7610217397471</v>
      </c>
      <c r="CX91" s="1">
        <v>1304.660476527499</v>
      </c>
      <c r="CY91" s="1">
        <v>186.43800000160837</v>
      </c>
      <c r="CZ91" s="1">
        <v>230.17256324103454</v>
      </c>
      <c r="DA91" s="1">
        <v>289.1646908544609</v>
      </c>
      <c r="DB91" s="1">
        <v>3087.1967523643498</v>
      </c>
      <c r="DC91" s="1">
        <v>2982.1035227163752</v>
      </c>
      <c r="DD91" s="1">
        <v>372.83711102153541</v>
      </c>
      <c r="DF91" s="1">
        <v>1883</v>
      </c>
      <c r="DG91" s="1">
        <v>1.433407744154465</v>
      </c>
      <c r="DH91" s="1">
        <v>2.5387878070145717</v>
      </c>
      <c r="DI91" s="1">
        <v>0.52105848740215777</v>
      </c>
      <c r="DJ91" s="1">
        <v>4.8432665073507195</v>
      </c>
      <c r="DK91" s="1">
        <v>5.3131463474898908</v>
      </c>
      <c r="DL91" s="1">
        <v>4.1067771901342098</v>
      </c>
      <c r="DM91" s="1">
        <v>2.1899331426558319</v>
      </c>
      <c r="DN91" s="1">
        <v>2.1909999856590616</v>
      </c>
      <c r="DO91" s="1">
        <v>5.7437076722807348</v>
      </c>
      <c r="DQ91" s="1">
        <v>1883</v>
      </c>
      <c r="DR91" s="1">
        <v>1752.8287513495807</v>
      </c>
      <c r="DS91" s="1">
        <v>2409.7311153115479</v>
      </c>
      <c r="DT91" s="1">
        <v>367.28755568652969</v>
      </c>
      <c r="DU91" s="1">
        <v>230.17256324103454</v>
      </c>
      <c r="DV91" s="1">
        <v>289.1646908544609</v>
      </c>
      <c r="DW91" s="1">
        <v>5049.1846764431539</v>
      </c>
      <c r="DX91" s="1">
        <v>4867.6181023115623</v>
      </c>
      <c r="DY91" s="1">
        <v>533.66750886188277</v>
      </c>
      <c r="EA91" s="1">
        <v>1883</v>
      </c>
      <c r="EB91" s="1">
        <v>1.9784634257490978</v>
      </c>
      <c r="EC91" s="1">
        <v>2.7559082361723313</v>
      </c>
      <c r="ED91" s="1">
        <v>1.4129194776385106</v>
      </c>
      <c r="EE91" s="1">
        <v>4.3852086743561216</v>
      </c>
      <c r="EF91" s="1">
        <v>5.3131463474898766</v>
      </c>
      <c r="EG91" s="1">
        <v>4.1067771901342098</v>
      </c>
      <c r="EH91" s="1">
        <v>2.4353518119635424</v>
      </c>
      <c r="EI91" s="1">
        <v>2.4393712907708789</v>
      </c>
      <c r="EJ91" s="1">
        <v>5.3143345475789943</v>
      </c>
      <c r="EL91" s="1">
        <v>1883</v>
      </c>
      <c r="EM91" s="1">
        <v>1330797.6103121482</v>
      </c>
      <c r="EN91" s="1">
        <v>270463.44402435067</v>
      </c>
      <c r="EO91" s="1">
        <v>36744.652842674368</v>
      </c>
      <c r="EP91" s="1">
        <v>47476.269840446534</v>
      </c>
      <c r="EQ91" s="1">
        <v>53883.885739338621</v>
      </c>
      <c r="ER91" s="1">
        <v>159152.23260622009</v>
      </c>
      <c r="ES91" s="1">
        <v>83679.222745110485</v>
      </c>
      <c r="ET91" s="1">
        <v>1796.72183962094</v>
      </c>
      <c r="EU91" s="1">
        <v>1983994.03994991</v>
      </c>
      <c r="EV91" s="1">
        <v>1900314.8172047995</v>
      </c>
      <c r="EX91" s="1">
        <v>1883</v>
      </c>
      <c r="EY91" s="1">
        <v>985313.0675786261</v>
      </c>
      <c r="EZ91" s="1">
        <v>210563.32595638069</v>
      </c>
      <c r="FA91" s="1">
        <v>27266.546535686539</v>
      </c>
      <c r="FB91" s="1">
        <v>47476.269840446534</v>
      </c>
      <c r="FC91" s="1">
        <v>28553.904323013758</v>
      </c>
      <c r="FD91" s="1">
        <v>153563.4716634191</v>
      </c>
      <c r="FE91" s="1">
        <v>83679.222745110485</v>
      </c>
      <c r="FF91" s="1">
        <v>1363.7518426185752</v>
      </c>
      <c r="FG91" s="1">
        <v>1537779.560485302</v>
      </c>
      <c r="FH91" s="1">
        <v>1454100.3377401915</v>
      </c>
      <c r="FJ91" s="1">
        <v>1883</v>
      </c>
      <c r="FK91" s="1">
        <v>345484.54273352207</v>
      </c>
      <c r="FL91" s="1">
        <v>59900.118067969983</v>
      </c>
      <c r="FM91" s="1">
        <v>9478.106306987831</v>
      </c>
      <c r="FN91" s="1">
        <v>0</v>
      </c>
      <c r="FO91" s="1">
        <v>25329.981416324863</v>
      </c>
      <c r="FP91" s="1">
        <v>5588.7609428010101</v>
      </c>
      <c r="FQ91" s="1">
        <v>432.96999700236478</v>
      </c>
      <c r="FR91" s="1">
        <v>446214.47946460807</v>
      </c>
      <c r="FS91" s="1">
        <v>729354.82888246898</v>
      </c>
      <c r="HC91" s="1">
        <v>1883</v>
      </c>
      <c r="HD91" s="1">
        <v>293.09247784328755</v>
      </c>
      <c r="HE91" s="1">
        <v>103.29605903086537</v>
      </c>
      <c r="HF91" s="1">
        <v>18.015435646886655</v>
      </c>
      <c r="HG91" s="1">
        <v>45.087575634747317</v>
      </c>
      <c r="HH91" s="1">
        <v>95.358815725637854</v>
      </c>
      <c r="HI91" s="1">
        <v>75.601813932561072</v>
      </c>
      <c r="HJ91" s="1">
        <v>1.5278300120375148</v>
      </c>
      <c r="HK91" s="2">
        <v>631.98000782602332</v>
      </c>
      <c r="HL91" s="1">
        <v>556.37819389346225</v>
      </c>
      <c r="HN91" s="1">
        <v>1883</v>
      </c>
      <c r="HO91" s="1">
        <v>129.4115482390402</v>
      </c>
      <c r="HP91" s="1">
        <v>31.58746064427622</v>
      </c>
      <c r="HQ91" s="1">
        <v>7.0159273008562613</v>
      </c>
      <c r="HR91" s="1">
        <v>0</v>
      </c>
      <c r="HS91" s="1">
        <v>33.409863208752817</v>
      </c>
      <c r="HT91" s="1">
        <v>0.56163819519354485</v>
      </c>
      <c r="HU91" s="2">
        <v>201.98643758811906</v>
      </c>
      <c r="HW91" s="1">
        <v>1883</v>
      </c>
      <c r="HX91" s="1">
        <v>171.28093665060783</v>
      </c>
      <c r="HY91" s="1">
        <v>61.522146295915064</v>
      </c>
      <c r="HZ91" s="1">
        <v>68.841774867264022</v>
      </c>
      <c r="IA91" s="1">
        <v>18.243049724622026</v>
      </c>
      <c r="IB91" s="1">
        <v>74.918880351412071</v>
      </c>
      <c r="IC91" s="1">
        <v>3.3759471256556681</v>
      </c>
      <c r="ID91" s="1">
        <v>125.78717852430485</v>
      </c>
      <c r="IE91" s="2">
        <v>523.9699135397816</v>
      </c>
      <c r="IF91" s="1">
        <v>520.59396641412593</v>
      </c>
      <c r="IH91" s="1">
        <v>1883</v>
      </c>
      <c r="II91" s="1">
        <v>177.64916120864001</v>
      </c>
      <c r="IJ91" s="1">
        <v>44.789160348953295</v>
      </c>
      <c r="IK91" s="1">
        <v>17.413004412198934</v>
      </c>
      <c r="IL91" s="1">
        <v>192.27776774411473</v>
      </c>
      <c r="IM91" s="1">
        <v>33.773515211209975</v>
      </c>
      <c r="IN91" s="1">
        <v>13.130372724256944</v>
      </c>
      <c r="IO91" s="1">
        <v>4.1066733105718782</v>
      </c>
    </row>
    <row r="92" spans="1:249" x14ac:dyDescent="0.25">
      <c r="A92" s="1" t="s">
        <v>183</v>
      </c>
      <c r="B92" s="1">
        <v>-1.2520903294386869</v>
      </c>
      <c r="C92" s="1">
        <v>-1.3802546502623727</v>
      </c>
      <c r="D92" s="1">
        <v>-1.2249118487189179</v>
      </c>
      <c r="E92" s="1">
        <v>-1.2792613318577395</v>
      </c>
      <c r="F92" s="1">
        <v>-1.2553676634476432</v>
      </c>
      <c r="G92" s="1">
        <v>0.30029522893519811</v>
      </c>
      <c r="H92" s="1">
        <v>0.10916152937809898</v>
      </c>
      <c r="J92" s="1">
        <v>1884</v>
      </c>
      <c r="K92" s="2">
        <v>1415.614857040222</v>
      </c>
      <c r="L92" s="1">
        <v>1327.9825999483774</v>
      </c>
      <c r="M92" s="1">
        <v>1307.7388455514817</v>
      </c>
      <c r="N92" s="1">
        <v>1220.1065884596371</v>
      </c>
      <c r="O92" s="1">
        <v>107.87601148874019</v>
      </c>
      <c r="P92" s="1">
        <v>87.632257091844551</v>
      </c>
      <c r="Q92" s="1">
        <v>829.33715097500453</v>
      </c>
      <c r="R92" s="1">
        <v>2244.9520080152265</v>
      </c>
      <c r="S92" s="1">
        <v>2157.3197509233819</v>
      </c>
      <c r="U92" s="1">
        <v>1884</v>
      </c>
      <c r="V92" s="1">
        <v>306.14664517840339</v>
      </c>
      <c r="W92" s="1">
        <v>18727.614292276266</v>
      </c>
      <c r="X92" s="1">
        <v>-0.40766054232510385</v>
      </c>
      <c r="Y92" s="1">
        <v>287.19493569001031</v>
      </c>
      <c r="Z92" s="1">
        <v>16046.470802010928</v>
      </c>
      <c r="AA92" s="1">
        <v>-1.9490888017921009</v>
      </c>
      <c r="AB92" s="1">
        <v>4623976.383001972</v>
      </c>
      <c r="AC92" s="1">
        <v>0.71085364106862414</v>
      </c>
      <c r="AE92" s="1">
        <v>1884</v>
      </c>
      <c r="AF92" s="1">
        <v>505.10546398691082</v>
      </c>
      <c r="AG92" s="1">
        <v>197.50147841769345</v>
      </c>
      <c r="AH92" s="1">
        <v>107.12646563534085</v>
      </c>
      <c r="AI92" s="1">
        <v>102.39850295459334</v>
      </c>
      <c r="AJ92" s="1">
        <v>112.86671293499812</v>
      </c>
      <c r="AK92" s="1">
        <v>93.033803317202384</v>
      </c>
      <c r="AL92" s="1">
        <v>80.250338049933561</v>
      </c>
      <c r="AM92" s="1">
        <v>129.69983465170506</v>
      </c>
      <c r="AN92" s="2">
        <v>1327.9825999483778</v>
      </c>
      <c r="AP92" s="1" t="s">
        <v>183</v>
      </c>
      <c r="AQ92" s="1">
        <v>-6.4799237313794578</v>
      </c>
      <c r="AR92" s="1">
        <v>-0.19746453681955245</v>
      </c>
      <c r="AS92" s="1">
        <v>15.366903942724036</v>
      </c>
      <c r="AT92" s="1">
        <v>2.2033363709526412</v>
      </c>
      <c r="AU92" s="1">
        <v>-3.8083731061296504</v>
      </c>
      <c r="AV92" s="1">
        <v>2.4676782201312761</v>
      </c>
      <c r="AW92" s="1">
        <v>2.4631265480657731</v>
      </c>
      <c r="AX92" s="1">
        <v>1.923496233538998</v>
      </c>
      <c r="AY92" s="1">
        <v>-1.2520903294386869</v>
      </c>
      <c r="BA92" s="1">
        <v>1884</v>
      </c>
      <c r="BB92" s="1">
        <v>1186.7991818845967</v>
      </c>
      <c r="BC92" s="1">
        <v>100.80735777770244</v>
      </c>
      <c r="BD92" s="1">
        <v>133.68864003214654</v>
      </c>
      <c r="BE92" s="1">
        <v>35.711217931017231</v>
      </c>
      <c r="BF92" s="1">
        <v>2.9404886098092047</v>
      </c>
      <c r="BG92" s="1">
        <v>10.505418461945965</v>
      </c>
      <c r="BH92" s="1">
        <v>301.97621545405377</v>
      </c>
      <c r="BI92" s="1">
        <v>356.81366311105</v>
      </c>
      <c r="BJ92" s="1">
        <v>1415.614857040222</v>
      </c>
      <c r="BL92" s="1" t="s">
        <v>183</v>
      </c>
      <c r="BM92" s="1">
        <v>-1.7621610221298312</v>
      </c>
      <c r="BN92" s="1">
        <v>4.0359796110965647</v>
      </c>
      <c r="BO92" s="1">
        <v>12.780845399797045</v>
      </c>
      <c r="BP92" s="1">
        <v>1.8018018018018012</v>
      </c>
      <c r="BQ92" s="1">
        <v>1.3661202185792263</v>
      </c>
      <c r="BR92" s="1">
        <v>0.30029522893515548</v>
      </c>
      <c r="BT92" s="1" t="s">
        <v>183</v>
      </c>
      <c r="BU92" s="1">
        <v>-1.0195525978329982</v>
      </c>
      <c r="BV92" s="1">
        <v>-1.4421130746520134</v>
      </c>
      <c r="BW92" s="1">
        <v>-2.9183699103800507</v>
      </c>
      <c r="BX92" s="1">
        <v>-9.5338016604324451</v>
      </c>
      <c r="BY92" s="1">
        <v>-4.3738527938088083</v>
      </c>
      <c r="BZ92" s="1">
        <v>-2.3695384125945935</v>
      </c>
      <c r="CB92" s="1">
        <v>1884</v>
      </c>
      <c r="CC92" s="1">
        <v>37.07356592107449</v>
      </c>
      <c r="CD92" s="1">
        <v>35.047645775584989</v>
      </c>
      <c r="CE92" s="1">
        <v>0.2964023238598894</v>
      </c>
      <c r="CF92" s="1">
        <v>33.169150169993699</v>
      </c>
      <c r="CG92" s="1">
        <v>3.8071405663536706</v>
      </c>
      <c r="CH92" s="1">
        <v>5.6444842837076052</v>
      </c>
      <c r="CI92" s="1">
        <v>67.807375994344596</v>
      </c>
      <c r="CJ92" s="1">
        <v>182.84576503491894</v>
      </c>
      <c r="CL92" s="1">
        <v>1884</v>
      </c>
      <c r="CM92" s="1">
        <v>29.851826764377236</v>
      </c>
      <c r="CN92" s="1">
        <v>16.941545474680499</v>
      </c>
      <c r="CO92" s="1">
        <v>0.23815316956251029</v>
      </c>
      <c r="CP92" s="1">
        <v>24.795460151294336</v>
      </c>
      <c r="CQ92" s="1">
        <v>1.1024439761029936</v>
      </c>
      <c r="CR92" s="1">
        <v>3.2920177411865925</v>
      </c>
      <c r="CS92" s="1">
        <v>31.65456421153603</v>
      </c>
      <c r="CT92" s="2">
        <v>107.87601148874019</v>
      </c>
      <c r="CV92" s="1">
        <v>1884</v>
      </c>
      <c r="CW92" s="1">
        <v>1050.0593431102477</v>
      </c>
      <c r="CX92" s="1">
        <v>1247.1110013260152</v>
      </c>
      <c r="CY92" s="1">
        <v>199.52815397566968</v>
      </c>
      <c r="CZ92" s="1">
        <v>226.77879773656679</v>
      </c>
      <c r="DA92" s="1">
        <v>304.60903111951649</v>
      </c>
      <c r="DB92" s="1">
        <v>3028.0863272680162</v>
      </c>
      <c r="DC92" s="1">
        <v>2926.0427120512995</v>
      </c>
      <c r="DD92" s="1">
        <v>393.38531161067851</v>
      </c>
      <c r="DF92" s="1">
        <v>1884</v>
      </c>
      <c r="DG92" s="1">
        <v>2.2959015904512512</v>
      </c>
      <c r="DH92" s="1">
        <v>3.4429303467482981</v>
      </c>
      <c r="DI92" s="1">
        <v>1.3301352663111174</v>
      </c>
      <c r="DJ92" s="1">
        <v>4.362993601081655</v>
      </c>
      <c r="DK92" s="1">
        <v>-0.45837073675446049</v>
      </c>
      <c r="DL92" s="1">
        <v>3.4488204185331881</v>
      </c>
      <c r="DM92" s="1">
        <v>2.3397611531202926</v>
      </c>
      <c r="DN92" s="1">
        <v>2.3410093986825586</v>
      </c>
      <c r="DO92" s="1">
        <v>4.144765467409826</v>
      </c>
      <c r="DQ92" s="1">
        <v>1884</v>
      </c>
      <c r="DR92" s="1">
        <v>1712.9813282344337</v>
      </c>
      <c r="DS92" s="1">
        <v>2323.8934909049217</v>
      </c>
      <c r="DT92" s="1">
        <v>391.51884231871031</v>
      </c>
      <c r="DU92" s="1">
        <v>226.77879773656679</v>
      </c>
      <c r="DV92" s="1">
        <v>304.60903111951649</v>
      </c>
      <c r="DW92" s="1">
        <v>4959.7814903141489</v>
      </c>
      <c r="DX92" s="1">
        <v>4783.1939192440377</v>
      </c>
      <c r="DY92" s="1">
        <v>557.8033137168884</v>
      </c>
      <c r="EA92" s="1">
        <v>1884</v>
      </c>
      <c r="EB92" s="1">
        <v>2.4695043594958719</v>
      </c>
      <c r="EC92" s="1">
        <v>3.3219729463192351</v>
      </c>
      <c r="ED92" s="1">
        <v>1.8411500504738569</v>
      </c>
      <c r="EE92" s="1">
        <v>4.1263364459373832</v>
      </c>
      <c r="EF92" s="1">
        <v>-0.45837073675446049</v>
      </c>
      <c r="EG92" s="1">
        <v>3.4488204185331881</v>
      </c>
      <c r="EH92" s="1">
        <v>2.5238749359139661</v>
      </c>
      <c r="EI92" s="1">
        <v>2.5280613825684952</v>
      </c>
      <c r="EJ92" s="1">
        <v>4.1950539107719891</v>
      </c>
      <c r="EL92" s="1">
        <v>1884</v>
      </c>
      <c r="EM92" s="1">
        <v>1311232.924713359</v>
      </c>
      <c r="EN92" s="1">
        <v>272527.30024692026</v>
      </c>
      <c r="EO92" s="1">
        <v>39559.172872952149</v>
      </c>
      <c r="EP92" s="1">
        <v>45904.427277911229</v>
      </c>
      <c r="EQ92" s="1">
        <v>55682.730199501319</v>
      </c>
      <c r="ER92" s="1">
        <v>159197.9251830327</v>
      </c>
      <c r="ES92" s="1">
        <v>85746.877958289086</v>
      </c>
      <c r="ET92" s="1">
        <v>1844.806702955676</v>
      </c>
      <c r="EU92" s="1">
        <v>1971696.1651549214</v>
      </c>
      <c r="EV92" s="1">
        <v>1885949.2871966322</v>
      </c>
      <c r="EX92" s="1">
        <v>1884</v>
      </c>
      <c r="EY92" s="1">
        <v>963464.60608222277</v>
      </c>
      <c r="EZ92" s="1">
        <v>212606.9060395064</v>
      </c>
      <c r="FA92" s="1">
        <v>30080.779893587336</v>
      </c>
      <c r="FB92" s="1">
        <v>45904.427277911229</v>
      </c>
      <c r="FC92" s="1">
        <v>29551.330026491356</v>
      </c>
      <c r="FD92" s="1">
        <v>153201.53278931903</v>
      </c>
      <c r="FE92" s="1">
        <v>85746.877958289086</v>
      </c>
      <c r="FF92" s="1">
        <v>1404.96499361921</v>
      </c>
      <c r="FG92" s="1">
        <v>1521961.4250609463</v>
      </c>
      <c r="FH92" s="1">
        <v>1436214.5471026571</v>
      </c>
      <c r="FJ92" s="1">
        <v>1884</v>
      </c>
      <c r="FK92" s="1">
        <v>347768.31863113627</v>
      </c>
      <c r="FL92" s="1">
        <v>59920.394207413854</v>
      </c>
      <c r="FM92" s="1">
        <v>9478.3929793648113</v>
      </c>
      <c r="FN92" s="1">
        <v>0</v>
      </c>
      <c r="FO92" s="1">
        <v>26131.400173009963</v>
      </c>
      <c r="FP92" s="1">
        <v>5996.3923937136733</v>
      </c>
      <c r="FQ92" s="1">
        <v>439.84170933646601</v>
      </c>
      <c r="FR92" s="1">
        <v>449734.74009397498</v>
      </c>
      <c r="FS92" s="1">
        <v>733148.43877321866</v>
      </c>
      <c r="HC92" s="1">
        <v>1884</v>
      </c>
      <c r="HD92" s="1">
        <v>300.59365933419679</v>
      </c>
      <c r="HE92" s="1">
        <v>107.39022427191665</v>
      </c>
      <c r="HF92" s="1">
        <v>20.46397922256806</v>
      </c>
      <c r="HG92" s="1">
        <v>43.868992509483881</v>
      </c>
      <c r="HH92" s="1">
        <v>97.41253967340279</v>
      </c>
      <c r="HI92" s="1">
        <v>76.95832030874692</v>
      </c>
      <c r="HJ92" s="1">
        <v>1.5781077652582693</v>
      </c>
      <c r="HK92" s="2">
        <v>648.2658230855734</v>
      </c>
      <c r="HL92" s="1">
        <v>571.30750277682648</v>
      </c>
      <c r="HN92" s="1">
        <v>1884</v>
      </c>
      <c r="HO92" s="1">
        <v>136.63062271684305</v>
      </c>
      <c r="HP92" s="1">
        <v>32.534793792770678</v>
      </c>
      <c r="HQ92" s="1">
        <v>7.2241137682770802</v>
      </c>
      <c r="HR92" s="1">
        <v>0</v>
      </c>
      <c r="HS92" s="1">
        <v>34.939695485789379</v>
      </c>
      <c r="HT92" s="1">
        <v>0.57204041058443567</v>
      </c>
      <c r="HU92" s="2">
        <v>211.90126617426461</v>
      </c>
      <c r="HW92" s="1">
        <v>1884</v>
      </c>
      <c r="HX92" s="1">
        <v>107.28818193587097</v>
      </c>
      <c r="HY92" s="1">
        <v>57.576460353006127</v>
      </c>
      <c r="HZ92" s="1">
        <v>79.438372644495715</v>
      </c>
      <c r="IA92" s="1">
        <v>19.122510445109462</v>
      </c>
      <c r="IB92" s="1">
        <v>73.548281093008356</v>
      </c>
      <c r="IC92" s="1">
        <v>3.2920177411866338</v>
      </c>
      <c r="ID92" s="1">
        <v>127.54968647586236</v>
      </c>
      <c r="IE92" s="2">
        <v>467.81551068853963</v>
      </c>
      <c r="IF92" s="1">
        <v>464.52349294735302</v>
      </c>
      <c r="IH92" s="1">
        <v>1884</v>
      </c>
      <c r="II92" s="1">
        <v>186.10985077064964</v>
      </c>
      <c r="IJ92" s="1">
        <v>40.284297983777385</v>
      </c>
      <c r="IK92" s="1">
        <v>15.429696218753591</v>
      </c>
      <c r="IL92" s="1">
        <v>202.32633326855017</v>
      </c>
      <c r="IM92" s="1">
        <v>29.040492858496624</v>
      </c>
      <c r="IN92" s="1">
        <v>11.123092750181021</v>
      </c>
      <c r="IO92" s="1">
        <v>4.0248141819980248</v>
      </c>
    </row>
    <row r="93" spans="1:249" x14ac:dyDescent="0.25">
      <c r="A93" s="1" t="s">
        <v>184</v>
      </c>
      <c r="B93" s="1">
        <v>3.9428606825105561</v>
      </c>
      <c r="C93" s="1">
        <v>3.8768782103224737</v>
      </c>
      <c r="D93" s="1">
        <v>3.9821283578534548</v>
      </c>
      <c r="E93" s="1">
        <v>3.9036078361613704</v>
      </c>
      <c r="F93" s="1">
        <v>4.0360613761792052</v>
      </c>
      <c r="G93" s="1">
        <v>3.1488583262819105</v>
      </c>
      <c r="H93" s="1">
        <v>3.2021589193674203</v>
      </c>
      <c r="J93" s="1">
        <v>1885</v>
      </c>
      <c r="K93" s="2">
        <v>1406.3394545733249</v>
      </c>
      <c r="L93" s="1">
        <v>1320.0788350582543</v>
      </c>
      <c r="M93" s="1">
        <v>1298.7308993451179</v>
      </c>
      <c r="N93" s="1">
        <v>1212.4702798300473</v>
      </c>
      <c r="O93" s="1">
        <v>107.60855522820694</v>
      </c>
      <c r="P93" s="1">
        <v>86.260619515070516</v>
      </c>
      <c r="Q93" s="1">
        <v>862.21043639454933</v>
      </c>
      <c r="R93" s="1">
        <v>2268.5498909678745</v>
      </c>
      <c r="S93" s="1">
        <v>2182.2892714528034</v>
      </c>
      <c r="U93" s="1">
        <v>1885</v>
      </c>
      <c r="V93" s="1">
        <v>301.55861585472434</v>
      </c>
      <c r="W93" s="1">
        <v>19153.320202056435</v>
      </c>
      <c r="X93" s="1">
        <v>2.273145437193989</v>
      </c>
      <c r="Y93" s="1">
        <v>283.06192009670923</v>
      </c>
      <c r="Z93" s="1">
        <v>16537.55809754039</v>
      </c>
      <c r="AA93" s="1">
        <v>3.0604068744382005</v>
      </c>
      <c r="AB93" s="1">
        <v>4663569.1392443189</v>
      </c>
      <c r="AC93" s="1">
        <v>0.85624910170156454</v>
      </c>
      <c r="AE93" s="1">
        <v>1885</v>
      </c>
      <c r="AF93" s="1">
        <v>504.54896071055282</v>
      </c>
      <c r="AG93" s="1">
        <v>199.43535990890535</v>
      </c>
      <c r="AH93" s="1">
        <v>103.49290844255069</v>
      </c>
      <c r="AI93" s="1">
        <v>95.923242391532483</v>
      </c>
      <c r="AJ93" s="1">
        <v>114.85880101409758</v>
      </c>
      <c r="AK93" s="1">
        <v>90.466607558504833</v>
      </c>
      <c r="AL93" s="1">
        <v>80.38059197422362</v>
      </c>
      <c r="AM93" s="1">
        <v>130.97236305788718</v>
      </c>
      <c r="AN93" s="2">
        <v>1320.0788350582545</v>
      </c>
      <c r="AP93" s="1" t="s">
        <v>184</v>
      </c>
      <c r="AQ93" s="1">
        <v>5.4092935291260034</v>
      </c>
      <c r="AR93" s="1">
        <v>6.2081734007448262</v>
      </c>
      <c r="AS93" s="1">
        <v>-0.82569727116182889</v>
      </c>
      <c r="AT93" s="1">
        <v>-1.3781099465463313</v>
      </c>
      <c r="AU93" s="1">
        <v>10.24087610252451</v>
      </c>
      <c r="AV93" s="1">
        <v>-0.57736601972736423</v>
      </c>
      <c r="AW93" s="1">
        <v>0.5207951145179095</v>
      </c>
      <c r="AX93" s="1">
        <v>3.0457176176181804</v>
      </c>
      <c r="AY93" s="1">
        <v>3.9428606825105561</v>
      </c>
      <c r="BA93" s="1">
        <v>1885</v>
      </c>
      <c r="BB93" s="1">
        <v>1200.6294125664579</v>
      </c>
      <c r="BC93" s="1">
        <v>102.92990182800087</v>
      </c>
      <c r="BD93" s="1">
        <v>126.16554389888123</v>
      </c>
      <c r="BE93" s="1">
        <v>34.122473603047318</v>
      </c>
      <c r="BF93" s="1">
        <v>3.5864360668906072</v>
      </c>
      <c r="BG93" s="1">
        <v>9.5584752466804357</v>
      </c>
      <c r="BH93" s="1">
        <v>305.35654622406184</v>
      </c>
      <c r="BI93" s="1">
        <v>376.00933486069511</v>
      </c>
      <c r="BJ93" s="1">
        <v>1406.3394545733249</v>
      </c>
      <c r="BL93" s="1" t="s">
        <v>184</v>
      </c>
      <c r="BM93" s="1">
        <v>6.231537358663104</v>
      </c>
      <c r="BN93" s="1">
        <v>3.5955777364667227</v>
      </c>
      <c r="BO93" s="1">
        <v>-2.3055696579890537</v>
      </c>
      <c r="BP93" s="1">
        <v>3.834808259587021</v>
      </c>
      <c r="BQ93" s="1">
        <v>11.320754716981128</v>
      </c>
      <c r="BR93" s="1">
        <v>3.1488583262819105</v>
      </c>
      <c r="BT93" s="1" t="s">
        <v>184</v>
      </c>
      <c r="BU93" s="1">
        <v>-4.76901562423933</v>
      </c>
      <c r="BV93" s="1">
        <v>-1.4383171542602327</v>
      </c>
      <c r="BW93" s="1">
        <v>-2.9094754518108914</v>
      </c>
      <c r="BX93" s="1">
        <v>-2.6151204206241516</v>
      </c>
      <c r="BY93" s="1">
        <v>-5.3368375885003161</v>
      </c>
      <c r="BZ93" s="1">
        <v>-3.6879507451361491</v>
      </c>
      <c r="CB93" s="1">
        <v>1885</v>
      </c>
      <c r="CC93" s="1">
        <v>38.758122887751128</v>
      </c>
      <c r="CD93" s="1">
        <v>34.260617305216961</v>
      </c>
      <c r="CE93" s="1">
        <v>0.2966653015516349</v>
      </c>
      <c r="CF93" s="1">
        <v>33.270550626567214</v>
      </c>
      <c r="CG93" s="1">
        <v>4.1446954820131072</v>
      </c>
      <c r="CH93" s="1">
        <v>5.7799674369214715</v>
      </c>
      <c r="CI93" s="1">
        <v>56.922309775478091</v>
      </c>
      <c r="CJ93" s="1">
        <v>173.43292881549962</v>
      </c>
      <c r="CL93" s="1">
        <v>1885</v>
      </c>
      <c r="CM93" s="1">
        <v>29.786659995234565</v>
      </c>
      <c r="CN93" s="1">
        <v>16.323456614795752</v>
      </c>
      <c r="CO93" s="1">
        <v>0.24063083974955787</v>
      </c>
      <c r="CP93" s="1">
        <v>24.444379347314616</v>
      </c>
      <c r="CQ93" s="1">
        <v>1.1639358437715599</v>
      </c>
      <c r="CR93" s="1">
        <v>3.3561543766293629</v>
      </c>
      <c r="CS93" s="1">
        <v>32.293338210711525</v>
      </c>
      <c r="CT93" s="2">
        <v>107.60855522820694</v>
      </c>
      <c r="CV93" s="1">
        <v>1885</v>
      </c>
      <c r="CW93" s="1">
        <v>1082.7884196742011</v>
      </c>
      <c r="CX93" s="1">
        <v>1259.7800963947125</v>
      </c>
      <c r="CY93" s="1">
        <v>188.0311439568282</v>
      </c>
      <c r="CZ93" s="1">
        <v>208.98673148824301</v>
      </c>
      <c r="DA93" s="1">
        <v>297.35209948865446</v>
      </c>
      <c r="DB93" s="1">
        <v>3036.9384910026392</v>
      </c>
      <c r="DC93" s="1">
        <v>2932.9390212879507</v>
      </c>
      <c r="DD93" s="1">
        <v>385.45091872108048</v>
      </c>
      <c r="DF93" s="1">
        <v>1885</v>
      </c>
      <c r="DG93" s="1">
        <v>1.8770597861660292</v>
      </c>
      <c r="DH93" s="1">
        <v>2.274587640323773</v>
      </c>
      <c r="DI93" s="1">
        <v>1.5353627516787327</v>
      </c>
      <c r="DJ93" s="1">
        <v>4.6370087039032484</v>
      </c>
      <c r="DK93" s="1">
        <v>6.3599211215679077</v>
      </c>
      <c r="DL93" s="1">
        <v>3.2145309426494038</v>
      </c>
      <c r="DM93" s="1">
        <v>2.4767425132436784</v>
      </c>
      <c r="DN93" s="1">
        <v>2.4817913796471061</v>
      </c>
      <c r="DO93" s="1">
        <v>4.9120715722464752</v>
      </c>
      <c r="DQ93" s="1">
        <v>1885</v>
      </c>
      <c r="DR93" s="1">
        <v>1764.3074324833453</v>
      </c>
      <c r="DS93" s="1">
        <v>2359.3311576062006</v>
      </c>
      <c r="DT93" s="1">
        <v>368.54067764883428</v>
      </c>
      <c r="DU93" s="1">
        <v>208.98673148824301</v>
      </c>
      <c r="DV93" s="1">
        <v>297.35209948865446</v>
      </c>
      <c r="DW93" s="1">
        <v>4998.518098715278</v>
      </c>
      <c r="DX93" s="1">
        <v>4818.3614789915755</v>
      </c>
      <c r="DY93" s="1">
        <v>547.09425742959388</v>
      </c>
      <c r="EA93" s="1">
        <v>1885</v>
      </c>
      <c r="EB93" s="1">
        <v>2.2226895681946957</v>
      </c>
      <c r="EC93" s="1">
        <v>2.5965518988208629</v>
      </c>
      <c r="ED93" s="1">
        <v>1.9431006298476348</v>
      </c>
      <c r="EE93" s="1">
        <v>4.2679798662837101</v>
      </c>
      <c r="EF93" s="1">
        <v>6.3599211215679361</v>
      </c>
      <c r="EG93" s="1">
        <v>3.2145309426494038</v>
      </c>
      <c r="EH93" s="1">
        <v>2.5999007134239349</v>
      </c>
      <c r="EI93" s="1">
        <v>2.6061665364682085</v>
      </c>
      <c r="EJ93" s="1">
        <v>4.7415838122070113</v>
      </c>
      <c r="EL93" s="1">
        <v>1885</v>
      </c>
      <c r="EM93" s="1">
        <v>1319634.2903822917</v>
      </c>
      <c r="EN93" s="1">
        <v>280782.7251371984</v>
      </c>
      <c r="EO93" s="1">
        <v>40968.800530367866</v>
      </c>
      <c r="EP93" s="1">
        <v>43514.754488317958</v>
      </c>
      <c r="EQ93" s="1">
        <v>58265.213864549689</v>
      </c>
      <c r="ER93" s="1">
        <v>157958.39044279771</v>
      </c>
      <c r="ES93" s="1">
        <v>86111.758290026497</v>
      </c>
      <c r="ET93" s="1">
        <v>1894.2599944349813</v>
      </c>
      <c r="EU93" s="1">
        <v>1989130.1931299842</v>
      </c>
      <c r="EV93" s="1">
        <v>1903018.4348399581</v>
      </c>
      <c r="EX93" s="1">
        <v>1885</v>
      </c>
      <c r="EY93" s="1">
        <v>970850.96024110459</v>
      </c>
      <c r="EZ93" s="1">
        <v>219721.61899822977</v>
      </c>
      <c r="FA93" s="1">
        <v>30650.573106026532</v>
      </c>
      <c r="FB93" s="1">
        <v>43514.754488317958</v>
      </c>
      <c r="FC93" s="1">
        <v>31163.280566051704</v>
      </c>
      <c r="FD93" s="1">
        <v>151871.27739054436</v>
      </c>
      <c r="FE93" s="1">
        <v>86111.758290026497</v>
      </c>
      <c r="FF93" s="1">
        <v>1447.4342351807443</v>
      </c>
      <c r="FG93" s="1">
        <v>1535331.6573154822</v>
      </c>
      <c r="FH93" s="1">
        <v>1449219.8990254556</v>
      </c>
      <c r="FJ93" s="1">
        <v>1885</v>
      </c>
      <c r="FK93" s="1">
        <v>348783.33014118695</v>
      </c>
      <c r="FL93" s="1">
        <v>61061.106138968644</v>
      </c>
      <c r="FM93" s="1">
        <v>10318.227424341334</v>
      </c>
      <c r="FN93" s="1">
        <v>0</v>
      </c>
      <c r="FO93" s="1">
        <v>27101.933298497981</v>
      </c>
      <c r="FP93" s="1">
        <v>6087.1130522533631</v>
      </c>
      <c r="FQ93" s="1">
        <v>446.82575925423697</v>
      </c>
      <c r="FR93" s="1">
        <v>453798.53581450251</v>
      </c>
      <c r="FS93" s="1">
        <v>736961.78045353538</v>
      </c>
      <c r="HC93" s="1">
        <v>1885</v>
      </c>
      <c r="HD93" s="1">
        <v>301.23843001596566</v>
      </c>
      <c r="HE93" s="1">
        <v>109.72626824139384</v>
      </c>
      <c r="HF93" s="1">
        <v>20.615317632633847</v>
      </c>
      <c r="HG93" s="1">
        <v>41.431826258956995</v>
      </c>
      <c r="HH93" s="1">
        <v>94.935535570902076</v>
      </c>
      <c r="HI93" s="1">
        <v>77.024437597594314</v>
      </c>
      <c r="HJ93" s="1">
        <v>1.5510770491887227</v>
      </c>
      <c r="HK93" s="2">
        <v>646.52289236663546</v>
      </c>
      <c r="HL93" s="1">
        <v>569.49845476904113</v>
      </c>
      <c r="HN93" s="1">
        <v>1885</v>
      </c>
      <c r="HO93" s="1">
        <v>136.27855268404426</v>
      </c>
      <c r="HP93" s="1">
        <v>32.778456625315386</v>
      </c>
      <c r="HQ93" s="1">
        <v>7.7750895337669741</v>
      </c>
      <c r="HR93" s="1">
        <v>0</v>
      </c>
      <c r="HS93" s="1">
        <v>34.769684102228943</v>
      </c>
      <c r="HT93" s="1">
        <v>0.55441105208433761</v>
      </c>
      <c r="HU93" s="2">
        <v>212.15619399743991</v>
      </c>
      <c r="HW93" s="1">
        <v>1885</v>
      </c>
      <c r="HX93" s="1">
        <v>103.73097801054286</v>
      </c>
      <c r="HY93" s="1">
        <v>56.930635042196144</v>
      </c>
      <c r="HZ93" s="1">
        <v>75.102501276149866</v>
      </c>
      <c r="IA93" s="1">
        <v>17.792416132575489</v>
      </c>
      <c r="IB93" s="1">
        <v>75.620188899471401</v>
      </c>
      <c r="IC93" s="1">
        <v>3.3561543766293043</v>
      </c>
      <c r="ID93" s="1">
        <v>128.86687495661411</v>
      </c>
      <c r="IE93" s="2">
        <v>461.39974869417915</v>
      </c>
      <c r="IF93" s="1">
        <v>458.04359431754983</v>
      </c>
      <c r="IH93" s="1">
        <v>1885</v>
      </c>
      <c r="II93" s="1">
        <v>180.69779755116627</v>
      </c>
      <c r="IJ93" s="1">
        <v>39.143061217294786</v>
      </c>
      <c r="IK93" s="1">
        <v>15.568270684656241</v>
      </c>
      <c r="IL93" s="1">
        <v>195.67128639967203</v>
      </c>
      <c r="IM93" s="1">
        <v>28.495320744896024</v>
      </c>
      <c r="IN93" s="1">
        <v>11.333371811161088</v>
      </c>
      <c r="IO93" s="1">
        <v>3.8178817209859659</v>
      </c>
    </row>
    <row r="94" spans="1:249" x14ac:dyDescent="0.25">
      <c r="A94" s="1" t="s">
        <v>185</v>
      </c>
      <c r="B94" s="1">
        <v>0.1514370609196618</v>
      </c>
      <c r="C94" s="1">
        <v>6.7835726670395502E-2</v>
      </c>
      <c r="D94" s="1">
        <v>0.13237865360939338</v>
      </c>
      <c r="E94" s="1">
        <v>0.17049909565687926</v>
      </c>
      <c r="F94" s="1">
        <v>0.15350890642859838</v>
      </c>
      <c r="G94" s="1">
        <v>-0.16822575410493812</v>
      </c>
      <c r="H94" s="1">
        <v>-0.36114087227088021</v>
      </c>
      <c r="J94" s="1">
        <v>1886</v>
      </c>
      <c r="K94" s="2">
        <v>1319.4636929194965</v>
      </c>
      <c r="L94" s="1">
        <v>1237.3357162127941</v>
      </c>
      <c r="M94" s="1">
        <v>1214.223397379172</v>
      </c>
      <c r="N94" s="1">
        <v>1132.0954206724696</v>
      </c>
      <c r="O94" s="1">
        <v>105.2402955403244</v>
      </c>
      <c r="P94" s="1">
        <v>82.127976706702327</v>
      </c>
      <c r="Q94" s="1">
        <v>789.46347548417089</v>
      </c>
      <c r="R94" s="1">
        <v>2108.9271684036676</v>
      </c>
      <c r="S94" s="1">
        <v>2026.799191696965</v>
      </c>
      <c r="U94" s="1">
        <v>1886</v>
      </c>
      <c r="V94" s="1">
        <v>280.74009241601112</v>
      </c>
      <c r="W94" s="1">
        <v>18973.0989917191</v>
      </c>
      <c r="X94" s="1">
        <v>-0.94093978712884052</v>
      </c>
      <c r="Y94" s="1">
        <v>263.26585959376223</v>
      </c>
      <c r="Z94" s="1">
        <v>16434.404878166475</v>
      </c>
      <c r="AA94" s="1">
        <v>-0.62375121384611987</v>
      </c>
      <c r="AB94" s="1">
        <v>4699947.4908067854</v>
      </c>
      <c r="AC94" s="1">
        <v>0.78005387025012851</v>
      </c>
      <c r="AE94" s="1">
        <v>1886</v>
      </c>
      <c r="AF94" s="1">
        <v>449.89859816886781</v>
      </c>
      <c r="AG94" s="1">
        <v>180.60824339738105</v>
      </c>
      <c r="AH94" s="1">
        <v>107.03483728072739</v>
      </c>
      <c r="AI94" s="1">
        <v>89.296442575296936</v>
      </c>
      <c r="AJ94" s="1">
        <v>106.46561913878823</v>
      </c>
      <c r="AK94" s="1">
        <v>90.912793544359189</v>
      </c>
      <c r="AL94" s="1">
        <v>81.243258241386798</v>
      </c>
      <c r="AM94" s="1">
        <v>131.87592386598675</v>
      </c>
      <c r="AN94" s="2">
        <v>1237.3357162127941</v>
      </c>
      <c r="AP94" s="1" t="s">
        <v>185</v>
      </c>
      <c r="AQ94" s="1">
        <v>-2.1831593689130528</v>
      </c>
      <c r="AR94" s="1">
        <v>-1.7449111438266982</v>
      </c>
      <c r="AS94" s="1">
        <v>4.891647438087503</v>
      </c>
      <c r="AT94" s="1">
        <v>-1.015880976949461</v>
      </c>
      <c r="AU94" s="1">
        <v>3.6855929496193625</v>
      </c>
      <c r="AV94" s="1">
        <v>1.4908772890403554</v>
      </c>
      <c r="AW94" s="1">
        <v>3.69499160757114</v>
      </c>
      <c r="AX94" s="1">
        <v>2.6439400632653758</v>
      </c>
      <c r="AY94" s="1">
        <v>0.1514370609196618</v>
      </c>
      <c r="BA94" s="1">
        <v>1886</v>
      </c>
      <c r="BB94" s="1">
        <v>1091.3581561343817</v>
      </c>
      <c r="BC94" s="1">
        <v>104.20504284422736</v>
      </c>
      <c r="BD94" s="1">
        <v>129.67669216385559</v>
      </c>
      <c r="BE94" s="1">
        <v>28.622816820432714</v>
      </c>
      <c r="BF94" s="1">
        <v>1.5037748649043485</v>
      </c>
      <c r="BG94" s="1">
        <v>12.116870486887397</v>
      </c>
      <c r="BH94" s="1">
        <v>281.6942308340054</v>
      </c>
      <c r="BI94" s="1">
        <v>329.71389122919811</v>
      </c>
      <c r="BJ94" s="1">
        <v>1319.4636929194962</v>
      </c>
      <c r="BL94" s="1" t="s">
        <v>185</v>
      </c>
      <c r="BM94" s="1">
        <v>-2.9754974901798192</v>
      </c>
      <c r="BN94" s="1">
        <v>4.3223469849128264</v>
      </c>
      <c r="BO94" s="1">
        <v>4.512487879758865</v>
      </c>
      <c r="BP94" s="1">
        <v>-4.2613636363636402</v>
      </c>
      <c r="BQ94" s="1">
        <v>-8.9588377723971035</v>
      </c>
      <c r="BR94" s="1">
        <v>-0.16822575410489549</v>
      </c>
      <c r="BT94" s="1" t="s">
        <v>185</v>
      </c>
      <c r="BU94" s="1">
        <v>-6.3135256881954973</v>
      </c>
      <c r="BV94" s="1">
        <v>-2.9557453160755927</v>
      </c>
      <c r="BW94" s="1">
        <v>-5.1522466921553587</v>
      </c>
      <c r="BX94" s="1">
        <v>-3.6429533434800163</v>
      </c>
      <c r="BY94" s="1">
        <v>-3.6834707047472932</v>
      </c>
      <c r="BZ94" s="1">
        <v>-6.019339304540523</v>
      </c>
      <c r="CB94" s="1">
        <v>1886</v>
      </c>
      <c r="CC94" s="1">
        <v>38.881008078754313</v>
      </c>
      <c r="CD94" s="1">
        <v>30.78141899831347</v>
      </c>
      <c r="CE94" s="1">
        <v>0.28053163331066355</v>
      </c>
      <c r="CF94" s="1">
        <v>27.629982759173725</v>
      </c>
      <c r="CG94" s="1">
        <v>4.3672224510575921</v>
      </c>
      <c r="CH94" s="1">
        <v>7.5485595704791182</v>
      </c>
      <c r="CI94" s="1">
        <v>62.431430844991162</v>
      </c>
      <c r="CJ94" s="1">
        <v>171.92015433608003</v>
      </c>
      <c r="CL94" s="1">
        <v>1886</v>
      </c>
      <c r="CM94" s="1">
        <v>28.882089993462991</v>
      </c>
      <c r="CN94" s="1">
        <v>16.34489789174993</v>
      </c>
      <c r="CO94" s="1">
        <v>0.24150789700725001</v>
      </c>
      <c r="CP94" s="1">
        <v>23.637091179201814</v>
      </c>
      <c r="CQ94" s="1">
        <v>1.0883805692573638</v>
      </c>
      <c r="CR94" s="1">
        <v>3.3548880695197458</v>
      </c>
      <c r="CS94" s="1">
        <v>31.691439940125289</v>
      </c>
      <c r="CT94" s="2">
        <v>105.2402955403244</v>
      </c>
      <c r="CV94" s="1">
        <v>1886</v>
      </c>
      <c r="CW94" s="1">
        <v>1059.6386446842478</v>
      </c>
      <c r="CX94" s="1">
        <v>1223.7953317604517</v>
      </c>
      <c r="CY94" s="1">
        <v>188.87012654727812</v>
      </c>
      <c r="CZ94" s="1">
        <v>181.00750649919672</v>
      </c>
      <c r="DA94" s="1">
        <v>277.00590495568741</v>
      </c>
      <c r="DB94" s="1">
        <v>2930.3175144468619</v>
      </c>
      <c r="DC94" s="1">
        <v>2828.5338840219601</v>
      </c>
      <c r="DD94" s="1">
        <v>376.64893585281311</v>
      </c>
      <c r="DF94" s="1">
        <v>1886</v>
      </c>
      <c r="DG94" s="1">
        <v>2.1671554517997578</v>
      </c>
      <c r="DH94" s="1">
        <v>2.900988092410131</v>
      </c>
      <c r="DI94" s="1">
        <v>1.5317775109568146</v>
      </c>
      <c r="DJ94" s="1">
        <v>1.8925965054756375</v>
      </c>
      <c r="DK94" s="1">
        <v>-0.18973402537486095</v>
      </c>
      <c r="DL94" s="1">
        <v>4.3742282276710824</v>
      </c>
      <c r="DM94" s="1">
        <v>2.2113540445590161</v>
      </c>
      <c r="DN94" s="1">
        <v>2.1428429273109657</v>
      </c>
      <c r="DO94" s="1">
        <v>4.8626903547944238</v>
      </c>
      <c r="DQ94" s="1">
        <v>1886</v>
      </c>
      <c r="DR94" s="1">
        <v>1732.0222937253116</v>
      </c>
      <c r="DS94" s="1">
        <v>2301.1624671434283</v>
      </c>
      <c r="DT94" s="1">
        <v>368.82793491112693</v>
      </c>
      <c r="DU94" s="1">
        <v>181.00750649919672</v>
      </c>
      <c r="DV94" s="1">
        <v>277.00590495568741</v>
      </c>
      <c r="DW94" s="1">
        <v>4860.0261072347512</v>
      </c>
      <c r="DX94" s="1">
        <v>4683.5359431532952</v>
      </c>
      <c r="DY94" s="1">
        <v>538.70120990664077</v>
      </c>
      <c r="EA94" s="1">
        <v>1886</v>
      </c>
      <c r="EB94" s="1">
        <v>2.3837308394203376</v>
      </c>
      <c r="EC94" s="1">
        <v>2.9853213586963534</v>
      </c>
      <c r="ED94" s="1">
        <v>1.9309433965804601</v>
      </c>
      <c r="EE94" s="1">
        <v>2.7378248696545313</v>
      </c>
      <c r="EF94" s="1">
        <v>-0.18973402537486095</v>
      </c>
      <c r="EG94" s="1">
        <v>4.3742282276710824</v>
      </c>
      <c r="EH94" s="1">
        <v>2.4277704195095851</v>
      </c>
      <c r="EI94" s="1">
        <v>2.3877458312100828</v>
      </c>
      <c r="EJ94" s="1">
        <v>4.6681145274966411</v>
      </c>
      <c r="EL94" s="1">
        <v>1886</v>
      </c>
      <c r="EM94" s="1">
        <v>1311012.0239244299</v>
      </c>
      <c r="EN94" s="1">
        <v>277637.8013694734</v>
      </c>
      <c r="EO94" s="1">
        <v>42211.319956660554</v>
      </c>
      <c r="EP94" s="1">
        <v>42968.562853536743</v>
      </c>
      <c r="EQ94" s="1">
        <v>59443.936896863481</v>
      </c>
      <c r="ER94" s="1">
        <v>157481.81058782199</v>
      </c>
      <c r="ES94" s="1">
        <v>89274.054498417288</v>
      </c>
      <c r="ET94" s="1">
        <v>1945.1222954879408</v>
      </c>
      <c r="EU94" s="1">
        <v>1981974.6323826914</v>
      </c>
      <c r="EV94" s="1">
        <v>1892700.5778842738</v>
      </c>
      <c r="EX94" s="1">
        <v>1886</v>
      </c>
      <c r="EY94" s="1">
        <v>960071.79432438512</v>
      </c>
      <c r="EZ94" s="1">
        <v>215682.54546943281</v>
      </c>
      <c r="FA94" s="1">
        <v>31332.783651677233</v>
      </c>
      <c r="FB94" s="1">
        <v>42968.562853536743</v>
      </c>
      <c r="FC94" s="1">
        <v>32092.874748646449</v>
      </c>
      <c r="FD94" s="1">
        <v>151194.59670993887</v>
      </c>
      <c r="FE94" s="1">
        <v>89274.054498417288</v>
      </c>
      <c r="FF94" s="1">
        <v>1491.1982399949336</v>
      </c>
      <c r="FG94" s="1">
        <v>1524108.4104960295</v>
      </c>
      <c r="FH94" s="1">
        <v>1434834.3559976122</v>
      </c>
      <c r="FJ94" s="1">
        <v>1886</v>
      </c>
      <c r="FK94" s="1">
        <v>350940.22960004484</v>
      </c>
      <c r="FL94" s="1">
        <v>61955.255900040589</v>
      </c>
      <c r="FM94" s="1">
        <v>10878.536304983321</v>
      </c>
      <c r="FN94" s="1">
        <v>0</v>
      </c>
      <c r="FO94" s="1">
        <v>27351.062148217032</v>
      </c>
      <c r="FP94" s="1">
        <v>6287.2138778831231</v>
      </c>
      <c r="FQ94" s="1">
        <v>453.92405549300724</v>
      </c>
      <c r="FR94" s="1">
        <v>457866.22188666189</v>
      </c>
      <c r="FS94" s="1">
        <v>740794.95655482577</v>
      </c>
      <c r="HC94" s="1">
        <v>1886</v>
      </c>
      <c r="HD94" s="1">
        <v>282.30159986582129</v>
      </c>
      <c r="HE94" s="1">
        <v>104.46387973615251</v>
      </c>
      <c r="HF94" s="1">
        <v>20.439192939813278</v>
      </c>
      <c r="HG94" s="1">
        <v>41.431826258956995</v>
      </c>
      <c r="HH94" s="1">
        <v>94.332210533161074</v>
      </c>
      <c r="HI94" s="1">
        <v>77.888370171867038</v>
      </c>
      <c r="HJ94" s="1">
        <v>1.5529409199918318</v>
      </c>
      <c r="HK94" s="2">
        <v>622.41002042576395</v>
      </c>
      <c r="HL94" s="1">
        <v>544.52165025389695</v>
      </c>
      <c r="HN94" s="1">
        <v>1886</v>
      </c>
      <c r="HO94" s="1">
        <v>129.94416000316556</v>
      </c>
      <c r="HP94" s="1">
        <v>32.25635727543321</v>
      </c>
      <c r="HQ94" s="1">
        <v>7.9503106836181319</v>
      </c>
      <c r="HR94" s="1">
        <v>0</v>
      </c>
      <c r="HS94" s="1">
        <v>34.623868403673583</v>
      </c>
      <c r="HT94" s="1">
        <v>0.5473459335797779</v>
      </c>
      <c r="HU94" s="2">
        <v>205.32204229947027</v>
      </c>
      <c r="HW94" s="1">
        <v>1886</v>
      </c>
      <c r="HX94" s="1">
        <v>69.65783829988095</v>
      </c>
      <c r="HY94" s="1">
        <v>43.888006385795336</v>
      </c>
      <c r="HZ94" s="1">
        <v>78.645333657295978</v>
      </c>
      <c r="IA94" s="1">
        <v>15.859616316339938</v>
      </c>
      <c r="IB94" s="1">
        <v>68.422333746312759</v>
      </c>
      <c r="IC94" s="1">
        <v>3.3548880695197667</v>
      </c>
      <c r="ID94" s="1">
        <v>129.77563701241513</v>
      </c>
      <c r="IE94" s="2">
        <v>409.60365348755982</v>
      </c>
      <c r="IF94" s="1">
        <v>406.24876541804008</v>
      </c>
      <c r="IH94" s="1">
        <v>1886</v>
      </c>
      <c r="II94" s="1">
        <v>194.71247495158042</v>
      </c>
      <c r="IJ94" s="1">
        <v>31.234463623247819</v>
      </c>
      <c r="IK94" s="1">
        <v>12.22340987584051</v>
      </c>
      <c r="IL94" s="1">
        <v>212.68350873358366</v>
      </c>
      <c r="IM94" s="1">
        <v>20.145597386370383</v>
      </c>
      <c r="IN94" s="1">
        <v>7.8838521774385191</v>
      </c>
      <c r="IO94" s="1">
        <v>3.5229016967681162</v>
      </c>
    </row>
    <row r="95" spans="1:249" x14ac:dyDescent="0.25">
      <c r="A95" s="1" t="s">
        <v>186</v>
      </c>
      <c r="B95" s="1">
        <v>-0.32195799476649256</v>
      </c>
      <c r="C95" s="1">
        <v>-0.40344288805570727</v>
      </c>
      <c r="D95" s="1">
        <v>-0.30085192472408551</v>
      </c>
      <c r="E95" s="1">
        <v>-0.34305959670459174</v>
      </c>
      <c r="F95" s="1">
        <v>-0.18637376406577744</v>
      </c>
      <c r="G95" s="1">
        <v>-1.1932126570000321</v>
      </c>
      <c r="H95" s="1">
        <v>-1.4097960111400027</v>
      </c>
      <c r="J95" s="1">
        <v>1887</v>
      </c>
      <c r="K95" s="2">
        <v>1280.1935215490596</v>
      </c>
      <c r="L95" s="1">
        <v>1201.5418579302523</v>
      </c>
      <c r="M95" s="1">
        <v>1174.7624769931722</v>
      </c>
      <c r="N95" s="1">
        <v>1096.1108133743649</v>
      </c>
      <c r="O95" s="1">
        <v>105.4310445558874</v>
      </c>
      <c r="P95" s="1">
        <v>78.651663618807248</v>
      </c>
      <c r="Q95" s="1">
        <v>801.07071728765027</v>
      </c>
      <c r="R95" s="1">
        <v>2081.2642388367099</v>
      </c>
      <c r="S95" s="1">
        <v>2002.6125752179025</v>
      </c>
      <c r="U95" s="1">
        <v>1887</v>
      </c>
      <c r="V95" s="1">
        <v>270.88099440158419</v>
      </c>
      <c r="W95" s="1">
        <v>18643.221829542061</v>
      </c>
      <c r="X95" s="1">
        <v>-1.7386572553119208</v>
      </c>
      <c r="Y95" s="1">
        <v>254.23879109889782</v>
      </c>
      <c r="Z95" s="1">
        <v>16291.061994917884</v>
      </c>
      <c r="AA95" s="1">
        <v>-0.87221219333002864</v>
      </c>
      <c r="AB95" s="1">
        <v>4726036.7024906818</v>
      </c>
      <c r="AC95" s="1">
        <v>0.5550958119197702</v>
      </c>
      <c r="AE95" s="1">
        <v>1887</v>
      </c>
      <c r="AF95" s="1">
        <v>428.32334459370901</v>
      </c>
      <c r="AG95" s="1">
        <v>185.76114563202151</v>
      </c>
      <c r="AH95" s="1">
        <v>87.596995409978575</v>
      </c>
      <c r="AI95" s="1">
        <v>89.882992616982634</v>
      </c>
      <c r="AJ95" s="1">
        <v>104.45687609169396</v>
      </c>
      <c r="AK95" s="1">
        <v>91.868292714039754</v>
      </c>
      <c r="AL95" s="1">
        <v>81.581496441412696</v>
      </c>
      <c r="AM95" s="1">
        <v>132.07071443041423</v>
      </c>
      <c r="AN95" s="2">
        <v>1201.5418579302523</v>
      </c>
      <c r="AP95" s="1" t="s">
        <v>186</v>
      </c>
      <c r="AQ95" s="1">
        <v>-0.9386766565583855</v>
      </c>
      <c r="AR95" s="1">
        <v>5.1056620288414223</v>
      </c>
      <c r="AS95" s="1">
        <v>-13.506306028735082</v>
      </c>
      <c r="AT95" s="1">
        <v>1.7217586887477125</v>
      </c>
      <c r="AU95" s="1">
        <v>-1.6537745906388182</v>
      </c>
      <c r="AV95" s="1">
        <v>1.3609106900168086</v>
      </c>
      <c r="AW95" s="1">
        <v>0.78232132623192285</v>
      </c>
      <c r="AX95" s="1">
        <v>2.6875199421514679</v>
      </c>
      <c r="AY95" s="1">
        <v>-0.32195799476649256</v>
      </c>
      <c r="BA95" s="1">
        <v>1887</v>
      </c>
      <c r="BB95" s="1">
        <v>1063.2975198965103</v>
      </c>
      <c r="BC95" s="1">
        <v>106.69209301919554</v>
      </c>
      <c r="BD95" s="1">
        <v>102.55245748075063</v>
      </c>
      <c r="BE95" s="1">
        <v>25.845392844386708</v>
      </c>
      <c r="BF95" s="1">
        <v>-2.3847887927028535</v>
      </c>
      <c r="BG95" s="1">
        <v>7.4095139906806038</v>
      </c>
      <c r="BH95" s="1">
        <v>300.8494385307178</v>
      </c>
      <c r="BI95" s="1">
        <v>324.06810542047896</v>
      </c>
      <c r="BJ95" s="1">
        <v>1280.1935215490596</v>
      </c>
      <c r="BL95" s="1" t="s">
        <v>186</v>
      </c>
      <c r="BM95" s="1">
        <v>0.14003387167251446</v>
      </c>
      <c r="BN95" s="1">
        <v>3.6281523272282215</v>
      </c>
      <c r="BO95" s="1">
        <v>-21.478634055223608</v>
      </c>
      <c r="BP95" s="1">
        <v>11.275964391691389</v>
      </c>
      <c r="BQ95" s="1">
        <v>4.7872340425531945</v>
      </c>
      <c r="BR95" s="1">
        <v>-1.1932126570000605</v>
      </c>
      <c r="BT95" s="1" t="s">
        <v>186</v>
      </c>
      <c r="BU95" s="1">
        <v>-2.7074091672217406</v>
      </c>
      <c r="BV95" s="1">
        <v>-1.1979982413507457</v>
      </c>
      <c r="BW95" s="1">
        <v>-1.1641090514560091</v>
      </c>
      <c r="BX95" s="1">
        <v>-4.0223999999999762</v>
      </c>
      <c r="BY95" s="1">
        <v>-6.2026284681176662</v>
      </c>
      <c r="BZ95" s="1">
        <v>-1.8045415629078292</v>
      </c>
      <c r="CB95" s="1">
        <v>1887</v>
      </c>
      <c r="CC95" s="1">
        <v>33.035399046062665</v>
      </c>
      <c r="CD95" s="1">
        <v>25.904719237373126</v>
      </c>
      <c r="CE95" s="1">
        <v>0.27474177754160611</v>
      </c>
      <c r="CF95" s="1">
        <v>25.362140667229639</v>
      </c>
      <c r="CG95" s="1">
        <v>2.9887460528791623</v>
      </c>
      <c r="CH95" s="1">
        <v>6.5287803504864286</v>
      </c>
      <c r="CI95" s="1">
        <v>39.32804839154246</v>
      </c>
      <c r="CJ95" s="1">
        <v>133.42257552311509</v>
      </c>
      <c r="CL95" s="1">
        <v>1887</v>
      </c>
      <c r="CM95" s="1">
        <v>28.997245163297713</v>
      </c>
      <c r="CN95" s="1">
        <v>16.563066717461055</v>
      </c>
      <c r="CO95" s="1">
        <v>0.24251445757357531</v>
      </c>
      <c r="CP95" s="1">
        <v>23.567568219154541</v>
      </c>
      <c r="CQ95" s="1">
        <v>1.1273341135609432</v>
      </c>
      <c r="CR95" s="1">
        <v>3.3989043341747269</v>
      </c>
      <c r="CS95" s="1">
        <v>31.534411550664824</v>
      </c>
      <c r="CT95" s="2">
        <v>105.4310445558874</v>
      </c>
      <c r="CV95" s="1">
        <v>1887</v>
      </c>
      <c r="CW95" s="1">
        <v>1073.2496791648696</v>
      </c>
      <c r="CX95" s="1">
        <v>1223.1010400089167</v>
      </c>
      <c r="CY95" s="1">
        <v>193.19457471369054</v>
      </c>
      <c r="CZ95" s="1">
        <v>176.10020950781364</v>
      </c>
      <c r="DA95" s="1">
        <v>284.84817781813024</v>
      </c>
      <c r="DB95" s="1">
        <v>2950.493681213421</v>
      </c>
      <c r="DC95" s="1">
        <v>2846.1752343700364</v>
      </c>
      <c r="DD95" s="1">
        <v>389.99032644979525</v>
      </c>
      <c r="DF95" s="1">
        <v>1887</v>
      </c>
      <c r="DG95" s="1">
        <v>0.97930474921045629</v>
      </c>
      <c r="DH95" s="1">
        <v>0.72617183048610912</v>
      </c>
      <c r="DI95" s="1">
        <v>1.2014665905417701</v>
      </c>
      <c r="DJ95" s="1">
        <v>0.24028356883172819</v>
      </c>
      <c r="DK95" s="1">
        <v>-0.78385161488034782</v>
      </c>
      <c r="DL95" s="1">
        <v>2.6012151622087742</v>
      </c>
      <c r="DM95" s="1">
        <v>0.95953632615812978</v>
      </c>
      <c r="DN95" s="1">
        <v>0.88590898892437053</v>
      </c>
      <c r="DO95" s="1">
        <v>4.123000384551446</v>
      </c>
      <c r="DQ95" s="1">
        <v>1887</v>
      </c>
      <c r="DR95" s="1">
        <v>1755.7078060327428</v>
      </c>
      <c r="DS95" s="1">
        <v>2308.8863409206792</v>
      </c>
      <c r="DT95" s="1">
        <v>380.55713580656544</v>
      </c>
      <c r="DU95" s="1">
        <v>176.10020950781364</v>
      </c>
      <c r="DV95" s="1">
        <v>284.84817781813024</v>
      </c>
      <c r="DW95" s="1">
        <v>4906.0996700859314</v>
      </c>
      <c r="DX95" s="1">
        <v>4726.3050356823805</v>
      </c>
      <c r="DY95" s="1">
        <v>557.07437209167404</v>
      </c>
      <c r="EA95" s="1">
        <v>1887</v>
      </c>
      <c r="EB95" s="1">
        <v>1.6866084873438609</v>
      </c>
      <c r="EC95" s="1">
        <v>1.6221477721460928</v>
      </c>
      <c r="ED95" s="1">
        <v>1.7356337527699992</v>
      </c>
      <c r="EE95" s="1">
        <v>1.723624327317836</v>
      </c>
      <c r="EF95" s="1">
        <v>-0.78385161488033361</v>
      </c>
      <c r="EG95" s="1">
        <v>2.6012151622087742</v>
      </c>
      <c r="EH95" s="1">
        <v>1.6375892981830731</v>
      </c>
      <c r="EI95" s="1">
        <v>1.591763897938165</v>
      </c>
      <c r="EJ95" s="1">
        <v>4.0952639329220375</v>
      </c>
      <c r="EL95" s="1">
        <v>1887</v>
      </c>
      <c r="EM95" s="1">
        <v>1305662.4556592398</v>
      </c>
      <c r="EN95" s="1">
        <v>283337.97569847497</v>
      </c>
      <c r="EO95" s="1">
        <v>39684.97074628211</v>
      </c>
      <c r="EP95" s="1">
        <v>43976.978615370157</v>
      </c>
      <c r="EQ95" s="1">
        <v>60912.533407214003</v>
      </c>
      <c r="ER95" s="1">
        <v>156959.14137860032</v>
      </c>
      <c r="ES95" s="1">
        <v>89882.188384646302</v>
      </c>
      <c r="ET95" s="1">
        <v>1997.4354219397751</v>
      </c>
      <c r="EU95" s="1">
        <v>1982413.6793117675</v>
      </c>
      <c r="EV95" s="1">
        <v>1892531.4909271211</v>
      </c>
      <c r="EX95" s="1">
        <v>1887</v>
      </c>
      <c r="EY95" s="1">
        <v>952945.95591660624</v>
      </c>
      <c r="EZ95" s="1">
        <v>221620.13260509109</v>
      </c>
      <c r="FA95" s="1">
        <v>28210.570897329853</v>
      </c>
      <c r="FB95" s="1">
        <v>43976.978615370157</v>
      </c>
      <c r="FC95" s="1">
        <v>33110.125013728401</v>
      </c>
      <c r="FD95" s="1">
        <v>150524.35385931897</v>
      </c>
      <c r="FE95" s="1">
        <v>89882.188384646302</v>
      </c>
      <c r="FF95" s="1">
        <v>1536.2968821937943</v>
      </c>
      <c r="FG95" s="1">
        <v>1521806.6021742846</v>
      </c>
      <c r="FH95" s="1">
        <v>1431924.4137896383</v>
      </c>
      <c r="FJ95" s="1">
        <v>1887</v>
      </c>
      <c r="FK95" s="1">
        <v>352716.4997426336</v>
      </c>
      <c r="FL95" s="1">
        <v>61717.84309338389</v>
      </c>
      <c r="FM95" s="1">
        <v>11474.399848952255</v>
      </c>
      <c r="FN95" s="1">
        <v>0</v>
      </c>
      <c r="FO95" s="1">
        <v>27802.408393485599</v>
      </c>
      <c r="FP95" s="1">
        <v>6434.7875192813499</v>
      </c>
      <c r="FQ95" s="1">
        <v>461.13853974598084</v>
      </c>
      <c r="FR95" s="1">
        <v>460607.07713748264</v>
      </c>
      <c r="FS95" s="1">
        <v>744648.07024231565</v>
      </c>
      <c r="HC95" s="1">
        <v>1887</v>
      </c>
      <c r="HD95" s="1">
        <v>279.39174962609525</v>
      </c>
      <c r="HE95" s="1">
        <v>109.27681578041938</v>
      </c>
      <c r="HF95" s="1">
        <v>18.734594984669339</v>
      </c>
      <c r="HG95" s="1">
        <v>42.650409384220438</v>
      </c>
      <c r="HH95" s="1">
        <v>94.91095916795021</v>
      </c>
      <c r="HI95" s="1">
        <v>78.182592107237966</v>
      </c>
      <c r="HJ95" s="1">
        <v>1.5774572781268243</v>
      </c>
      <c r="HK95" s="2">
        <v>624.72457832871942</v>
      </c>
      <c r="HL95" s="1">
        <v>546.54198622148147</v>
      </c>
      <c r="HN95" s="1">
        <v>1887</v>
      </c>
      <c r="HO95" s="1">
        <v>130.22221065746282</v>
      </c>
      <c r="HP95" s="1">
        <v>32.712638617554084</v>
      </c>
      <c r="HQ95" s="1">
        <v>8.5371180138968068</v>
      </c>
      <c r="HR95" s="1">
        <v>0</v>
      </c>
      <c r="HS95" s="1">
        <v>34.976391015555791</v>
      </c>
      <c r="HT95" s="1">
        <v>0.54824290871786696</v>
      </c>
      <c r="HU95" s="2">
        <v>206.9966012131874</v>
      </c>
      <c r="HW95" s="1">
        <v>1887</v>
      </c>
      <c r="HX95" s="1">
        <v>50.973384310150948</v>
      </c>
      <c r="HY95" s="1">
        <v>43.771691234048035</v>
      </c>
      <c r="HZ95" s="1">
        <v>60.325282411412431</v>
      </c>
      <c r="IA95" s="1">
        <v>14.968583232762192</v>
      </c>
      <c r="IB95" s="1">
        <v>66.437818622227724</v>
      </c>
      <c r="IC95" s="1">
        <v>3.3989043341747287</v>
      </c>
      <c r="ID95" s="1">
        <v>129.94501424356955</v>
      </c>
      <c r="IE95" s="2">
        <v>369.82067838834564</v>
      </c>
      <c r="IF95" s="1">
        <v>366.4217740541709</v>
      </c>
      <c r="IH95" s="1">
        <v>1887</v>
      </c>
      <c r="II95" s="1">
        <v>196.16565624032415</v>
      </c>
      <c r="IJ95" s="1">
        <v>29.992412271246081</v>
      </c>
      <c r="IK95" s="1">
        <v>11.76170868883294</v>
      </c>
      <c r="IL95" s="1">
        <v>213.99402191349154</v>
      </c>
      <c r="IM95" s="1">
        <v>19.162426274507403</v>
      </c>
      <c r="IN95" s="1">
        <v>7.5146631612579684</v>
      </c>
      <c r="IO95" s="1">
        <v>4.6376317650011316</v>
      </c>
    </row>
    <row r="96" spans="1:249" x14ac:dyDescent="0.25">
      <c r="A96" s="1" t="s">
        <v>187</v>
      </c>
      <c r="B96" s="1">
        <v>4.9486390941310106</v>
      </c>
      <c r="C96" s="1">
        <v>4.9324373575432787</v>
      </c>
      <c r="D96" s="1">
        <v>5.0428118259466999</v>
      </c>
      <c r="E96" s="1">
        <v>4.8545507898288776</v>
      </c>
      <c r="F96" s="1">
        <v>5.0677116365979344</v>
      </c>
      <c r="G96" s="1">
        <v>5.1010683820353648</v>
      </c>
      <c r="H96" s="1">
        <v>5.3878326353830914</v>
      </c>
      <c r="J96" s="1">
        <v>1888</v>
      </c>
      <c r="K96" s="2">
        <v>1349.2194098461382</v>
      </c>
      <c r="L96" s="1">
        <v>1260.8744046776546</v>
      </c>
      <c r="M96" s="1">
        <v>1240.5546132412744</v>
      </c>
      <c r="N96" s="1">
        <v>1152.2096080727908</v>
      </c>
      <c r="O96" s="1">
        <v>108.66479660486375</v>
      </c>
      <c r="P96" s="1">
        <v>88.345005168483652</v>
      </c>
      <c r="Q96" s="1">
        <v>853.79056826103169</v>
      </c>
      <c r="R96" s="1">
        <v>2203.0099781071699</v>
      </c>
      <c r="S96" s="1">
        <v>2114.6649729386863</v>
      </c>
      <c r="U96" s="1">
        <v>1888</v>
      </c>
      <c r="V96" s="1">
        <v>284.55093714174023</v>
      </c>
      <c r="W96" s="1">
        <v>19530.017295689395</v>
      </c>
      <c r="X96" s="1">
        <v>4.756664241060065</v>
      </c>
      <c r="Y96" s="1">
        <v>265.91893864762528</v>
      </c>
      <c r="Z96" s="1">
        <v>17041.222138288969</v>
      </c>
      <c r="AA96" s="1">
        <v>4.6047344464412703</v>
      </c>
      <c r="AB96" s="1">
        <v>4741574.2973781396</v>
      </c>
      <c r="AC96" s="1">
        <v>0.32876585319934293</v>
      </c>
      <c r="AE96" s="1">
        <v>1888</v>
      </c>
      <c r="AF96" s="1">
        <v>434.70168723700766</v>
      </c>
      <c r="AG96" s="1">
        <v>212.94411128088706</v>
      </c>
      <c r="AH96" s="1">
        <v>92.115134760761862</v>
      </c>
      <c r="AI96" s="1">
        <v>98.702409270836924</v>
      </c>
      <c r="AJ96" s="1">
        <v>105.41962189643827</v>
      </c>
      <c r="AK96" s="1">
        <v>95.529857600164419</v>
      </c>
      <c r="AL96" s="1">
        <v>82.161095008497128</v>
      </c>
      <c r="AM96" s="1">
        <v>139.3004876230612</v>
      </c>
      <c r="AN96" s="2">
        <v>1260.8744046776544</v>
      </c>
      <c r="AP96" s="1" t="s">
        <v>187</v>
      </c>
      <c r="AQ96" s="1">
        <v>5.3829046532132026</v>
      </c>
      <c r="AR96" s="1">
        <v>8.4386198216062098</v>
      </c>
      <c r="AS96" s="1">
        <v>8.4130710123005485</v>
      </c>
      <c r="AT96" s="1">
        <v>9.0581160769510802</v>
      </c>
      <c r="AU96" s="1">
        <v>-0.38319566937839511</v>
      </c>
      <c r="AV96" s="1">
        <v>2.5282677285503894</v>
      </c>
      <c r="AW96" s="1">
        <v>1.0170980163372434</v>
      </c>
      <c r="AX96" s="1">
        <v>1.8589210434069656</v>
      </c>
      <c r="AY96" s="1">
        <v>4.9486390941310106</v>
      </c>
      <c r="BA96" s="1">
        <v>1888</v>
      </c>
      <c r="BB96" s="1">
        <v>1101.4437655561048</v>
      </c>
      <c r="BC96" s="1">
        <v>103.94141964848005</v>
      </c>
      <c r="BD96" s="1">
        <v>115.18682582045092</v>
      </c>
      <c r="BE96" s="1">
        <v>31.458547236660824</v>
      </c>
      <c r="BF96" s="1">
        <v>2.1026648548800546</v>
      </c>
      <c r="BG96" s="1">
        <v>11.617979469948585</v>
      </c>
      <c r="BH96" s="1">
        <v>342.54018469415058</v>
      </c>
      <c r="BI96" s="1">
        <v>359.0719774345377</v>
      </c>
      <c r="BJ96" s="1">
        <v>1349.219409846138</v>
      </c>
      <c r="BL96" s="1" t="s">
        <v>187</v>
      </c>
      <c r="BM96" s="1">
        <v>2.8990937246976927</v>
      </c>
      <c r="BN96" s="1">
        <v>-3.2614403581864337</v>
      </c>
      <c r="BO96" s="1">
        <v>18.728784300778756</v>
      </c>
      <c r="BP96" s="1">
        <v>7.7333333333333201</v>
      </c>
      <c r="BQ96" s="1">
        <v>3.2994923857868201</v>
      </c>
      <c r="BR96" s="1">
        <v>5.1010683820353506</v>
      </c>
      <c r="BT96" s="1" t="s">
        <v>187</v>
      </c>
      <c r="BU96" s="1">
        <v>0.66905188564130924</v>
      </c>
      <c r="BV96" s="1">
        <v>0.70633533578788388</v>
      </c>
      <c r="BW96" s="1">
        <v>1.2341412257303546</v>
      </c>
      <c r="BX96" s="1">
        <v>5.6847257759483796</v>
      </c>
      <c r="BY96" s="1">
        <v>7.2622828720389805</v>
      </c>
      <c r="BZ96" s="1">
        <v>0.27665176146453518</v>
      </c>
      <c r="CB96" s="1">
        <v>1888</v>
      </c>
      <c r="CC96" s="1">
        <v>38.03981811788487</v>
      </c>
      <c r="CD96" s="1">
        <v>29.79475056069402</v>
      </c>
      <c r="CE96" s="1">
        <v>0.26631934862352435</v>
      </c>
      <c r="CF96" s="1">
        <v>29.575277316396324</v>
      </c>
      <c r="CG96" s="1">
        <v>4.4261695422101024</v>
      </c>
      <c r="CH96" s="1">
        <v>6.4949095621829613</v>
      </c>
      <c r="CI96" s="1">
        <v>51.768772933948583</v>
      </c>
      <c r="CJ96" s="1">
        <v>160.3660173819404</v>
      </c>
      <c r="CL96" s="1">
        <v>1888</v>
      </c>
      <c r="CM96" s="1">
        <v>29.356453468717799</v>
      </c>
      <c r="CN96" s="1">
        <v>18.135300412690647</v>
      </c>
      <c r="CO96" s="1">
        <v>0.2444266613281085</v>
      </c>
      <c r="CP96" s="1">
        <v>24.343379310405801</v>
      </c>
      <c r="CQ96" s="1">
        <v>1.1975416307628015</v>
      </c>
      <c r="CR96" s="1">
        <v>3.4815212800895967</v>
      </c>
      <c r="CS96" s="1">
        <v>31.906173840869013</v>
      </c>
      <c r="CT96" s="2">
        <v>108.66479660486375</v>
      </c>
      <c r="CV96" s="1">
        <v>1888</v>
      </c>
      <c r="CW96" s="1">
        <v>1068.0926574097984</v>
      </c>
      <c r="CX96" s="1">
        <v>1222.4991366402992</v>
      </c>
      <c r="CY96" s="1">
        <v>210.27270440087517</v>
      </c>
      <c r="CZ96" s="1">
        <v>202.94166416280518</v>
      </c>
      <c r="DA96" s="1">
        <v>309.47751731200486</v>
      </c>
      <c r="DB96" s="1">
        <v>3013.2836799257825</v>
      </c>
      <c r="DC96" s="1">
        <v>2907.2124305857424</v>
      </c>
      <c r="DD96" s="1">
        <v>427.26449432252701</v>
      </c>
      <c r="DF96" s="1">
        <v>1888</v>
      </c>
      <c r="DG96" s="1">
        <v>1.5044822126290853</v>
      </c>
      <c r="DH96" s="1">
        <v>1.8596325848028812</v>
      </c>
      <c r="DI96" s="1">
        <v>1.1941622521336654</v>
      </c>
      <c r="DJ96" s="1">
        <v>1.680343737231297</v>
      </c>
      <c r="DK96" s="1">
        <v>1.0107782532519707</v>
      </c>
      <c r="DL96" s="1">
        <v>3.7540625150600704</v>
      </c>
      <c r="DM96" s="1">
        <v>1.7145696543487361</v>
      </c>
      <c r="DN96" s="1">
        <v>1.6729981307586286</v>
      </c>
      <c r="DO96" s="1">
        <v>2.6818869008963873</v>
      </c>
      <c r="DQ96" s="1">
        <v>1888</v>
      </c>
      <c r="DR96" s="1">
        <v>1762.8138057280764</v>
      </c>
      <c r="DS96" s="1">
        <v>2320.0114775357561</v>
      </c>
      <c r="DT96" s="1">
        <v>419.66530939910393</v>
      </c>
      <c r="DU96" s="1">
        <v>202.94166416280518</v>
      </c>
      <c r="DV96" s="1">
        <v>309.47751731200486</v>
      </c>
      <c r="DW96" s="1">
        <v>5014.9097741377464</v>
      </c>
      <c r="DX96" s="1">
        <v>4832.3323696977677</v>
      </c>
      <c r="DY96" s="1">
        <v>608.88680068497456</v>
      </c>
      <c r="EA96" s="1">
        <v>1888</v>
      </c>
      <c r="EB96" s="1">
        <v>1.966131252796103</v>
      </c>
      <c r="EC96" s="1">
        <v>2.3034450239728983</v>
      </c>
      <c r="ED96" s="1">
        <v>1.7098103810164673</v>
      </c>
      <c r="EE96" s="1">
        <v>2.3893251170425032</v>
      </c>
      <c r="EF96" s="1">
        <v>1.0107782532519707</v>
      </c>
      <c r="EG96" s="1">
        <v>3.7540625150600704</v>
      </c>
      <c r="EH96" s="1">
        <v>2.0728183691756499</v>
      </c>
      <c r="EI96" s="1">
        <v>2.0463939744319362</v>
      </c>
      <c r="EJ96" s="1">
        <v>3.0117670005345758</v>
      </c>
      <c r="EL96" s="1">
        <v>1888</v>
      </c>
      <c r="EM96" s="1">
        <v>1315336.601105083</v>
      </c>
      <c r="EN96" s="1">
        <v>296507.34397582343</v>
      </c>
      <c r="EO96" s="1">
        <v>41285.868519417527</v>
      </c>
      <c r="EP96" s="1">
        <v>44433.468167759042</v>
      </c>
      <c r="EQ96" s="1">
        <v>61901.560283614024</v>
      </c>
      <c r="ER96" s="1">
        <v>156912.71252284391</v>
      </c>
      <c r="ES96" s="1">
        <v>90733.57582536689</v>
      </c>
      <c r="ET96" s="1">
        <v>2051.2424621200444</v>
      </c>
      <c r="EU96" s="1">
        <v>2009162.3728620277</v>
      </c>
      <c r="EV96" s="1">
        <v>1918428.7970366608</v>
      </c>
      <c r="EX96" s="1">
        <v>1888</v>
      </c>
      <c r="EY96" s="1">
        <v>960970.70765861694</v>
      </c>
      <c r="EZ96" s="1">
        <v>235185.38225886214</v>
      </c>
      <c r="FA96" s="1">
        <v>29776.794826362551</v>
      </c>
      <c r="FB96" s="1">
        <v>44433.468167759042</v>
      </c>
      <c r="FC96" s="1">
        <v>33954.572617557489</v>
      </c>
      <c r="FD96" s="1">
        <v>150073.62882312358</v>
      </c>
      <c r="FE96" s="1">
        <v>90733.57582536689</v>
      </c>
      <c r="FF96" s="1">
        <v>1582.7712748978522</v>
      </c>
      <c r="FG96" s="1">
        <v>1546710.9014525467</v>
      </c>
      <c r="FH96" s="1">
        <v>1455977.3256271798</v>
      </c>
      <c r="FJ96" s="1">
        <v>1888</v>
      </c>
      <c r="FK96" s="1">
        <v>354365.89344646607</v>
      </c>
      <c r="FL96" s="1">
        <v>61321.961716961297</v>
      </c>
      <c r="FM96" s="1">
        <v>11509.073693054976</v>
      </c>
      <c r="FN96" s="1">
        <v>0</v>
      </c>
      <c r="FO96" s="1">
        <v>27946.987666056535</v>
      </c>
      <c r="FP96" s="1">
        <v>6839.0836997203296</v>
      </c>
      <c r="FQ96" s="1">
        <v>468.4711872221921</v>
      </c>
      <c r="FR96" s="1">
        <v>462451.47140948137</v>
      </c>
      <c r="FS96" s="1">
        <v>748521.22521782643</v>
      </c>
      <c r="HC96" s="1">
        <v>1888</v>
      </c>
      <c r="HD96" s="1">
        <v>273.53038021383691</v>
      </c>
      <c r="HE96" s="1">
        <v>120.48410396612552</v>
      </c>
      <c r="HF96" s="1">
        <v>20.545229080962731</v>
      </c>
      <c r="HG96" s="1">
        <v>43.868992509483881</v>
      </c>
      <c r="HH96" s="1">
        <v>97.956927752111213</v>
      </c>
      <c r="HI96" s="1">
        <v>78.679573728407604</v>
      </c>
      <c r="HJ96" s="1">
        <v>1.6529312533249971</v>
      </c>
      <c r="HK96" s="2">
        <v>636.71813850425292</v>
      </c>
      <c r="HL96" s="1">
        <v>558.03856477584532</v>
      </c>
      <c r="HN96" s="1">
        <v>1888</v>
      </c>
      <c r="HO96" s="1">
        <v>127.01684380726114</v>
      </c>
      <c r="HP96" s="1">
        <v>33.769255155033562</v>
      </c>
      <c r="HQ96" s="1">
        <v>8.8965634831946065</v>
      </c>
      <c r="HR96" s="1">
        <v>0</v>
      </c>
      <c r="HS96" s="1">
        <v>36.250430972474113</v>
      </c>
      <c r="HT96" s="1">
        <v>0.56647227996524874</v>
      </c>
      <c r="HU96" s="2">
        <v>206.49956569792866</v>
      </c>
      <c r="HW96" s="1">
        <v>1888</v>
      </c>
      <c r="HX96" s="1">
        <v>69.675463215909645</v>
      </c>
      <c r="HY96" s="1">
        <v>58.690752159727964</v>
      </c>
      <c r="HZ96" s="1">
        <v>62.673342196604523</v>
      </c>
      <c r="IA96" s="1">
        <v>19.312416761353042</v>
      </c>
      <c r="IB96" s="1">
        <v>66.742120772017387</v>
      </c>
      <c r="IC96" s="1">
        <v>3.4815212800895248</v>
      </c>
      <c r="ID96" s="1">
        <v>137.08108408977097</v>
      </c>
      <c r="IE96" s="2">
        <v>417.65670047547303</v>
      </c>
      <c r="IF96" s="1">
        <v>414.17517919538352</v>
      </c>
      <c r="IH96" s="1">
        <v>1888</v>
      </c>
      <c r="II96" s="1">
        <v>186.65634352335451</v>
      </c>
      <c r="IJ96" s="1">
        <v>37.15800937761022</v>
      </c>
      <c r="IK96" s="1">
        <v>14.514046580557588</v>
      </c>
      <c r="IL96" s="1">
        <v>202.71690285167216</v>
      </c>
      <c r="IM96" s="1">
        <v>26.291454512301954</v>
      </c>
      <c r="IN96" s="1">
        <v>10.269532783209161</v>
      </c>
      <c r="IO96" s="1">
        <v>3.2059242632905836</v>
      </c>
    </row>
    <row r="97" spans="1:249" x14ac:dyDescent="0.25">
      <c r="A97" s="1" t="s">
        <v>188</v>
      </c>
      <c r="B97" s="1">
        <v>0.85834451528054956</v>
      </c>
      <c r="C97" s="1">
        <v>0.80324071445147638</v>
      </c>
      <c r="D97" s="1">
        <v>1.0396030862457053</v>
      </c>
      <c r="E97" s="1">
        <v>0.67741111057245007</v>
      </c>
      <c r="F97" s="1">
        <v>1.1271060118583307</v>
      </c>
      <c r="G97" s="1">
        <v>-1.4405803700546613</v>
      </c>
      <c r="H97" s="1">
        <v>-1.7890697271997169</v>
      </c>
      <c r="J97" s="1">
        <v>1889</v>
      </c>
      <c r="K97" s="2">
        <v>1430.7014814534321</v>
      </c>
      <c r="L97" s="1">
        <v>1334.3351631968758</v>
      </c>
      <c r="M97" s="1">
        <v>1314.8334742718785</v>
      </c>
      <c r="N97" s="1">
        <v>1218.4671560153222</v>
      </c>
      <c r="O97" s="1">
        <v>115.86800718155366</v>
      </c>
      <c r="P97" s="1">
        <v>96.366318256556241</v>
      </c>
      <c r="Q97" s="1">
        <v>948.03367522959229</v>
      </c>
      <c r="R97" s="1">
        <v>2378.7351566830243</v>
      </c>
      <c r="S97" s="1">
        <v>2282.3688384264678</v>
      </c>
      <c r="U97" s="1">
        <v>1889</v>
      </c>
      <c r="V97" s="1">
        <v>300.48452329128162</v>
      </c>
      <c r="W97" s="1">
        <v>19168.865352390236</v>
      </c>
      <c r="X97" s="1">
        <v>-1.8492146618778094</v>
      </c>
      <c r="Y97" s="1">
        <v>280.24508999367953</v>
      </c>
      <c r="Z97" s="1">
        <v>17116.233971607962</v>
      </c>
      <c r="AA97" s="1">
        <v>0.44017871905121808</v>
      </c>
      <c r="AB97" s="1">
        <v>4761315.044723779</v>
      </c>
      <c r="AC97" s="1">
        <v>0.41633318614357506</v>
      </c>
      <c r="AE97" s="1">
        <v>1889</v>
      </c>
      <c r="AF97" s="1">
        <v>449.45679349401263</v>
      </c>
      <c r="AG97" s="1">
        <v>239.84286587740385</v>
      </c>
      <c r="AH97" s="1">
        <v>94.824990046630049</v>
      </c>
      <c r="AI97" s="1">
        <v>110.26591618617778</v>
      </c>
      <c r="AJ97" s="1">
        <v>120.43973499156708</v>
      </c>
      <c r="AK97" s="1">
        <v>94.633922672838551</v>
      </c>
      <c r="AL97" s="1">
        <v>83.615736437041107</v>
      </c>
      <c r="AM97" s="1">
        <v>141.25520349120478</v>
      </c>
      <c r="AN97" s="2">
        <v>1334.3351631968758</v>
      </c>
      <c r="AP97" s="1" t="s">
        <v>188</v>
      </c>
      <c r="AQ97" s="1">
        <v>-4.2713274363311342</v>
      </c>
      <c r="AR97" s="1">
        <v>10.552737807664016</v>
      </c>
      <c r="AS97" s="1">
        <v>-0.8780533291177619</v>
      </c>
      <c r="AT97" s="1">
        <v>8.4292281854853286</v>
      </c>
      <c r="AU97" s="1">
        <v>0.84239876892884524</v>
      </c>
      <c r="AV97" s="1">
        <v>-2.4294764324493912</v>
      </c>
      <c r="AW97" s="1">
        <v>-0.6706690262723356</v>
      </c>
      <c r="AX97" s="1">
        <v>1.4542934156786202</v>
      </c>
      <c r="AY97" s="1">
        <v>0.85834451528054956</v>
      </c>
      <c r="BA97" s="1">
        <v>1889</v>
      </c>
      <c r="BB97" s="1">
        <v>1197.5391130163491</v>
      </c>
      <c r="BC97" s="1">
        <v>106.32185848303263</v>
      </c>
      <c r="BD97" s="1">
        <v>119.14385686284083</v>
      </c>
      <c r="BE97" s="1">
        <v>41.658072261197233</v>
      </c>
      <c r="BF97" s="1">
        <v>-1.2460072344225077</v>
      </c>
      <c r="BG97" s="1">
        <v>17.738700425292855</v>
      </c>
      <c r="BH97" s="1">
        <v>365.07572316087101</v>
      </c>
      <c r="BI97" s="1">
        <v>415.52983552172913</v>
      </c>
      <c r="BJ97" s="1">
        <v>1430.7014814534323</v>
      </c>
      <c r="BL97" s="1" t="s">
        <v>188</v>
      </c>
      <c r="BM97" s="1">
        <v>2.7715708520604778</v>
      </c>
      <c r="BN97" s="1">
        <v>-0.55482976697003039</v>
      </c>
      <c r="BO97" s="1">
        <v>6.303040984066115</v>
      </c>
      <c r="BP97" s="1">
        <v>-2.9702970297029907</v>
      </c>
      <c r="BQ97" s="1">
        <v>14.004914004914014</v>
      </c>
      <c r="BR97" s="1">
        <v>-1.4405803700546755</v>
      </c>
      <c r="BT97" s="1" t="s">
        <v>188</v>
      </c>
      <c r="BU97" s="1">
        <v>5.7923789241775836</v>
      </c>
      <c r="BV97" s="1">
        <v>2.8608762467442546</v>
      </c>
      <c r="BW97" s="1">
        <v>4.001003675667917</v>
      </c>
      <c r="BX97" s="1">
        <v>9.8415682062298799</v>
      </c>
      <c r="BY97" s="1">
        <v>1.5072652353068605</v>
      </c>
      <c r="BZ97" s="1">
        <v>7.5891085420770565</v>
      </c>
      <c r="CB97" s="1">
        <v>1889</v>
      </c>
      <c r="CC97" s="1">
        <v>35.383556827039961</v>
      </c>
      <c r="CD97" s="1">
        <v>39.817120333879089</v>
      </c>
      <c r="CE97" s="1">
        <v>0.47684429281826757</v>
      </c>
      <c r="CF97" s="1">
        <v>28.045670334322651</v>
      </c>
      <c r="CG97" s="1">
        <v>7.0126043840740655</v>
      </c>
      <c r="CH97" s="1">
        <v>6.4949095621829613</v>
      </c>
      <c r="CI97" s="1">
        <v>60.063916580591425</v>
      </c>
      <c r="CJ97" s="1">
        <v>177.29462231490839</v>
      </c>
      <c r="CL97" s="1">
        <v>1889</v>
      </c>
      <c r="CM97" s="1">
        <v>31.217320129456478</v>
      </c>
      <c r="CN97" s="1">
        <v>18.66276146589718</v>
      </c>
      <c r="CO97" s="1">
        <v>0.26587812102138009</v>
      </c>
      <c r="CP97" s="1">
        <v>25.918971675787667</v>
      </c>
      <c r="CQ97" s="1">
        <v>1.3023484962397034</v>
      </c>
      <c r="CR97" s="1">
        <v>3.7174006842129996</v>
      </c>
      <c r="CS97" s="1">
        <v>34.783326608938253</v>
      </c>
      <c r="CT97" s="2">
        <v>115.86800718155366</v>
      </c>
      <c r="CV97" s="1">
        <v>1889</v>
      </c>
      <c r="CW97" s="1">
        <v>1156.9897631530066</v>
      </c>
      <c r="CX97" s="1">
        <v>1315.3694210674958</v>
      </c>
      <c r="CY97" s="1">
        <v>207.37923142905842</v>
      </c>
      <c r="CZ97" s="1">
        <v>201.88140281161625</v>
      </c>
      <c r="DA97" s="1">
        <v>333.27272883800993</v>
      </c>
      <c r="DB97" s="1">
        <v>3214.8925472991868</v>
      </c>
      <c r="DC97" s="1">
        <v>3099.6024144857543</v>
      </c>
      <c r="DD97" s="1">
        <v>449.80429013976487</v>
      </c>
      <c r="DF97" s="1">
        <v>1889</v>
      </c>
      <c r="DG97" s="1">
        <v>1.2840172749904184</v>
      </c>
      <c r="DH97" s="1">
        <v>2.1850314304215459</v>
      </c>
      <c r="DI97" s="1">
        <v>0.49153695621943427</v>
      </c>
      <c r="DJ97" s="1">
        <v>6.3422184235720351</v>
      </c>
      <c r="DK97" s="1">
        <v>-0.53156656667648861</v>
      </c>
      <c r="DL97" s="1">
        <v>5.3225778440200315</v>
      </c>
      <c r="DM97" s="1">
        <v>1.9003121730373493</v>
      </c>
      <c r="DN97" s="1">
        <v>1.8816429170542222</v>
      </c>
      <c r="DO97" s="1">
        <v>4.0525878694162003</v>
      </c>
      <c r="DQ97" s="1">
        <v>1889</v>
      </c>
      <c r="DR97" s="1">
        <v>1917.8524130294361</v>
      </c>
      <c r="DS97" s="1">
        <v>2509.0189065802742</v>
      </c>
      <c r="DT97" s="1">
        <v>417.06042823071903</v>
      </c>
      <c r="DU97" s="1">
        <v>201.88140281161625</v>
      </c>
      <c r="DV97" s="1">
        <v>333.27272883800993</v>
      </c>
      <c r="DW97" s="1">
        <v>5379.0858794900569</v>
      </c>
      <c r="DX97" s="1">
        <v>5180.8359431764948</v>
      </c>
      <c r="DY97" s="1">
        <v>640.45630957774915</v>
      </c>
      <c r="EA97" s="1">
        <v>1889</v>
      </c>
      <c r="EB97" s="1">
        <v>1.8191791425970223</v>
      </c>
      <c r="EC97" s="1">
        <v>2.4917147240058455</v>
      </c>
      <c r="ED97" s="1">
        <v>1.3051306439340493</v>
      </c>
      <c r="EE97" s="1">
        <v>4.8492485729396861</v>
      </c>
      <c r="EF97" s="1">
        <v>-0.53156656667648861</v>
      </c>
      <c r="EG97" s="1">
        <v>5.3225778440200315</v>
      </c>
      <c r="EH97" s="1">
        <v>2.1734148786908776</v>
      </c>
      <c r="EI97" s="1">
        <v>2.1606330712238559</v>
      </c>
      <c r="EJ97" s="1">
        <v>3.979106071640274</v>
      </c>
      <c r="EL97" s="1">
        <v>1889</v>
      </c>
      <c r="EM97" s="1">
        <v>1301093.4266744333</v>
      </c>
      <c r="EN97" s="1">
        <v>306826.62508867111</v>
      </c>
      <c r="EO97" s="1">
        <v>41962.137901224174</v>
      </c>
      <c r="EP97" s="1">
        <v>46444.565116762584</v>
      </c>
      <c r="EQ97" s="1">
        <v>59834.424346448177</v>
      </c>
      <c r="ER97" s="1">
        <v>154214.34054827984</v>
      </c>
      <c r="ES97" s="1">
        <v>90003.815161892097</v>
      </c>
      <c r="ET97" s="1">
        <v>2106.5878161572273</v>
      </c>
      <c r="EU97" s="1">
        <v>2002485.9226538683</v>
      </c>
      <c r="EV97" s="1">
        <v>1912482.1074919763</v>
      </c>
      <c r="EX97" s="1">
        <v>1889</v>
      </c>
      <c r="EY97" s="1">
        <v>945966.27459542919</v>
      </c>
      <c r="EZ97" s="1">
        <v>244257.06286849233</v>
      </c>
      <c r="FA97" s="1">
        <v>29920.839187995909</v>
      </c>
      <c r="FB97" s="1">
        <v>46444.565116762584</v>
      </c>
      <c r="FC97" s="1">
        <v>31602.563497121188</v>
      </c>
      <c r="FD97" s="1">
        <v>147345.83486086462</v>
      </c>
      <c r="FE97" s="1">
        <v>90003.815161892097</v>
      </c>
      <c r="FF97" s="1">
        <v>1630.6638089413127</v>
      </c>
      <c r="FG97" s="1">
        <v>1537171.6190974992</v>
      </c>
      <c r="FH97" s="1">
        <v>1447167.8039356072</v>
      </c>
      <c r="FJ97" s="1">
        <v>1889</v>
      </c>
      <c r="FK97" s="1">
        <v>355127.1520790041</v>
      </c>
      <c r="FL97" s="1">
        <v>62569.562220178792</v>
      </c>
      <c r="FM97" s="1">
        <v>12041.298713228267</v>
      </c>
      <c r="FN97" s="1">
        <v>0</v>
      </c>
      <c r="FO97" s="1">
        <v>28231.860849326993</v>
      </c>
      <c r="FP97" s="1">
        <v>6868.5056874151869</v>
      </c>
      <c r="FQ97" s="1">
        <v>475.92400721591446</v>
      </c>
      <c r="FR97" s="1">
        <v>465314.30355636921</v>
      </c>
      <c r="FS97" s="1">
        <v>752414.52572256606</v>
      </c>
      <c r="HC97" s="1">
        <v>1889</v>
      </c>
      <c r="HD97" s="1">
        <v>277.34539498861682</v>
      </c>
      <c r="HE97" s="1">
        <v>132.8099092266861</v>
      </c>
      <c r="HF97" s="1">
        <v>21.911430507024477</v>
      </c>
      <c r="HG97" s="1">
        <v>46.306158760010767</v>
      </c>
      <c r="HH97" s="1">
        <v>96.24716004305067</v>
      </c>
      <c r="HI97" s="1">
        <v>79.898335752828046</v>
      </c>
      <c r="HJ97" s="1">
        <v>1.7410724072841044</v>
      </c>
      <c r="HK97" s="2">
        <v>656.25946168550104</v>
      </c>
      <c r="HL97" s="1">
        <v>576.36112593267296</v>
      </c>
      <c r="HN97" s="1">
        <v>1889</v>
      </c>
      <c r="HO97" s="1">
        <v>131.11221857202818</v>
      </c>
      <c r="HP97" s="1">
        <v>36.570633241847936</v>
      </c>
      <c r="HQ97" s="1">
        <v>9.8791405392413463</v>
      </c>
      <c r="HR97" s="1">
        <v>0</v>
      </c>
      <c r="HS97" s="1">
        <v>37.291214059812447</v>
      </c>
      <c r="HT97" s="1">
        <v>0.58836815510794582</v>
      </c>
      <c r="HU97" s="2">
        <v>215.44157456803788</v>
      </c>
      <c r="HW97" s="1">
        <v>1889</v>
      </c>
      <c r="HX97" s="1">
        <v>81.401179933367644</v>
      </c>
      <c r="HY97" s="1">
        <v>70.462323408869821</v>
      </c>
      <c r="HZ97" s="1">
        <v>63.034419000364224</v>
      </c>
      <c r="IA97" s="1">
        <v>23.557757426167008</v>
      </c>
      <c r="IB97" s="1">
        <v>81.535283561542514</v>
      </c>
      <c r="IC97" s="1">
        <v>3.7174006842130609</v>
      </c>
      <c r="ID97" s="1">
        <v>138.92576292881273</v>
      </c>
      <c r="IE97" s="2">
        <v>462.63412694333698</v>
      </c>
      <c r="IF97" s="1">
        <v>458.91672625912395</v>
      </c>
      <c r="IH97" s="1">
        <v>1889</v>
      </c>
      <c r="II97" s="1">
        <v>174.12512594814538</v>
      </c>
      <c r="IJ97" s="1">
        <v>40.750420121018841</v>
      </c>
      <c r="IK97" s="1">
        <v>16.62726992425311</v>
      </c>
      <c r="IL97" s="1">
        <v>187.68458486506015</v>
      </c>
      <c r="IM97" s="1">
        <v>30.581766469779424</v>
      </c>
      <c r="IN97" s="1">
        <v>12.478185116703095</v>
      </c>
      <c r="IO97" s="1">
        <v>0.32508563885569686</v>
      </c>
    </row>
    <row r="98" spans="1:249" x14ac:dyDescent="0.25">
      <c r="A98" s="1" t="s">
        <v>189</v>
      </c>
      <c r="B98" s="1">
        <v>2.4353783229195329</v>
      </c>
      <c r="C98" s="1">
        <v>2.3921791620610264</v>
      </c>
      <c r="D98" s="1">
        <v>2.4783659155197739</v>
      </c>
      <c r="E98" s="1">
        <v>2.3924087627410699</v>
      </c>
      <c r="F98" s="1">
        <v>2.639931061958805</v>
      </c>
      <c r="G98" s="1">
        <v>5.0097882811913195</v>
      </c>
      <c r="H98" s="1">
        <v>5.2027787123916482</v>
      </c>
      <c r="J98" s="1">
        <v>1890</v>
      </c>
      <c r="K98" s="2">
        <v>1477.2666818908463</v>
      </c>
      <c r="L98" s="1">
        <v>1379.2804153147513</v>
      </c>
      <c r="M98" s="1">
        <v>1358.425153848196</v>
      </c>
      <c r="N98" s="1">
        <v>1260.4388872721011</v>
      </c>
      <c r="O98" s="1">
        <v>118.84152804265018</v>
      </c>
      <c r="P98" s="1">
        <v>97.986266576094891</v>
      </c>
      <c r="Q98" s="1">
        <v>1006.1874009922492</v>
      </c>
      <c r="R98" s="1">
        <v>2483.4540828830955</v>
      </c>
      <c r="S98" s="1">
        <v>2385.4678163070002</v>
      </c>
      <c r="U98" s="1">
        <v>1890</v>
      </c>
      <c r="V98" s="1">
        <v>309.07151717786098</v>
      </c>
      <c r="W98" s="1">
        <v>20051.791928160768</v>
      </c>
      <c r="X98" s="1">
        <v>4.6060450607757986</v>
      </c>
      <c r="Y98" s="1">
        <v>288.5709776039875</v>
      </c>
      <c r="Z98" s="1">
        <v>17465.667576342898</v>
      </c>
      <c r="AA98" s="1">
        <v>2.0415332328043974</v>
      </c>
      <c r="AB98" s="1">
        <v>4779692.0770305907</v>
      </c>
      <c r="AC98" s="1">
        <v>0.38596547664234038</v>
      </c>
      <c r="AE98" s="1">
        <v>1890</v>
      </c>
      <c r="AF98" s="1">
        <v>467.87542043940851</v>
      </c>
      <c r="AG98" s="1">
        <v>246.28017943744956</v>
      </c>
      <c r="AH98" s="1">
        <v>98.757692164365437</v>
      </c>
      <c r="AI98" s="1">
        <v>107.98937347617756</v>
      </c>
      <c r="AJ98" s="1">
        <v>129.62041569543794</v>
      </c>
      <c r="AK98" s="1">
        <v>96.22390981868125</v>
      </c>
      <c r="AL98" s="1">
        <v>84.221211716222186</v>
      </c>
      <c r="AM98" s="1">
        <v>148.31221256700888</v>
      </c>
      <c r="AN98" s="2">
        <v>1379.2804153147511</v>
      </c>
      <c r="AP98" s="1" t="s">
        <v>189</v>
      </c>
      <c r="AQ98" s="1">
        <v>2.1630400666097955</v>
      </c>
      <c r="AR98" s="1">
        <v>4.0453241439504239</v>
      </c>
      <c r="AS98" s="1">
        <v>2.4031337856011987</v>
      </c>
      <c r="AT98" s="1">
        <v>1.8187135148514102</v>
      </c>
      <c r="AU98" s="1">
        <v>3.953734467216762</v>
      </c>
      <c r="AV98" s="1">
        <v>0.16549144788271519</v>
      </c>
      <c r="AW98" s="1">
        <v>1.0279384917423044</v>
      </c>
      <c r="AX98" s="1">
        <v>2.1323909006643902</v>
      </c>
      <c r="AY98" s="1">
        <v>2.4353783229195329</v>
      </c>
      <c r="BA98" s="1">
        <v>1890</v>
      </c>
      <c r="BB98" s="1">
        <v>1230.7090794637852</v>
      </c>
      <c r="BC98" s="1">
        <v>110.6186906711166</v>
      </c>
      <c r="BD98" s="1">
        <v>123.95285240600997</v>
      </c>
      <c r="BE98" s="1">
        <v>44.091431507054629</v>
      </c>
      <c r="BF98" s="1">
        <v>5.4963225242973017</v>
      </c>
      <c r="BG98" s="1">
        <v>19.62021993468035</v>
      </c>
      <c r="BH98" s="1">
        <v>361.69539239086293</v>
      </c>
      <c r="BI98" s="1">
        <v>418.91730700696064</v>
      </c>
      <c r="BJ98" s="1">
        <v>1477.2666818908465</v>
      </c>
      <c r="BL98" s="1" t="s">
        <v>189</v>
      </c>
      <c r="BM98" s="1">
        <v>1.9593496065964899</v>
      </c>
      <c r="BN98" s="1">
        <v>3.6220773828565598</v>
      </c>
      <c r="BO98" s="1">
        <v>9.2023075511049228</v>
      </c>
      <c r="BP98" s="1">
        <v>3.5714285714285836</v>
      </c>
      <c r="BQ98" s="1">
        <v>-3.448275862068968</v>
      </c>
      <c r="BR98" s="1">
        <v>5.0097882811913337</v>
      </c>
      <c r="BT98" s="1" t="s">
        <v>189</v>
      </c>
      <c r="BU98" s="1">
        <v>0.79491924467029662</v>
      </c>
      <c r="BV98" s="1">
        <v>0.40461141006250045</v>
      </c>
      <c r="BW98" s="1">
        <v>-0.23190577977641169</v>
      </c>
      <c r="BX98" s="1">
        <v>-4.3422733077905633</v>
      </c>
      <c r="BY98" s="1">
        <v>4.4157608695652044</v>
      </c>
      <c r="BZ98" s="1">
        <v>-1.6713462374165999</v>
      </c>
      <c r="CB98" s="1">
        <v>1890</v>
      </c>
      <c r="CC98" s="1">
        <v>39.861011878050078</v>
      </c>
      <c r="CD98" s="1">
        <v>44.286036277892407</v>
      </c>
      <c r="CE98" s="1">
        <v>0.47542242441095517</v>
      </c>
      <c r="CF98" s="1">
        <v>28.946232020066013</v>
      </c>
      <c r="CG98" s="1">
        <v>6.7421244489836019</v>
      </c>
      <c r="CH98" s="1">
        <v>7.4130764172652519</v>
      </c>
      <c r="CI98" s="1">
        <v>65.436922905373947</v>
      </c>
      <c r="CJ98" s="1">
        <v>193.16082637204227</v>
      </c>
      <c r="CL98" s="1">
        <v>1890</v>
      </c>
      <c r="CM98" s="1">
        <v>31.821752200356695</v>
      </c>
      <c r="CN98" s="1">
        <v>19.593659124119569</v>
      </c>
      <c r="CO98" s="1">
        <v>0.2881578568299244</v>
      </c>
      <c r="CP98" s="1">
        <v>26.299293940722414</v>
      </c>
      <c r="CQ98" s="1">
        <v>1.317502407654773</v>
      </c>
      <c r="CR98" s="1">
        <v>3.8876038118153797</v>
      </c>
      <c r="CS98" s="1">
        <v>35.633558701151429</v>
      </c>
      <c r="CT98" s="2">
        <v>118.84152804265018</v>
      </c>
      <c r="CV98" s="1">
        <v>1890</v>
      </c>
      <c r="CW98" s="1">
        <v>1176.2623491724376</v>
      </c>
      <c r="CX98" s="1">
        <v>1315.2700243908389</v>
      </c>
      <c r="CY98" s="1">
        <v>221.6029319481928</v>
      </c>
      <c r="CZ98" s="1">
        <v>238.78414984747801</v>
      </c>
      <c r="DA98" s="1">
        <v>348.85565071728854</v>
      </c>
      <c r="DB98" s="1">
        <v>3300.7751060762357</v>
      </c>
      <c r="DC98" s="1">
        <v>3182.5280118463643</v>
      </c>
      <c r="DD98" s="1">
        <v>464.18865595853345</v>
      </c>
      <c r="DF98" s="1">
        <v>1890</v>
      </c>
      <c r="DG98" s="1">
        <v>1.4226414155549492</v>
      </c>
      <c r="DH98" s="1">
        <v>2.5337344364708088</v>
      </c>
      <c r="DI98" s="1">
        <v>0.42910267214357134</v>
      </c>
      <c r="DJ98" s="1">
        <v>6.2208251675738353</v>
      </c>
      <c r="DK98" s="1">
        <v>1.4724397290572853</v>
      </c>
      <c r="DL98" s="1">
        <v>5.6241657242297265</v>
      </c>
      <c r="DM98" s="1">
        <v>2.1986455897536246</v>
      </c>
      <c r="DN98" s="1">
        <v>2.1691451063239953</v>
      </c>
      <c r="DO98" s="1">
        <v>4.5933342768466048</v>
      </c>
      <c r="DQ98" s="1">
        <v>1890</v>
      </c>
      <c r="DR98" s="1">
        <v>1955.6509311784314</v>
      </c>
      <c r="DS98" s="1">
        <v>2529.1109390141432</v>
      </c>
      <c r="DT98" s="1">
        <v>439.69335318492784</v>
      </c>
      <c r="DU98" s="1">
        <v>238.78414984747801</v>
      </c>
      <c r="DV98" s="1">
        <v>348.85565071728854</v>
      </c>
      <c r="DW98" s="1">
        <v>5512.09502394227</v>
      </c>
      <c r="DX98" s="1">
        <v>5308.46850180403</v>
      </c>
      <c r="DY98" s="1">
        <v>660.00701180558451</v>
      </c>
      <c r="EA98" s="1">
        <v>1890</v>
      </c>
      <c r="EB98" s="1">
        <v>1.8769420955743783</v>
      </c>
      <c r="EC98" s="1">
        <v>2.6961398150020983</v>
      </c>
      <c r="ED98" s="1">
        <v>1.2435638395634783</v>
      </c>
      <c r="EE98" s="1">
        <v>4.9189828253433916</v>
      </c>
      <c r="EF98" s="1">
        <v>1.4724397290572853</v>
      </c>
      <c r="EG98" s="1">
        <v>5.6241657242297265</v>
      </c>
      <c r="EH98" s="1">
        <v>2.3434429090688553</v>
      </c>
      <c r="EI98" s="1">
        <v>2.3239624393634131</v>
      </c>
      <c r="EJ98" s="1">
        <v>4.404889806382954</v>
      </c>
      <c r="EL98" s="1">
        <v>1890</v>
      </c>
      <c r="EM98" s="1">
        <v>1303184.2079011686</v>
      </c>
      <c r="EN98" s="1">
        <v>317342.46393700165</v>
      </c>
      <c r="EO98" s="1">
        <v>42777.747722098793</v>
      </c>
      <c r="EP98" s="1">
        <v>47045.507269215559</v>
      </c>
      <c r="EQ98" s="1">
        <v>59556.145960778165</v>
      </c>
      <c r="ER98" s="1">
        <v>152987.78028245107</v>
      </c>
      <c r="ES98" s="1">
        <v>90855.202602612699</v>
      </c>
      <c r="ET98" s="1">
        <v>2163.5172364967934</v>
      </c>
      <c r="EU98" s="1">
        <v>2015912.5729118232</v>
      </c>
      <c r="EV98" s="1">
        <v>1925057.3703092108</v>
      </c>
      <c r="EX98" s="1">
        <v>1890</v>
      </c>
      <c r="EY98" s="1">
        <v>946153.90924081951</v>
      </c>
      <c r="EZ98" s="1">
        <v>254982.68566763811</v>
      </c>
      <c r="FA98" s="1">
        <v>29986.396033730627</v>
      </c>
      <c r="FB98" s="1">
        <v>47045.507269215559</v>
      </c>
      <c r="FC98" s="1">
        <v>31517.837675513812</v>
      </c>
      <c r="FD98" s="1">
        <v>146014.74012240529</v>
      </c>
      <c r="FE98" s="1">
        <v>90855.202602612699</v>
      </c>
      <c r="FF98" s="1">
        <v>1680.0181928111042</v>
      </c>
      <c r="FG98" s="1">
        <v>1548236.2968047468</v>
      </c>
      <c r="FH98" s="1">
        <v>1457381.0942021341</v>
      </c>
      <c r="FJ98" s="1">
        <v>1890</v>
      </c>
      <c r="FK98" s="1">
        <v>357030.29866034922</v>
      </c>
      <c r="FL98" s="1">
        <v>62359.778269363538</v>
      </c>
      <c r="FM98" s="1">
        <v>12791.351688368168</v>
      </c>
      <c r="FN98" s="1">
        <v>0</v>
      </c>
      <c r="FO98" s="1">
        <v>28038.308285264353</v>
      </c>
      <c r="FP98" s="1">
        <v>6973.0401600457826</v>
      </c>
      <c r="FQ98" s="1">
        <v>483.49904368568917</v>
      </c>
      <c r="FR98" s="1">
        <v>467676.27610707679</v>
      </c>
      <c r="FS98" s="1">
        <v>756328.07653993508</v>
      </c>
      <c r="HC98" s="1">
        <v>1890</v>
      </c>
      <c r="HD98" s="1">
        <v>291.14911532669578</v>
      </c>
      <c r="HE98" s="1">
        <v>142.96466116530911</v>
      </c>
      <c r="HF98" s="1">
        <v>22.644143221453383</v>
      </c>
      <c r="HG98" s="1">
        <v>47.52474188527421</v>
      </c>
      <c r="HH98" s="1">
        <v>97.713737254726368</v>
      </c>
      <c r="HI98" s="1">
        <v>80.333607904406747</v>
      </c>
      <c r="HJ98" s="1">
        <v>1.8281381173348132</v>
      </c>
      <c r="HK98" s="2">
        <v>684.15814487520049</v>
      </c>
      <c r="HL98" s="1">
        <v>603.8245369707937</v>
      </c>
      <c r="HN98" s="1">
        <v>1890</v>
      </c>
      <c r="HO98" s="1">
        <v>138.34795423834984</v>
      </c>
      <c r="HP98" s="1">
        <v>37.584483400343174</v>
      </c>
      <c r="HQ98" s="1">
        <v>10.821735925165786</v>
      </c>
      <c r="HR98" s="1">
        <v>0</v>
      </c>
      <c r="HS98" s="1">
        <v>37.912589795063795</v>
      </c>
      <c r="HT98" s="1">
        <v>0.60918581850828446</v>
      </c>
      <c r="HU98" s="2">
        <v>225.27594917743087</v>
      </c>
      <c r="HW98" s="1">
        <v>1890</v>
      </c>
      <c r="HX98" s="1">
        <v>77.291350874362877</v>
      </c>
      <c r="HY98" s="1">
        <v>65.731034871797306</v>
      </c>
      <c r="HZ98" s="1">
        <v>65.291813017746279</v>
      </c>
      <c r="IA98" s="1">
        <v>21.551631590903355</v>
      </c>
      <c r="IB98" s="1">
        <v>90.217998464329014</v>
      </c>
      <c r="IC98" s="1">
        <v>3.8876038118154401</v>
      </c>
      <c r="ID98" s="1">
        <v>145.87488863116579</v>
      </c>
      <c r="IE98" s="2">
        <v>469.84632126212006</v>
      </c>
      <c r="IF98" s="1">
        <v>465.95871745030462</v>
      </c>
      <c r="IH98" s="1">
        <v>1890</v>
      </c>
      <c r="II98" s="1">
        <v>175.22230605516393</v>
      </c>
      <c r="IJ98" s="1">
        <v>35.581862015797022</v>
      </c>
      <c r="IK98" s="1">
        <v>14.977443346293558</v>
      </c>
      <c r="IL98" s="1">
        <v>189.21724931116267</v>
      </c>
      <c r="IM98" s="1">
        <v>25.553915449818714</v>
      </c>
      <c r="IN98" s="1">
        <v>10.756388205758221</v>
      </c>
      <c r="IO98" s="1">
        <v>2.3048016236871405</v>
      </c>
    </row>
    <row r="99" spans="1:249" x14ac:dyDescent="0.25">
      <c r="A99" s="1" t="s">
        <v>190</v>
      </c>
      <c r="B99" s="1">
        <v>4.0596710192348269</v>
      </c>
      <c r="C99" s="1">
        <v>4.0862128596002094</v>
      </c>
      <c r="D99" s="1">
        <v>3.9670283460355762</v>
      </c>
      <c r="E99" s="1">
        <v>4.1523962442299194</v>
      </c>
      <c r="F99" s="1">
        <v>4.095288403690887</v>
      </c>
      <c r="G99" s="1">
        <v>-1.7039524801266168</v>
      </c>
      <c r="H99" s="1">
        <v>-1.9808508982259383</v>
      </c>
      <c r="J99" s="1">
        <v>1891</v>
      </c>
      <c r="K99" s="2">
        <v>1558.3640313177118</v>
      </c>
      <c r="L99" s="1">
        <v>1458.6352677695168</v>
      </c>
      <c r="M99" s="1">
        <v>1438.4374749052722</v>
      </c>
      <c r="N99" s="1">
        <v>1338.7087113570772</v>
      </c>
      <c r="O99" s="1">
        <v>119.92655641243968</v>
      </c>
      <c r="P99" s="1">
        <v>99.728763548194962</v>
      </c>
      <c r="Q99" s="1">
        <v>1050.066142788404</v>
      </c>
      <c r="R99" s="1">
        <v>2608.4301741061158</v>
      </c>
      <c r="S99" s="1">
        <v>2508.701410557921</v>
      </c>
      <c r="U99" s="1">
        <v>1891</v>
      </c>
      <c r="V99" s="1">
        <v>325.07514976754635</v>
      </c>
      <c r="W99" s="1">
        <v>19651.876180824569</v>
      </c>
      <c r="X99" s="1">
        <v>-1.9944140093263059</v>
      </c>
      <c r="Y99" s="1">
        <v>304.27170327170495</v>
      </c>
      <c r="Z99" s="1">
        <v>18121.010543361172</v>
      </c>
      <c r="AA99" s="1">
        <v>3.7521781755764749</v>
      </c>
      <c r="AB99" s="1">
        <v>4793857.7662182469</v>
      </c>
      <c r="AC99" s="1">
        <v>0.29637242231001437</v>
      </c>
      <c r="AE99" s="1">
        <v>1891</v>
      </c>
      <c r="AF99" s="1">
        <v>538.41956726723777</v>
      </c>
      <c r="AG99" s="1">
        <v>259.41065668400358</v>
      </c>
      <c r="AH99" s="1">
        <v>80.004387505600619</v>
      </c>
      <c r="AI99" s="1">
        <v>104.21979884296952</v>
      </c>
      <c r="AJ99" s="1">
        <v>142.89462500937665</v>
      </c>
      <c r="AK99" s="1">
        <v>99.593529604226262</v>
      </c>
      <c r="AL99" s="1">
        <v>86.372776784130636</v>
      </c>
      <c r="AM99" s="1">
        <v>147.71992607197168</v>
      </c>
      <c r="AN99" s="2">
        <v>1458.6352677695165</v>
      </c>
      <c r="AP99" s="1" t="s">
        <v>190</v>
      </c>
      <c r="AQ99" s="1">
        <v>8.77485690778839</v>
      </c>
      <c r="AR99" s="1">
        <v>4.6212757841772572</v>
      </c>
      <c r="AS99" s="1">
        <v>-14.228395065513226</v>
      </c>
      <c r="AT99" s="1">
        <v>-2.4782779097229195</v>
      </c>
      <c r="AU99" s="1">
        <v>9.5958639484412913</v>
      </c>
      <c r="AV99" s="1">
        <v>1.9905432560171761</v>
      </c>
      <c r="AW99" s="1">
        <v>1.4028256329104352</v>
      </c>
      <c r="AX99" s="1">
        <v>2.3932649589981594</v>
      </c>
      <c r="AY99" s="1">
        <v>4.0596710192348269</v>
      </c>
      <c r="BA99" s="1">
        <v>1891</v>
      </c>
      <c r="BB99" s="1">
        <v>1204.5251867188065</v>
      </c>
      <c r="BC99" s="1">
        <v>115.56723028791397</v>
      </c>
      <c r="BD99" s="1">
        <v>92.86708530058047</v>
      </c>
      <c r="BE99" s="1">
        <v>40.858555821567805</v>
      </c>
      <c r="BF99" s="1">
        <v>1.5045155036379552</v>
      </c>
      <c r="BG99" s="1">
        <v>18.030033974512957</v>
      </c>
      <c r="BH99" s="1">
        <v>380.85060008757529</v>
      </c>
      <c r="BI99" s="1">
        <v>295.83917637688324</v>
      </c>
      <c r="BJ99" s="1">
        <v>1558.3640313177118</v>
      </c>
      <c r="BL99" s="1" t="s">
        <v>190</v>
      </c>
      <c r="BM99" s="1">
        <v>-2.4689403926755489</v>
      </c>
      <c r="BN99" s="1">
        <v>3.0969928151377104</v>
      </c>
      <c r="BO99" s="1">
        <v>-20.383499052964311</v>
      </c>
      <c r="BP99" s="1">
        <v>5.9113300492610819</v>
      </c>
      <c r="BQ99" s="1">
        <v>-5.1339285714285552</v>
      </c>
      <c r="BR99" s="1">
        <v>-1.703952480126631</v>
      </c>
      <c r="BT99" s="1" t="s">
        <v>190</v>
      </c>
      <c r="BU99" s="1">
        <v>0.35003734106618367</v>
      </c>
      <c r="BV99" s="1">
        <v>1.3351684059601325</v>
      </c>
      <c r="BW99" s="1">
        <v>-0.34313531028156774</v>
      </c>
      <c r="BX99" s="1">
        <v>-0.581033108744478</v>
      </c>
      <c r="BY99" s="1">
        <v>-25.558268590455057</v>
      </c>
      <c r="BZ99" s="1">
        <v>7.318342758729429</v>
      </c>
      <c r="CB99" s="1">
        <v>1891</v>
      </c>
      <c r="CC99" s="1">
        <v>34.667058216752977</v>
      </c>
      <c r="CD99" s="1">
        <v>39.254564994624239</v>
      </c>
      <c r="CE99" s="1">
        <v>0.25800534140885145</v>
      </c>
      <c r="CF99" s="1">
        <v>33.277111140733389</v>
      </c>
      <c r="CG99" s="1">
        <v>6.5627874614766171</v>
      </c>
      <c r="CH99" s="1">
        <v>7.9755999951611418</v>
      </c>
      <c r="CI99" s="1">
        <v>31.265063450141977</v>
      </c>
      <c r="CJ99" s="1">
        <v>153.26019060029918</v>
      </c>
      <c r="CL99" s="1">
        <v>1891</v>
      </c>
      <c r="CM99" s="1">
        <v>31.771051814184318</v>
      </c>
      <c r="CN99" s="1">
        <v>20.56348641544356</v>
      </c>
      <c r="CO99" s="1">
        <v>0.28944157915077628</v>
      </c>
      <c r="CP99" s="1">
        <v>26.852618818222513</v>
      </c>
      <c r="CQ99" s="1">
        <v>1.3437258912655903</v>
      </c>
      <c r="CR99" s="1">
        <v>3.8473807544325376</v>
      </c>
      <c r="CS99" s="1">
        <v>35.258851139740386</v>
      </c>
      <c r="CT99" s="2">
        <v>119.92655641243968</v>
      </c>
      <c r="CV99" s="1">
        <v>1891</v>
      </c>
      <c r="CW99" s="1">
        <v>1189.7752641514376</v>
      </c>
      <c r="CX99" s="1">
        <v>1303.4059859293066</v>
      </c>
      <c r="CY99" s="1">
        <v>238.13264563041963</v>
      </c>
      <c r="CZ99" s="1">
        <v>243.73644950841111</v>
      </c>
      <c r="DA99" s="1">
        <v>369.89796706631938</v>
      </c>
      <c r="DB99" s="1">
        <v>3344.9483122858942</v>
      </c>
      <c r="DC99" s="1">
        <v>3225.3005949951025</v>
      </c>
      <c r="DD99" s="1">
        <v>486.50589346976301</v>
      </c>
      <c r="DF99" s="1">
        <v>1891</v>
      </c>
      <c r="DG99" s="1">
        <v>0.19829817002796801</v>
      </c>
      <c r="DH99" s="1">
        <v>-0.33567580449293644</v>
      </c>
      <c r="DI99" s="1">
        <v>0.68567527367835623</v>
      </c>
      <c r="DJ99" s="1">
        <v>3.7161765752686762</v>
      </c>
      <c r="DK99" s="1">
        <v>1.0132660245319585</v>
      </c>
      <c r="DL99" s="1">
        <v>4.8743263223396838</v>
      </c>
      <c r="DM99" s="1">
        <v>1.0339079119456187</v>
      </c>
      <c r="DN99" s="1">
        <v>0.94448712080379948</v>
      </c>
      <c r="DO99" s="1">
        <v>3.9364060470805669</v>
      </c>
      <c r="DQ99" s="1">
        <v>1891</v>
      </c>
      <c r="DR99" s="1">
        <v>1981.2506535141911</v>
      </c>
      <c r="DS99" s="1">
        <v>2526.5515505192061</v>
      </c>
      <c r="DT99" s="1">
        <v>466.94184570433129</v>
      </c>
      <c r="DU99" s="1">
        <v>243.73644950841111</v>
      </c>
      <c r="DV99" s="1">
        <v>369.89796706631938</v>
      </c>
      <c r="DW99" s="1">
        <v>5588.3784663124588</v>
      </c>
      <c r="DX99" s="1">
        <v>5382.779763262628</v>
      </c>
      <c r="DY99" s="1">
        <v>690.11622243340958</v>
      </c>
      <c r="EA99" s="1">
        <v>1891</v>
      </c>
      <c r="EB99" s="1">
        <v>1.1656132845685079</v>
      </c>
      <c r="EC99" s="1">
        <v>0.92383171714507739</v>
      </c>
      <c r="ED99" s="1">
        <v>1.3551960656122475</v>
      </c>
      <c r="EE99" s="1">
        <v>3.6635769081658509</v>
      </c>
      <c r="EF99" s="1">
        <v>1.0132660245319585</v>
      </c>
      <c r="EG99" s="1">
        <v>4.8743263223396838</v>
      </c>
      <c r="EH99" s="1">
        <v>1.6182064399569214</v>
      </c>
      <c r="EI99" s="1">
        <v>1.5610157429312181</v>
      </c>
      <c r="EJ99" s="1">
        <v>3.9200663984362762</v>
      </c>
      <c r="EL99" s="1">
        <v>1891</v>
      </c>
      <c r="EM99" s="1">
        <v>1318143.8814117694</v>
      </c>
      <c r="EN99" s="1">
        <v>336998.23748528294</v>
      </c>
      <c r="EO99" s="1">
        <v>40404.582708228161</v>
      </c>
      <c r="EP99" s="1">
        <v>48409.272793649703</v>
      </c>
      <c r="EQ99" s="1">
        <v>61771.336435460849</v>
      </c>
      <c r="ER99" s="1">
        <v>153212.35694826194</v>
      </c>
      <c r="ES99" s="1">
        <v>92071.470375070698</v>
      </c>
      <c r="ET99" s="1">
        <v>2207.8631556614805</v>
      </c>
      <c r="EU99" s="1">
        <v>2053219.0013133846</v>
      </c>
      <c r="EV99" s="1">
        <v>1961147.5309383145</v>
      </c>
      <c r="EX99" s="1">
        <v>1891</v>
      </c>
      <c r="EY99" s="1">
        <v>960352.32411888207</v>
      </c>
      <c r="EZ99" s="1">
        <v>273296.73599898734</v>
      </c>
      <c r="FA99" s="1">
        <v>27939.053904657194</v>
      </c>
      <c r="FB99" s="1">
        <v>48409.272793649703</v>
      </c>
      <c r="FC99" s="1">
        <v>33409.963357669039</v>
      </c>
      <c r="FD99" s="1">
        <v>146189.20497476228</v>
      </c>
      <c r="FE99" s="1">
        <v>92071.470375070698</v>
      </c>
      <c r="FF99" s="1">
        <v>1719.5876260164096</v>
      </c>
      <c r="FG99" s="1">
        <v>1583387.6131496949</v>
      </c>
      <c r="FH99" s="1">
        <v>1491316.1427746241</v>
      </c>
      <c r="FJ99" s="1">
        <v>1891</v>
      </c>
      <c r="FK99" s="1">
        <v>357791.5572928873</v>
      </c>
      <c r="FL99" s="1">
        <v>63701.501486295623</v>
      </c>
      <c r="FM99" s="1">
        <v>12465.528803570965</v>
      </c>
      <c r="FN99" s="1">
        <v>0</v>
      </c>
      <c r="FO99" s="1">
        <v>28361.373077791806</v>
      </c>
      <c r="FP99" s="1">
        <v>7023.1519734996564</v>
      </c>
      <c r="FQ99" s="1">
        <v>488.27552964507106</v>
      </c>
      <c r="FR99" s="1">
        <v>469831.38816369046</v>
      </c>
      <c r="FS99" s="1">
        <v>760437.15809435584</v>
      </c>
      <c r="HC99" s="1">
        <v>1891</v>
      </c>
      <c r="HD99" s="1">
        <v>318.50298236443655</v>
      </c>
      <c r="HE99" s="1">
        <v>154.54563988562293</v>
      </c>
      <c r="HF99" s="1">
        <v>21.278823886405419</v>
      </c>
      <c r="HG99" s="1">
        <v>48.743325010537653</v>
      </c>
      <c r="HH99" s="1">
        <v>101.97750477705424</v>
      </c>
      <c r="HI99" s="1">
        <v>82.525396029698115</v>
      </c>
      <c r="HJ99" s="1">
        <v>1.9063753749512873</v>
      </c>
      <c r="HK99" s="2">
        <v>729.48004732870606</v>
      </c>
      <c r="HL99" s="1">
        <v>646.95465129900799</v>
      </c>
      <c r="HN99" s="1">
        <v>1891</v>
      </c>
      <c r="HO99" s="1">
        <v>149.42627893215757</v>
      </c>
      <c r="HP99" s="1">
        <v>38.722019198085043</v>
      </c>
      <c r="HQ99" s="1">
        <v>10.636420607566853</v>
      </c>
      <c r="HR99" s="1">
        <v>0</v>
      </c>
      <c r="HS99" s="1">
        <v>39.009767004807635</v>
      </c>
      <c r="HT99" s="1">
        <v>0.62677001865780868</v>
      </c>
      <c r="HU99" s="2">
        <v>238.42125576127492</v>
      </c>
      <c r="HW99" s="1">
        <v>1891</v>
      </c>
      <c r="HX99" s="1">
        <v>107.50830597064368</v>
      </c>
      <c r="HY99" s="1">
        <v>66.142997600295587</v>
      </c>
      <c r="HZ99" s="1">
        <v>48.089143011628344</v>
      </c>
      <c r="IA99" s="1">
        <v>18.458473832431871</v>
      </c>
      <c r="IB99" s="1">
        <v>101.50088283174097</v>
      </c>
      <c r="IC99" s="1">
        <v>3.8473807544325203</v>
      </c>
      <c r="ID99" s="1">
        <v>145.1867806783626</v>
      </c>
      <c r="IE99" s="2">
        <v>490.73396467953552</v>
      </c>
      <c r="IF99" s="1">
        <v>486.88658392510303</v>
      </c>
      <c r="IH99" s="1">
        <v>1891</v>
      </c>
      <c r="II99" s="1">
        <v>174.83656099455865</v>
      </c>
      <c r="IJ99" s="1">
        <v>33.445135593840945</v>
      </c>
      <c r="IK99" s="1">
        <v>14.335008615958269</v>
      </c>
      <c r="IL99" s="1">
        <v>188.78787093599036</v>
      </c>
      <c r="IM99" s="1">
        <v>23.583620457218167</v>
      </c>
      <c r="IN99" s="1">
        <v>10.108238356550999</v>
      </c>
      <c r="IO99" s="1">
        <v>0.50479117046397448</v>
      </c>
    </row>
    <row r="100" spans="1:249" x14ac:dyDescent="0.25">
      <c r="A100" s="1" t="s">
        <v>191</v>
      </c>
      <c r="B100" s="1">
        <v>-0.30502680591496301</v>
      </c>
      <c r="C100" s="1">
        <v>-0.29750278798019281</v>
      </c>
      <c r="D100" s="1">
        <v>-0.18105170342830945</v>
      </c>
      <c r="E100" s="1">
        <v>-0.42884793136320809</v>
      </c>
      <c r="F100" s="1">
        <v>-0.2205429137869146</v>
      </c>
      <c r="G100" s="1">
        <v>5.4100882413838889</v>
      </c>
      <c r="H100" s="1">
        <v>5.7501424075704506</v>
      </c>
      <c r="J100" s="1">
        <v>1892</v>
      </c>
      <c r="K100" s="2">
        <v>1581.1734749512641</v>
      </c>
      <c r="L100" s="1">
        <v>1482.7923613289918</v>
      </c>
      <c r="M100" s="1">
        <v>1460.9476878046723</v>
      </c>
      <c r="N100" s="1">
        <v>1362.5665741824</v>
      </c>
      <c r="O100" s="1">
        <v>120.22578714659167</v>
      </c>
      <c r="P100" s="1">
        <v>98.381113622272352</v>
      </c>
      <c r="Q100" s="1">
        <v>1102.3793942404823</v>
      </c>
      <c r="R100" s="1">
        <v>2683.5528691917461</v>
      </c>
      <c r="S100" s="1">
        <v>2585.171755569474</v>
      </c>
      <c r="U100" s="1">
        <v>1892</v>
      </c>
      <c r="V100" s="1">
        <v>329.08154079216047</v>
      </c>
      <c r="W100" s="1">
        <v>20667.851966341736</v>
      </c>
      <c r="X100" s="1">
        <v>5.1698666130845652</v>
      </c>
      <c r="Y100" s="1">
        <v>308.60598325938315</v>
      </c>
      <c r="Z100" s="1">
        <v>18024.566154688528</v>
      </c>
      <c r="AA100" s="1">
        <v>-0.5322241187480472</v>
      </c>
      <c r="AB100" s="1">
        <v>4804807.5596859232</v>
      </c>
      <c r="AC100" s="1">
        <v>0.2284129818126388</v>
      </c>
      <c r="AE100" s="1">
        <v>1892</v>
      </c>
      <c r="AF100" s="1">
        <v>549.89394993995643</v>
      </c>
      <c r="AG100" s="1">
        <v>265.69786711853249</v>
      </c>
      <c r="AH100" s="1">
        <v>83.877819143332928</v>
      </c>
      <c r="AI100" s="1">
        <v>104.23438167263129</v>
      </c>
      <c r="AJ100" s="1">
        <v>143.93136337292438</v>
      </c>
      <c r="AK100" s="1">
        <v>99.85091419326136</v>
      </c>
      <c r="AL100" s="1">
        <v>88.398102215053967</v>
      </c>
      <c r="AM100" s="1">
        <v>146.90796367329878</v>
      </c>
      <c r="AN100" s="2">
        <v>1482.7923613289915</v>
      </c>
      <c r="AP100" s="1" t="s">
        <v>191</v>
      </c>
      <c r="AQ100" s="1">
        <v>-3.0143245212353946</v>
      </c>
      <c r="AR100" s="1">
        <v>2.0935289275312812</v>
      </c>
      <c r="AS100" s="1">
        <v>7.6554468293779792</v>
      </c>
      <c r="AT100" s="1">
        <v>-2.6178012815486369</v>
      </c>
      <c r="AU100" s="1">
        <v>-0.48035075469678645</v>
      </c>
      <c r="AV100" s="1">
        <v>-0.21036032967940343</v>
      </c>
      <c r="AW100" s="1">
        <v>2.8594330395889926</v>
      </c>
      <c r="AX100" s="1">
        <v>1.284587911691105</v>
      </c>
      <c r="AY100" s="1">
        <v>-0.30502680591496301</v>
      </c>
      <c r="BA100" s="1">
        <v>1892</v>
      </c>
      <c r="BB100" s="1">
        <v>1318.8255609191922</v>
      </c>
      <c r="BC100" s="1">
        <v>117.755233618239</v>
      </c>
      <c r="BD100" s="1">
        <v>108.49345741562254</v>
      </c>
      <c r="BE100" s="1">
        <v>35.273351437696647</v>
      </c>
      <c r="BF100" s="1">
        <v>4.4187737097866329</v>
      </c>
      <c r="BG100" s="1">
        <v>16.38348779813311</v>
      </c>
      <c r="BH100" s="1">
        <v>369.5828308542151</v>
      </c>
      <c r="BI100" s="1">
        <v>389.55922080162105</v>
      </c>
      <c r="BJ100" s="1">
        <v>1581.1734749512643</v>
      </c>
      <c r="BL100" s="1" t="s">
        <v>191</v>
      </c>
      <c r="BM100" s="1">
        <v>6.8183095131155937</v>
      </c>
      <c r="BN100" s="1">
        <v>2.9303044976309138</v>
      </c>
      <c r="BO100" s="1">
        <v>8.0384550084599198</v>
      </c>
      <c r="BP100" s="1">
        <v>-2.5581395348837077</v>
      </c>
      <c r="BQ100" s="1">
        <v>1.8823529411764639</v>
      </c>
      <c r="BR100" s="1">
        <v>5.4100882413839173</v>
      </c>
      <c r="BT100" s="1" t="s">
        <v>191</v>
      </c>
      <c r="BU100" s="1">
        <v>2.5004494414312575</v>
      </c>
      <c r="BV100" s="1">
        <v>-1.0075082961590311</v>
      </c>
      <c r="BW100" s="1">
        <v>-0.61050372027105482</v>
      </c>
      <c r="BX100" s="1">
        <v>-0.41095310050700107</v>
      </c>
      <c r="BY100" s="1">
        <v>29.246513759850501</v>
      </c>
      <c r="BZ100" s="1">
        <v>-3.7438631612375133</v>
      </c>
      <c r="CB100" s="1">
        <v>1892</v>
      </c>
      <c r="CC100" s="1">
        <v>37.098596815066102</v>
      </c>
      <c r="CD100" s="1">
        <v>33.507976629015324</v>
      </c>
      <c r="CE100" s="1">
        <v>0.2592464968637237</v>
      </c>
      <c r="CF100" s="1">
        <v>40.266302661753109</v>
      </c>
      <c r="CG100" s="1">
        <v>6.5159248705555441</v>
      </c>
      <c r="CH100" s="1">
        <v>6.2239432557552279</v>
      </c>
      <c r="CI100" s="1">
        <v>40.697079632229901</v>
      </c>
      <c r="CJ100" s="1">
        <v>164.56907036123891</v>
      </c>
      <c r="CL100" s="1">
        <v>1892</v>
      </c>
      <c r="CM100" s="1">
        <v>31.706351098742331</v>
      </c>
      <c r="CN100" s="1">
        <v>20.985833202760201</v>
      </c>
      <c r="CO100" s="1">
        <v>0.28471382623518959</v>
      </c>
      <c r="CP100" s="1">
        <v>26.943178811449968</v>
      </c>
      <c r="CQ100" s="1">
        <v>1.4157170593864898</v>
      </c>
      <c r="CR100" s="1">
        <v>3.8638425592090502</v>
      </c>
      <c r="CS100" s="1">
        <v>35.026150588808427</v>
      </c>
      <c r="CT100" s="2">
        <v>120.22578714659167</v>
      </c>
      <c r="CV100" s="1">
        <v>1892</v>
      </c>
      <c r="CW100" s="1">
        <v>1165.7790060596651</v>
      </c>
      <c r="CX100" s="1">
        <v>1290.4480662673648</v>
      </c>
      <c r="CY100" s="1">
        <v>248.01288447413862</v>
      </c>
      <c r="CZ100" s="1">
        <v>243.78882728749815</v>
      </c>
      <c r="DA100" s="1">
        <v>393.4205226307555</v>
      </c>
      <c r="DB100" s="1">
        <v>3341.4493067194217</v>
      </c>
      <c r="DC100" s="1">
        <v>3219.4854371285301</v>
      </c>
      <c r="DD100" s="1">
        <v>509.57771738033921</v>
      </c>
      <c r="DF100" s="1">
        <v>1892</v>
      </c>
      <c r="DG100" s="1">
        <v>0.85438263656838842</v>
      </c>
      <c r="DH100" s="1">
        <v>0.48644974853246481</v>
      </c>
      <c r="DI100" s="1">
        <v>1.1867638234536457</v>
      </c>
      <c r="DJ100" s="1">
        <v>1.0331896931189846</v>
      </c>
      <c r="DK100" s="1">
        <v>-10.649092129068435</v>
      </c>
      <c r="DL100" s="1">
        <v>4.1643704015689593</v>
      </c>
      <c r="DM100" s="1">
        <v>0.46022232292692422</v>
      </c>
      <c r="DN100" s="1">
        <v>0.40430670077694231</v>
      </c>
      <c r="DO100" s="1">
        <v>3.125033128401185</v>
      </c>
      <c r="DQ100" s="1">
        <v>1892</v>
      </c>
      <c r="DR100" s="1">
        <v>1965.8244026489106</v>
      </c>
      <c r="DS100" s="1">
        <v>2518.0103360290523</v>
      </c>
      <c r="DT100" s="1">
        <v>485.65098429336138</v>
      </c>
      <c r="DU100" s="1">
        <v>243.78882728749815</v>
      </c>
      <c r="DV100" s="1">
        <v>393.4205226307555</v>
      </c>
      <c r="DW100" s="1">
        <v>5606.6950728895772</v>
      </c>
      <c r="DX100" s="1">
        <v>5397.7799339941585</v>
      </c>
      <c r="DY100" s="1">
        <v>721.26048473035507</v>
      </c>
      <c r="EA100" s="1">
        <v>1892</v>
      </c>
      <c r="EB100" s="1">
        <v>1.5120287377404793</v>
      </c>
      <c r="EC100" s="1">
        <v>1.3992346275023522</v>
      </c>
      <c r="ED100" s="1">
        <v>1.6000863176485041</v>
      </c>
      <c r="EE100" s="1">
        <v>2.1585871541554837</v>
      </c>
      <c r="EF100" s="1">
        <v>-10.649092129068435</v>
      </c>
      <c r="EG100" s="1">
        <v>4.1643704015689593</v>
      </c>
      <c r="EH100" s="1">
        <v>1.2521526774755216</v>
      </c>
      <c r="EI100" s="1">
        <v>1.214881406136044</v>
      </c>
      <c r="EJ100" s="1">
        <v>3.2550125641317891</v>
      </c>
      <c r="EL100" s="1">
        <v>1892</v>
      </c>
      <c r="EM100" s="1">
        <v>1307022.104314025</v>
      </c>
      <c r="EN100" s="1">
        <v>336506.84314657585</v>
      </c>
      <c r="EO100" s="1">
        <v>41838.432635914374</v>
      </c>
      <c r="EP100" s="1">
        <v>50108.301348397661</v>
      </c>
      <c r="EQ100" s="1">
        <v>65982.716827190394</v>
      </c>
      <c r="ER100" s="1">
        <v>152508.6350088453</v>
      </c>
      <c r="ES100" s="1">
        <v>94747.259474478298</v>
      </c>
      <c r="ET100" s="1">
        <v>2253.2040333467808</v>
      </c>
      <c r="EU100" s="1">
        <v>2050967.4967887732</v>
      </c>
      <c r="EV100" s="1">
        <v>1956220.2373142955</v>
      </c>
      <c r="EX100" s="1">
        <v>1892</v>
      </c>
      <c r="EY100" s="1">
        <v>947327.40043979243</v>
      </c>
      <c r="EZ100" s="1">
        <v>272990.08168725786</v>
      </c>
      <c r="FA100" s="1">
        <v>29884.57710404526</v>
      </c>
      <c r="FB100" s="1">
        <v>50108.301348397661</v>
      </c>
      <c r="FC100" s="1">
        <v>34899.666815509496</v>
      </c>
      <c r="FD100" s="1">
        <v>145182.55158550909</v>
      </c>
      <c r="FE100" s="1">
        <v>94747.259474478298</v>
      </c>
      <c r="FF100" s="1">
        <v>1760.1013744969284</v>
      </c>
      <c r="FG100" s="1">
        <v>1576899.9398294871</v>
      </c>
      <c r="FH100" s="1">
        <v>1482152.6803550089</v>
      </c>
      <c r="FJ100" s="1">
        <v>1892</v>
      </c>
      <c r="FK100" s="1">
        <v>359694.70387423248</v>
      </c>
      <c r="FL100" s="1">
        <v>63516.761459318004</v>
      </c>
      <c r="FM100" s="1">
        <v>11953.855531869112</v>
      </c>
      <c r="FN100" s="1">
        <v>0</v>
      </c>
      <c r="FO100" s="1">
        <v>31083.050011680902</v>
      </c>
      <c r="FP100" s="1">
        <v>7326.0834233362002</v>
      </c>
      <c r="FQ100" s="1">
        <v>493.10265884985239</v>
      </c>
      <c r="FR100" s="1">
        <v>474067.55695928656</v>
      </c>
      <c r="FS100" s="1">
        <v>764568.56402327039</v>
      </c>
      <c r="HC100" s="1">
        <v>1892</v>
      </c>
      <c r="HD100" s="1">
        <v>318.23199054295662</v>
      </c>
      <c r="HE100" s="1">
        <v>152.93198656594566</v>
      </c>
      <c r="HF100" s="1">
        <v>22.548216103095061</v>
      </c>
      <c r="HG100" s="1">
        <v>49.961908135801096</v>
      </c>
      <c r="HH100" s="1">
        <v>102.95942035362842</v>
      </c>
      <c r="HI100" s="1">
        <v>84.534259655844977</v>
      </c>
      <c r="HJ100" s="1">
        <v>1.9530045374424956</v>
      </c>
      <c r="HK100" s="2">
        <v>733.12078589471423</v>
      </c>
      <c r="HL100" s="1">
        <v>648.58652623886928</v>
      </c>
      <c r="HN100" s="1">
        <v>1892</v>
      </c>
      <c r="HO100" s="1">
        <v>152.15693847669263</v>
      </c>
      <c r="HP100" s="1">
        <v>38.249505318425243</v>
      </c>
      <c r="HQ100" s="1">
        <v>10.104665664188595</v>
      </c>
      <c r="HR100" s="1">
        <v>0</v>
      </c>
      <c r="HS100" s="1">
        <v>42.310806938044806</v>
      </c>
      <c r="HT100" s="1">
        <v>0.6335225243816619</v>
      </c>
      <c r="HU100" s="2">
        <v>243.45543892173293</v>
      </c>
      <c r="HW100" s="1">
        <v>1892</v>
      </c>
      <c r="HX100" s="1">
        <v>115.28202092030722</v>
      </c>
      <c r="HY100" s="1">
        <v>74.516375234161586</v>
      </c>
      <c r="HZ100" s="1">
        <v>51.224937376049276</v>
      </c>
      <c r="IA100" s="1">
        <v>18.49547353683019</v>
      </c>
      <c r="IB100" s="1">
        <v>98.512050274512546</v>
      </c>
      <c r="IC100" s="1">
        <v>3.8638425592089947</v>
      </c>
      <c r="ID100" s="1">
        <v>144.32143661147461</v>
      </c>
      <c r="IE100" s="2">
        <v>506.21613651254438</v>
      </c>
      <c r="IF100" s="1">
        <v>502.35229395333539</v>
      </c>
      <c r="IH100" s="1">
        <v>1892</v>
      </c>
      <c r="II100" s="1">
        <v>179.14862753833413</v>
      </c>
      <c r="IJ100" s="1">
        <v>38.195715519513058</v>
      </c>
      <c r="IK100" s="1">
        <v>15.427891853125002</v>
      </c>
      <c r="IL100" s="1">
        <v>193.41875515038339</v>
      </c>
      <c r="IM100" s="1">
        <v>27.999855793455868</v>
      </c>
      <c r="IN100" s="1">
        <v>11.309612641340559</v>
      </c>
      <c r="IO100" s="1">
        <v>-3.3496614350918605</v>
      </c>
    </row>
    <row r="101" spans="1:249" x14ac:dyDescent="0.25">
      <c r="A101" s="1" t="s">
        <v>192</v>
      </c>
      <c r="B101" s="1">
        <v>2.9106303817710142</v>
      </c>
      <c r="C101" s="1">
        <v>2.9239285831196895</v>
      </c>
      <c r="D101" s="1">
        <v>2.9702613526226145</v>
      </c>
      <c r="E101" s="1">
        <v>2.851033943731494</v>
      </c>
      <c r="F101" s="1">
        <v>3.0061176083059564</v>
      </c>
      <c r="G101" s="1">
        <v>4.3882488471407015</v>
      </c>
      <c r="H101" s="1">
        <v>4.6905037185294844</v>
      </c>
      <c r="J101" s="1">
        <v>1893</v>
      </c>
      <c r="K101" s="2">
        <v>1566.2347550721199</v>
      </c>
      <c r="L101" s="1">
        <v>1469.4936107764256</v>
      </c>
      <c r="M101" s="1">
        <v>1448.0568281742944</v>
      </c>
      <c r="N101" s="1">
        <v>1351.3156838785999</v>
      </c>
      <c r="O101" s="1">
        <v>118.17792689782561</v>
      </c>
      <c r="P101" s="1">
        <v>96.741144295694369</v>
      </c>
      <c r="Q101" s="1">
        <v>1086.3882146693777</v>
      </c>
      <c r="R101" s="1">
        <v>2652.6229697414974</v>
      </c>
      <c r="S101" s="1">
        <v>2555.8818254458033</v>
      </c>
      <c r="U101" s="1">
        <v>1893</v>
      </c>
      <c r="V101" s="1">
        <v>325.24864254122332</v>
      </c>
      <c r="W101" s="1">
        <v>21526.904712144697</v>
      </c>
      <c r="X101" s="1">
        <v>4.156468447722375</v>
      </c>
      <c r="Y101" s="1">
        <v>305.15910886297831</v>
      </c>
      <c r="Z101" s="1">
        <v>18508.008602323061</v>
      </c>
      <c r="AA101" s="1">
        <v>2.6821308401300001</v>
      </c>
      <c r="AB101" s="1">
        <v>4815499.744548846</v>
      </c>
      <c r="AC101" s="1">
        <v>0.22253096986931098</v>
      </c>
      <c r="AE101" s="1">
        <v>1893</v>
      </c>
      <c r="AF101" s="1">
        <v>536.15182179210228</v>
      </c>
      <c r="AG101" s="1">
        <v>274.32232763008369</v>
      </c>
      <c r="AH101" s="1">
        <v>77.064532371005853</v>
      </c>
      <c r="AI101" s="1">
        <v>103.18010716911219</v>
      </c>
      <c r="AJ101" s="1">
        <v>142.12375529837297</v>
      </c>
      <c r="AK101" s="1">
        <v>100.02313602129848</v>
      </c>
      <c r="AL101" s="1">
        <v>90.477907189301163</v>
      </c>
      <c r="AM101" s="1">
        <v>146.15002330514892</v>
      </c>
      <c r="AN101" s="2">
        <v>1469.4936107764256</v>
      </c>
      <c r="AP101" s="1" t="s">
        <v>192</v>
      </c>
      <c r="AQ101" s="1">
        <v>4.3461744812266545</v>
      </c>
      <c r="AR101" s="1">
        <v>5.1650813811820768</v>
      </c>
      <c r="AS101" s="1">
        <v>-4.0683309734683064</v>
      </c>
      <c r="AT101" s="1">
        <v>2.3156983865372212</v>
      </c>
      <c r="AU101" s="1">
        <v>2.9919879856661851</v>
      </c>
      <c r="AV101" s="1">
        <v>0.51442754192021312</v>
      </c>
      <c r="AW101" s="1">
        <v>2.0684486197002769</v>
      </c>
      <c r="AX101" s="1">
        <v>3.4839284176399588E-2</v>
      </c>
      <c r="AY101" s="1">
        <v>2.9106303817710142</v>
      </c>
      <c r="BA101" s="1">
        <v>1893</v>
      </c>
      <c r="BB101" s="1">
        <v>1272.2037718971055</v>
      </c>
      <c r="BC101" s="1">
        <v>121.42151273461768</v>
      </c>
      <c r="BD101" s="1">
        <v>98.298298515896263</v>
      </c>
      <c r="BE101" s="1">
        <v>30.698603130927324</v>
      </c>
      <c r="BF101" s="1">
        <v>0.51843789748662239</v>
      </c>
      <c r="BG101" s="1">
        <v>13.425689541288817</v>
      </c>
      <c r="BH101" s="1">
        <v>387.61126162759143</v>
      </c>
      <c r="BI101" s="1">
        <v>357.94282027279382</v>
      </c>
      <c r="BJ101" s="1">
        <v>1566.2347550721197</v>
      </c>
      <c r="BL101" s="1" t="s">
        <v>192</v>
      </c>
      <c r="BM101" s="1">
        <v>2.2540469240694136</v>
      </c>
      <c r="BN101" s="1">
        <v>4.0034629523298975</v>
      </c>
      <c r="BO101" s="1">
        <v>-10.873105234097224</v>
      </c>
      <c r="BP101" s="1">
        <v>8.3532219570405744</v>
      </c>
      <c r="BQ101" s="1">
        <v>-5.5427251732101581</v>
      </c>
      <c r="BR101" s="1">
        <v>4.3882488471406873</v>
      </c>
      <c r="BT101" s="1" t="s">
        <v>192</v>
      </c>
      <c r="BU101" s="1">
        <v>-5.6615323143933978</v>
      </c>
      <c r="BV101" s="1">
        <v>-0.85572967817869028</v>
      </c>
      <c r="BW101" s="1">
        <v>-2.5459453756311916</v>
      </c>
      <c r="BX101" s="1">
        <v>-3.2072633501665422</v>
      </c>
      <c r="BY101" s="1">
        <v>-2.7242124658941975</v>
      </c>
      <c r="BZ101" s="1">
        <v>-5.1088468361143526</v>
      </c>
      <c r="CB101" s="1">
        <v>1893</v>
      </c>
      <c r="CC101" s="1">
        <v>33.64433096361207</v>
      </c>
      <c r="CD101" s="1">
        <v>28.339940590135065</v>
      </c>
      <c r="CE101" s="1">
        <v>0.25677415275824939</v>
      </c>
      <c r="CF101" s="1">
        <v>43.982638569630602</v>
      </c>
      <c r="CG101" s="1">
        <v>5.2003607356798964</v>
      </c>
      <c r="CH101" s="1">
        <v>7.1082393225340512</v>
      </c>
      <c r="CI101" s="1">
        <v>24.408744751249088</v>
      </c>
      <c r="CJ101" s="1">
        <v>142.94102908559901</v>
      </c>
      <c r="CL101" s="1">
        <v>1893</v>
      </c>
      <c r="CM101" s="1">
        <v>31.178157413188629</v>
      </c>
      <c r="CN101" s="1">
        <v>20.400662645880629</v>
      </c>
      <c r="CO101" s="1">
        <v>0.28038615294183022</v>
      </c>
      <c r="CP101" s="1">
        <v>27.096166370974089</v>
      </c>
      <c r="CQ101" s="1">
        <v>1.4447261217741088</v>
      </c>
      <c r="CR101" s="1">
        <v>3.8444236125512048</v>
      </c>
      <c r="CS101" s="1">
        <v>33.933404580515123</v>
      </c>
      <c r="CT101" s="2">
        <v>118.17792689782561</v>
      </c>
      <c r="CV101" s="1">
        <v>1893</v>
      </c>
      <c r="CW101" s="1">
        <v>1136.0389875915459</v>
      </c>
      <c r="CX101" s="1">
        <v>1266.3377718772829</v>
      </c>
      <c r="CY101" s="1">
        <v>248.21446882674348</v>
      </c>
      <c r="CZ101" s="1">
        <v>223.10062618499146</v>
      </c>
      <c r="DA101" s="1">
        <v>399.74398959829824</v>
      </c>
      <c r="DB101" s="1">
        <v>3273.4358440788624</v>
      </c>
      <c r="DC101" s="1">
        <v>3152.7755216032997</v>
      </c>
      <c r="DD101" s="1">
        <v>512.92630451202297</v>
      </c>
      <c r="DF101" s="1">
        <v>1893</v>
      </c>
      <c r="DG101" s="1">
        <v>0.52188368319502842</v>
      </c>
      <c r="DH101" s="1">
        <v>-0.83840959098230883</v>
      </c>
      <c r="DI101" s="1">
        <v>1.7423469754317011</v>
      </c>
      <c r="DJ101" s="1">
        <v>-0.68693395195408868</v>
      </c>
      <c r="DK101" s="1">
        <v>6.0337424141015674</v>
      </c>
      <c r="DL101" s="1">
        <v>3.3585719587129432</v>
      </c>
      <c r="DM101" s="1">
        <v>1.1361995783569796</v>
      </c>
      <c r="DN101" s="1">
        <v>1.0764258690910538</v>
      </c>
      <c r="DO101" s="1">
        <v>2.6628982702090269</v>
      </c>
      <c r="DQ101" s="1">
        <v>1893</v>
      </c>
      <c r="DR101" s="1">
        <v>1933.0758813534619</v>
      </c>
      <c r="DS101" s="1">
        <v>2481.0465832670625</v>
      </c>
      <c r="DT101" s="1">
        <v>491.61530022702806</v>
      </c>
      <c r="DU101" s="1">
        <v>223.10062618499146</v>
      </c>
      <c r="DV101" s="1">
        <v>399.74398959829824</v>
      </c>
      <c r="DW101" s="1">
        <v>5528.5823806308426</v>
      </c>
      <c r="DX101" s="1">
        <v>5321.307271304494</v>
      </c>
      <c r="DY101" s="1">
        <v>727.09095940470763</v>
      </c>
      <c r="EA101" s="1">
        <v>1893</v>
      </c>
      <c r="EB101" s="1">
        <v>1.3089655843623547</v>
      </c>
      <c r="EC101" s="1">
        <v>0.5782203375490127</v>
      </c>
      <c r="ED101" s="1">
        <v>1.878371970623931</v>
      </c>
      <c r="EE101" s="1">
        <v>1.0846078899911618</v>
      </c>
      <c r="EF101" s="1">
        <v>6.0337424141015674</v>
      </c>
      <c r="EG101" s="1">
        <v>3.3585719587129432</v>
      </c>
      <c r="EH101" s="1">
        <v>1.6187585536092968</v>
      </c>
      <c r="EI101" s="1">
        <v>1.5784625148377529</v>
      </c>
      <c r="EJ101" s="1">
        <v>2.8023655867223738</v>
      </c>
      <c r="EL101" s="1">
        <v>1893</v>
      </c>
      <c r="EM101" s="1">
        <v>1312008.3121269362</v>
      </c>
      <c r="EN101" s="1">
        <v>340929.39219493914</v>
      </c>
      <c r="EO101" s="1">
        <v>40360.109494984121</v>
      </c>
      <c r="EP101" s="1">
        <v>50489.697313422861</v>
      </c>
      <c r="EQ101" s="1">
        <v>66096.147913565132</v>
      </c>
      <c r="ER101" s="1">
        <v>151804.35495142156</v>
      </c>
      <c r="ES101" s="1">
        <v>96693.287910411105</v>
      </c>
      <c r="ET101" s="1">
        <v>2299.5633303459749</v>
      </c>
      <c r="EU101" s="1">
        <v>2060680.8652360258</v>
      </c>
      <c r="EV101" s="1">
        <v>1963987.5773256149</v>
      </c>
      <c r="EX101" s="1">
        <v>1893</v>
      </c>
      <c r="EY101" s="1">
        <v>951679.22605892201</v>
      </c>
      <c r="EZ101" s="1">
        <v>276425.13554841926</v>
      </c>
      <c r="FA101" s="1">
        <v>29221.065921623973</v>
      </c>
      <c r="FB101" s="1">
        <v>50489.697313422861</v>
      </c>
      <c r="FC101" s="1">
        <v>34919.777757387244</v>
      </c>
      <c r="FD101" s="1">
        <v>144252.27267598917</v>
      </c>
      <c r="FE101" s="1">
        <v>96693.287910411105</v>
      </c>
      <c r="FF101" s="1">
        <v>1801.5823153781048</v>
      </c>
      <c r="FG101" s="1">
        <v>1585482.0455015537</v>
      </c>
      <c r="FH101" s="1">
        <v>1488788.7575911426</v>
      </c>
      <c r="FJ101" s="1">
        <v>1893</v>
      </c>
      <c r="FK101" s="1">
        <v>360329.08606801421</v>
      </c>
      <c r="FL101" s="1">
        <v>64504.256646519876</v>
      </c>
      <c r="FM101" s="1">
        <v>11139.043573360146</v>
      </c>
      <c r="FN101" s="1">
        <v>0</v>
      </c>
      <c r="FO101" s="1">
        <v>31176.370156177891</v>
      </c>
      <c r="FP101" s="1">
        <v>7552.0822754323963</v>
      </c>
      <c r="FQ101" s="1">
        <v>497.98101496787024</v>
      </c>
      <c r="FR101" s="1">
        <v>475198.81973447243</v>
      </c>
      <c r="FS101" s="1">
        <v>768722.41561356245</v>
      </c>
      <c r="HC101" s="1">
        <v>1893</v>
      </c>
      <c r="HD101" s="1">
        <v>327.01511625805392</v>
      </c>
      <c r="HE101" s="1">
        <v>156.2990590888013</v>
      </c>
      <c r="HF101" s="1">
        <v>22.252996458985258</v>
      </c>
      <c r="HG101" s="1">
        <v>51.180491261064539</v>
      </c>
      <c r="HH101" s="1">
        <v>101.70072451780341</v>
      </c>
      <c r="HI101" s="1">
        <v>86.633483576749981</v>
      </c>
      <c r="HJ101" s="1">
        <v>1.9604200218499284</v>
      </c>
      <c r="HK101" s="2">
        <v>747.04229118330841</v>
      </c>
      <c r="HL101" s="1">
        <v>660.40880760655841</v>
      </c>
      <c r="HN101" s="1">
        <v>1893</v>
      </c>
      <c r="HO101" s="1">
        <v>155.91594842734668</v>
      </c>
      <c r="HP101" s="1">
        <v>39.206061954496562</v>
      </c>
      <c r="HQ101" s="1">
        <v>9.5036234235525452</v>
      </c>
      <c r="HR101" s="1">
        <v>0</v>
      </c>
      <c r="HS101" s="1">
        <v>42.249674805214376</v>
      </c>
      <c r="HT101" s="1">
        <v>0.6274324141207549</v>
      </c>
      <c r="HU101" s="2">
        <v>247.50274102473091</v>
      </c>
      <c r="HW101" s="1">
        <v>1893</v>
      </c>
      <c r="HX101" s="1">
        <v>88.099757106701702</v>
      </c>
      <c r="HY101" s="1">
        <v>78.817206586785829</v>
      </c>
      <c r="HZ101" s="1">
        <v>45.307912488468048</v>
      </c>
      <c r="IA101" s="1">
        <v>17.120615908047647</v>
      </c>
      <c r="IB101" s="1">
        <v>98.196491996653663</v>
      </c>
      <c r="IC101" s="1">
        <v>3.8444236125511879</v>
      </c>
      <c r="ID101" s="1">
        <v>143.56217086917823</v>
      </c>
      <c r="IE101" s="2">
        <v>474.94857856838632</v>
      </c>
      <c r="IF101" s="1">
        <v>471.10415495583516</v>
      </c>
      <c r="IH101" s="1">
        <v>1893</v>
      </c>
      <c r="II101" s="1">
        <v>174.7222521832395</v>
      </c>
      <c r="IJ101" s="1">
        <v>39.579523216759057</v>
      </c>
      <c r="IK101" s="1">
        <v>16.229331403169269</v>
      </c>
      <c r="IL101" s="1">
        <v>187.77090968477904</v>
      </c>
      <c r="IM101" s="1">
        <v>29.879802446692882</v>
      </c>
      <c r="IN101" s="1">
        <v>12.252022681346357</v>
      </c>
      <c r="IO101" s="1">
        <v>6.9888582817216047</v>
      </c>
    </row>
    <row r="102" spans="1:249" x14ac:dyDescent="0.25">
      <c r="A102" s="1" t="s">
        <v>193</v>
      </c>
      <c r="B102" s="1">
        <v>1.411799338062508</v>
      </c>
      <c r="C102" s="1">
        <v>1.3874604573713327</v>
      </c>
      <c r="D102" s="1">
        <v>1.4274476777409006</v>
      </c>
      <c r="E102" s="1">
        <v>1.3961534126273705</v>
      </c>
      <c r="F102" s="1">
        <v>1.5153771893438659</v>
      </c>
      <c r="G102" s="1">
        <v>1.4644473012646699</v>
      </c>
      <c r="H102" s="1">
        <v>1.5439071281181356</v>
      </c>
      <c r="J102" s="1">
        <v>1894</v>
      </c>
      <c r="K102" s="2">
        <v>1565.6797639606746</v>
      </c>
      <c r="L102" s="1">
        <v>1465.8653467702966</v>
      </c>
      <c r="M102" s="1">
        <v>1444.6633188681928</v>
      </c>
      <c r="N102" s="1">
        <v>1344.8489016778149</v>
      </c>
      <c r="O102" s="1">
        <v>121.01644509248162</v>
      </c>
      <c r="P102" s="1">
        <v>99.814417190377995</v>
      </c>
      <c r="Q102" s="1">
        <v>1123.9626925576149</v>
      </c>
      <c r="R102" s="1">
        <v>2689.6424565182897</v>
      </c>
      <c r="S102" s="1">
        <v>2589.8280393279115</v>
      </c>
      <c r="U102" s="1">
        <v>1894</v>
      </c>
      <c r="V102" s="1">
        <v>322.91348123612624</v>
      </c>
      <c r="W102" s="1">
        <v>21693.023403971118</v>
      </c>
      <c r="X102" s="1">
        <v>0.77167941256645634</v>
      </c>
      <c r="Y102" s="1">
        <v>302.32726579513167</v>
      </c>
      <c r="Z102" s="1">
        <v>18641.153534456917</v>
      </c>
      <c r="AA102" s="1">
        <v>0.71939091338623484</v>
      </c>
      <c r="AB102" s="1">
        <v>4848604.5177401304</v>
      </c>
      <c r="AC102" s="1">
        <v>0.68746287919046267</v>
      </c>
      <c r="AE102" s="1">
        <v>1894</v>
      </c>
      <c r="AF102" s="1">
        <v>513.78630339313679</v>
      </c>
      <c r="AG102" s="1">
        <v>293.28753871621274</v>
      </c>
      <c r="AH102" s="1">
        <v>72.123611834005274</v>
      </c>
      <c r="AI102" s="1">
        <v>112.66208436026412</v>
      </c>
      <c r="AJ102" s="1">
        <v>141.92197956971074</v>
      </c>
      <c r="AK102" s="1">
        <v>101.85401338899058</v>
      </c>
      <c r="AL102" s="1">
        <v>91.258420882876521</v>
      </c>
      <c r="AM102" s="1">
        <v>138.97139462509998</v>
      </c>
      <c r="AN102" s="2">
        <v>1465.8653467702966</v>
      </c>
      <c r="AP102" s="1" t="s">
        <v>193</v>
      </c>
      <c r="AQ102" s="1">
        <v>-1.4516056640266726</v>
      </c>
      <c r="AR102" s="1">
        <v>7.0357754523893874</v>
      </c>
      <c r="AS102" s="1">
        <v>-6.122456162254494</v>
      </c>
      <c r="AT102" s="1">
        <v>8.0773811783853944</v>
      </c>
      <c r="AU102" s="1">
        <v>1.6016628641553297</v>
      </c>
      <c r="AV102" s="1">
        <v>2.1902432631864173</v>
      </c>
      <c r="AW102" s="1">
        <v>0.67709081636542123</v>
      </c>
      <c r="AX102" s="1">
        <v>0.15742144586003803</v>
      </c>
      <c r="AY102" s="1">
        <v>1.411799338062508</v>
      </c>
      <c r="BA102" s="1">
        <v>1894</v>
      </c>
      <c r="BB102" s="1">
        <v>1289.3844149978038</v>
      </c>
      <c r="BC102" s="1">
        <v>121.19940258683157</v>
      </c>
      <c r="BD102" s="1">
        <v>95.436428505807172</v>
      </c>
      <c r="BE102" s="1">
        <v>32.929079641613036</v>
      </c>
      <c r="BF102" s="1">
        <v>4.5087742724086182</v>
      </c>
      <c r="BG102" s="1">
        <v>18.523837321520833</v>
      </c>
      <c r="BH102" s="1">
        <v>387.61126162759143</v>
      </c>
      <c r="BI102" s="1">
        <v>383.9134349929019</v>
      </c>
      <c r="BJ102" s="1">
        <v>1565.6797639606748</v>
      </c>
      <c r="BL102" s="1" t="s">
        <v>193</v>
      </c>
      <c r="BM102" s="1">
        <v>5.0380832782180818</v>
      </c>
      <c r="BN102" s="1">
        <v>1.0754680029939152</v>
      </c>
      <c r="BO102" s="1">
        <v>4.2454967753698014</v>
      </c>
      <c r="BP102" s="1">
        <v>-0.22026431718062156</v>
      </c>
      <c r="BQ102" s="1">
        <v>13.447432762836172</v>
      </c>
      <c r="BR102" s="1">
        <v>1.4644473012646699</v>
      </c>
      <c r="BT102" s="1" t="s">
        <v>193</v>
      </c>
      <c r="BU102" s="1">
        <v>-3.5107458320054263</v>
      </c>
      <c r="BV102" s="1">
        <v>-1.2450032641053213</v>
      </c>
      <c r="BW102" s="1">
        <v>1.6029397446868359</v>
      </c>
      <c r="BX102" s="1">
        <v>0.22075055187637815</v>
      </c>
      <c r="BY102" s="1">
        <v>-5.4579571413031545</v>
      </c>
      <c r="BZ102" s="1">
        <v>-1.4782340757362533</v>
      </c>
      <c r="CB102" s="1">
        <v>1894</v>
      </c>
      <c r="CC102" s="1">
        <v>35.054515202563543</v>
      </c>
      <c r="CD102" s="1">
        <v>37.99904731167878</v>
      </c>
      <c r="CE102" s="1">
        <v>0.27787667783141334</v>
      </c>
      <c r="CF102" s="1">
        <v>33.867481167690343</v>
      </c>
      <c r="CG102" s="1">
        <v>6.5426986213573262</v>
      </c>
      <c r="CH102" s="1">
        <v>6.3932971972725614</v>
      </c>
      <c r="CI102" s="1">
        <v>31.263203562955699</v>
      </c>
      <c r="CJ102" s="1">
        <v>151.39811974134966</v>
      </c>
      <c r="CL102" s="1">
        <v>1894</v>
      </c>
      <c r="CM102" s="1">
        <v>31.882935457091541</v>
      </c>
      <c r="CN102" s="1">
        <v>20.465309354855542</v>
      </c>
      <c r="CO102" s="1">
        <v>0.27979606276152547</v>
      </c>
      <c r="CP102" s="1">
        <v>27.807291369368233</v>
      </c>
      <c r="CQ102" s="1">
        <v>1.5772052512462666</v>
      </c>
      <c r="CR102" s="1">
        <v>4.0486149383399672</v>
      </c>
      <c r="CS102" s="1">
        <v>34.955292658818536</v>
      </c>
      <c r="CT102" s="2">
        <v>121.01644509248162</v>
      </c>
      <c r="CV102" s="1">
        <v>1894</v>
      </c>
      <c r="CW102" s="1">
        <v>1158.9655830338297</v>
      </c>
      <c r="CX102" s="1">
        <v>1325.2188184878987</v>
      </c>
      <c r="CY102" s="1">
        <v>244.71698115168016</v>
      </c>
      <c r="CZ102" s="1">
        <v>235.11610817610898</v>
      </c>
      <c r="DA102" s="1">
        <v>413.45131441544987</v>
      </c>
      <c r="DB102" s="1">
        <v>3377.4688052649672</v>
      </c>
      <c r="DC102" s="1">
        <v>3250.0296551836332</v>
      </c>
      <c r="DD102" s="1">
        <v>528.86730797396842</v>
      </c>
      <c r="DF102" s="1">
        <v>1894</v>
      </c>
      <c r="DG102" s="1">
        <v>0.26922801530521667</v>
      </c>
      <c r="DH102" s="1">
        <v>-0.31856762184413867</v>
      </c>
      <c r="DI102" s="1">
        <v>0.78327525598930947</v>
      </c>
      <c r="DJ102" s="1">
        <v>0.26375617256444173</v>
      </c>
      <c r="DK102" s="1">
        <v>4.5033307853605322</v>
      </c>
      <c r="DL102" s="1">
        <v>4.4802946987144878</v>
      </c>
      <c r="DM102" s="1">
        <v>1.0647641200894071</v>
      </c>
      <c r="DN102" s="1">
        <v>1.0342482730238913</v>
      </c>
      <c r="DO102" s="1">
        <v>3.7634001482361441</v>
      </c>
      <c r="DQ102" s="1">
        <v>1894</v>
      </c>
      <c r="DR102" s="1">
        <v>2000.2610052675716</v>
      </c>
      <c r="DS102" s="1">
        <v>2599.9539358814645</v>
      </c>
      <c r="DT102" s="1">
        <v>493.23497813152801</v>
      </c>
      <c r="DU102" s="1">
        <v>235.11610817610898</v>
      </c>
      <c r="DV102" s="1">
        <v>413.45131441544987</v>
      </c>
      <c r="DW102" s="1">
        <v>5742.0173418721233</v>
      </c>
      <c r="DX102" s="1">
        <v>5523.0306659084699</v>
      </c>
      <c r="DY102" s="1">
        <v>751.50383413836414</v>
      </c>
      <c r="EA102" s="1">
        <v>1894</v>
      </c>
      <c r="EB102" s="1">
        <v>1.1491286326130989</v>
      </c>
      <c r="EC102" s="1">
        <v>0.86490326690756092</v>
      </c>
      <c r="ED102" s="1">
        <v>1.3677931849509264</v>
      </c>
      <c r="EE102" s="1">
        <v>1.4509907886449298</v>
      </c>
      <c r="EF102" s="1">
        <v>4.5033307853605322</v>
      </c>
      <c r="EG102" s="1">
        <v>4.4802946987144878</v>
      </c>
      <c r="EH102" s="1">
        <v>1.5449152276367784</v>
      </c>
      <c r="EI102" s="1">
        <v>1.5212314438251155</v>
      </c>
      <c r="EJ102" s="1">
        <v>3.5120140308415415</v>
      </c>
      <c r="EL102" s="1">
        <v>1894</v>
      </c>
      <c r="EM102" s="1">
        <v>1304567.4766269252</v>
      </c>
      <c r="EN102" s="1">
        <v>358423.03065290954</v>
      </c>
      <c r="EO102" s="1">
        <v>40541.112714717543</v>
      </c>
      <c r="EP102" s="1">
        <v>50287.386291915776</v>
      </c>
      <c r="EQ102" s="1">
        <v>68738.677624440126</v>
      </c>
      <c r="ER102" s="1">
        <v>152114.27247868184</v>
      </c>
      <c r="ES102" s="1">
        <v>97301.421796640105</v>
      </c>
      <c r="ET102" s="1">
        <v>2346.9650743985758</v>
      </c>
      <c r="EU102" s="1">
        <v>2074320.3432606289</v>
      </c>
      <c r="EV102" s="1">
        <v>1977018.9214639885</v>
      </c>
      <c r="EX102" s="1">
        <v>1894</v>
      </c>
      <c r="EY102" s="1">
        <v>943096.50261010404</v>
      </c>
      <c r="EZ102" s="1">
        <v>291702.46886577451</v>
      </c>
      <c r="FA102" s="1">
        <v>29577.232407352913</v>
      </c>
      <c r="FB102" s="1">
        <v>50287.386291915776</v>
      </c>
      <c r="FC102" s="1">
        <v>36889.427737220161</v>
      </c>
      <c r="FD102" s="1">
        <v>144372.28015118264</v>
      </c>
      <c r="FE102" s="1">
        <v>97301.421796640105</v>
      </c>
      <c r="FF102" s="1">
        <v>1844.053886254293</v>
      </c>
      <c r="FG102" s="1">
        <v>1595070.7737464444</v>
      </c>
      <c r="FH102" s="1">
        <v>1497769.3519498042</v>
      </c>
      <c r="FJ102" s="1">
        <v>1894</v>
      </c>
      <c r="FK102" s="1">
        <v>361470.97401682124</v>
      </c>
      <c r="FL102" s="1">
        <v>66720.561787135041</v>
      </c>
      <c r="FM102" s="1">
        <v>10963.88030736463</v>
      </c>
      <c r="FN102" s="1">
        <v>0</v>
      </c>
      <c r="FO102" s="1">
        <v>31849.249887219969</v>
      </c>
      <c r="FP102" s="1">
        <v>7741.992327499207</v>
      </c>
      <c r="FQ102" s="1">
        <v>502.91118814428268</v>
      </c>
      <c r="FR102" s="1">
        <v>479249.56951418438</v>
      </c>
      <c r="FS102" s="1">
        <v>772898.83481105953</v>
      </c>
      <c r="HC102" s="1">
        <v>1894</v>
      </c>
      <c r="HD102" s="1">
        <v>321.64752648305705</v>
      </c>
      <c r="HE102" s="1">
        <v>167.19176269067836</v>
      </c>
      <c r="HF102" s="1">
        <v>22.832103159535176</v>
      </c>
      <c r="HG102" s="1">
        <v>49.961908135801096</v>
      </c>
      <c r="HH102" s="1">
        <v>103.28711116619647</v>
      </c>
      <c r="HI102" s="1">
        <v>87.209805944536512</v>
      </c>
      <c r="HJ102" s="1">
        <v>1.9653177466857261</v>
      </c>
      <c r="HK102" s="2">
        <v>754.09553532649045</v>
      </c>
      <c r="HL102" s="1">
        <v>666.88572938195398</v>
      </c>
      <c r="HN102" s="1">
        <v>1894</v>
      </c>
      <c r="HO102" s="1">
        <v>155.2428090977636</v>
      </c>
      <c r="HP102" s="1">
        <v>41.107444662733855</v>
      </c>
      <c r="HQ102" s="1">
        <v>9.482034725462281</v>
      </c>
      <c r="HR102" s="1">
        <v>0</v>
      </c>
      <c r="HS102" s="1">
        <v>42.693936309721856</v>
      </c>
      <c r="HT102" s="1">
        <v>0.62059691374190096</v>
      </c>
      <c r="HU102" s="2">
        <v>249.14682170942351</v>
      </c>
      <c r="HW102" s="1">
        <v>1894</v>
      </c>
      <c r="HX102" s="1">
        <v>76.746967812316143</v>
      </c>
      <c r="HY102" s="1">
        <v>84.988331362800523</v>
      </c>
      <c r="HZ102" s="1">
        <v>39.809473949007817</v>
      </c>
      <c r="IA102" s="1">
        <v>22.849176224463022</v>
      </c>
      <c r="IB102" s="1">
        <v>97.794945482782964</v>
      </c>
      <c r="IC102" s="1">
        <v>4.0486149383400063</v>
      </c>
      <c r="ID102" s="1">
        <v>136.38547996467236</v>
      </c>
      <c r="IE102" s="2">
        <v>462.62298973438283</v>
      </c>
      <c r="IF102" s="1">
        <v>458.57437479604283</v>
      </c>
      <c r="IH102" s="1">
        <v>1894</v>
      </c>
      <c r="II102" s="1">
        <v>168.11637994136072</v>
      </c>
      <c r="IJ102" s="1">
        <v>40.089678361449756</v>
      </c>
      <c r="IK102" s="1">
        <v>17.022228029105634</v>
      </c>
      <c r="IL102" s="1">
        <v>179.81421931235062</v>
      </c>
      <c r="IM102" s="1">
        <v>30.976124598722819</v>
      </c>
      <c r="IN102" s="1">
        <v>13.152578866396777</v>
      </c>
      <c r="IO102" s="1">
        <v>5.0550635613622461</v>
      </c>
    </row>
    <row r="103" spans="1:249" x14ac:dyDescent="0.25">
      <c r="A103" s="1" t="s">
        <v>194</v>
      </c>
      <c r="B103" s="1">
        <v>5.0228464449955368</v>
      </c>
      <c r="C103" s="1">
        <v>5.102063225001416</v>
      </c>
      <c r="D103" s="1">
        <v>5.0821711936901437</v>
      </c>
      <c r="E103" s="1">
        <v>4.9635551884315845</v>
      </c>
      <c r="F103" s="1">
        <v>5.0125999558269001</v>
      </c>
      <c r="G103" s="1">
        <v>4.416251644435647</v>
      </c>
      <c r="H103" s="1">
        <v>4.6601793673745959</v>
      </c>
      <c r="J103" s="1">
        <v>1895</v>
      </c>
      <c r="K103" s="2">
        <v>1643.9177381705572</v>
      </c>
      <c r="L103" s="1">
        <v>1539.3015736877799</v>
      </c>
      <c r="M103" s="1">
        <v>1520.4292231350494</v>
      </c>
      <c r="N103" s="1">
        <v>1415.813058652272</v>
      </c>
      <c r="O103" s="1">
        <v>123.48851503550779</v>
      </c>
      <c r="P103" s="1">
        <v>104.61616448277738</v>
      </c>
      <c r="Q103" s="1">
        <v>1152.1592997903103</v>
      </c>
      <c r="R103" s="1">
        <v>2796.0770379608675</v>
      </c>
      <c r="S103" s="1">
        <v>2691.4608734780904</v>
      </c>
      <c r="U103" s="1">
        <v>1895</v>
      </c>
      <c r="V103" s="1">
        <v>335.75603902016718</v>
      </c>
      <c r="W103" s="1">
        <v>22431.0031599629</v>
      </c>
      <c r="X103" s="1">
        <v>3.401922093794866</v>
      </c>
      <c r="Y103" s="1">
        <v>314.38908847961937</v>
      </c>
      <c r="Z103" s="1">
        <v>19387.288867742758</v>
      </c>
      <c r="AA103" s="1">
        <v>4.0026242577030615</v>
      </c>
      <c r="AB103" s="1">
        <v>4896167.2974460339</v>
      </c>
      <c r="AC103" s="1">
        <v>0.98095811963794688</v>
      </c>
      <c r="AE103" s="1">
        <v>1895</v>
      </c>
      <c r="AF103" s="1">
        <v>514.83531419967414</v>
      </c>
      <c r="AG103" s="1">
        <v>308.75013877147614</v>
      </c>
      <c r="AH103" s="1">
        <v>101.37817181321617</v>
      </c>
      <c r="AI103" s="1">
        <v>118.24743622530468</v>
      </c>
      <c r="AJ103" s="1">
        <v>144.9626893677179</v>
      </c>
      <c r="AK103" s="1">
        <v>103.57920576314544</v>
      </c>
      <c r="AL103" s="1">
        <v>92.283951480217695</v>
      </c>
      <c r="AM103" s="1">
        <v>155.26466606702792</v>
      </c>
      <c r="AN103" s="2">
        <v>1539.3015736877801</v>
      </c>
      <c r="AP103" s="1" t="s">
        <v>194</v>
      </c>
      <c r="AQ103" s="1">
        <v>3.0023095642088151</v>
      </c>
      <c r="AR103" s="1">
        <v>7.5108337632832303</v>
      </c>
      <c r="AS103" s="1">
        <v>27.971464983948508</v>
      </c>
      <c r="AT103" s="1">
        <v>7.2038263219088776</v>
      </c>
      <c r="AU103" s="1">
        <v>5.2094682553546363</v>
      </c>
      <c r="AV103" s="1">
        <v>0.99854675595393871</v>
      </c>
      <c r="AW103" s="1">
        <v>0.46861167075233823</v>
      </c>
      <c r="AX103" s="1">
        <v>-0.91556774725151513</v>
      </c>
      <c r="AY103" s="1">
        <v>5.0228464449955368</v>
      </c>
      <c r="BA103" s="1">
        <v>1895</v>
      </c>
      <c r="BB103" s="1">
        <v>1303.746798643786</v>
      </c>
      <c r="BC103" s="1">
        <v>123.65347455751717</v>
      </c>
      <c r="BD103" s="1">
        <v>139.13871627346649</v>
      </c>
      <c r="BE103" s="1">
        <v>35.408219151514487</v>
      </c>
      <c r="BF103" s="1">
        <v>2.7745599980748032</v>
      </c>
      <c r="BG103" s="1">
        <v>20.850042908140239</v>
      </c>
      <c r="BH103" s="1">
        <v>402.25936163095975</v>
      </c>
      <c r="BI103" s="1">
        <v>383.9134349929019</v>
      </c>
      <c r="BJ103" s="1">
        <v>1643.9177381705572</v>
      </c>
      <c r="BL103" s="1" t="s">
        <v>194</v>
      </c>
      <c r="BM103" s="1">
        <v>-0.58007797690981988</v>
      </c>
      <c r="BN103" s="1">
        <v>1.0151605747604151</v>
      </c>
      <c r="BO103" s="1">
        <v>31.095234593141441</v>
      </c>
      <c r="BP103" s="1">
        <v>5.2980132450331183</v>
      </c>
      <c r="BQ103" s="1">
        <v>-2.1551724137930961</v>
      </c>
      <c r="BR103" s="1">
        <v>4.4162516444356186</v>
      </c>
      <c r="BT103" s="1" t="s">
        <v>194</v>
      </c>
      <c r="BU103" s="1">
        <v>1.7038562932820014</v>
      </c>
      <c r="BV103" s="1">
        <v>0.99951458488982325</v>
      </c>
      <c r="BW103" s="1">
        <v>-0.15325900465646214</v>
      </c>
      <c r="BX103" s="1">
        <v>-1.4425186485300543</v>
      </c>
      <c r="BY103" s="1">
        <v>2.2026431718061588</v>
      </c>
      <c r="BZ103" s="1">
        <v>0.55624429340286952</v>
      </c>
      <c r="CB103" s="1">
        <v>1895</v>
      </c>
      <c r="CC103" s="1">
        <v>31.458726589485821</v>
      </c>
      <c r="CD103" s="1">
        <v>44.573008873664101</v>
      </c>
      <c r="CE103" s="1">
        <v>0.53120736537192481</v>
      </c>
      <c r="CF103" s="1">
        <v>25.303086034753601</v>
      </c>
      <c r="CG103" s="1">
        <v>6.6494119196839359</v>
      </c>
      <c r="CH103" s="1">
        <v>6.7658758686106948</v>
      </c>
      <c r="CI103" s="1">
        <v>82.890221679625938</v>
      </c>
      <c r="CJ103" s="1">
        <v>198.17153833119602</v>
      </c>
      <c r="CL103" s="1">
        <v>1895</v>
      </c>
      <c r="CM103" s="1">
        <v>32.143998320549628</v>
      </c>
      <c r="CN103" s="1">
        <v>20.927579494967709</v>
      </c>
      <c r="CO103" s="1">
        <v>0.51681402022366829</v>
      </c>
      <c r="CP103" s="1">
        <v>27.695756406735121</v>
      </c>
      <c r="CQ103" s="1">
        <v>1.5860688969160242</v>
      </c>
      <c r="CR103" s="1">
        <v>4.1562171755164989</v>
      </c>
      <c r="CS103" s="1">
        <v>36.462080720599126</v>
      </c>
      <c r="CT103" s="2">
        <v>123.48851503550779</v>
      </c>
      <c r="CV103" s="1">
        <v>1895</v>
      </c>
      <c r="CW103" s="1">
        <v>1158.9589043558972</v>
      </c>
      <c r="CX103" s="1">
        <v>1339.8984962753093</v>
      </c>
      <c r="CY103" s="1">
        <v>248.15649765921106</v>
      </c>
      <c r="CZ103" s="1">
        <v>232.60861298743976</v>
      </c>
      <c r="DA103" s="1">
        <v>424.03093457923569</v>
      </c>
      <c r="DB103" s="1">
        <v>3403.6534458570932</v>
      </c>
      <c r="DC103" s="1">
        <v>3273.4687462629417</v>
      </c>
      <c r="DD103" s="1">
        <v>544.35013864890607</v>
      </c>
      <c r="DF103" s="1">
        <v>1895</v>
      </c>
      <c r="DG103" s="1">
        <v>1.9449509575592003</v>
      </c>
      <c r="DH103" s="1">
        <v>4.0060213338478832</v>
      </c>
      <c r="DI103" s="1">
        <v>0.16211066345921665</v>
      </c>
      <c r="DJ103" s="1">
        <v>1.0153830135581927</v>
      </c>
      <c r="DK103" s="1">
        <v>1.2679051861614852</v>
      </c>
      <c r="DL103" s="1">
        <v>4.9171042034538743</v>
      </c>
      <c r="DM103" s="1">
        <v>2.194463067085124</v>
      </c>
      <c r="DN103" s="1">
        <v>2.2018071186522121</v>
      </c>
      <c r="DO103" s="1">
        <v>5.8589930124010721</v>
      </c>
      <c r="DQ103" s="1">
        <v>1895</v>
      </c>
      <c r="DR103" s="1">
        <v>2023.9975023194218</v>
      </c>
      <c r="DS103" s="1">
        <v>2643.9902169650081</v>
      </c>
      <c r="DT103" s="1">
        <v>506.34516122040066</v>
      </c>
      <c r="DU103" s="1">
        <v>232.60861298743976</v>
      </c>
      <c r="DV103" s="1">
        <v>424.03093457923569</v>
      </c>
      <c r="DW103" s="1">
        <v>5830.9724280715054</v>
      </c>
      <c r="DX103" s="1">
        <v>5606.6434603514263</v>
      </c>
      <c r="DY103" s="1">
        <v>774.62371293519141</v>
      </c>
      <c r="EA103" s="1">
        <v>1895</v>
      </c>
      <c r="EB103" s="1">
        <v>2.0474380315492766</v>
      </c>
      <c r="EC103" s="1">
        <v>3.3810512539316875</v>
      </c>
      <c r="ED103" s="1">
        <v>1.0264975527853153</v>
      </c>
      <c r="EE103" s="1">
        <v>1.73026480047902</v>
      </c>
      <c r="EF103" s="1">
        <v>1.267905186161471</v>
      </c>
      <c r="EG103" s="1">
        <v>4.9171042034538743</v>
      </c>
      <c r="EH103" s="1">
        <v>2.1933677866534822</v>
      </c>
      <c r="EI103" s="1">
        <v>2.1913554038140148</v>
      </c>
      <c r="EJ103" s="1">
        <v>4.9417622214808432</v>
      </c>
      <c r="EL103" s="1">
        <v>1895</v>
      </c>
      <c r="EM103" s="1">
        <v>1307068.5338535402</v>
      </c>
      <c r="EN103" s="1">
        <v>369233.70610446431</v>
      </c>
      <c r="EO103" s="1">
        <v>47427.364974464275</v>
      </c>
      <c r="EP103" s="1">
        <v>50769.922046729145</v>
      </c>
      <c r="EQ103" s="1">
        <v>72244.674456434004</v>
      </c>
      <c r="ER103" s="1">
        <v>151993.63293741047</v>
      </c>
      <c r="ES103" s="1">
        <v>97666.302128377502</v>
      </c>
      <c r="ET103" s="1">
        <v>2395.4338740490703</v>
      </c>
      <c r="EU103" s="1">
        <v>2098799.570375469</v>
      </c>
      <c r="EV103" s="1">
        <v>2001133.2682470914</v>
      </c>
      <c r="EX103" s="1">
        <v>1895</v>
      </c>
      <c r="EY103" s="1">
        <v>944582.54832666821</v>
      </c>
      <c r="EZ103" s="1">
        <v>301888.86330260045</v>
      </c>
      <c r="FA103" s="1">
        <v>36673.944406540839</v>
      </c>
      <c r="FB103" s="1">
        <v>50769.922046729145</v>
      </c>
      <c r="FC103" s="1">
        <v>39832.66416354711</v>
      </c>
      <c r="FD103" s="1">
        <v>144043.18495471776</v>
      </c>
      <c r="FE103" s="1">
        <v>97666.302128377502</v>
      </c>
      <c r="FF103" s="1">
        <v>1887.5400989838236</v>
      </c>
      <c r="FG103" s="1">
        <v>1617344.9694281649</v>
      </c>
      <c r="FH103" s="1">
        <v>1519678.6672997873</v>
      </c>
      <c r="FJ103" s="1">
        <v>1895</v>
      </c>
      <c r="FK103" s="1">
        <v>362485.98552687198</v>
      </c>
      <c r="FL103" s="1">
        <v>67344.842801863851</v>
      </c>
      <c r="FM103" s="1">
        <v>10753.420567923435</v>
      </c>
      <c r="FN103" s="1">
        <v>0</v>
      </c>
      <c r="FO103" s="1">
        <v>32412.010292886902</v>
      </c>
      <c r="FP103" s="1">
        <v>7950.4479826927</v>
      </c>
      <c r="FQ103" s="1">
        <v>507.8937750652467</v>
      </c>
      <c r="FR103" s="1">
        <v>481454.60094730416</v>
      </c>
      <c r="FS103" s="1">
        <v>777097.9442241129</v>
      </c>
      <c r="HC103" s="1">
        <v>1895</v>
      </c>
      <c r="HD103" s="1">
        <v>326.99877571598211</v>
      </c>
      <c r="HE103" s="1">
        <v>176.10450826217763</v>
      </c>
      <c r="HF103" s="1">
        <v>28.813407182014849</v>
      </c>
      <c r="HG103" s="1">
        <v>51.180491261064539</v>
      </c>
      <c r="HH103" s="1">
        <v>106.80787569981632</v>
      </c>
      <c r="HI103" s="1">
        <v>88.127734304701264</v>
      </c>
      <c r="HJ103" s="1">
        <v>2.0226964761487953</v>
      </c>
      <c r="HK103" s="2">
        <v>780.05548890190551</v>
      </c>
      <c r="HL103" s="1">
        <v>691.92775459720428</v>
      </c>
      <c r="HN103" s="1">
        <v>1895</v>
      </c>
      <c r="HO103" s="1">
        <v>158.01976489564183</v>
      </c>
      <c r="HP103" s="1">
        <v>42.229286149236202</v>
      </c>
      <c r="HQ103" s="1">
        <v>9.4652588961222843</v>
      </c>
      <c r="HR103" s="1">
        <v>0</v>
      </c>
      <c r="HS103" s="1">
        <v>43.774543030751701</v>
      </c>
      <c r="HT103" s="1">
        <v>0.63018283156050892</v>
      </c>
      <c r="HU103" s="2">
        <v>254.11903580331253</v>
      </c>
      <c r="HW103" s="1">
        <v>1895</v>
      </c>
      <c r="HX103" s="1">
        <v>70.192773588050159</v>
      </c>
      <c r="HY103" s="1">
        <v>90.416344360062311</v>
      </c>
      <c r="HZ103" s="1">
        <v>63.099505735079035</v>
      </c>
      <c r="IA103" s="1">
        <v>26.690944964240138</v>
      </c>
      <c r="IB103" s="1">
        <v>97.959476400295358</v>
      </c>
      <c r="IC103" s="1">
        <v>4.1562171755164243</v>
      </c>
      <c r="ID103" s="1">
        <v>152.61178675931862</v>
      </c>
      <c r="IE103" s="2">
        <v>505.12704898256209</v>
      </c>
      <c r="IF103" s="1">
        <v>500.97083180704567</v>
      </c>
      <c r="IH103" s="1">
        <v>1895</v>
      </c>
      <c r="II103" s="1">
        <v>164.42042587751908</v>
      </c>
      <c r="IJ103" s="1">
        <v>40.72211054548994</v>
      </c>
      <c r="IK103" s="1">
        <v>17.599979814686204</v>
      </c>
      <c r="IL103" s="1">
        <v>175.51500091595327</v>
      </c>
      <c r="IM103" s="1">
        <v>31.826847993194558</v>
      </c>
      <c r="IN103" s="1">
        <v>13.755472757719044</v>
      </c>
      <c r="IO103" s="1">
        <v>7.1679784687162851E-2</v>
      </c>
    </row>
    <row r="104" spans="1:249" x14ac:dyDescent="0.25">
      <c r="A104" s="1" t="s">
        <v>195</v>
      </c>
      <c r="B104" s="1">
        <v>5.3161201783223646</v>
      </c>
      <c r="C104" s="1">
        <v>5.3527635066193966</v>
      </c>
      <c r="D104" s="1">
        <v>5.2976284648519538</v>
      </c>
      <c r="E104" s="1">
        <v>5.3346151391922945</v>
      </c>
      <c r="F104" s="1">
        <v>5.8882342261323544</v>
      </c>
      <c r="G104" s="1">
        <v>3.815277309849165</v>
      </c>
      <c r="H104" s="1">
        <v>3.9523598470379966</v>
      </c>
      <c r="J104" s="1">
        <v>1896</v>
      </c>
      <c r="K104" s="2">
        <v>1723.8682414833336</v>
      </c>
      <c r="L104" s="1">
        <v>1612.3465724523433</v>
      </c>
      <c r="M104" s="1">
        <v>1592.0560553515074</v>
      </c>
      <c r="N104" s="1">
        <v>1480.5343863205171</v>
      </c>
      <c r="O104" s="1">
        <v>131.81218613182614</v>
      </c>
      <c r="P104" s="1">
        <v>111.5216690309903</v>
      </c>
      <c r="Q104" s="1">
        <v>1337.8310589512141</v>
      </c>
      <c r="R104" s="1">
        <v>3061.6993004345477</v>
      </c>
      <c r="S104" s="1">
        <v>2950.1776314035574</v>
      </c>
      <c r="U104" s="1">
        <v>1896</v>
      </c>
      <c r="V104" s="1">
        <v>348.89998024090596</v>
      </c>
      <c r="W104" s="1">
        <v>23076.135998713649</v>
      </c>
      <c r="X104" s="1">
        <v>2.8760766255084178</v>
      </c>
      <c r="Y104" s="1">
        <v>326.32870293269093</v>
      </c>
      <c r="Z104" s="1">
        <v>20233.222508356972</v>
      </c>
      <c r="AA104" s="1">
        <v>4.363341601732202</v>
      </c>
      <c r="AB104" s="1">
        <v>4940866.5494708521</v>
      </c>
      <c r="AC104" s="1">
        <v>0.91294372331056195</v>
      </c>
      <c r="AE104" s="1">
        <v>1896</v>
      </c>
      <c r="AF104" s="1">
        <v>533.84169975485099</v>
      </c>
      <c r="AG104" s="1">
        <v>348.40631156101699</v>
      </c>
      <c r="AH104" s="1">
        <v>88.169306948049126</v>
      </c>
      <c r="AI104" s="1">
        <v>124.9029444043243</v>
      </c>
      <c r="AJ104" s="1">
        <v>152.95511518913736</v>
      </c>
      <c r="AK104" s="1">
        <v>106.48224883563131</v>
      </c>
      <c r="AL104" s="1">
        <v>94.35452833335799</v>
      </c>
      <c r="AM104" s="1">
        <v>163.2344174259751</v>
      </c>
      <c r="AN104" s="2">
        <v>1612.3465724523433</v>
      </c>
      <c r="AP104" s="1" t="s">
        <v>195</v>
      </c>
      <c r="AQ104" s="1">
        <v>4.260101555832847</v>
      </c>
      <c r="AR104" s="1">
        <v>15.447889357815285</v>
      </c>
      <c r="AS104" s="1">
        <v>-6.0620708450176579</v>
      </c>
      <c r="AT104" s="1">
        <v>7.4532482814624501</v>
      </c>
      <c r="AU104" s="1">
        <v>3.4636492975401012</v>
      </c>
      <c r="AV104" s="1">
        <v>1.8318028640082389</v>
      </c>
      <c r="AW104" s="1">
        <v>-0.34975306138865392</v>
      </c>
      <c r="AX104" s="1">
        <v>1.9673068792358492</v>
      </c>
      <c r="AY104" s="1">
        <v>5.3161201783223646</v>
      </c>
      <c r="BA104" s="1">
        <v>1896</v>
      </c>
      <c r="BB104" s="1">
        <v>1337.864064964529</v>
      </c>
      <c r="BC104" s="1">
        <v>124.14923522398706</v>
      </c>
      <c r="BD104" s="1">
        <v>145.48343337292792</v>
      </c>
      <c r="BE104" s="1">
        <v>46.912483517276755</v>
      </c>
      <c r="BF104" s="1">
        <v>0.74505334784975408</v>
      </c>
      <c r="BG104" s="1">
        <v>30.12652385158971</v>
      </c>
      <c r="BH104" s="1">
        <v>441.69655394772047</v>
      </c>
      <c r="BI104" s="1">
        <v>403.109106742547</v>
      </c>
      <c r="BJ104" s="1">
        <v>1723.8682414833336</v>
      </c>
      <c r="BL104" s="1" t="s">
        <v>195</v>
      </c>
      <c r="BM104" s="1">
        <v>1.7421456311877961</v>
      </c>
      <c r="BN104" s="1">
        <v>-1.2300285999050686</v>
      </c>
      <c r="BO104" s="1">
        <v>9.3140308362556397</v>
      </c>
      <c r="BP104" s="1">
        <v>7.1278825995806869</v>
      </c>
      <c r="BQ104" s="1">
        <v>1.5418502202643225</v>
      </c>
      <c r="BR104" s="1">
        <v>3.815277309849165</v>
      </c>
      <c r="BT104" s="1" t="s">
        <v>195</v>
      </c>
      <c r="BU104" s="1">
        <v>0.85973935995843931</v>
      </c>
      <c r="BV104" s="1">
        <v>1.65126706181114</v>
      </c>
      <c r="BW104" s="1">
        <v>3.0643120188428128</v>
      </c>
      <c r="BX104" s="1">
        <v>2.497985495568102</v>
      </c>
      <c r="BY104" s="1">
        <v>3.4056399132321076</v>
      </c>
      <c r="BZ104" s="1">
        <v>1.0096157060081481</v>
      </c>
      <c r="CB104" s="1">
        <v>1896</v>
      </c>
      <c r="CC104" s="1">
        <v>33.69666539775406</v>
      </c>
      <c r="CD104" s="1">
        <v>55.11248485998037</v>
      </c>
      <c r="CE104" s="1">
        <v>0.50640731207319822</v>
      </c>
      <c r="CF104" s="1">
        <v>31.59149156555457</v>
      </c>
      <c r="CG104" s="1">
        <v>9.0057364004819274</v>
      </c>
      <c r="CH104" s="1">
        <v>7.6501719353895181</v>
      </c>
      <c r="CI104" s="1">
        <v>85.704536618410501</v>
      </c>
      <c r="CJ104" s="1">
        <v>223.26749408964417</v>
      </c>
      <c r="CL104" s="1">
        <v>1896</v>
      </c>
      <c r="CM104" s="1">
        <v>33.826504272231489</v>
      </c>
      <c r="CN104" s="1">
        <v>21.812983992460797</v>
      </c>
      <c r="CO104" s="1">
        <v>0.2984481369731008</v>
      </c>
      <c r="CP104" s="1">
        <v>29.549471814676721</v>
      </c>
      <c r="CQ104" s="1">
        <v>1.7213433584131939</v>
      </c>
      <c r="CR104" s="1">
        <v>4.5408031630479488</v>
      </c>
      <c r="CS104" s="1">
        <v>40.062631394022858</v>
      </c>
      <c r="CT104" s="2">
        <v>131.81218613182614</v>
      </c>
      <c r="CV104" s="1">
        <v>1896</v>
      </c>
      <c r="CW104" s="1">
        <v>1278.589960830388</v>
      </c>
      <c r="CX104" s="1">
        <v>1423.4191168707994</v>
      </c>
      <c r="CY104" s="1">
        <v>251.1346131094779</v>
      </c>
      <c r="CZ104" s="1">
        <v>227.40355676341329</v>
      </c>
      <c r="DA104" s="1">
        <v>434.85086082306071</v>
      </c>
      <c r="DB104" s="1">
        <v>3615.3981083971394</v>
      </c>
      <c r="DC104" s="1">
        <v>3474.5773899158503</v>
      </c>
      <c r="DD104" s="1">
        <v>575.55595900547883</v>
      </c>
      <c r="DF104" s="1">
        <v>1896</v>
      </c>
      <c r="DG104" s="1">
        <v>1.7757774396044681</v>
      </c>
      <c r="DH104" s="1">
        <v>3.5697062093890821</v>
      </c>
      <c r="DI104" s="1">
        <v>0.16450917385104447</v>
      </c>
      <c r="DJ104" s="1">
        <v>5.0128982748875046</v>
      </c>
      <c r="DK104" s="1">
        <v>-4.641501109891351</v>
      </c>
      <c r="DL104" s="1">
        <v>6.9280129271373454</v>
      </c>
      <c r="DM104" s="1">
        <v>2.2135770654760449</v>
      </c>
      <c r="DN104" s="1">
        <v>2.2141212723047659</v>
      </c>
      <c r="DO104" s="1">
        <v>5.831878212370853</v>
      </c>
      <c r="DQ104" s="1">
        <v>1896</v>
      </c>
      <c r="DR104" s="1">
        <v>2219.5027466140646</v>
      </c>
      <c r="DS104" s="1">
        <v>2833.080324226954</v>
      </c>
      <c r="DT104" s="1">
        <v>515.97566847184214</v>
      </c>
      <c r="DU104" s="1">
        <v>227.40355676341329</v>
      </c>
      <c r="DV104" s="1">
        <v>434.85086082306071</v>
      </c>
      <c r="DW104" s="1">
        <v>6230.8131568993349</v>
      </c>
      <c r="DX104" s="1">
        <v>5987.5413097124429</v>
      </c>
      <c r="DY104" s="1">
        <v>817.527157453624</v>
      </c>
      <c r="EA104" s="1">
        <v>1896</v>
      </c>
      <c r="EB104" s="1">
        <v>1.9478666311152608</v>
      </c>
      <c r="EC104" s="1">
        <v>3.1492698056723896</v>
      </c>
      <c r="ED104" s="1">
        <v>1.0067258287415086</v>
      </c>
      <c r="EE104" s="1">
        <v>3.7628202512406119</v>
      </c>
      <c r="EF104" s="1">
        <v>-4.641501109891351</v>
      </c>
      <c r="EG104" s="1">
        <v>6.9280129271373454</v>
      </c>
      <c r="EH104" s="1">
        <v>2.2024744634957472</v>
      </c>
      <c r="EI104" s="1">
        <v>2.1962439181667293</v>
      </c>
      <c r="EJ104" s="1">
        <v>4.9459711844316132</v>
      </c>
      <c r="EL104" s="1">
        <v>1896</v>
      </c>
      <c r="EM104" s="1">
        <v>1314487.0954285788</v>
      </c>
      <c r="EN104" s="1">
        <v>402255.40566557681</v>
      </c>
      <c r="EO104" s="1">
        <v>47127.74179320789</v>
      </c>
      <c r="EP104" s="1">
        <v>52489.26222923828</v>
      </c>
      <c r="EQ104" s="1">
        <v>76440.65380702971</v>
      </c>
      <c r="ER104" s="1">
        <v>152276.62661061503</v>
      </c>
      <c r="ES104" s="1">
        <v>97179.795019394311</v>
      </c>
      <c r="ET104" s="1">
        <v>2444.9949328462149</v>
      </c>
      <c r="EU104" s="1">
        <v>2144701.5754864872</v>
      </c>
      <c r="EV104" s="1">
        <v>2047521.7804670923</v>
      </c>
      <c r="EX104" s="1">
        <v>1896</v>
      </c>
      <c r="EY104" s="1">
        <v>949844.21044284897</v>
      </c>
      <c r="EZ104" s="1">
        <v>333930.56578402984</v>
      </c>
      <c r="FA104" s="1">
        <v>32091.734132031506</v>
      </c>
      <c r="FB104" s="1">
        <v>52489.26222923828</v>
      </c>
      <c r="FC104" s="1">
        <v>42746.301803603805</v>
      </c>
      <c r="FD104" s="1">
        <v>144061.05399454001</v>
      </c>
      <c r="FE104" s="1">
        <v>97179.795019394311</v>
      </c>
      <c r="FF104" s="1">
        <v>1932.0655538238357</v>
      </c>
      <c r="FG104" s="1">
        <v>1654274.9889595103</v>
      </c>
      <c r="FH104" s="1">
        <v>1557095.1939401161</v>
      </c>
      <c r="FJ104" s="1">
        <v>1896</v>
      </c>
      <c r="FK104" s="1">
        <v>364642.88498572976</v>
      </c>
      <c r="FL104" s="1">
        <v>68324.839881546955</v>
      </c>
      <c r="FM104" s="1">
        <v>15036.007661176383</v>
      </c>
      <c r="FN104" s="1">
        <v>0</v>
      </c>
      <c r="FO104" s="1">
        <v>33694.352003425905</v>
      </c>
      <c r="FP104" s="1">
        <v>8215.5726160750219</v>
      </c>
      <c r="FQ104" s="1">
        <v>512.92937902237918</v>
      </c>
      <c r="FR104" s="1">
        <v>490426.58652697643</v>
      </c>
      <c r="FS104" s="1">
        <v>781319.8671271971</v>
      </c>
      <c r="HC104" s="1">
        <v>1896</v>
      </c>
      <c r="HD104" s="1">
        <v>328.0083737567499</v>
      </c>
      <c r="HE104" s="1">
        <v>199.09214270685194</v>
      </c>
      <c r="HF104" s="1">
        <v>25.769426023245241</v>
      </c>
      <c r="HG104" s="1">
        <v>53.617657511591418</v>
      </c>
      <c r="HH104" s="1">
        <v>111.19192923537193</v>
      </c>
      <c r="HI104" s="1">
        <v>89.813725170309993</v>
      </c>
      <c r="HJ104" s="1">
        <v>2.0873498736499503</v>
      </c>
      <c r="HK104" s="2">
        <v>809.58060427777048</v>
      </c>
      <c r="HL104" s="1">
        <v>719.76687910746045</v>
      </c>
      <c r="HN104" s="1">
        <v>1896</v>
      </c>
      <c r="HO104" s="1">
        <v>158.56753560997691</v>
      </c>
      <c r="HP104" s="1">
        <v>43.788753707987695</v>
      </c>
      <c r="HQ104" s="1">
        <v>13.52673462184706</v>
      </c>
      <c r="HR104" s="1">
        <v>0</v>
      </c>
      <c r="HS104" s="1">
        <v>45.833647925669794</v>
      </c>
      <c r="HT104" s="1">
        <v>0.64163805415503516</v>
      </c>
      <c r="HU104" s="2">
        <v>262.35830991963644</v>
      </c>
      <c r="HW104" s="1">
        <v>1896</v>
      </c>
      <c r="HX104" s="1">
        <v>88.375790388124187</v>
      </c>
      <c r="HY104" s="1">
        <v>105.52541514617735</v>
      </c>
      <c r="HZ104" s="1">
        <v>48.873146302956826</v>
      </c>
      <c r="IA104" s="1">
        <v>30.175286892732885</v>
      </c>
      <c r="IB104" s="1">
        <v>102.41178686372692</v>
      </c>
      <c r="IC104" s="1">
        <v>4.5408031630479906</v>
      </c>
      <c r="ID104" s="1">
        <v>160.50542949817012</v>
      </c>
      <c r="IE104" s="2">
        <v>540.40765825493634</v>
      </c>
      <c r="IF104" s="1">
        <v>535.86685509188828</v>
      </c>
      <c r="IH104" s="1">
        <v>1896</v>
      </c>
      <c r="II104" s="1">
        <v>153.89092732200845</v>
      </c>
      <c r="IJ104" s="1">
        <v>42.794680826573277</v>
      </c>
      <c r="IK104" s="1">
        <v>19.474429544696189</v>
      </c>
      <c r="IL104" s="1">
        <v>163.42221633537045</v>
      </c>
      <c r="IM104" s="1">
        <v>34.466453471390373</v>
      </c>
      <c r="IN104" s="1">
        <v>15.6845315076483</v>
      </c>
      <c r="IO104" s="1">
        <v>1.3343588416991849</v>
      </c>
    </row>
    <row r="105" spans="1:249" x14ac:dyDescent="0.25">
      <c r="A105" s="1" t="s">
        <v>196</v>
      </c>
      <c r="B105" s="1">
        <v>4.4664796082274592</v>
      </c>
      <c r="C105" s="1">
        <v>4.5094328725445791</v>
      </c>
      <c r="D105" s="1">
        <v>4.4473604202799066</v>
      </c>
      <c r="E105" s="1">
        <v>4.4856022959604189</v>
      </c>
      <c r="F105" s="1">
        <v>4.5562919249638298</v>
      </c>
      <c r="G105" s="1">
        <v>5.0380283338915746</v>
      </c>
      <c r="H105" s="1">
        <v>5.1973693094476943</v>
      </c>
      <c r="J105" s="1">
        <v>1897</v>
      </c>
      <c r="K105" s="2">
        <v>1869.670580176401</v>
      </c>
      <c r="L105" s="1">
        <v>1750.9870466373736</v>
      </c>
      <c r="M105" s="1">
        <v>1725.3641026246989</v>
      </c>
      <c r="N105" s="1">
        <v>1606.6805690856716</v>
      </c>
      <c r="O105" s="1">
        <v>144.3064775517021</v>
      </c>
      <c r="P105" s="1">
        <v>118.68353353902745</v>
      </c>
      <c r="Q105" s="1">
        <v>1472.4815205715643</v>
      </c>
      <c r="R105" s="1">
        <v>3342.1521007479651</v>
      </c>
      <c r="S105" s="1">
        <v>3223.4685672089381</v>
      </c>
      <c r="U105" s="1">
        <v>1897</v>
      </c>
      <c r="V105" s="1">
        <v>374.98072700616126</v>
      </c>
      <c r="W105" s="1">
        <v>24019.094298267417</v>
      </c>
      <c r="X105" s="1">
        <v>4.086292001426628</v>
      </c>
      <c r="Y105" s="1">
        <v>351.17758319998029</v>
      </c>
      <c r="Z105" s="1">
        <v>20945.416160095214</v>
      </c>
      <c r="AA105" s="1">
        <v>3.5199220067099191</v>
      </c>
      <c r="AB105" s="1">
        <v>4986044.4698153269</v>
      </c>
      <c r="AC105" s="1">
        <v>0.91437240597629454</v>
      </c>
      <c r="AE105" s="1">
        <v>1897</v>
      </c>
      <c r="AF105" s="1">
        <v>554.13408100448419</v>
      </c>
      <c r="AG105" s="1">
        <v>389.42771731162713</v>
      </c>
      <c r="AH105" s="1">
        <v>126.33858452974978</v>
      </c>
      <c r="AI105" s="1">
        <v>135.98728073901671</v>
      </c>
      <c r="AJ105" s="1">
        <v>167.72078480338143</v>
      </c>
      <c r="AK105" s="1">
        <v>109.95392941022789</v>
      </c>
      <c r="AL105" s="1">
        <v>95.98528819726215</v>
      </c>
      <c r="AM105" s="1">
        <v>171.43938064162415</v>
      </c>
      <c r="AN105" s="2">
        <v>1750.9870466373734</v>
      </c>
      <c r="AP105" s="1" t="s">
        <v>196</v>
      </c>
      <c r="AQ105" s="1">
        <v>0.50013535168322676</v>
      </c>
      <c r="AR105" s="1">
        <v>7.9722127880689158</v>
      </c>
      <c r="AS105" s="1">
        <v>14.873687356950228</v>
      </c>
      <c r="AT105" s="1">
        <v>10.016523246845736</v>
      </c>
      <c r="AU105" s="1">
        <v>4.785025064197896</v>
      </c>
      <c r="AV105" s="1">
        <v>1.6425282009751925</v>
      </c>
      <c r="AW105" s="1">
        <v>-0.32056429802720743</v>
      </c>
      <c r="AX105" s="1">
        <v>3.850505518266516</v>
      </c>
      <c r="AY105" s="1">
        <v>4.4664796082274592</v>
      </c>
      <c r="BA105" s="1">
        <v>1897</v>
      </c>
      <c r="BB105" s="1">
        <v>1429.3236413329478</v>
      </c>
      <c r="BC105" s="1">
        <v>138.14121236284902</v>
      </c>
      <c r="BD105" s="1">
        <v>198.63885102131118</v>
      </c>
      <c r="BE105" s="1">
        <v>50.425497703014386</v>
      </c>
      <c r="BF105" s="1">
        <v>0.16689024390243845</v>
      </c>
      <c r="BG105" s="1">
        <v>37.024929025458789</v>
      </c>
      <c r="BH105" s="1">
        <v>467.61242318444897</v>
      </c>
      <c r="BI105" s="1">
        <v>451.66286469753169</v>
      </c>
      <c r="BJ105" s="1">
        <v>1869.6705801764008</v>
      </c>
      <c r="BL105" s="1" t="s">
        <v>196</v>
      </c>
      <c r="BM105" s="1">
        <v>5.7507406237562009</v>
      </c>
      <c r="BN105" s="1">
        <v>8.7507022890837902</v>
      </c>
      <c r="BO105" s="1">
        <v>20.995326296598833</v>
      </c>
      <c r="BP105" s="1">
        <v>-3.3268101761252495</v>
      </c>
      <c r="BQ105" s="1">
        <v>8.0260303687635428</v>
      </c>
      <c r="BR105" s="1">
        <v>5.0380283338915746</v>
      </c>
      <c r="BT105" s="1" t="s">
        <v>196</v>
      </c>
      <c r="BU105" s="1">
        <v>1.0264682085931724</v>
      </c>
      <c r="BV105" s="1">
        <v>2.3168460392539885</v>
      </c>
      <c r="BW105" s="1">
        <v>5.9645895355068035</v>
      </c>
      <c r="BX105" s="1">
        <v>9.5105552342394475</v>
      </c>
      <c r="BY105" s="1">
        <v>3.7202029406140156</v>
      </c>
      <c r="BZ105" s="1">
        <v>3.2558020578707527</v>
      </c>
      <c r="CB105" s="1">
        <v>1897</v>
      </c>
      <c r="CC105" s="1">
        <v>30.586202990600803</v>
      </c>
      <c r="CD105" s="1">
        <v>72.835219461293704</v>
      </c>
      <c r="CE105" s="1">
        <v>0.58806479289904101</v>
      </c>
      <c r="CF105" s="1">
        <v>38.87821183409099</v>
      </c>
      <c r="CG105" s="1">
        <v>12.301277882456473</v>
      </c>
      <c r="CH105" s="1">
        <v>8.8393050968995421</v>
      </c>
      <c r="CI105" s="1">
        <v>122.22788593544624</v>
      </c>
      <c r="CJ105" s="1">
        <v>286.2561679936868</v>
      </c>
      <c r="CL105" s="1">
        <v>1897</v>
      </c>
      <c r="CM105" s="1">
        <v>35.500742046471544</v>
      </c>
      <c r="CN105" s="1">
        <v>23.725458566967554</v>
      </c>
      <c r="CO105" s="1">
        <v>0.3254271201672217</v>
      </c>
      <c r="CP105" s="1">
        <v>32.029492372793797</v>
      </c>
      <c r="CQ105" s="1">
        <v>1.944395362299957</v>
      </c>
      <c r="CR105" s="1">
        <v>5.0817297157841645</v>
      </c>
      <c r="CS105" s="1">
        <v>45.699232367217874</v>
      </c>
      <c r="CT105" s="2">
        <v>144.3064775517021</v>
      </c>
      <c r="CV105" s="1">
        <v>1897</v>
      </c>
      <c r="CW105" s="1">
        <v>1441.597526749543</v>
      </c>
      <c r="CX105" s="1">
        <v>1552.3834718791516</v>
      </c>
      <c r="CY105" s="1">
        <v>259.7875941000791</v>
      </c>
      <c r="CZ105" s="1">
        <v>233.74480608295602</v>
      </c>
      <c r="DA105" s="1">
        <v>485.47275080317291</v>
      </c>
      <c r="DB105" s="1">
        <v>3972.9861496149028</v>
      </c>
      <c r="DC105" s="1">
        <v>3816.2085188887713</v>
      </c>
      <c r="DD105" s="1">
        <v>636.93815668846605</v>
      </c>
      <c r="DF105" s="1">
        <v>1897</v>
      </c>
      <c r="DG105" s="1">
        <v>3.0035764802810831</v>
      </c>
      <c r="DH105" s="1">
        <v>5.3086005038300925</v>
      </c>
      <c r="DI105" s="1">
        <v>0.86276697164431937</v>
      </c>
      <c r="DJ105" s="1">
        <v>5.7001507421531556</v>
      </c>
      <c r="DK105" s="1">
        <v>-2.291974469415976</v>
      </c>
      <c r="DL105" s="1">
        <v>7.6265720298830786</v>
      </c>
      <c r="DM105" s="1">
        <v>3.4024873731873981</v>
      </c>
      <c r="DN105" s="1">
        <v>3.4440553807528573</v>
      </c>
      <c r="DO105" s="1">
        <v>6.5722231175675603</v>
      </c>
      <c r="DQ105" s="1">
        <v>1897</v>
      </c>
      <c r="DR105" s="1">
        <v>2492.3087306909415</v>
      </c>
      <c r="DS105" s="1">
        <v>3115.6704145966996</v>
      </c>
      <c r="DT105" s="1">
        <v>527.49331877058091</v>
      </c>
      <c r="DU105" s="1">
        <v>233.74480608295602</v>
      </c>
      <c r="DV105" s="1">
        <v>485.47275080317291</v>
      </c>
      <c r="DW105" s="1">
        <v>6854.6900209443511</v>
      </c>
      <c r="DX105" s="1">
        <v>6583.5157049067966</v>
      </c>
      <c r="DY105" s="1">
        <v>896.29183638925986</v>
      </c>
      <c r="EA105" s="1">
        <v>1897</v>
      </c>
      <c r="EB105" s="1">
        <v>2.6141217635702816</v>
      </c>
      <c r="EC105" s="1">
        <v>4.1994194497730177</v>
      </c>
      <c r="ED105" s="1">
        <v>1.3458550871675072</v>
      </c>
      <c r="EE105" s="1">
        <v>4.2432649538045979</v>
      </c>
      <c r="EF105" s="1">
        <v>-2.291974469415976</v>
      </c>
      <c r="EG105" s="1">
        <v>7.6265720298830786</v>
      </c>
      <c r="EH105" s="1">
        <v>2.9094629558553748</v>
      </c>
      <c r="EI105" s="1">
        <v>2.9274281111787843</v>
      </c>
      <c r="EJ105" s="1">
        <v>5.5525606973911863</v>
      </c>
      <c r="EL105" s="1">
        <v>1897</v>
      </c>
      <c r="EM105" s="1">
        <v>1311331.6548115581</v>
      </c>
      <c r="EN105" s="1">
        <v>422992.24675901356</v>
      </c>
      <c r="EO105" s="1">
        <v>53484.012292840482</v>
      </c>
      <c r="EP105" s="1">
        <v>55225.635756541167</v>
      </c>
      <c r="EQ105" s="1">
        <v>78121.256321015157</v>
      </c>
      <c r="ER105" s="1">
        <v>152345.22329857163</v>
      </c>
      <c r="ES105" s="1">
        <v>96693.287910411105</v>
      </c>
      <c r="ET105" s="1">
        <v>2495.674063891257</v>
      </c>
      <c r="EU105" s="1">
        <v>2172688.9912138423</v>
      </c>
      <c r="EV105" s="1">
        <v>2075995.7033034312</v>
      </c>
      <c r="EX105" s="1">
        <v>1897</v>
      </c>
      <c r="EY105" s="1">
        <v>945673.75831577764</v>
      </c>
      <c r="EZ105" s="1">
        <v>355076.11024201009</v>
      </c>
      <c r="FA105" s="1">
        <v>37928.654690400057</v>
      </c>
      <c r="FB105" s="1">
        <v>55225.635756541167</v>
      </c>
      <c r="FC105" s="1">
        <v>45680.599039321343</v>
      </c>
      <c r="FD105" s="1">
        <v>144184.17173000629</v>
      </c>
      <c r="FE105" s="1">
        <v>96693.287910411105</v>
      </c>
      <c r="FF105" s="1">
        <v>1977.655453913243</v>
      </c>
      <c r="FG105" s="1">
        <v>1682439.8731383809</v>
      </c>
      <c r="FH105" s="1">
        <v>1585746.5852279698</v>
      </c>
      <c r="FJ105" s="1">
        <v>1897</v>
      </c>
      <c r="FK105" s="1">
        <v>365657.8964957805</v>
      </c>
      <c r="FL105" s="1">
        <v>67916.136517003499</v>
      </c>
      <c r="FM105" s="1">
        <v>15555.357602440428</v>
      </c>
      <c r="FN105" s="1">
        <v>0</v>
      </c>
      <c r="FO105" s="1">
        <v>32440.657281693821</v>
      </c>
      <c r="FP105" s="1">
        <v>8161.0515685653554</v>
      </c>
      <c r="FQ105" s="1">
        <v>518.01860997801396</v>
      </c>
      <c r="FR105" s="1">
        <v>490249.11807546159</v>
      </c>
      <c r="FS105" s="1">
        <v>785564.72746452887</v>
      </c>
      <c r="HC105" s="1">
        <v>1897</v>
      </c>
      <c r="HD105" s="1">
        <v>331.41822008499008</v>
      </c>
      <c r="HE105" s="1">
        <v>220.36260585779837</v>
      </c>
      <c r="HF105" s="1">
        <v>31.702790950433752</v>
      </c>
      <c r="HG105" s="1">
        <v>57.273406887381739</v>
      </c>
      <c r="HH105" s="1">
        <v>116.55036944145672</v>
      </c>
      <c r="HI105" s="1">
        <v>90.903558481477987</v>
      </c>
      <c r="HJ105" s="1">
        <v>2.1635763906098098</v>
      </c>
      <c r="HK105" s="2">
        <v>850.37452809414833</v>
      </c>
      <c r="HL105" s="1">
        <v>759.47096961267039</v>
      </c>
      <c r="HN105" s="1">
        <v>1897</v>
      </c>
      <c r="HO105" s="1">
        <v>161.37043916046642</v>
      </c>
      <c r="HP105" s="1">
        <v>45.308056468625388</v>
      </c>
      <c r="HQ105" s="1">
        <v>14.566624644652155</v>
      </c>
      <c r="HR105" s="1">
        <v>0</v>
      </c>
      <c r="HS105" s="1">
        <v>45.143916547602558</v>
      </c>
      <c r="HT105" s="1">
        <v>0.65618471612250262</v>
      </c>
      <c r="HU105" s="2">
        <v>267.04522153746899</v>
      </c>
      <c r="HW105" s="1">
        <v>1897</v>
      </c>
      <c r="HX105" s="1">
        <v>105.18142175902767</v>
      </c>
      <c r="HY105" s="1">
        <v>123.75705498520335</v>
      </c>
      <c r="HZ105" s="1">
        <v>80.069168934663878</v>
      </c>
      <c r="IA105" s="1">
        <v>34.877873851634973</v>
      </c>
      <c r="IB105" s="1">
        <v>115.98042822455008</v>
      </c>
      <c r="IC105" s="1">
        <v>5.0817297157841663</v>
      </c>
      <c r="ID105" s="1">
        <v>168.61961953489185</v>
      </c>
      <c r="IE105" s="2">
        <v>633.56729700575602</v>
      </c>
      <c r="IF105" s="1">
        <v>628.48556728997187</v>
      </c>
      <c r="IH105" s="1">
        <v>1897</v>
      </c>
      <c r="II105" s="1">
        <v>152.61327162085237</v>
      </c>
      <c r="IJ105" s="1">
        <v>45.949301351495151</v>
      </c>
      <c r="IK105" s="1">
        <v>20.629304648578287</v>
      </c>
      <c r="IL105" s="1">
        <v>161.81183340636557</v>
      </c>
      <c r="IM105" s="1">
        <v>37.652481287274824</v>
      </c>
      <c r="IN105" s="1">
        <v>16.904381228960965</v>
      </c>
      <c r="IO105" s="1">
        <v>3.0346565193365649</v>
      </c>
    </row>
    <row r="106" spans="1:249" x14ac:dyDescent="0.25">
      <c r="A106" s="1" t="s">
        <v>197</v>
      </c>
      <c r="B106" s="1">
        <v>3.6017320570460356</v>
      </c>
      <c r="C106" s="1">
        <v>3.6355985759695528</v>
      </c>
      <c r="D106" s="1">
        <v>3.6789711331093571</v>
      </c>
      <c r="E106" s="1">
        <v>3.5245505227851339</v>
      </c>
      <c r="F106" s="1">
        <v>3.8629811515934875</v>
      </c>
      <c r="G106" s="1">
        <v>3.7619497131670414</v>
      </c>
      <c r="H106" s="1">
        <v>3.7295994417727343</v>
      </c>
      <c r="J106" s="1">
        <v>1898</v>
      </c>
      <c r="K106" s="2">
        <v>2022.4810712700164</v>
      </c>
      <c r="L106" s="1">
        <v>1889.1623451986688</v>
      </c>
      <c r="M106" s="1">
        <v>1865.8195019570126</v>
      </c>
      <c r="N106" s="1">
        <v>1732.500775885665</v>
      </c>
      <c r="O106" s="1">
        <v>156.66156931300389</v>
      </c>
      <c r="P106" s="1">
        <v>133.31872607134753</v>
      </c>
      <c r="Q106" s="1">
        <v>1616.7416321283681</v>
      </c>
      <c r="R106" s="1">
        <v>3639.2227033983845</v>
      </c>
      <c r="S106" s="1">
        <v>3505.903977327037</v>
      </c>
      <c r="U106" s="1">
        <v>1898</v>
      </c>
      <c r="V106" s="1">
        <v>401.58835108653676</v>
      </c>
      <c r="W106" s="1">
        <v>24674.453326542938</v>
      </c>
      <c r="X106" s="1">
        <v>2.7284918412714347</v>
      </c>
      <c r="Y106" s="1">
        <v>375.11628757380873</v>
      </c>
      <c r="Z106" s="1">
        <v>21483.686112920244</v>
      </c>
      <c r="AA106" s="1">
        <v>2.569869935793065</v>
      </c>
      <c r="AB106" s="1">
        <v>5036204.5258484092</v>
      </c>
      <c r="AC106" s="1">
        <v>1.0060089984504259</v>
      </c>
      <c r="AE106" s="1">
        <v>1898</v>
      </c>
      <c r="AF106" s="1">
        <v>597.81557068660959</v>
      </c>
      <c r="AG106" s="1">
        <v>422.72896887137375</v>
      </c>
      <c r="AH106" s="1">
        <v>129.90557337949366</v>
      </c>
      <c r="AI106" s="1">
        <v>144.75463146562916</v>
      </c>
      <c r="AJ106" s="1">
        <v>196.43780378766792</v>
      </c>
      <c r="AK106" s="1">
        <v>111.9480336417447</v>
      </c>
      <c r="AL106" s="1">
        <v>99.162149329963313</v>
      </c>
      <c r="AM106" s="1">
        <v>186.40961403618653</v>
      </c>
      <c r="AN106" s="2">
        <v>1889.1623451986688</v>
      </c>
      <c r="AP106" s="1" t="s">
        <v>197</v>
      </c>
      <c r="AQ106" s="1">
        <v>1.1808521761756765</v>
      </c>
      <c r="AR106" s="1">
        <v>6.239872013719534</v>
      </c>
      <c r="AS106" s="1">
        <v>0.77569238221282433</v>
      </c>
      <c r="AT106" s="1">
        <v>3.0037919693184847</v>
      </c>
      <c r="AU106" s="1">
        <v>13.135829882467448</v>
      </c>
      <c r="AV106" s="1">
        <v>-1.0072136768349225</v>
      </c>
      <c r="AW106" s="1">
        <v>-1.1138014297421392</v>
      </c>
      <c r="AX106" s="1">
        <v>4.3866626413848309</v>
      </c>
      <c r="AY106" s="1">
        <v>3.6017320570460356</v>
      </c>
      <c r="BA106" s="1">
        <v>1898</v>
      </c>
      <c r="BB106" s="1">
        <v>1604.0781685857221</v>
      </c>
      <c r="BC106" s="1">
        <v>146.62210794153685</v>
      </c>
      <c r="BD106" s="1">
        <v>220.06671961686908</v>
      </c>
      <c r="BE106" s="1">
        <v>67.6497501231689</v>
      </c>
      <c r="BF106" s="1">
        <v>2.4166755363994832</v>
      </c>
      <c r="BG106" s="1">
        <v>34.540974269658918</v>
      </c>
      <c r="BH106" s="1">
        <v>450.71076933440867</v>
      </c>
      <c r="BI106" s="1">
        <v>503.60409413774784</v>
      </c>
      <c r="BJ106" s="1">
        <v>2022.4810712700159</v>
      </c>
      <c r="BL106" s="1" t="s">
        <v>197</v>
      </c>
      <c r="BM106" s="1">
        <v>7.2587275561918148</v>
      </c>
      <c r="BN106" s="1">
        <v>1.9041233086915668</v>
      </c>
      <c r="BO106" s="1">
        <v>9.3476838819152448</v>
      </c>
      <c r="BP106" s="1">
        <v>-6.8825910931174121</v>
      </c>
      <c r="BQ106" s="1">
        <v>6.8273092369477837</v>
      </c>
      <c r="BR106" s="1">
        <v>3.7619497131670556</v>
      </c>
      <c r="BT106" s="1" t="s">
        <v>197</v>
      </c>
      <c r="BU106" s="1">
        <v>4.6314660613688403</v>
      </c>
      <c r="BV106" s="1">
        <v>4.1560349624239876</v>
      </c>
      <c r="BW106" s="1">
        <v>3.7249489274952481</v>
      </c>
      <c r="BX106" s="1">
        <v>3.5096909376636916</v>
      </c>
      <c r="BY106" s="1">
        <v>4.3740601503759393</v>
      </c>
      <c r="BZ106" s="1">
        <v>4.2512444060097891</v>
      </c>
      <c r="CB106" s="1">
        <v>1898</v>
      </c>
      <c r="CC106" s="1">
        <v>35.578825094489773</v>
      </c>
      <c r="CD106" s="1">
        <v>72.527508110467267</v>
      </c>
      <c r="CE106" s="1">
        <v>0.97023876930245878</v>
      </c>
      <c r="CF106" s="1">
        <v>64.253730499301881</v>
      </c>
      <c r="CG106" s="1">
        <v>14.675542636113535</v>
      </c>
      <c r="CH106" s="1">
        <v>10.028438258409565</v>
      </c>
      <c r="CI106" s="1">
        <v>126.6398361780119</v>
      </c>
      <c r="CJ106" s="1">
        <v>324.67411954609634</v>
      </c>
      <c r="CL106" s="1">
        <v>1898</v>
      </c>
      <c r="CM106" s="1">
        <v>37.114617012977178</v>
      </c>
      <c r="CN106" s="1">
        <v>25.908759578196598</v>
      </c>
      <c r="CO106" s="1">
        <v>0.46832530111271492</v>
      </c>
      <c r="CP106" s="1">
        <v>35.204749896749462</v>
      </c>
      <c r="CQ106" s="1">
        <v>2.3325143182441321</v>
      </c>
      <c r="CR106" s="1">
        <v>5.4926842650357202</v>
      </c>
      <c r="CS106" s="1">
        <v>50.139918940688084</v>
      </c>
      <c r="CT106" s="2">
        <v>156.66156931300389</v>
      </c>
      <c r="CV106" s="1">
        <v>1898</v>
      </c>
      <c r="CW106" s="1">
        <v>1593.7001169779162</v>
      </c>
      <c r="CX106" s="1">
        <v>1643.2847116072915</v>
      </c>
      <c r="CY106" s="1">
        <v>280.32986866771358</v>
      </c>
      <c r="CZ106" s="1">
        <v>263.4660362916074</v>
      </c>
      <c r="DA106" s="1">
        <v>530.72903937924264</v>
      </c>
      <c r="DB106" s="1">
        <v>4311.5097729237714</v>
      </c>
      <c r="DC106" s="1">
        <v>4143.6135191077346</v>
      </c>
      <c r="DD106" s="1">
        <v>693.60199970977339</v>
      </c>
      <c r="DF106" s="1">
        <v>1898</v>
      </c>
      <c r="DG106" s="1">
        <v>3.1770417455857114</v>
      </c>
      <c r="DH106" s="1">
        <v>4.8001450475129559</v>
      </c>
      <c r="DI106" s="1">
        <v>1.602820428378223</v>
      </c>
      <c r="DJ106" s="1">
        <v>10.020617038363483</v>
      </c>
      <c r="DK106" s="1">
        <v>-25.846191671819454</v>
      </c>
      <c r="DL106" s="1">
        <v>6.5082126107248968</v>
      </c>
      <c r="DM106" s="1">
        <v>2.4708590897092506</v>
      </c>
      <c r="DN106" s="1">
        <v>2.4624149275592089</v>
      </c>
      <c r="DO106" s="1">
        <v>5.6125434336646691</v>
      </c>
      <c r="DQ106" s="1">
        <v>1898</v>
      </c>
      <c r="DR106" s="1">
        <v>2726.2512193982243</v>
      </c>
      <c r="DS106" s="1">
        <v>3314.0337022122339</v>
      </c>
      <c r="DT106" s="1">
        <v>561.27614625914703</v>
      </c>
      <c r="DU106" s="1">
        <v>263.4660362916074</v>
      </c>
      <c r="DV106" s="1">
        <v>530.72903937924264</v>
      </c>
      <c r="DW106" s="1">
        <v>7395.7561435404559</v>
      </c>
      <c r="DX106" s="1">
        <v>7105.1592126774422</v>
      </c>
      <c r="DY106" s="1">
        <v>967.90244129904352</v>
      </c>
      <c r="EA106" s="1">
        <v>1898</v>
      </c>
      <c r="EB106" s="1">
        <v>2.7226260057486655</v>
      </c>
      <c r="EC106" s="1">
        <v>3.9511439603786584</v>
      </c>
      <c r="ED106" s="1">
        <v>1.7119485322248664</v>
      </c>
      <c r="EE106" s="1">
        <v>6.7491064970178059</v>
      </c>
      <c r="EF106" s="1">
        <v>-25.84619167181944</v>
      </c>
      <c r="EG106" s="1">
        <v>6.5082126107248968</v>
      </c>
      <c r="EH106" s="1">
        <v>2.4063702321249281</v>
      </c>
      <c r="EI106" s="1">
        <v>2.3962400693152404</v>
      </c>
      <c r="EJ106" s="1">
        <v>4.9757569802961967</v>
      </c>
      <c r="EL106" s="1">
        <v>1898</v>
      </c>
      <c r="EM106" s="1">
        <v>1309325.1118413936</v>
      </c>
      <c r="EN106" s="1">
        <v>447758.52142984816</v>
      </c>
      <c r="EO106" s="1">
        <v>57447.426576093014</v>
      </c>
      <c r="EP106" s="1">
        <v>56219.443023345935</v>
      </c>
      <c r="EQ106" s="1">
        <v>81225.547710990286</v>
      </c>
      <c r="ER106" s="1">
        <v>151142.73569840449</v>
      </c>
      <c r="ES106" s="1">
        <v>95355.393360707298</v>
      </c>
      <c r="ET106" s="1">
        <v>2547.4977047436846</v>
      </c>
      <c r="EU106" s="1">
        <v>2201021.6773455269</v>
      </c>
      <c r="EV106" s="1">
        <v>2105666.2839848194</v>
      </c>
      <c r="EX106" s="1">
        <v>1898</v>
      </c>
      <c r="EY106" s="1">
        <v>942779.08027431881</v>
      </c>
      <c r="EZ106" s="1">
        <v>379510.37681765162</v>
      </c>
      <c r="FA106" s="1">
        <v>41453.899269009868</v>
      </c>
      <c r="FB106" s="1">
        <v>56219.443023345935</v>
      </c>
      <c r="FC106" s="1">
        <v>47212.674899198333</v>
      </c>
      <c r="FD106" s="1">
        <v>142882.20499471866</v>
      </c>
      <c r="FE106" s="1">
        <v>95355.393360707298</v>
      </c>
      <c r="FF106" s="1">
        <v>2024.3356201124202</v>
      </c>
      <c r="FG106" s="1">
        <v>1707437.408259063</v>
      </c>
      <c r="FH106" s="1">
        <v>1612082.0148983558</v>
      </c>
      <c r="FJ106" s="1">
        <v>1898</v>
      </c>
      <c r="FK106" s="1">
        <v>366546.03156707488</v>
      </c>
      <c r="FL106" s="1">
        <v>68248.144612196556</v>
      </c>
      <c r="FM106" s="1">
        <v>15993.527307083146</v>
      </c>
      <c r="FN106" s="1">
        <v>0</v>
      </c>
      <c r="FO106" s="1">
        <v>34012.872811791967</v>
      </c>
      <c r="FP106" s="1">
        <v>8260.530703685843</v>
      </c>
      <c r="FQ106" s="1">
        <v>523.16208463126452</v>
      </c>
      <c r="FR106" s="1">
        <v>493584.26908646361</v>
      </c>
      <c r="FS106" s="1">
        <v>789832.64985370601</v>
      </c>
      <c r="HC106" s="1">
        <v>1898</v>
      </c>
      <c r="HD106" s="1">
        <v>347.32687856649261</v>
      </c>
      <c r="HE106" s="1">
        <v>251.06073241912227</v>
      </c>
      <c r="HF106" s="1">
        <v>36.934662635463624</v>
      </c>
      <c r="HG106" s="1">
        <v>58.491990012645182</v>
      </c>
      <c r="HH106" s="1">
        <v>121.19726484491892</v>
      </c>
      <c r="HI106" s="1">
        <v>93.669465064927607</v>
      </c>
      <c r="HJ106" s="1">
        <v>2.303388561929872</v>
      </c>
      <c r="HK106" s="2">
        <v>910.9843821055</v>
      </c>
      <c r="HL106" s="1">
        <v>817.31491704057237</v>
      </c>
      <c r="HN106" s="1">
        <v>1898</v>
      </c>
      <c r="HO106" s="1">
        <v>170.04777733502073</v>
      </c>
      <c r="HP106" s="1">
        <v>48.532425911638036</v>
      </c>
      <c r="HQ106" s="1">
        <v>15.964740974671512</v>
      </c>
      <c r="HR106" s="1">
        <v>0</v>
      </c>
      <c r="HS106" s="1">
        <v>48.495843883249101</v>
      </c>
      <c r="HT106" s="1">
        <v>0.68925527181832957</v>
      </c>
      <c r="HU106" s="2">
        <v>283.7300433763977</v>
      </c>
      <c r="HW106" s="1">
        <v>1898</v>
      </c>
      <c r="HX106" s="1">
        <v>128.30791478509627</v>
      </c>
      <c r="HY106" s="1">
        <v>123.13581054061342</v>
      </c>
      <c r="HZ106" s="1">
        <v>77.006169769358522</v>
      </c>
      <c r="IA106" s="1">
        <v>38.395641452983988</v>
      </c>
      <c r="IB106" s="1">
        <v>138.69272870124465</v>
      </c>
      <c r="IC106" s="1">
        <v>5.4926842650356988</v>
      </c>
      <c r="ID106" s="1">
        <v>183.41697020243834</v>
      </c>
      <c r="IE106" s="2">
        <v>694.44791971677091</v>
      </c>
      <c r="IF106" s="1">
        <v>688.95523545173523</v>
      </c>
      <c r="IH106" s="1">
        <v>1898</v>
      </c>
      <c r="II106" s="1">
        <v>152.70389001071416</v>
      </c>
      <c r="IJ106" s="1">
        <v>40.465294930854597</v>
      </c>
      <c r="IK106" s="1">
        <v>18.865293846781135</v>
      </c>
      <c r="IL106" s="1">
        <v>161.94115984800467</v>
      </c>
      <c r="IM106" s="1">
        <v>32.453027800813487</v>
      </c>
      <c r="IN106" s="1">
        <v>15.129900986172645</v>
      </c>
      <c r="IO106" s="1">
        <v>1.8770544977778343</v>
      </c>
    </row>
    <row r="107" spans="1:249" x14ac:dyDescent="0.25">
      <c r="A107" s="1" t="s">
        <v>198</v>
      </c>
      <c r="B107" s="1">
        <v>3.494672499356227</v>
      </c>
      <c r="C107" s="1">
        <v>3.5608776676640446</v>
      </c>
      <c r="D107" s="1">
        <v>3.6432497599184757</v>
      </c>
      <c r="E107" s="1">
        <v>3.3463082309802274</v>
      </c>
      <c r="F107" s="1">
        <v>3.6374938033118838</v>
      </c>
      <c r="G107" s="1">
        <v>5.3094834025691995</v>
      </c>
      <c r="H107" s="1">
        <v>5.3203463067278847</v>
      </c>
      <c r="J107" s="1">
        <v>1899</v>
      </c>
      <c r="K107" s="2">
        <v>2204.5829518642417</v>
      </c>
      <c r="L107" s="1">
        <v>2056.6524957715965</v>
      </c>
      <c r="M107" s="1">
        <v>2037.7504667066848</v>
      </c>
      <c r="N107" s="1">
        <v>1889.8200106140396</v>
      </c>
      <c r="O107" s="1">
        <v>166.8324851575569</v>
      </c>
      <c r="P107" s="1">
        <v>147.93045609264533</v>
      </c>
      <c r="Q107" s="1">
        <v>1736.6514217217846</v>
      </c>
      <c r="R107" s="1">
        <v>3941.2343735860263</v>
      </c>
      <c r="S107" s="1">
        <v>3793.3039174933811</v>
      </c>
      <c r="U107" s="1">
        <v>1899</v>
      </c>
      <c r="V107" s="1">
        <v>433.96185345279366</v>
      </c>
      <c r="W107" s="1">
        <v>25759.859591688892</v>
      </c>
      <c r="X107" s="1">
        <v>4.398907042768613</v>
      </c>
      <c r="Y107" s="1">
        <v>404.84243435640832</v>
      </c>
      <c r="Z107" s="1">
        <v>22042.216451708238</v>
      </c>
      <c r="AA107" s="1">
        <v>2.5997882107023287</v>
      </c>
      <c r="AB107" s="1">
        <v>5080130.7403487163</v>
      </c>
      <c r="AC107" s="1">
        <v>0.87220870945282059</v>
      </c>
      <c r="AE107" s="1">
        <v>1899</v>
      </c>
      <c r="AF107" s="1">
        <v>645.43366163444193</v>
      </c>
      <c r="AG107" s="1">
        <v>444.8660532603908</v>
      </c>
      <c r="AH107" s="1">
        <v>158.30240878935473</v>
      </c>
      <c r="AI107" s="1">
        <v>152.95992930795515</v>
      </c>
      <c r="AJ107" s="1">
        <v>222.72692541417237</v>
      </c>
      <c r="AK107" s="1">
        <v>121.86723449612563</v>
      </c>
      <c r="AL107" s="1">
        <v>102.78683893203052</v>
      </c>
      <c r="AM107" s="1">
        <v>207.70944393712537</v>
      </c>
      <c r="AN107" s="2">
        <v>2056.6524957715969</v>
      </c>
      <c r="AP107" s="1" t="s">
        <v>198</v>
      </c>
      <c r="AQ107" s="1">
        <v>-2.3350265460202024</v>
      </c>
      <c r="AR107" s="1">
        <v>5.3508703009888592</v>
      </c>
      <c r="AS107" s="1">
        <v>10.86402312209222</v>
      </c>
      <c r="AT107" s="1">
        <v>5.5670404651366141</v>
      </c>
      <c r="AU107" s="1">
        <v>10.314975942504901</v>
      </c>
      <c r="AV107" s="1">
        <v>6.2489426665859327</v>
      </c>
      <c r="AW107" s="1">
        <v>-0.1254391786767286</v>
      </c>
      <c r="AX107" s="1">
        <v>4.8903156463156989</v>
      </c>
      <c r="AY107" s="1">
        <v>3.494672499356227</v>
      </c>
      <c r="BA107" s="1">
        <v>1899</v>
      </c>
      <c r="BB107" s="1">
        <v>1776.3836628775948</v>
      </c>
      <c r="BC107" s="1">
        <v>154.40295483294176</v>
      </c>
      <c r="BD107" s="1">
        <v>256.5439637949753</v>
      </c>
      <c r="BE107" s="1">
        <v>75.282720362818353</v>
      </c>
      <c r="BF107" s="1">
        <v>0.12067808147562892</v>
      </c>
      <c r="BG107" s="1">
        <v>37.695493393788837</v>
      </c>
      <c r="BH107" s="1">
        <v>472.11953087779307</v>
      </c>
      <c r="BI107" s="1">
        <v>567.96605235714605</v>
      </c>
      <c r="BJ107" s="1">
        <v>2204.5829518642417</v>
      </c>
      <c r="BL107" s="1" t="s">
        <v>198</v>
      </c>
      <c r="BM107" s="1">
        <v>5.8827365999718779</v>
      </c>
      <c r="BN107" s="1">
        <v>1.2030107245182222</v>
      </c>
      <c r="BO107" s="1">
        <v>12.5549162591428</v>
      </c>
      <c r="BP107" s="1">
        <v>1.0869565217391113</v>
      </c>
      <c r="BQ107" s="1">
        <v>6.7669172932330639</v>
      </c>
      <c r="BR107" s="1">
        <v>5.3094834025691853</v>
      </c>
      <c r="BT107" s="1" t="s">
        <v>198</v>
      </c>
      <c r="BU107" s="1">
        <v>4.5890178825370072</v>
      </c>
      <c r="BV107" s="1">
        <v>4.0549429933884937</v>
      </c>
      <c r="BW107" s="1">
        <v>1.1509989156121065</v>
      </c>
      <c r="BX107" s="1">
        <v>3.6236559139785101</v>
      </c>
      <c r="BY107" s="1">
        <v>5.6322238362912884</v>
      </c>
      <c r="BZ107" s="1">
        <v>3.508138119742128</v>
      </c>
      <c r="CB107" s="1">
        <v>1899</v>
      </c>
      <c r="CC107" s="1">
        <v>34.065957430672476</v>
      </c>
      <c r="CD107" s="1">
        <v>90.204553101755749</v>
      </c>
      <c r="CE107" s="1">
        <v>1.0866501555683561</v>
      </c>
      <c r="CF107" s="1">
        <v>81.418350285767701</v>
      </c>
      <c r="CG107" s="1">
        <v>16.134028287026045</v>
      </c>
      <c r="CH107" s="1">
        <v>11.763159603663743</v>
      </c>
      <c r="CI107" s="1">
        <v>134.97015676860406</v>
      </c>
      <c r="CJ107" s="1">
        <v>369.64285563305816</v>
      </c>
      <c r="CL107" s="1">
        <v>1899</v>
      </c>
      <c r="CM107" s="1">
        <v>37.836345220524059</v>
      </c>
      <c r="CN107" s="1">
        <v>28.040213792912979</v>
      </c>
      <c r="CO107" s="1">
        <v>0.42917218869440465</v>
      </c>
      <c r="CP107" s="1">
        <v>38.278094414825901</v>
      </c>
      <c r="CQ107" s="1">
        <v>2.6087572378160888</v>
      </c>
      <c r="CR107" s="1">
        <v>5.7971840121492306</v>
      </c>
      <c r="CS107" s="1">
        <v>53.842718290634245</v>
      </c>
      <c r="CT107" s="2">
        <v>166.8324851575569</v>
      </c>
      <c r="CV107" s="1">
        <v>1899</v>
      </c>
      <c r="CW107" s="1">
        <v>1715.3538434050788</v>
      </c>
      <c r="CX107" s="1">
        <v>1714.5571103795428</v>
      </c>
      <c r="CY107" s="1">
        <v>299.56546759638599</v>
      </c>
      <c r="CZ107" s="1">
        <v>260.35670420688552</v>
      </c>
      <c r="DA107" s="1">
        <v>568.83752358895651</v>
      </c>
      <c r="DB107" s="1">
        <v>4558.6706491768491</v>
      </c>
      <c r="DC107" s="1">
        <v>4382.3692190900474</v>
      </c>
      <c r="DD107" s="1">
        <v>734.95548719161184</v>
      </c>
      <c r="DF107" s="1">
        <v>1899</v>
      </c>
      <c r="DG107" s="1">
        <v>3.846704872712948</v>
      </c>
      <c r="DH107" s="1">
        <v>4.7294870845380217</v>
      </c>
      <c r="DI107" s="1">
        <v>2.9636135765748151</v>
      </c>
      <c r="DJ107" s="1">
        <v>10.988808970407888</v>
      </c>
      <c r="DK107" s="1">
        <v>11.727153539185693</v>
      </c>
      <c r="DL107" s="1">
        <v>6.6267592819751542</v>
      </c>
      <c r="DM107" s="1">
        <v>5.0781070329316549</v>
      </c>
      <c r="DN107" s="1">
        <v>5.1444246790689192</v>
      </c>
      <c r="DO107" s="1">
        <v>9.4026559128414391</v>
      </c>
      <c r="DQ107" s="1">
        <v>1899</v>
      </c>
      <c r="DR107" s="1">
        <v>2910.5856079362457</v>
      </c>
      <c r="DS107" s="1">
        <v>3461.542938282877</v>
      </c>
      <c r="DT107" s="1">
        <v>582.14007219685595</v>
      </c>
      <c r="DU107" s="1">
        <v>260.35670420688552</v>
      </c>
      <c r="DV107" s="1">
        <v>568.83752358895651</v>
      </c>
      <c r="DW107" s="1">
        <v>7783.4628462118199</v>
      </c>
      <c r="DX107" s="1">
        <v>7478.4502463538856</v>
      </c>
      <c r="DY107" s="1">
        <v>1017.2448185520504</v>
      </c>
      <c r="EA107" s="1">
        <v>1899</v>
      </c>
      <c r="EB107" s="1">
        <v>3.1102237550580014</v>
      </c>
      <c r="EC107" s="1">
        <v>3.9493951349815433</v>
      </c>
      <c r="ED107" s="1">
        <v>2.4046884795374552</v>
      </c>
      <c r="EE107" s="1">
        <v>7.6872865156325361</v>
      </c>
      <c r="EF107" s="1">
        <v>11.727153539185693</v>
      </c>
      <c r="EG107" s="1">
        <v>6.6267592819751542</v>
      </c>
      <c r="EH107" s="1">
        <v>3.9761790180410372</v>
      </c>
      <c r="EI107" s="1">
        <v>4.0110604817484443</v>
      </c>
      <c r="EJ107" s="1">
        <v>7.8583531637958828</v>
      </c>
      <c r="EL107" s="1">
        <v>1899</v>
      </c>
      <c r="EM107" s="1">
        <v>1300838.6816828586</v>
      </c>
      <c r="EN107" s="1">
        <v>463581.41913621454</v>
      </c>
      <c r="EO107" s="1">
        <v>65080.666070781008</v>
      </c>
      <c r="EP107" s="1">
        <v>61565.004085739049</v>
      </c>
      <c r="EQ107" s="1">
        <v>88272.405625339205</v>
      </c>
      <c r="ER107" s="1">
        <v>153855.18160593475</v>
      </c>
      <c r="ES107" s="1">
        <v>94990.513028969901</v>
      </c>
      <c r="ET107" s="1">
        <v>2600.4929326933138</v>
      </c>
      <c r="EU107" s="1">
        <v>2230784.3641685308</v>
      </c>
      <c r="EV107" s="1">
        <v>2135793.8511395603</v>
      </c>
      <c r="EX107" s="1">
        <v>1899</v>
      </c>
      <c r="EY107" s="1">
        <v>931881.99777941313</v>
      </c>
      <c r="EZ107" s="1">
        <v>394240.22780954913</v>
      </c>
      <c r="FA107" s="1">
        <v>48595.206755281542</v>
      </c>
      <c r="FB107" s="1">
        <v>61565.004085739049</v>
      </c>
      <c r="FC107" s="1">
        <v>53591.631626457376</v>
      </c>
      <c r="FD107" s="1">
        <v>144971.47398318961</v>
      </c>
      <c r="FE107" s="1">
        <v>94990.513028969901</v>
      </c>
      <c r="FF107" s="1">
        <v>2072.1325062084074</v>
      </c>
      <c r="FG107" s="1">
        <v>1731908.1875748085</v>
      </c>
      <c r="FH107" s="1">
        <v>1636917.6745458385</v>
      </c>
      <c r="FJ107" s="1">
        <v>1899</v>
      </c>
      <c r="FK107" s="1">
        <v>368956.68390344543</v>
      </c>
      <c r="FL107" s="1">
        <v>69341.191326665386</v>
      </c>
      <c r="FM107" s="1">
        <v>16485.459315499465</v>
      </c>
      <c r="FN107" s="1">
        <v>0</v>
      </c>
      <c r="FO107" s="1">
        <v>34680.773998881821</v>
      </c>
      <c r="FP107" s="1">
        <v>8883.7076227450962</v>
      </c>
      <c r="FQ107" s="1">
        <v>528.36042648490638</v>
      </c>
      <c r="FR107" s="1">
        <v>498876.17659372208</v>
      </c>
      <c r="FS107" s="1">
        <v>794123.75958936545</v>
      </c>
      <c r="HC107" s="1">
        <v>1899</v>
      </c>
      <c r="HD107" s="1">
        <v>375.97079147849996</v>
      </c>
      <c r="HE107" s="1">
        <v>273.14790691941249</v>
      </c>
      <c r="HF107" s="1">
        <v>45.346522362778785</v>
      </c>
      <c r="HG107" s="1">
        <v>65.803488764225833</v>
      </c>
      <c r="HH107" s="1">
        <v>134.62866075326593</v>
      </c>
      <c r="HI107" s="1">
        <v>96.989654919881303</v>
      </c>
      <c r="HJ107" s="1">
        <v>2.4405385424414416</v>
      </c>
      <c r="HK107" s="2">
        <v>994.32756374050575</v>
      </c>
      <c r="HL107" s="1">
        <v>897.33790882062442</v>
      </c>
      <c r="HN107" s="1">
        <v>1899</v>
      </c>
      <c r="HO107" s="1">
        <v>187.4487499374726</v>
      </c>
      <c r="HP107" s="1">
        <v>51.643331820398437</v>
      </c>
      <c r="HQ107" s="1">
        <v>17.234570933991602</v>
      </c>
      <c r="HR107" s="1">
        <v>0</v>
      </c>
      <c r="HS107" s="1">
        <v>51.706389749511459</v>
      </c>
      <c r="HT107" s="1">
        <v>0.72053913698648442</v>
      </c>
      <c r="HU107" s="2">
        <v>308.75358157836058</v>
      </c>
      <c r="HW107" s="1">
        <v>1899</v>
      </c>
      <c r="HX107" s="1">
        <v>132.26712021846936</v>
      </c>
      <c r="HY107" s="1">
        <v>120.07481452057988</v>
      </c>
      <c r="HZ107" s="1">
        <v>95.721315492584338</v>
      </c>
      <c r="IA107" s="1">
        <v>36.903440543729317</v>
      </c>
      <c r="IB107" s="1">
        <v>158.25910940752055</v>
      </c>
      <c r="IC107" s="1">
        <v>5.7971840121492093</v>
      </c>
      <c r="ID107" s="1">
        <v>204.54836625769744</v>
      </c>
      <c r="IE107" s="2">
        <v>753.57135045273003</v>
      </c>
      <c r="IF107" s="1">
        <v>747.77416644058087</v>
      </c>
      <c r="IH107" s="1">
        <v>1899</v>
      </c>
      <c r="II107" s="1">
        <v>153.58043189617442</v>
      </c>
      <c r="IJ107" s="1">
        <v>36.324387164185033</v>
      </c>
      <c r="IK107" s="1">
        <v>17.349575667553879</v>
      </c>
      <c r="IL107" s="1">
        <v>163.13949391219748</v>
      </c>
      <c r="IM107" s="1">
        <v>28.336540445105879</v>
      </c>
      <c r="IN107" s="1">
        <v>13.534349537321239</v>
      </c>
      <c r="IO107" s="1">
        <v>0.13726341060306879</v>
      </c>
    </row>
    <row r="108" spans="1:249" x14ac:dyDescent="0.25">
      <c r="A108" s="1" t="s">
        <v>199</v>
      </c>
      <c r="B108" s="1">
        <v>-0.49060030122822695</v>
      </c>
      <c r="C108" s="1">
        <v>-0.56598750767525985</v>
      </c>
      <c r="D108" s="1">
        <v>-0.3422099654536197</v>
      </c>
      <c r="E108" s="1">
        <v>-0.6387696839620105</v>
      </c>
      <c r="F108" s="1">
        <v>-7.7874166392092548E-2</v>
      </c>
      <c r="G108" s="1">
        <v>-0.119443507957115</v>
      </c>
      <c r="H108" s="1">
        <v>-0.4903286389610173</v>
      </c>
      <c r="J108" s="1">
        <v>1900</v>
      </c>
      <c r="K108" s="2">
        <v>2245.380608174507</v>
      </c>
      <c r="L108" s="1">
        <v>2099.3329237245366</v>
      </c>
      <c r="M108" s="1">
        <v>2065.7453991394573</v>
      </c>
      <c r="N108" s="1">
        <v>1919.6977146894869</v>
      </c>
      <c r="O108" s="1">
        <v>179.6352090350498</v>
      </c>
      <c r="P108" s="1">
        <v>146.04768444997052</v>
      </c>
      <c r="Q108" s="1">
        <v>1883.7469171435414</v>
      </c>
      <c r="R108" s="1">
        <v>4129.1275253180484</v>
      </c>
      <c r="S108" s="1">
        <v>3983.079840868078</v>
      </c>
      <c r="U108" s="1">
        <v>1900</v>
      </c>
      <c r="V108" s="1">
        <v>438.81793880092579</v>
      </c>
      <c r="W108" s="1">
        <v>25544.2843333501</v>
      </c>
      <c r="X108" s="1">
        <v>-0.83686503636201337</v>
      </c>
      <c r="Y108" s="1">
        <v>410.27563126354676</v>
      </c>
      <c r="Z108" s="1">
        <v>21776.529298170863</v>
      </c>
      <c r="AA108" s="1">
        <v>-1.2053558865981699</v>
      </c>
      <c r="AB108" s="1">
        <v>5116884.2693852279</v>
      </c>
      <c r="AC108" s="1">
        <v>0.7234760464843788</v>
      </c>
      <c r="AE108" s="1">
        <v>1900</v>
      </c>
      <c r="AF108" s="1">
        <v>642.74137908716864</v>
      </c>
      <c r="AG108" s="1">
        <v>479.78103707773789</v>
      </c>
      <c r="AH108" s="1">
        <v>154.31128662286912</v>
      </c>
      <c r="AI108" s="1">
        <v>156.32447619075941</v>
      </c>
      <c r="AJ108" s="1">
        <v>226.4208755032802</v>
      </c>
      <c r="AK108" s="1">
        <v>124.4300087664283</v>
      </c>
      <c r="AL108" s="1">
        <v>108.4731534658587</v>
      </c>
      <c r="AM108" s="1">
        <v>206.85070701043418</v>
      </c>
      <c r="AN108" s="2">
        <v>2099.3329237245366</v>
      </c>
      <c r="AP108" s="1" t="s">
        <v>199</v>
      </c>
      <c r="AQ108" s="1">
        <v>-4.4193644849183755</v>
      </c>
      <c r="AR108" s="1">
        <v>1.8467923189539874</v>
      </c>
      <c r="AS108" s="1">
        <v>-4.0238800524839462</v>
      </c>
      <c r="AT108" s="1">
        <v>1.224297901726672</v>
      </c>
      <c r="AU108" s="1">
        <v>0.41159063773723403</v>
      </c>
      <c r="AV108" s="1">
        <v>0.34381018312443246</v>
      </c>
      <c r="AW108" s="1">
        <v>3.4663865942779779</v>
      </c>
      <c r="AX108" s="1">
        <v>4.9631124110626672</v>
      </c>
      <c r="AY108" s="1">
        <v>-0.49060030122822695</v>
      </c>
      <c r="BA108" s="1">
        <v>1900</v>
      </c>
      <c r="BB108" s="1">
        <v>1795.1055577965139</v>
      </c>
      <c r="BC108" s="1">
        <v>173.55488982850082</v>
      </c>
      <c r="BD108" s="1">
        <v>253.17319942514294</v>
      </c>
      <c r="BE108" s="1">
        <v>74.712293295234346</v>
      </c>
      <c r="BF108" s="1">
        <v>-1.4696851972330283</v>
      </c>
      <c r="BG108" s="1">
        <v>25.92125513062442</v>
      </c>
      <c r="BH108" s="1">
        <v>517.19060781123392</v>
      </c>
      <c r="BI108" s="1">
        <v>592.80750991551031</v>
      </c>
      <c r="BJ108" s="1">
        <v>2245.380608174507</v>
      </c>
      <c r="BL108" s="1" t="s">
        <v>199</v>
      </c>
      <c r="BM108" s="1">
        <v>0.1527592213479636</v>
      </c>
      <c r="BN108" s="1">
        <v>10.596008802897998</v>
      </c>
      <c r="BO108" s="1">
        <v>-7.5940923803163685</v>
      </c>
      <c r="BP108" s="1">
        <v>3.8709677419354875</v>
      </c>
      <c r="BQ108" s="1">
        <v>2.1126760563380458</v>
      </c>
      <c r="BR108" s="1">
        <v>-0.11944350795710079</v>
      </c>
      <c r="BT108" s="1" t="s">
        <v>199</v>
      </c>
      <c r="BU108" s="1">
        <v>0.89979932478665603</v>
      </c>
      <c r="BV108" s="1">
        <v>1.6346492191305941</v>
      </c>
      <c r="BW108" s="1">
        <v>3.1516728926706605</v>
      </c>
      <c r="BX108" s="1">
        <v>5.464059651047279</v>
      </c>
      <c r="BY108" s="1">
        <v>2.214300404469725</v>
      </c>
      <c r="BZ108" s="1">
        <v>1.9723832527366483</v>
      </c>
      <c r="CB108" s="1">
        <v>1900</v>
      </c>
      <c r="CC108" s="1">
        <v>30.808423839659049</v>
      </c>
      <c r="CD108" s="1">
        <v>79.325115737483799</v>
      </c>
      <c r="CE108" s="1">
        <v>1.076591643201364</v>
      </c>
      <c r="CF108" s="1">
        <v>91.465547033559233</v>
      </c>
      <c r="CG108" s="1">
        <v>9.8671424506909258</v>
      </c>
      <c r="CH108" s="1">
        <v>16.011630425151836</v>
      </c>
      <c r="CI108" s="1">
        <v>123.78261152402246</v>
      </c>
      <c r="CJ108" s="1">
        <v>352.33706265376867</v>
      </c>
      <c r="CL108" s="1">
        <v>1900</v>
      </c>
      <c r="CM108" s="1">
        <v>39.11284486051801</v>
      </c>
      <c r="CN108" s="1">
        <v>31.699555903241937</v>
      </c>
      <c r="CO108" s="1">
        <v>0.49057174346858595</v>
      </c>
      <c r="CP108" s="1">
        <v>41.915807126328332</v>
      </c>
      <c r="CQ108" s="1">
        <v>2.9058416253426209</v>
      </c>
      <c r="CR108" s="1">
        <v>6.4905412831844975</v>
      </c>
      <c r="CS108" s="1">
        <v>57.020046492965804</v>
      </c>
      <c r="CT108" s="2">
        <v>179.6352090350498</v>
      </c>
      <c r="CV108" s="1">
        <v>1900</v>
      </c>
      <c r="CW108" s="1">
        <v>1838.4795612329683</v>
      </c>
      <c r="CX108" s="1">
        <v>1807.0549291081304</v>
      </c>
      <c r="CY108" s="1">
        <v>350.86502447905752</v>
      </c>
      <c r="CZ108" s="1">
        <v>286.33014614562444</v>
      </c>
      <c r="DA108" s="1">
        <v>632.10976143399284</v>
      </c>
      <c r="DB108" s="1">
        <v>4914.839422399773</v>
      </c>
      <c r="DC108" s="1">
        <v>4726.4071247460279</v>
      </c>
      <c r="DD108" s="1">
        <v>837.06678311987821</v>
      </c>
      <c r="DF108" s="1">
        <v>1900</v>
      </c>
      <c r="DG108" s="1">
        <v>3.3385688121310864</v>
      </c>
      <c r="DH108" s="1">
        <v>3.6314009923658119</v>
      </c>
      <c r="DI108" s="1">
        <v>3.0407503531393303</v>
      </c>
      <c r="DJ108" s="1">
        <v>7.5712814468353145</v>
      </c>
      <c r="DK108" s="1">
        <v>-2.3871745780890592</v>
      </c>
      <c r="DL108" s="1">
        <v>4.1007522288249305</v>
      </c>
      <c r="DM108" s="1">
        <v>3.4106739193553892</v>
      </c>
      <c r="DN108" s="1">
        <v>3.3462667645225252</v>
      </c>
      <c r="DO108" s="1">
        <v>5.278391813414629</v>
      </c>
      <c r="DQ108" s="1">
        <v>1900</v>
      </c>
      <c r="DR108" s="1">
        <v>3096.2673537668566</v>
      </c>
      <c r="DS108" s="1">
        <v>3628.3655564215214</v>
      </c>
      <c r="DT108" s="1">
        <v>661.95178002188663</v>
      </c>
      <c r="DU108" s="1">
        <v>286.33014614562444</v>
      </c>
      <c r="DV108" s="1">
        <v>632.10976143399284</v>
      </c>
      <c r="DW108" s="1">
        <v>8305.0245977898812</v>
      </c>
      <c r="DX108" s="1">
        <v>7979.9886563379778</v>
      </c>
      <c r="DY108" s="1">
        <v>1142.4941482500176</v>
      </c>
      <c r="EA108" s="1">
        <v>1900</v>
      </c>
      <c r="EB108" s="1">
        <v>2.8583626208409214</v>
      </c>
      <c r="EC108" s="1">
        <v>3.31960745875746</v>
      </c>
      <c r="ED108" s="1">
        <v>2.4648796128020649</v>
      </c>
      <c r="EE108" s="1">
        <v>6.1224838354626741</v>
      </c>
      <c r="EF108" s="1">
        <v>-2.3871745780890592</v>
      </c>
      <c r="EG108" s="1">
        <v>4.1007522288249305</v>
      </c>
      <c r="EH108" s="1">
        <v>3.0374744385722039</v>
      </c>
      <c r="EI108" s="1">
        <v>2.9941407352114027</v>
      </c>
      <c r="EJ108" s="1">
        <v>4.9458420097240037</v>
      </c>
      <c r="EL108" s="1">
        <v>1900</v>
      </c>
      <c r="EM108" s="1">
        <v>1285952.8093666313</v>
      </c>
      <c r="EN108" s="1">
        <v>474195.53685228643</v>
      </c>
      <c r="EO108" s="1">
        <v>64491.315823140823</v>
      </c>
      <c r="EP108" s="1">
        <v>66413.389456359393</v>
      </c>
      <c r="EQ108" s="1">
        <v>91323.772862817001</v>
      </c>
      <c r="ER108" s="1">
        <v>153300.60029421476</v>
      </c>
      <c r="ES108" s="1">
        <v>98152.809237360707</v>
      </c>
      <c r="ET108" s="1">
        <v>2654.6874804077274</v>
      </c>
      <c r="EU108" s="1">
        <v>2236484.9213732178</v>
      </c>
      <c r="EV108" s="1">
        <v>2138332.1121358573</v>
      </c>
      <c r="EX108" s="1">
        <v>1900</v>
      </c>
      <c r="EY108" s="1">
        <v>916488.61970816052</v>
      </c>
      <c r="EZ108" s="1">
        <v>405061.35118600621</v>
      </c>
      <c r="FA108" s="1">
        <v>47512.614414249874</v>
      </c>
      <c r="FB108" s="1">
        <v>66413.389456359393</v>
      </c>
      <c r="FC108" s="1">
        <v>55466.578434655938</v>
      </c>
      <c r="FD108" s="1">
        <v>144412.58446514508</v>
      </c>
      <c r="FE108" s="1">
        <v>98152.809237360707</v>
      </c>
      <c r="FF108" s="1">
        <v>2121.0732144946373</v>
      </c>
      <c r="FG108" s="1">
        <v>1735629.0201164323</v>
      </c>
      <c r="FH108" s="1">
        <v>1637476.2108790716</v>
      </c>
      <c r="FJ108" s="1">
        <v>1900</v>
      </c>
      <c r="FK108" s="1">
        <v>369464.18965847074</v>
      </c>
      <c r="FL108" s="1">
        <v>69134.185666280202</v>
      </c>
      <c r="FM108" s="1">
        <v>16978.701408890949</v>
      </c>
      <c r="FN108" s="1">
        <v>0</v>
      </c>
      <c r="FO108" s="1">
        <v>35857.19442816107</v>
      </c>
      <c r="FP108" s="1">
        <v>8888.0158290696781</v>
      </c>
      <c r="FQ108" s="1">
        <v>533.61426591308998</v>
      </c>
      <c r="FR108" s="1">
        <v>500855.90125678573</v>
      </c>
      <c r="FS108" s="1">
        <v>798438.18264686153</v>
      </c>
      <c r="HC108" s="1">
        <v>1900</v>
      </c>
      <c r="HD108" s="1">
        <v>390.12843476098146</v>
      </c>
      <c r="HE108" s="1">
        <v>290.49357956555161</v>
      </c>
      <c r="HF108" s="1">
        <v>45.892135998947339</v>
      </c>
      <c r="HG108" s="1">
        <v>74.333570641069926</v>
      </c>
      <c r="HH108" s="1">
        <v>138.80453345512322</v>
      </c>
      <c r="HI108" s="1">
        <v>101.9826121826742</v>
      </c>
      <c r="HJ108" s="1">
        <v>2.5333078910472402</v>
      </c>
      <c r="HK108" s="2">
        <v>1044.1681744953951</v>
      </c>
      <c r="HL108" s="1">
        <v>942.18556231272078</v>
      </c>
      <c r="HN108" s="1">
        <v>1900</v>
      </c>
      <c r="HO108" s="1">
        <v>198.04635837237731</v>
      </c>
      <c r="HP108" s="1">
        <v>53.295997803558734</v>
      </c>
      <c r="HQ108" s="1">
        <v>18.373110456153825</v>
      </c>
      <c r="HR108" s="1">
        <v>0</v>
      </c>
      <c r="HS108" s="1">
        <v>53.858464956433629</v>
      </c>
      <c r="HT108" s="1">
        <v>0.73793633339870279</v>
      </c>
      <c r="HU108" s="2">
        <v>324.31186792192221</v>
      </c>
      <c r="HW108" s="1">
        <v>1900</v>
      </c>
      <c r="HX108" s="1">
        <v>105.59758595380981</v>
      </c>
      <c r="HY108" s="1">
        <v>135.99145970862753</v>
      </c>
      <c r="HZ108" s="1">
        <v>90.046040167767956</v>
      </c>
      <c r="IA108" s="1">
        <v>30.959905549689481</v>
      </c>
      <c r="IB108" s="1">
        <v>158.18788585815165</v>
      </c>
      <c r="IC108" s="1">
        <v>6.4905412831844993</v>
      </c>
      <c r="ID108" s="1">
        <v>203.57946278598823</v>
      </c>
      <c r="IE108" s="2">
        <v>730.85288130721915</v>
      </c>
      <c r="IF108" s="1">
        <v>724.36234002403467</v>
      </c>
      <c r="IH108" s="1">
        <v>1900</v>
      </c>
      <c r="II108" s="1">
        <v>162.54439044931394</v>
      </c>
      <c r="IJ108" s="1">
        <v>38.885074863021664</v>
      </c>
      <c r="IK108" s="1">
        <v>17.224847118562312</v>
      </c>
      <c r="IL108" s="1">
        <v>173.20613640464899</v>
      </c>
      <c r="IM108" s="1">
        <v>30.335970218612061</v>
      </c>
      <c r="IN108" s="1">
        <v>13.437866612049707</v>
      </c>
      <c r="IO108" s="1">
        <v>2.5860927024982061</v>
      </c>
    </row>
    <row r="109" spans="1:249" x14ac:dyDescent="0.25">
      <c r="A109" s="1" t="s">
        <v>200</v>
      </c>
      <c r="B109" s="1">
        <v>2.6812646465952668</v>
      </c>
      <c r="C109" s="1">
        <v>2.5635139952293144</v>
      </c>
      <c r="D109" s="1">
        <v>2.7244186842265066</v>
      </c>
      <c r="E109" s="1">
        <v>2.6381287377690938</v>
      </c>
      <c r="F109" s="1">
        <v>2.9004572729355118</v>
      </c>
      <c r="G109" s="1">
        <v>2.0985361288530839</v>
      </c>
      <c r="H109" s="1">
        <v>2.0258191767920977</v>
      </c>
      <c r="J109" s="1">
        <v>1901</v>
      </c>
      <c r="K109" s="2">
        <v>2209.7482843833568</v>
      </c>
      <c r="L109" s="1">
        <v>2079.6063664992375</v>
      </c>
      <c r="M109" s="1">
        <v>2025.3761332536474</v>
      </c>
      <c r="N109" s="1">
        <v>1895.2342153695281</v>
      </c>
      <c r="O109" s="1">
        <v>184.37215112970944</v>
      </c>
      <c r="P109" s="1">
        <v>130.14191788411915</v>
      </c>
      <c r="Q109" s="1">
        <v>1855.1240941495153</v>
      </c>
      <c r="R109" s="1">
        <v>4064.8723785328721</v>
      </c>
      <c r="S109" s="1">
        <v>3934.7304606487528</v>
      </c>
      <c r="U109" s="1">
        <v>1901</v>
      </c>
      <c r="V109" s="1">
        <v>428.59481176266314</v>
      </c>
      <c r="W109" s="1">
        <v>25883.497123915746</v>
      </c>
      <c r="X109" s="1">
        <v>1.3279400829514572</v>
      </c>
      <c r="Y109" s="1">
        <v>403.35295449223594</v>
      </c>
      <c r="Z109" s="1">
        <v>22191.64883365827</v>
      </c>
      <c r="AA109" s="1">
        <v>1.9062704152873238</v>
      </c>
      <c r="AB109" s="1">
        <v>5155798.0258683525</v>
      </c>
      <c r="AC109" s="1">
        <v>0.76049710007998783</v>
      </c>
      <c r="AE109" s="1">
        <v>1901</v>
      </c>
      <c r="AF109" s="1">
        <v>656.92777760659737</v>
      </c>
      <c r="AG109" s="1">
        <v>459.88188011085958</v>
      </c>
      <c r="AH109" s="1">
        <v>144.93830872280566</v>
      </c>
      <c r="AI109" s="1">
        <v>150.49409741980475</v>
      </c>
      <c r="AJ109" s="1">
        <v>227.53563433343157</v>
      </c>
      <c r="AK109" s="1">
        <v>130.57573661125389</v>
      </c>
      <c r="AL109" s="1">
        <v>110.97595789449923</v>
      </c>
      <c r="AM109" s="1">
        <v>198.27697379998557</v>
      </c>
      <c r="AN109" s="2">
        <v>2079.6063664992375</v>
      </c>
      <c r="AP109" s="1" t="s">
        <v>200</v>
      </c>
      <c r="AQ109" s="1">
        <v>7.1245721254117598</v>
      </c>
      <c r="AR109" s="1">
        <v>-0.4787188168613028</v>
      </c>
      <c r="AS109" s="1">
        <v>-5.6477196347670002</v>
      </c>
      <c r="AT109" s="1">
        <v>1.6496233114853709</v>
      </c>
      <c r="AU109" s="1">
        <v>2.3256237878600103</v>
      </c>
      <c r="AV109" s="1">
        <v>4.0677787496554032</v>
      </c>
      <c r="AW109" s="1">
        <v>0.34101131402195506</v>
      </c>
      <c r="AX109" s="1">
        <v>4.2106700506315349</v>
      </c>
      <c r="AY109" s="1">
        <v>2.6812646465952668</v>
      </c>
      <c r="BA109" s="1">
        <v>1901</v>
      </c>
      <c r="BB109" s="1">
        <v>1782.8081715564022</v>
      </c>
      <c r="BC109" s="1">
        <v>178.43848486668546</v>
      </c>
      <c r="BD109" s="1">
        <v>228.15498428164216</v>
      </c>
      <c r="BE109" s="1">
        <v>62.662065355000571</v>
      </c>
      <c r="BF109" s="1">
        <v>0.59023571039738587</v>
      </c>
      <c r="BG109" s="1">
        <v>14.530478686029431</v>
      </c>
      <c r="BH109" s="1">
        <v>463.10531549110488</v>
      </c>
      <c r="BI109" s="1">
        <v>520.5414515639053</v>
      </c>
      <c r="BJ109" s="1">
        <v>2209.7482843833563</v>
      </c>
      <c r="BL109" s="1" t="s">
        <v>200</v>
      </c>
      <c r="BM109" s="1">
        <v>2.749324750707089</v>
      </c>
      <c r="BN109" s="1">
        <v>3.0347365932162518</v>
      </c>
      <c r="BO109" s="1">
        <v>-12.341752338167808</v>
      </c>
      <c r="BP109" s="1">
        <v>-5.7971014492753596</v>
      </c>
      <c r="BQ109" s="1">
        <v>-11.034482758620683</v>
      </c>
      <c r="BR109" s="1">
        <v>2.0985361288531408</v>
      </c>
      <c r="BT109" s="1" t="s">
        <v>200</v>
      </c>
      <c r="BU109" s="1">
        <v>-3.3424799909726062</v>
      </c>
      <c r="BV109" s="1">
        <v>-0.21436908822636269</v>
      </c>
      <c r="BW109" s="1">
        <v>-0.94372912627208905</v>
      </c>
      <c r="BX109" s="1">
        <v>-4.9472096530920027</v>
      </c>
      <c r="BY109" s="1">
        <v>-1.2993724621631628</v>
      </c>
      <c r="BZ109" s="1">
        <v>-3.6097021016428954</v>
      </c>
      <c r="CB109" s="1">
        <v>1901</v>
      </c>
      <c r="CC109" s="1">
        <v>32.415073663759216</v>
      </c>
      <c r="CD109" s="1">
        <v>63.968811673966059</v>
      </c>
      <c r="CE109" s="1">
        <v>1.0626216163783599</v>
      </c>
      <c r="CF109" s="1">
        <v>81.683419140446219</v>
      </c>
      <c r="CG109" s="1">
        <v>7.504532616735049</v>
      </c>
      <c r="CH109" s="1">
        <v>15.296688299890347</v>
      </c>
      <c r="CI109" s="1">
        <v>104.0066170218943</v>
      </c>
      <c r="CJ109" s="1">
        <v>305.93776403306958</v>
      </c>
      <c r="CL109" s="1">
        <v>1901</v>
      </c>
      <c r="CM109" s="1">
        <v>38.986969601812241</v>
      </c>
      <c r="CN109" s="1">
        <v>33.308594152882819</v>
      </c>
      <c r="CO109" s="1">
        <v>0.67061085548185828</v>
      </c>
      <c r="CP109" s="1">
        <v>44.350708722944454</v>
      </c>
      <c r="CQ109" s="1">
        <v>2.9686556034514924</v>
      </c>
      <c r="CR109" s="1">
        <v>6.678138647351803</v>
      </c>
      <c r="CS109" s="1">
        <v>57.408473545784787</v>
      </c>
      <c r="CT109" s="2">
        <v>184.37215112970944</v>
      </c>
      <c r="CV109" s="1">
        <v>1901</v>
      </c>
      <c r="CW109" s="1">
        <v>1870.3409138956597</v>
      </c>
      <c r="CX109" s="1">
        <v>1829.2072831930388</v>
      </c>
      <c r="CY109" s="1">
        <v>392.0652246096767</v>
      </c>
      <c r="CZ109" s="1">
        <v>287.47444407305119</v>
      </c>
      <c r="DA109" s="1">
        <v>634.8317341611986</v>
      </c>
      <c r="DB109" s="1">
        <v>5013.9195999326248</v>
      </c>
      <c r="DC109" s="1">
        <v>4819.0366457436921</v>
      </c>
      <c r="DD109" s="1">
        <v>863.81108756347317</v>
      </c>
      <c r="DF109" s="1">
        <v>1901</v>
      </c>
      <c r="DG109" s="1">
        <v>2.5889011723728288</v>
      </c>
      <c r="DH109" s="1">
        <v>2.4914251262916594</v>
      </c>
      <c r="DI109" s="1">
        <v>2.6885999852214866</v>
      </c>
      <c r="DJ109" s="1">
        <v>2.7134784564155581</v>
      </c>
      <c r="DK109" s="1">
        <v>-0.73325317327487483</v>
      </c>
      <c r="DL109" s="1">
        <v>2.2888708777655324</v>
      </c>
      <c r="DM109" s="1">
        <v>2.3615170581769718</v>
      </c>
      <c r="DN109" s="1">
        <v>2.2806177303143329</v>
      </c>
      <c r="DO109" s="1">
        <v>3.6225686333704914</v>
      </c>
      <c r="DQ109" s="1">
        <v>1901</v>
      </c>
      <c r="DR109" s="1">
        <v>3140.4493970981557</v>
      </c>
      <c r="DS109" s="1">
        <v>3651.946765092734</v>
      </c>
      <c r="DT109" s="1">
        <v>730.03096276575991</v>
      </c>
      <c r="DU109" s="1">
        <v>287.47444407305119</v>
      </c>
      <c r="DV109" s="1">
        <v>634.8317341611986</v>
      </c>
      <c r="DW109" s="1">
        <v>8444.7333031908984</v>
      </c>
      <c r="DX109" s="1">
        <v>8111.4985598242247</v>
      </c>
      <c r="DY109" s="1">
        <v>1181.6682689433417</v>
      </c>
      <c r="EA109" s="1">
        <v>1901</v>
      </c>
      <c r="EB109" s="1">
        <v>2.4584499343106359</v>
      </c>
      <c r="EC109" s="1">
        <v>2.6374947718502</v>
      </c>
      <c r="ED109" s="1">
        <v>2.3044414739820382</v>
      </c>
      <c r="EE109" s="1">
        <v>3.4476277407393496</v>
      </c>
      <c r="EF109" s="1">
        <v>-0.73325317327488904</v>
      </c>
      <c r="EG109" s="1">
        <v>2.2888708777655324</v>
      </c>
      <c r="EH109" s="1">
        <v>2.4162650611736751</v>
      </c>
      <c r="EI109" s="1">
        <v>2.3612606492651196</v>
      </c>
      <c r="EJ109" s="1">
        <v>3.7184613785683069</v>
      </c>
      <c r="EL109" s="1">
        <v>1901</v>
      </c>
      <c r="EM109" s="1">
        <v>1287755.4938541981</v>
      </c>
      <c r="EN109" s="1">
        <v>476849.0662813044</v>
      </c>
      <c r="EO109" s="1">
        <v>65589.964417434792</v>
      </c>
      <c r="EP109" s="1">
        <v>68745.140940648082</v>
      </c>
      <c r="EQ109" s="1">
        <v>92157.900793774475</v>
      </c>
      <c r="ER109" s="1">
        <v>155361.84230372155</v>
      </c>
      <c r="ES109" s="1">
        <v>98152.809237360707</v>
      </c>
      <c r="ET109" s="1">
        <v>2711.751383541834</v>
      </c>
      <c r="EU109" s="1">
        <v>2247323.9692119835</v>
      </c>
      <c r="EV109" s="1">
        <v>2149171.159974623</v>
      </c>
      <c r="EX109" s="1">
        <v>1901</v>
      </c>
      <c r="EY109" s="1">
        <v>916768.78693065117</v>
      </c>
      <c r="EZ109" s="1">
        <v>406808.82534420368</v>
      </c>
      <c r="FA109" s="1">
        <v>48004.969979957546</v>
      </c>
      <c r="FB109" s="1">
        <v>68745.140940648082</v>
      </c>
      <c r="FC109" s="1">
        <v>55557.777708150948</v>
      </c>
      <c r="FD109" s="1">
        <v>145229.6716137703</v>
      </c>
      <c r="FE109" s="1">
        <v>98152.809237360707</v>
      </c>
      <c r="FF109" s="1">
        <v>2172.2912518222784</v>
      </c>
      <c r="FG109" s="1">
        <v>1741440.2730065647</v>
      </c>
      <c r="FH109" s="1">
        <v>1643287.463769204</v>
      </c>
      <c r="FJ109" s="1">
        <v>1901</v>
      </c>
      <c r="FK109" s="1">
        <v>370986.70692354685</v>
      </c>
      <c r="FL109" s="1">
        <v>70040.240937100709</v>
      </c>
      <c r="FM109" s="1">
        <v>17584.994437477249</v>
      </c>
      <c r="FN109" s="1">
        <v>0</v>
      </c>
      <c r="FO109" s="1">
        <v>36600.123085623527</v>
      </c>
      <c r="FP109" s="1">
        <v>10132.170689951272</v>
      </c>
      <c r="FQ109" s="1">
        <v>539.46013171955576</v>
      </c>
      <c r="FR109" s="1">
        <v>505883.6962054192</v>
      </c>
      <c r="FS109" s="1">
        <v>804894.14130967099</v>
      </c>
      <c r="HC109" s="1">
        <v>1901</v>
      </c>
      <c r="HD109" s="1">
        <v>394.94947506312144</v>
      </c>
      <c r="HE109" s="1">
        <v>288.94057696289309</v>
      </c>
      <c r="HF109" s="1">
        <v>45.921702907153659</v>
      </c>
      <c r="HG109" s="1">
        <v>76.770736891596812</v>
      </c>
      <c r="HH109" s="1">
        <v>140.37572781506444</v>
      </c>
      <c r="HI109" s="1">
        <v>104.29781924714737</v>
      </c>
      <c r="HJ109" s="1">
        <v>2.5690856663802117</v>
      </c>
      <c r="HK109" s="2">
        <v>1053.825124553357</v>
      </c>
      <c r="HL109" s="1">
        <v>949.52730530620966</v>
      </c>
      <c r="HN109" s="1">
        <v>1901</v>
      </c>
      <c r="HO109" s="1">
        <v>201.2584170114103</v>
      </c>
      <c r="HP109" s="1">
        <v>53.475125909653435</v>
      </c>
      <c r="HQ109" s="1">
        <v>18.846160658921836</v>
      </c>
      <c r="HR109" s="1">
        <v>0</v>
      </c>
      <c r="HS109" s="1">
        <v>56.556320479710109</v>
      </c>
      <c r="HT109" s="1">
        <v>0.73871859796007944</v>
      </c>
      <c r="HU109" s="2">
        <v>330.87474265765576</v>
      </c>
      <c r="HW109" s="1">
        <v>1901</v>
      </c>
      <c r="HX109" s="1">
        <v>107.17188553206563</v>
      </c>
      <c r="HY109" s="1">
        <v>117.46617723831304</v>
      </c>
      <c r="HZ109" s="1">
        <v>80.170445156730167</v>
      </c>
      <c r="IA109" s="1">
        <v>27.271360528207936</v>
      </c>
      <c r="IB109" s="1">
        <v>161.17932264991086</v>
      </c>
      <c r="IC109" s="1">
        <v>6.6781386473518527</v>
      </c>
      <c r="ID109" s="1">
        <v>194.96916953564528</v>
      </c>
      <c r="IE109" s="2">
        <v>694.90649928822472</v>
      </c>
      <c r="IF109" s="1">
        <v>688.22836064087289</v>
      </c>
      <c r="IH109" s="1">
        <v>1901</v>
      </c>
      <c r="II109" s="1">
        <v>176.18597576988662</v>
      </c>
      <c r="IJ109" s="1">
        <v>33.657980718464053</v>
      </c>
      <c r="IK109" s="1">
        <v>14.292948394468674</v>
      </c>
      <c r="IL109" s="1">
        <v>189.02804819383945</v>
      </c>
      <c r="IM109" s="1">
        <v>24.577606219407297</v>
      </c>
      <c r="IN109" s="1">
        <v>10.436943923996386</v>
      </c>
      <c r="IO109" s="1">
        <v>2.4629346991253271</v>
      </c>
    </row>
    <row r="110" spans="1:249" x14ac:dyDescent="0.25">
      <c r="A110" s="1" t="s">
        <v>201</v>
      </c>
      <c r="B110" s="1">
        <v>0.21531781367392</v>
      </c>
      <c r="C110" s="1">
        <v>0.14463961672979053</v>
      </c>
      <c r="D110" s="1">
        <v>0.34240452176597103</v>
      </c>
      <c r="E110" s="1">
        <v>8.8392064764093448E-2</v>
      </c>
      <c r="F110" s="1">
        <v>0.62146432117833683</v>
      </c>
      <c r="G110" s="1">
        <v>-0.18223185902948558</v>
      </c>
      <c r="H110" s="1">
        <v>-0.38616125261995649</v>
      </c>
      <c r="J110" s="1">
        <v>1902</v>
      </c>
      <c r="K110" s="2">
        <v>2218.7652219486831</v>
      </c>
      <c r="L110" s="1">
        <v>2077.1158879573513</v>
      </c>
      <c r="M110" s="1">
        <v>2035.583574980898</v>
      </c>
      <c r="N110" s="1">
        <v>1893.9342409895662</v>
      </c>
      <c r="O110" s="1">
        <v>183.18164696778518</v>
      </c>
      <c r="P110" s="1">
        <v>141.6493339913319</v>
      </c>
      <c r="Q110" s="1">
        <v>1897.1962683090464</v>
      </c>
      <c r="R110" s="1">
        <v>4115.9614902577296</v>
      </c>
      <c r="S110" s="1">
        <v>3974.3121562663978</v>
      </c>
      <c r="U110" s="1">
        <v>1902</v>
      </c>
      <c r="V110" s="1">
        <v>427.7569315554739</v>
      </c>
      <c r="W110" s="1">
        <v>25681.028357884567</v>
      </c>
      <c r="X110" s="1">
        <v>-0.78223110680087871</v>
      </c>
      <c r="Y110" s="1">
        <v>400.44828084037363</v>
      </c>
      <c r="Z110" s="1">
        <v>22105.751377994446</v>
      </c>
      <c r="AA110" s="1">
        <v>-0.38707108384637934</v>
      </c>
      <c r="AB110" s="1">
        <v>5186976.6642482597</v>
      </c>
      <c r="AC110" s="1">
        <v>0.60472963105758026</v>
      </c>
      <c r="AE110" s="1">
        <v>1902</v>
      </c>
      <c r="AF110" s="1">
        <v>627.58586740549265</v>
      </c>
      <c r="AG110" s="1">
        <v>476.56340187055633</v>
      </c>
      <c r="AH110" s="1">
        <v>125.32880414675617</v>
      </c>
      <c r="AI110" s="1">
        <v>151.62082367240961</v>
      </c>
      <c r="AJ110" s="1">
        <v>235.84962906821727</v>
      </c>
      <c r="AK110" s="1">
        <v>134.01241197714</v>
      </c>
      <c r="AL110" s="1">
        <v>118.11617819033729</v>
      </c>
      <c r="AM110" s="1">
        <v>208.03877162644187</v>
      </c>
      <c r="AN110" s="2">
        <v>2077.1158879573513</v>
      </c>
      <c r="AP110" s="1" t="s">
        <v>201</v>
      </c>
      <c r="AQ110" s="1">
        <v>-5.4382280006549166</v>
      </c>
      <c r="AR110" s="1">
        <v>6.4196825992671904</v>
      </c>
      <c r="AS110" s="1">
        <v>-7.2647527797197284</v>
      </c>
      <c r="AT110" s="1">
        <v>-1.13963767172838</v>
      </c>
      <c r="AU110" s="1">
        <v>2.983161561824673</v>
      </c>
      <c r="AV110" s="1">
        <v>0.7215069059206769</v>
      </c>
      <c r="AW110" s="1">
        <v>8.4370236588833052</v>
      </c>
      <c r="AX110" s="1">
        <v>3.0187926586388443</v>
      </c>
      <c r="AY110" s="1">
        <v>0.21531781367392</v>
      </c>
      <c r="BA110" s="1">
        <v>1902</v>
      </c>
      <c r="BB110" s="1">
        <v>1837.0324271731342</v>
      </c>
      <c r="BC110" s="1">
        <v>180.16690826181232</v>
      </c>
      <c r="BD110" s="1">
        <v>198.43389142099545</v>
      </c>
      <c r="BE110" s="1">
        <v>62.853902000326549</v>
      </c>
      <c r="BF110" s="1">
        <v>-2.0045628618041071</v>
      </c>
      <c r="BG110" s="1">
        <v>18.971589498451532</v>
      </c>
      <c r="BH110" s="1">
        <v>490.1479616511694</v>
      </c>
      <c r="BI110" s="1">
        <v>566.83689519540224</v>
      </c>
      <c r="BJ110" s="1">
        <v>2218.7652219486827</v>
      </c>
      <c r="BL110" s="1" t="s">
        <v>201</v>
      </c>
      <c r="BM110" s="1">
        <v>1.0932238716609106</v>
      </c>
      <c r="BN110" s="1">
        <v>1.5100540356104233</v>
      </c>
      <c r="BO110" s="1">
        <v>-6.6644918124203798</v>
      </c>
      <c r="BP110" s="1">
        <v>10.549450549450555</v>
      </c>
      <c r="BQ110" s="1">
        <v>10.465116279069761</v>
      </c>
      <c r="BR110" s="1">
        <v>-0.182231859029514</v>
      </c>
      <c r="BT110" s="1" t="s">
        <v>201</v>
      </c>
      <c r="BU110" s="1">
        <v>1.92721548624381</v>
      </c>
      <c r="BV110" s="1">
        <v>-0.53336174735612474</v>
      </c>
      <c r="BW110" s="1">
        <v>-2.5542928902789157</v>
      </c>
      <c r="BX110" s="1">
        <v>-4.2605679789874102</v>
      </c>
      <c r="BY110" s="1">
        <v>-1.422536819271599</v>
      </c>
      <c r="BZ110" s="1">
        <v>0.59136221063292282</v>
      </c>
      <c r="CB110" s="1">
        <v>1902</v>
      </c>
      <c r="CC110" s="1">
        <v>28.198405848363315</v>
      </c>
      <c r="CD110" s="1">
        <v>66.373856465483627</v>
      </c>
      <c r="CE110" s="1">
        <v>1.0570508106341847</v>
      </c>
      <c r="CF110" s="1">
        <v>73.680292473828686</v>
      </c>
      <c r="CG110" s="1">
        <v>8.2401640970531336</v>
      </c>
      <c r="CH110" s="1">
        <v>17.81409334701295</v>
      </c>
      <c r="CI110" s="1">
        <v>82.890957015593528</v>
      </c>
      <c r="CJ110" s="1">
        <v>278.25482005796943</v>
      </c>
      <c r="CL110" s="1">
        <v>1902</v>
      </c>
      <c r="CM110" s="1">
        <v>37.658770710614476</v>
      </c>
      <c r="CN110" s="1">
        <v>32.660981029591504</v>
      </c>
      <c r="CO110" s="1">
        <v>0.70702862320364956</v>
      </c>
      <c r="CP110" s="1">
        <v>45.299318767746684</v>
      </c>
      <c r="CQ110" s="1">
        <v>3.0033458556091088</v>
      </c>
      <c r="CR110" s="1">
        <v>6.7702559520569556</v>
      </c>
      <c r="CS110" s="1">
        <v>57.081946028962776</v>
      </c>
      <c r="CT110" s="2">
        <v>183.18164696778518</v>
      </c>
      <c r="CV110" s="1">
        <v>1902</v>
      </c>
      <c r="CW110" s="1">
        <v>1881.0594019614973</v>
      </c>
      <c r="CX110" s="1">
        <v>1842.0811691174185</v>
      </c>
      <c r="CY110" s="1">
        <v>383.89994371342863</v>
      </c>
      <c r="CZ110" s="1">
        <v>297.18925176503973</v>
      </c>
      <c r="DA110" s="1">
        <v>634.58571016968131</v>
      </c>
      <c r="DB110" s="1">
        <v>5038.8154767270653</v>
      </c>
      <c r="DC110" s="1">
        <v>4841.5975445248541</v>
      </c>
      <c r="DD110" s="1">
        <v>867.26566238914597</v>
      </c>
      <c r="DF110" s="1">
        <v>1902</v>
      </c>
      <c r="DG110" s="1">
        <v>1.7821596897806984</v>
      </c>
      <c r="DH110" s="1">
        <v>1.3720465690620074</v>
      </c>
      <c r="DI110" s="1">
        <v>2.2009285749706891</v>
      </c>
      <c r="DJ110" s="1">
        <v>3.0408614588721434</v>
      </c>
      <c r="DK110" s="1">
        <v>18.270385527327448</v>
      </c>
      <c r="DL110" s="1">
        <v>2.989602380642765</v>
      </c>
      <c r="DM110" s="1">
        <v>3.1235928853424753</v>
      </c>
      <c r="DN110" s="1">
        <v>3.0216681014259734</v>
      </c>
      <c r="DO110" s="1">
        <v>4.4080947261396801</v>
      </c>
      <c r="DQ110" s="1">
        <v>1902</v>
      </c>
      <c r="DR110" s="1">
        <v>3162.9479641342891</v>
      </c>
      <c r="DS110" s="1">
        <v>3664.2176200680751</v>
      </c>
      <c r="DT110" s="1">
        <v>719.38799086287804</v>
      </c>
      <c r="DU110" s="1">
        <v>297.18925176503973</v>
      </c>
      <c r="DV110" s="1">
        <v>634.58571016968131</v>
      </c>
      <c r="DW110" s="1">
        <v>8478.328536999963</v>
      </c>
      <c r="DX110" s="1">
        <v>8142.9769287603694</v>
      </c>
      <c r="DY110" s="1">
        <v>1183.3666983872783</v>
      </c>
      <c r="EA110" s="1">
        <v>1902</v>
      </c>
      <c r="EB110" s="1">
        <v>2.0127262303019506</v>
      </c>
      <c r="EC110" s="1">
        <v>1.9526178266461898</v>
      </c>
      <c r="ED110" s="1">
        <v>2.0646093721748713</v>
      </c>
      <c r="EE110" s="1">
        <v>3.5589247246331723</v>
      </c>
      <c r="EF110" s="1">
        <v>18.270385527327448</v>
      </c>
      <c r="EG110" s="1">
        <v>2.989602380642765</v>
      </c>
      <c r="EH110" s="1">
        <v>2.8584399094895048</v>
      </c>
      <c r="EI110" s="1">
        <v>2.7887564799111857</v>
      </c>
      <c r="EJ110" s="1">
        <v>4.2877767839931522</v>
      </c>
      <c r="EL110" s="1">
        <v>1902</v>
      </c>
      <c r="EM110" s="1">
        <v>1262222.4134814525</v>
      </c>
      <c r="EN110" s="1">
        <v>484121.70249416854</v>
      </c>
      <c r="EO110" s="1">
        <v>65738.51536334824</v>
      </c>
      <c r="EP110" s="1">
        <v>68531.104432409367</v>
      </c>
      <c r="EQ110" s="1">
        <v>92784.845874211169</v>
      </c>
      <c r="ER110" s="1">
        <v>155733.1626381767</v>
      </c>
      <c r="ES110" s="1">
        <v>106545.05686732092</v>
      </c>
      <c r="ET110" s="1">
        <v>2770.1347340795355</v>
      </c>
      <c r="EU110" s="1">
        <v>2238446.9358851672</v>
      </c>
      <c r="EV110" s="1">
        <v>2131901.8790178462</v>
      </c>
      <c r="EX110" s="1">
        <v>1902</v>
      </c>
      <c r="EY110" s="1">
        <v>890220.6950478548</v>
      </c>
      <c r="EZ110" s="1">
        <v>412056.45796039735</v>
      </c>
      <c r="FA110" s="1">
        <v>48115.25844109118</v>
      </c>
      <c r="FB110" s="1">
        <v>68531.104432409367</v>
      </c>
      <c r="FC110" s="1">
        <v>55359.384861972321</v>
      </c>
      <c r="FD110" s="1">
        <v>145399.18258059985</v>
      </c>
      <c r="FE110" s="1">
        <v>106545.05686732092</v>
      </c>
      <c r="FF110" s="1">
        <v>2224.7610257579308</v>
      </c>
      <c r="FG110" s="1">
        <v>1728451.9012174041</v>
      </c>
      <c r="FH110" s="1">
        <v>1621906.844350083</v>
      </c>
      <c r="FJ110" s="1">
        <v>1902</v>
      </c>
      <c r="FK110" s="1">
        <v>372001.71843359765</v>
      </c>
      <c r="FL110" s="1">
        <v>72065.244533771169</v>
      </c>
      <c r="FM110" s="1">
        <v>17623.25692225706</v>
      </c>
      <c r="FN110" s="1">
        <v>0</v>
      </c>
      <c r="FO110" s="1">
        <v>37425.46101223884</v>
      </c>
      <c r="FP110" s="1">
        <v>10333.980057576828</v>
      </c>
      <c r="FQ110" s="1">
        <v>545.37370832160479</v>
      </c>
      <c r="FR110" s="1">
        <v>509995.03466776322</v>
      </c>
      <c r="FS110" s="1">
        <v>811402.30113615445</v>
      </c>
      <c r="HC110" s="1">
        <v>1902</v>
      </c>
      <c r="HD110" s="1">
        <v>377.42489995413484</v>
      </c>
      <c r="HE110" s="1">
        <v>296.51896679904894</v>
      </c>
      <c r="HF110" s="1">
        <v>46.632874693688372</v>
      </c>
      <c r="HG110" s="1">
        <v>76.770736891596812</v>
      </c>
      <c r="HH110" s="1">
        <v>143.62987779348845</v>
      </c>
      <c r="HI110" s="1">
        <v>111.34592223828037</v>
      </c>
      <c r="HJ110" s="1">
        <v>2.6809882681346222</v>
      </c>
      <c r="HK110" s="2">
        <v>1055.0042666383722</v>
      </c>
      <c r="HL110" s="1">
        <v>943.65834440009189</v>
      </c>
      <c r="HN110" s="1">
        <v>1902</v>
      </c>
      <c r="HO110" s="1">
        <v>198.60573729182801</v>
      </c>
      <c r="HP110" s="1">
        <v>55.74521984438082</v>
      </c>
      <c r="HQ110" s="1">
        <v>19.135702477042845</v>
      </c>
      <c r="HR110" s="1">
        <v>0</v>
      </c>
      <c r="HS110" s="1">
        <v>58.917167324110991</v>
      </c>
      <c r="HT110" s="1">
        <v>0.76096536262626158</v>
      </c>
      <c r="HU110" s="2">
        <v>333.16479229998896</v>
      </c>
      <c r="HW110" s="1">
        <v>1902</v>
      </c>
      <c r="HX110" s="1">
        <v>95.640230159529779</v>
      </c>
      <c r="HY110" s="1">
        <v>124.29921522712658</v>
      </c>
      <c r="HZ110" s="1">
        <v>59.56022697602495</v>
      </c>
      <c r="IA110" s="1">
        <v>30.765086780812794</v>
      </c>
      <c r="IB110" s="1">
        <v>167.31499592775782</v>
      </c>
      <c r="IC110" s="1">
        <v>6.7702559520569343</v>
      </c>
      <c r="ID110" s="1">
        <v>204.59681799568099</v>
      </c>
      <c r="IE110" s="2">
        <v>688.94682901898977</v>
      </c>
      <c r="IF110" s="1">
        <v>682.17657306693286</v>
      </c>
      <c r="IH110" s="1">
        <v>1902</v>
      </c>
      <c r="II110" s="1">
        <v>169.71191555721558</v>
      </c>
      <c r="IJ110" s="1">
        <v>34.61790303167124</v>
      </c>
      <c r="IK110" s="1">
        <v>15.152545629147021</v>
      </c>
      <c r="IL110" s="1">
        <v>181.29930342777774</v>
      </c>
      <c r="IM110" s="1">
        <v>26.014064918354439</v>
      </c>
      <c r="IN110" s="1">
        <v>11.386573742330135</v>
      </c>
      <c r="IO110" s="1">
        <v>-0.59976218623057775</v>
      </c>
    </row>
    <row r="111" spans="1:249" x14ac:dyDescent="0.25">
      <c r="A111" s="1" t="s">
        <v>202</v>
      </c>
      <c r="B111" s="1">
        <v>3.7989647096495389</v>
      </c>
      <c r="C111" s="1">
        <v>3.7482653659168648</v>
      </c>
      <c r="D111" s="1">
        <v>3.8421283789998597</v>
      </c>
      <c r="E111" s="1">
        <v>3.755818981980326</v>
      </c>
      <c r="F111" s="1">
        <v>4.0334897340228935</v>
      </c>
      <c r="G111" s="1">
        <v>5.4847418589403958</v>
      </c>
      <c r="H111" s="1">
        <v>5.7662788456604801</v>
      </c>
      <c r="J111" s="1">
        <v>1903</v>
      </c>
      <c r="K111" s="2">
        <v>2385.4068542078548</v>
      </c>
      <c r="L111" s="1">
        <v>2234.9498811867629</v>
      </c>
      <c r="M111" s="1">
        <v>2191.1004133266288</v>
      </c>
      <c r="N111" s="1">
        <v>2040.6434403055366</v>
      </c>
      <c r="O111" s="1">
        <v>194.30644088122631</v>
      </c>
      <c r="P111" s="1">
        <v>150.4569730210919</v>
      </c>
      <c r="Q111" s="1">
        <v>1968.2234401205028</v>
      </c>
      <c r="R111" s="1">
        <v>4353.6302943283572</v>
      </c>
      <c r="S111" s="1">
        <v>4203.1733213072657</v>
      </c>
      <c r="U111" s="1">
        <v>1903</v>
      </c>
      <c r="V111" s="1">
        <v>457.85078518275856</v>
      </c>
      <c r="W111" s="1">
        <v>26969.807675195418</v>
      </c>
      <c r="X111" s="1">
        <v>5.0184100860399212</v>
      </c>
      <c r="Y111" s="1">
        <v>428.97233909612476</v>
      </c>
      <c r="Z111" s="1">
        <v>22844.10237388371</v>
      </c>
      <c r="AA111" s="1">
        <v>3.3400854974975829</v>
      </c>
      <c r="AB111" s="1">
        <v>5210009.3117797785</v>
      </c>
      <c r="AC111" s="1">
        <v>0.44404764128347551</v>
      </c>
      <c r="AE111" s="1">
        <v>1903</v>
      </c>
      <c r="AF111" s="1">
        <v>656.05035834121804</v>
      </c>
      <c r="AG111" s="1">
        <v>509.03186757180515</v>
      </c>
      <c r="AH111" s="1">
        <v>148.14680186216381</v>
      </c>
      <c r="AI111" s="1">
        <v>165.58818456238751</v>
      </c>
      <c r="AJ111" s="1">
        <v>246.29618911379885</v>
      </c>
      <c r="AK111" s="1">
        <v>141.72346226463446</v>
      </c>
      <c r="AL111" s="1">
        <v>123.40300696133083</v>
      </c>
      <c r="AM111" s="1">
        <v>244.71001050942411</v>
      </c>
      <c r="AN111" s="2">
        <v>2234.9498811867629</v>
      </c>
      <c r="AP111" s="1" t="s">
        <v>202</v>
      </c>
      <c r="AQ111" s="1">
        <v>2.1438903097671869</v>
      </c>
      <c r="AR111" s="1">
        <v>5.1014632250099083</v>
      </c>
      <c r="AS111" s="1">
        <v>9.7305078478699727</v>
      </c>
      <c r="AT111" s="1">
        <v>8.0817030675457602</v>
      </c>
      <c r="AU111" s="1">
        <v>3.0045408309526351</v>
      </c>
      <c r="AV111" s="1">
        <v>3.4727129278814033</v>
      </c>
      <c r="AW111" s="1">
        <v>1.6700632634910875</v>
      </c>
      <c r="AX111" s="1">
        <v>1.5117142881547352</v>
      </c>
      <c r="AY111" s="1">
        <v>3.7989647096495389</v>
      </c>
      <c r="BA111" s="1">
        <v>1903</v>
      </c>
      <c r="BB111" s="1">
        <v>1911.662168996819</v>
      </c>
      <c r="BC111" s="1">
        <v>195.56938476250102</v>
      </c>
      <c r="BD111" s="1">
        <v>235.86634314402306</v>
      </c>
      <c r="BE111" s="1">
        <v>63.582005489545907</v>
      </c>
      <c r="BF111" s="1">
        <v>0.17931410239388174</v>
      </c>
      <c r="BG111" s="1">
        <v>29.387348695495032</v>
      </c>
      <c r="BH111" s="1">
        <v>547.61358474130657</v>
      </c>
      <c r="BI111" s="1">
        <v>598.45329572422952</v>
      </c>
      <c r="BJ111" s="1">
        <v>2385.4068542078548</v>
      </c>
      <c r="BL111" s="1" t="s">
        <v>202</v>
      </c>
      <c r="BM111" s="1">
        <v>2.7447784850322563</v>
      </c>
      <c r="BN111" s="1">
        <v>6.631495738607569</v>
      </c>
      <c r="BO111" s="1">
        <v>14.174578380226663</v>
      </c>
      <c r="BP111" s="1">
        <v>11.530815109343948</v>
      </c>
      <c r="BQ111" s="1">
        <v>6.4912280701754526</v>
      </c>
      <c r="BR111" s="1">
        <v>5.48474185894041</v>
      </c>
      <c r="BT111" s="1" t="s">
        <v>202</v>
      </c>
      <c r="BU111" s="1">
        <v>1.2825350701231031</v>
      </c>
      <c r="BV111" s="1">
        <v>1.7982570893777279</v>
      </c>
      <c r="BW111" s="1">
        <v>3.5627563056593488</v>
      </c>
      <c r="BX111" s="1">
        <v>0.17333579199704729</v>
      </c>
      <c r="BY111" s="1">
        <v>-0.85785359386179039</v>
      </c>
      <c r="BZ111" s="1">
        <v>1.9204819164683613</v>
      </c>
      <c r="CB111" s="1">
        <v>1903</v>
      </c>
      <c r="CC111" s="1">
        <v>33.153405807501436</v>
      </c>
      <c r="CD111" s="1">
        <v>76.150980045803351</v>
      </c>
      <c r="CE111" s="1">
        <v>1.0814169207397952</v>
      </c>
      <c r="CF111" s="1">
        <v>58.669734710953009</v>
      </c>
      <c r="CG111" s="1">
        <v>13.241525383340317</v>
      </c>
      <c r="CH111" s="1">
        <v>21.829124221265467</v>
      </c>
      <c r="CI111" s="1">
        <v>124.8888243418545</v>
      </c>
      <c r="CJ111" s="1">
        <v>329.01501143145788</v>
      </c>
      <c r="CL111" s="1">
        <v>1903</v>
      </c>
      <c r="CM111" s="1">
        <v>39.298716891073617</v>
      </c>
      <c r="CN111" s="1">
        <v>33.648958578033131</v>
      </c>
      <c r="CO111" s="1">
        <v>0.59831111880712662</v>
      </c>
      <c r="CP111" s="1">
        <v>47.438001153655016</v>
      </c>
      <c r="CQ111" s="1">
        <v>3.2185825461132973</v>
      </c>
      <c r="CR111" s="1">
        <v>7.6503674213712038</v>
      </c>
      <c r="CS111" s="1">
        <v>62.453503172172923</v>
      </c>
      <c r="CT111" s="2">
        <v>194.30644088122631</v>
      </c>
      <c r="CV111" s="1">
        <v>1903</v>
      </c>
      <c r="CW111" s="1">
        <v>2027.4311118002759</v>
      </c>
      <c r="CX111" s="1">
        <v>2001.8690210794787</v>
      </c>
      <c r="CY111" s="1">
        <v>382.19055367161519</v>
      </c>
      <c r="CZ111" s="1">
        <v>319.6723263771791</v>
      </c>
      <c r="DA111" s="1">
        <v>663.28937507836451</v>
      </c>
      <c r="DB111" s="1">
        <v>5394.4523880069128</v>
      </c>
      <c r="DC111" s="1">
        <v>5172.9900685472603</v>
      </c>
      <c r="DD111" s="1">
        <v>921.52990431557828</v>
      </c>
      <c r="DF111" s="1">
        <v>1903</v>
      </c>
      <c r="DG111" s="1">
        <v>2.2971997500527408</v>
      </c>
      <c r="DH111" s="1">
        <v>3.0795286116647134</v>
      </c>
      <c r="DI111" s="1">
        <v>1.5048259041207359</v>
      </c>
      <c r="DJ111" s="1">
        <v>3.3034071663577294</v>
      </c>
      <c r="DK111" s="1">
        <v>16.334083587711888</v>
      </c>
      <c r="DL111" s="1">
        <v>4.4305471789025717</v>
      </c>
      <c r="DM111" s="1">
        <v>3.2233110384475765</v>
      </c>
      <c r="DN111" s="1">
        <v>3.0858128106336977</v>
      </c>
      <c r="DO111" s="1">
        <v>4.9265637204151744</v>
      </c>
      <c r="DQ111" s="1">
        <v>1903</v>
      </c>
      <c r="DR111" s="1">
        <v>3428.5920244901404</v>
      </c>
      <c r="DS111" s="1">
        <v>3976.688977386907</v>
      </c>
      <c r="DT111" s="1">
        <v>721.00422866121687</v>
      </c>
      <c r="DU111" s="1">
        <v>319.6723263771791</v>
      </c>
      <c r="DV111" s="1">
        <v>663.28937507836451</v>
      </c>
      <c r="DW111" s="1">
        <v>9109.2469319938064</v>
      </c>
      <c r="DX111" s="1">
        <v>8736.4294791382854</v>
      </c>
      <c r="DY111" s="1">
        <v>1254.1446550448413</v>
      </c>
      <c r="EA111" s="1">
        <v>1903</v>
      </c>
      <c r="EB111" s="1">
        <v>2.2925367423497107</v>
      </c>
      <c r="EC111" s="1">
        <v>2.9732362342650021</v>
      </c>
      <c r="ED111" s="1">
        <v>1.7056215146912024</v>
      </c>
      <c r="EE111" s="1">
        <v>3.6592865448276939</v>
      </c>
      <c r="EF111" s="1">
        <v>16.334083587711916</v>
      </c>
      <c r="EG111" s="1">
        <v>4.4305471789025717</v>
      </c>
      <c r="EH111" s="1">
        <v>2.9010877406323772</v>
      </c>
      <c r="EI111" s="1">
        <v>2.8073780978799192</v>
      </c>
      <c r="EJ111" s="1">
        <v>4.6783915403548519</v>
      </c>
      <c r="EL111" s="1">
        <v>1903</v>
      </c>
      <c r="EM111" s="1">
        <v>1254395.1076361858</v>
      </c>
      <c r="EN111" s="1">
        <v>495816.88775539584</v>
      </c>
      <c r="EO111" s="1">
        <v>72219.681221436986</v>
      </c>
      <c r="EP111" s="1">
        <v>69585.653128954204</v>
      </c>
      <c r="EQ111" s="1">
        <v>94461.909392743459</v>
      </c>
      <c r="ER111" s="1">
        <v>157688.23322647827</v>
      </c>
      <c r="ES111" s="1">
        <v>108004.57819427052</v>
      </c>
      <c r="ET111" s="1">
        <v>2829.8693397822603</v>
      </c>
      <c r="EU111" s="1">
        <v>2255001.9198952471</v>
      </c>
      <c r="EV111" s="1">
        <v>2146997.3417009767</v>
      </c>
      <c r="EX111" s="1">
        <v>1903</v>
      </c>
      <c r="EY111" s="1">
        <v>880363.36618248676</v>
      </c>
      <c r="EZ111" s="1">
        <v>422961.57639439334</v>
      </c>
      <c r="FA111" s="1">
        <v>54683.182431645109</v>
      </c>
      <c r="FB111" s="1">
        <v>69585.653128954204</v>
      </c>
      <c r="FC111" s="1">
        <v>56713.251268900902</v>
      </c>
      <c r="FD111" s="1">
        <v>146787.83527427353</v>
      </c>
      <c r="FE111" s="1">
        <v>108004.57819427052</v>
      </c>
      <c r="FF111" s="1">
        <v>2278.5135146978505</v>
      </c>
      <c r="FG111" s="1">
        <v>1741377.9563896223</v>
      </c>
      <c r="FH111" s="1">
        <v>1633373.3781953517</v>
      </c>
      <c r="FJ111" s="1">
        <v>1903</v>
      </c>
      <c r="FK111" s="1">
        <v>374031.74145369919</v>
      </c>
      <c r="FL111" s="1">
        <v>72855.311361002532</v>
      </c>
      <c r="FM111" s="1">
        <v>17536.49878979188</v>
      </c>
      <c r="FN111" s="1">
        <v>0</v>
      </c>
      <c r="FO111" s="1">
        <v>37748.658123842557</v>
      </c>
      <c r="FP111" s="1">
        <v>10900.397952204727</v>
      </c>
      <c r="FQ111" s="1">
        <v>551.35582508440984</v>
      </c>
      <c r="FR111" s="1">
        <v>513623.96350562532</v>
      </c>
      <c r="FS111" s="1">
        <v>817963.08421102946</v>
      </c>
      <c r="HC111" s="1">
        <v>1903</v>
      </c>
      <c r="HD111" s="1">
        <v>370.23566397933604</v>
      </c>
      <c r="HE111" s="1">
        <v>312.97700913823797</v>
      </c>
      <c r="HF111" s="1">
        <v>54.497792874034161</v>
      </c>
      <c r="HG111" s="1">
        <v>80.426486267387133</v>
      </c>
      <c r="HH111" s="1">
        <v>151.10041786990533</v>
      </c>
      <c r="HI111" s="1">
        <v>115.75263953995967</v>
      </c>
      <c r="HJ111" s="1">
        <v>2.8234530232842503</v>
      </c>
      <c r="HK111" s="2">
        <v>1087.8134626921444</v>
      </c>
      <c r="HL111" s="1">
        <v>972.06082315218487</v>
      </c>
      <c r="HN111" s="1">
        <v>1903</v>
      </c>
      <c r="HO111" s="1">
        <v>198.0791344809389</v>
      </c>
      <c r="HP111" s="1">
        <v>57.950708946978793</v>
      </c>
      <c r="HQ111" s="1">
        <v>19.580189637059878</v>
      </c>
      <c r="HR111" s="1">
        <v>0</v>
      </c>
      <c r="HS111" s="1">
        <v>61.801013381744191</v>
      </c>
      <c r="HT111" s="1">
        <v>0.79107939129352056</v>
      </c>
      <c r="HU111" s="2">
        <v>338.20212583801532</v>
      </c>
      <c r="HW111" s="1">
        <v>1903</v>
      </c>
      <c r="HX111" s="1">
        <v>136.59955988094316</v>
      </c>
      <c r="HY111" s="1">
        <v>138.10414948658843</v>
      </c>
      <c r="HZ111" s="1">
        <v>74.068819351069777</v>
      </c>
      <c r="IA111" s="1">
        <v>36.297698295000373</v>
      </c>
      <c r="IB111" s="1">
        <v>175.11822012678371</v>
      </c>
      <c r="IC111" s="1">
        <v>7.6503674213711568</v>
      </c>
      <c r="ID111" s="1">
        <v>241.09547809484633</v>
      </c>
      <c r="IE111" s="2">
        <v>808.93429265660302</v>
      </c>
      <c r="IF111" s="1">
        <v>801.28392523523189</v>
      </c>
      <c r="IH111" s="1">
        <v>1903</v>
      </c>
      <c r="II111" s="1">
        <v>168.9942190769425</v>
      </c>
      <c r="IJ111" s="1">
        <v>36.589015298041609</v>
      </c>
      <c r="IK111" s="1">
        <v>15.851234795474012</v>
      </c>
      <c r="IL111" s="1">
        <v>180.10814223656047</v>
      </c>
      <c r="IM111" s="1">
        <v>28.160524494574929</v>
      </c>
      <c r="IN111" s="1">
        <v>12.199811393970371</v>
      </c>
      <c r="IO111" s="1">
        <v>1.52691824468954</v>
      </c>
    </row>
    <row r="112" spans="1:249" x14ac:dyDescent="0.25">
      <c r="A112" s="1" t="s">
        <v>203</v>
      </c>
      <c r="B112" s="1">
        <v>4.0765348706401312</v>
      </c>
      <c r="C112" s="1">
        <v>4.0467649899755997</v>
      </c>
      <c r="D112" s="1">
        <v>4.1243788133685513</v>
      </c>
      <c r="E112" s="1">
        <v>4.0287129116477018</v>
      </c>
      <c r="F112" s="1">
        <v>4.4638278916296485</v>
      </c>
      <c r="G112" s="1">
        <v>3.8902818392008101</v>
      </c>
      <c r="H112" s="1">
        <v>3.9422119643353994</v>
      </c>
      <c r="J112" s="1">
        <v>1904</v>
      </c>
      <c r="K112" s="2">
        <v>2436.7055200056548</v>
      </c>
      <c r="L112" s="1">
        <v>2280.4527978068318</v>
      </c>
      <c r="M112" s="1">
        <v>2241.794727703254</v>
      </c>
      <c r="N112" s="1">
        <v>2085.542005504431</v>
      </c>
      <c r="O112" s="1">
        <v>194.91079230240086</v>
      </c>
      <c r="P112" s="1">
        <v>156.25272219882322</v>
      </c>
      <c r="Q112" s="1">
        <v>2080.6770583704738</v>
      </c>
      <c r="R112" s="1">
        <v>4517.3825783761285</v>
      </c>
      <c r="S112" s="1">
        <v>4361.1298561773056</v>
      </c>
      <c r="U112" s="1">
        <v>1904</v>
      </c>
      <c r="V112" s="1">
        <v>464.9301902778206</v>
      </c>
      <c r="W112" s="1">
        <v>27853.256227009333</v>
      </c>
      <c r="X112" s="1">
        <v>3.2756946673610798</v>
      </c>
      <c r="Y112" s="1">
        <v>435.11673630610011</v>
      </c>
      <c r="Z112" s="1">
        <v>23634.701548705874</v>
      </c>
      <c r="AA112" s="1">
        <v>3.4608458755902376</v>
      </c>
      <c r="AB112" s="1">
        <v>5241013.7499343576</v>
      </c>
      <c r="AC112" s="1">
        <v>0.59509371863268257</v>
      </c>
      <c r="AE112" s="1">
        <v>1904</v>
      </c>
      <c r="AF112" s="1">
        <v>646.27683162769438</v>
      </c>
      <c r="AG112" s="1">
        <v>531.22832729197557</v>
      </c>
      <c r="AH112" s="1">
        <v>160.15572532305279</v>
      </c>
      <c r="AI112" s="1">
        <v>172.57061535532978</v>
      </c>
      <c r="AJ112" s="1">
        <v>259.2451309112206</v>
      </c>
      <c r="AK112" s="1">
        <v>147.12178583052395</v>
      </c>
      <c r="AL112" s="1">
        <v>128.30673332348411</v>
      </c>
      <c r="AM112" s="1">
        <v>235.54764814355104</v>
      </c>
      <c r="AN112" s="2">
        <v>2280.4527978068327</v>
      </c>
      <c r="AP112" s="1" t="s">
        <v>203</v>
      </c>
      <c r="AQ112" s="1">
        <v>2.3123679999187914</v>
      </c>
      <c r="AR112" s="1">
        <v>5.7139589780322808</v>
      </c>
      <c r="AS112" s="1">
        <v>8.2066853202089902</v>
      </c>
      <c r="AT112" s="1">
        <v>5.0642050386778408</v>
      </c>
      <c r="AU112" s="1">
        <v>6.9600079293528694</v>
      </c>
      <c r="AV112" s="1">
        <v>2.4168383357672525</v>
      </c>
      <c r="AW112" s="1">
        <v>-0.29794445187391716</v>
      </c>
      <c r="AX112" s="1">
        <v>2.4602268779867984</v>
      </c>
      <c r="AY112" s="1">
        <v>4.0765348706401312</v>
      </c>
      <c r="BA112" s="1">
        <v>1904</v>
      </c>
      <c r="BB112" s="1">
        <v>1995.8818279062054</v>
      </c>
      <c r="BC112" s="1">
        <v>204.46617895200589</v>
      </c>
      <c r="BD112" s="1">
        <v>261.84226234998334</v>
      </c>
      <c r="BE112" s="1">
        <v>72.596160633207134</v>
      </c>
      <c r="BF112" s="1">
        <v>-5.3861696131019547</v>
      </c>
      <c r="BG112" s="1">
        <v>29.229506705167417</v>
      </c>
      <c r="BH112" s="1">
        <v>522.82449242791404</v>
      </c>
      <c r="BI112" s="1">
        <v>644.74873935572646</v>
      </c>
      <c r="BJ112" s="1">
        <v>2436.7055200056539</v>
      </c>
      <c r="BL112" s="1" t="s">
        <v>203</v>
      </c>
      <c r="BM112" s="1">
        <v>5.4774741519079981</v>
      </c>
      <c r="BN112" s="1">
        <v>1.9532898402794245</v>
      </c>
      <c r="BO112" s="1">
        <v>11.492858799108305</v>
      </c>
      <c r="BP112" s="1">
        <v>-4.4563279857397617</v>
      </c>
      <c r="BQ112" s="1">
        <v>4.7775947281713229</v>
      </c>
      <c r="BR112" s="1">
        <v>3.8902818392007674</v>
      </c>
      <c r="BT112" s="1" t="s">
        <v>203</v>
      </c>
      <c r="BU112" s="1">
        <v>-1.0162376986949653</v>
      </c>
      <c r="BV112" s="1">
        <v>2.5461517583630382</v>
      </c>
      <c r="BW112" s="1">
        <v>-2.3298320757484987</v>
      </c>
      <c r="BX112" s="1">
        <v>-7.3705546342367256E-2</v>
      </c>
      <c r="BY112" s="1">
        <v>2.8233653732051778</v>
      </c>
      <c r="BZ112" s="1">
        <v>-1.6746140334044384</v>
      </c>
      <c r="CB112" s="1">
        <v>1904</v>
      </c>
      <c r="CC112" s="1">
        <v>28.123670451563804</v>
      </c>
      <c r="CD112" s="1">
        <v>91.636197786391506</v>
      </c>
      <c r="CE112" s="1">
        <v>1.4066610599379685</v>
      </c>
      <c r="CF112" s="1">
        <v>61.416562275178975</v>
      </c>
      <c r="CG112" s="1">
        <v>12.12925621323032</v>
      </c>
      <c r="CH112" s="1">
        <v>26.284475343463047</v>
      </c>
      <c r="CI112" s="1">
        <v>137.28493694549027</v>
      </c>
      <c r="CJ112" s="1">
        <v>358.28176007525587</v>
      </c>
      <c r="CL112" s="1">
        <v>1904</v>
      </c>
      <c r="CM112" s="1">
        <v>37.865519422814486</v>
      </c>
      <c r="CN112" s="1">
        <v>32.961366423960627</v>
      </c>
      <c r="CO112" s="1">
        <v>0.66435252625510199</v>
      </c>
      <c r="CP112" s="1">
        <v>47.601950440233495</v>
      </c>
      <c r="CQ112" s="1">
        <v>3.2852499030074718</v>
      </c>
      <c r="CR112" s="1">
        <v>8.1010943796520145</v>
      </c>
      <c r="CS112" s="1">
        <v>64.431259206477662</v>
      </c>
      <c r="CT112" s="2">
        <v>194.91079230240086</v>
      </c>
      <c r="CV112" s="1">
        <v>1904</v>
      </c>
      <c r="CW112" s="1">
        <v>2086.6016019047565</v>
      </c>
      <c r="CX112" s="1">
        <v>2028.5291961451303</v>
      </c>
      <c r="CY112" s="1">
        <v>353.67233220077622</v>
      </c>
      <c r="CZ112" s="1">
        <v>288.148437776332</v>
      </c>
      <c r="DA112" s="1">
        <v>679.60871889093801</v>
      </c>
      <c r="DB112" s="1">
        <v>5436.5602869179329</v>
      </c>
      <c r="DC112" s="1">
        <v>5202.2436477319343</v>
      </c>
      <c r="DD112" s="1">
        <v>934.09122657884905</v>
      </c>
      <c r="DF112" s="1">
        <v>1904</v>
      </c>
      <c r="DG112" s="1">
        <v>2.8018034828559308</v>
      </c>
      <c r="DH112" s="1">
        <v>3.491499176100902</v>
      </c>
      <c r="DI112" s="1">
        <v>2.0923851371127142</v>
      </c>
      <c r="DJ112" s="1">
        <v>6.8610797616033778</v>
      </c>
      <c r="DK112" s="1">
        <v>-2.4791372929259978</v>
      </c>
      <c r="DL112" s="1">
        <v>4.3009316821107575</v>
      </c>
      <c r="DM112" s="1">
        <v>2.9634596909137656</v>
      </c>
      <c r="DN112" s="1">
        <v>2.7469657585141647</v>
      </c>
      <c r="DO112" s="1">
        <v>6.6661509730168405</v>
      </c>
      <c r="DQ112" s="1">
        <v>1904</v>
      </c>
      <c r="DR112" s="1">
        <v>3525.0166970532987</v>
      </c>
      <c r="DS112" s="1">
        <v>4037.7111213427847</v>
      </c>
      <c r="DT112" s="1">
        <v>668.17151417946616</v>
      </c>
      <c r="DU112" s="1">
        <v>288.148437776332</v>
      </c>
      <c r="DV112" s="1">
        <v>679.60871889093801</v>
      </c>
      <c r="DW112" s="1">
        <v>9198.6564892428196</v>
      </c>
      <c r="DX112" s="1">
        <v>8809.0190417602425</v>
      </c>
      <c r="DY112" s="1">
        <v>1258.7780122146326</v>
      </c>
      <c r="EA112" s="1">
        <v>1904</v>
      </c>
      <c r="EB112" s="1">
        <v>2.5745908573157124</v>
      </c>
      <c r="EC112" s="1">
        <v>3.2291076846974249</v>
      </c>
      <c r="ED112" s="1">
        <v>2.0031970092151852</v>
      </c>
      <c r="EE112" s="1">
        <v>5.6737552654364265</v>
      </c>
      <c r="EF112" s="1">
        <v>-2.479137292926012</v>
      </c>
      <c r="EG112" s="1">
        <v>4.3009316821107575</v>
      </c>
      <c r="EH112" s="1">
        <v>2.760886534421104</v>
      </c>
      <c r="EI112" s="1">
        <v>2.6175186724328512</v>
      </c>
      <c r="EJ112" s="1">
        <v>6.0653686495856931</v>
      </c>
      <c r="EL112" s="1">
        <v>1904</v>
      </c>
      <c r="EM112" s="1">
        <v>1246735.8405190345</v>
      </c>
      <c r="EN112" s="1">
        <v>507806.90961984755</v>
      </c>
      <c r="EO112" s="1">
        <v>79898.543631061548</v>
      </c>
      <c r="EP112" s="1">
        <v>74009.329724273397</v>
      </c>
      <c r="EQ112" s="1">
        <v>99730.263402123528</v>
      </c>
      <c r="ER112" s="1">
        <v>159452.78144847779</v>
      </c>
      <c r="ES112" s="1">
        <v>107153.19075354992</v>
      </c>
      <c r="ET112" s="1">
        <v>2890.9877920994868</v>
      </c>
      <c r="EU112" s="1">
        <v>2277677.8468904677</v>
      </c>
      <c r="EV112" s="1">
        <v>2170524.6561369174</v>
      </c>
      <c r="EX112" s="1">
        <v>1904</v>
      </c>
      <c r="EY112" s="1">
        <v>871815.96399404097</v>
      </c>
      <c r="EZ112" s="1">
        <v>434232.28899992892</v>
      </c>
      <c r="FA112" s="1">
        <v>62401.868107801376</v>
      </c>
      <c r="FB112" s="1">
        <v>74009.329724273397</v>
      </c>
      <c r="FC112" s="1">
        <v>60967.089005089605</v>
      </c>
      <c r="FD112" s="1">
        <v>148153.81902932216</v>
      </c>
      <c r="FE112" s="1">
        <v>107153.19075354992</v>
      </c>
      <c r="FF112" s="1">
        <v>2333.5804707250049</v>
      </c>
      <c r="FG112" s="1">
        <v>1761067.1300847312</v>
      </c>
      <c r="FH112" s="1">
        <v>1653913.9393311813</v>
      </c>
      <c r="FJ112" s="1">
        <v>1904</v>
      </c>
      <c r="FK112" s="1">
        <v>374919.87652499357</v>
      </c>
      <c r="FL112" s="1">
        <v>73574.620619918627</v>
      </c>
      <c r="FM112" s="1">
        <v>17496.675523260168</v>
      </c>
      <c r="FN112" s="1">
        <v>0</v>
      </c>
      <c r="FO112" s="1">
        <v>38763.174397033908</v>
      </c>
      <c r="FP112" s="1">
        <v>11298.96241915564</v>
      </c>
      <c r="FQ112" s="1">
        <v>557.40732137448174</v>
      </c>
      <c r="FR112" s="1">
        <v>516610.71680573636</v>
      </c>
      <c r="FS112" s="1">
        <v>824576.91603187833</v>
      </c>
      <c r="HC112" s="1">
        <v>1904</v>
      </c>
      <c r="HD112" s="1">
        <v>369.62188681895378</v>
      </c>
      <c r="HE112" s="1">
        <v>331.07822914631817</v>
      </c>
      <c r="HF112" s="1">
        <v>64.079588374346244</v>
      </c>
      <c r="HG112" s="1">
        <v>86.519401893704341</v>
      </c>
      <c r="HH112" s="1">
        <v>159.32290523064768</v>
      </c>
      <c r="HI112" s="1">
        <v>120.20563894383214</v>
      </c>
      <c r="HJ112" s="1">
        <v>2.9053300867801504</v>
      </c>
      <c r="HK112" s="2">
        <v>1133.7329804945825</v>
      </c>
      <c r="HL112" s="1">
        <v>1013.5273415507504</v>
      </c>
      <c r="HN112" s="1">
        <v>1904</v>
      </c>
      <c r="HO112" s="1">
        <v>200.16369498545427</v>
      </c>
      <c r="HP112" s="1">
        <v>60.300728062850233</v>
      </c>
      <c r="HQ112" s="1">
        <v>20.129200772915905</v>
      </c>
      <c r="HR112" s="1">
        <v>0</v>
      </c>
      <c r="HS112" s="1">
        <v>64.117547093855919</v>
      </c>
      <c r="HT112" s="1">
        <v>0.80353447522833266</v>
      </c>
      <c r="HU112" s="2">
        <v>345.5147053903047</v>
      </c>
      <c r="HW112" s="1">
        <v>1904</v>
      </c>
      <c r="HX112" s="1">
        <v>123.81924982328633</v>
      </c>
      <c r="HY112" s="1">
        <v>139.84937008280718</v>
      </c>
      <c r="HZ112" s="1">
        <v>75.946936175790654</v>
      </c>
      <c r="IA112" s="1">
        <v>38.723213461625434</v>
      </c>
      <c r="IB112" s="1">
        <v>182.92646441724105</v>
      </c>
      <c r="IC112" s="1">
        <v>8.1010943796519683</v>
      </c>
      <c r="ID112" s="1">
        <v>231.83878358154257</v>
      </c>
      <c r="IE112" s="2">
        <v>801.20511192194522</v>
      </c>
      <c r="IF112" s="1">
        <v>793.10401754229326</v>
      </c>
      <c r="IH112" s="1">
        <v>1904</v>
      </c>
      <c r="II112" s="1">
        <v>163.93397647640828</v>
      </c>
      <c r="IJ112" s="1">
        <v>35.127403640225417</v>
      </c>
      <c r="IK112" s="1">
        <v>15.857460759446578</v>
      </c>
      <c r="IL112" s="1">
        <v>173.99941439017331</v>
      </c>
      <c r="IM112" s="1">
        <v>27.310615885187044</v>
      </c>
      <c r="IN112" s="1">
        <v>12.328751198102861</v>
      </c>
      <c r="IO112" s="1">
        <v>4.0957581625939952</v>
      </c>
    </row>
    <row r="113" spans="1:249" x14ac:dyDescent="0.25">
      <c r="A113" s="1" t="s">
        <v>204</v>
      </c>
      <c r="B113" s="1">
        <v>-0.48971862395934807</v>
      </c>
      <c r="C113" s="1">
        <v>-0.54663443074018403</v>
      </c>
      <c r="D113" s="1">
        <v>-0.4422801303606434</v>
      </c>
      <c r="E113" s="1">
        <v>-0.5371345134779375</v>
      </c>
      <c r="F113" s="1">
        <v>-0.44663836537692703</v>
      </c>
      <c r="G113" s="1">
        <v>0.20182386339317304</v>
      </c>
      <c r="H113" s="1">
        <v>-6.5762340856394985E-2</v>
      </c>
      <c r="J113" s="1">
        <v>1905</v>
      </c>
      <c r="K113" s="2">
        <v>2507.4186613992251</v>
      </c>
      <c r="L113" s="1">
        <v>2347.7196390414611</v>
      </c>
      <c r="M113" s="1">
        <v>2305.2836481706809</v>
      </c>
      <c r="N113" s="1">
        <v>2145.5846258129168</v>
      </c>
      <c r="O113" s="1">
        <v>202.13501322854427</v>
      </c>
      <c r="P113" s="1">
        <v>159.69902235776422</v>
      </c>
      <c r="Q113" s="1">
        <v>2109.0709268200862</v>
      </c>
      <c r="R113" s="1">
        <v>4616.4895882193114</v>
      </c>
      <c r="S113" s="1">
        <v>4456.7905658615473</v>
      </c>
      <c r="U113" s="1">
        <v>1905</v>
      </c>
      <c r="V113" s="1">
        <v>475.08600575387021</v>
      </c>
      <c r="W113" s="1">
        <v>27714.834157478021</v>
      </c>
      <c r="X113" s="1">
        <v>-0.49696907393213507</v>
      </c>
      <c r="Y113" s="1">
        <v>444.82748856934478</v>
      </c>
      <c r="Z113" s="1">
        <v>23354.940223015197</v>
      </c>
      <c r="AA113" s="1">
        <v>-1.1836888446175209</v>
      </c>
      <c r="AB113" s="1">
        <v>5277820.5020382227</v>
      </c>
      <c r="AC113" s="1">
        <v>0.70228306697966048</v>
      </c>
      <c r="AE113" s="1">
        <v>1905</v>
      </c>
      <c r="AF113" s="1">
        <v>605.54672391205168</v>
      </c>
      <c r="AG113" s="1">
        <v>552.76508720157995</v>
      </c>
      <c r="AH113" s="1">
        <v>192.74642789884666</v>
      </c>
      <c r="AI113" s="1">
        <v>183.65517683381665</v>
      </c>
      <c r="AJ113" s="1">
        <v>264.08192501683925</v>
      </c>
      <c r="AK113" s="1">
        <v>154.82389237751028</v>
      </c>
      <c r="AL113" s="1">
        <v>130.75374671550162</v>
      </c>
      <c r="AM113" s="1">
        <v>263.34665908531491</v>
      </c>
      <c r="AN113" s="2">
        <v>2347.7196390414611</v>
      </c>
      <c r="AP113" s="1" t="s">
        <v>204</v>
      </c>
      <c r="AQ113" s="1">
        <v>-9.9525189844833761</v>
      </c>
      <c r="AR113" s="1">
        <v>2.7411998253066656</v>
      </c>
      <c r="AS113" s="1">
        <v>6.4135088098075528</v>
      </c>
      <c r="AT113" s="1">
        <v>0.83371337638695309</v>
      </c>
      <c r="AU113" s="1">
        <v>3.8138720664034054</v>
      </c>
      <c r="AV113" s="1">
        <v>3.1993094309948447</v>
      </c>
      <c r="AW113" s="1">
        <v>4.1303423682144853</v>
      </c>
      <c r="AX113" s="1">
        <v>3.0052396473871283</v>
      </c>
      <c r="AY113" s="1">
        <v>-0.48971862395934807</v>
      </c>
      <c r="BA113" s="1">
        <v>1905</v>
      </c>
      <c r="BB113" s="1">
        <v>2002.5191048609565</v>
      </c>
      <c r="BC113" s="1">
        <v>213.74758546157184</v>
      </c>
      <c r="BD113" s="1">
        <v>277.84382205282384</v>
      </c>
      <c r="BE113" s="1">
        <v>68.906039434885017</v>
      </c>
      <c r="BF113" s="1">
        <v>1.0401724519364817</v>
      </c>
      <c r="BG113" s="1">
        <v>28.114446786814305</v>
      </c>
      <c r="BH113" s="1">
        <v>565.64201551468284</v>
      </c>
      <c r="BI113" s="1">
        <v>650.39452516444567</v>
      </c>
      <c r="BJ113" s="1">
        <v>2507.4186613992251</v>
      </c>
      <c r="BL113" s="1" t="s">
        <v>204</v>
      </c>
      <c r="BM113" s="1">
        <v>-2.9567731256222771</v>
      </c>
      <c r="BN113" s="1">
        <v>5.1661728625952037</v>
      </c>
      <c r="BO113" s="1">
        <v>4.1682202476842178</v>
      </c>
      <c r="BP113" s="1">
        <v>9.1417910447761273</v>
      </c>
      <c r="BQ113" s="1">
        <v>1.2578616352201237</v>
      </c>
      <c r="BR113" s="1">
        <v>0.20182386339322989</v>
      </c>
      <c r="BT113" s="1" t="s">
        <v>204</v>
      </c>
      <c r="BU113" s="1">
        <v>3.3895428104297167</v>
      </c>
      <c r="BV113" s="1">
        <v>-0.59604435658424393</v>
      </c>
      <c r="BW113" s="1">
        <v>0.72042723461551361</v>
      </c>
      <c r="BX113" s="1">
        <v>-0.87238432066018845</v>
      </c>
      <c r="BY113" s="1">
        <v>-0.37745700579782238</v>
      </c>
      <c r="BZ113" s="1">
        <v>2.6947353508766696</v>
      </c>
      <c r="CB113" s="1">
        <v>1905</v>
      </c>
      <c r="CC113" s="1">
        <v>34.414417018317806</v>
      </c>
      <c r="CD113" s="1">
        <v>87.014409475082729</v>
      </c>
      <c r="CE113" s="1">
        <v>1.2103056402920467</v>
      </c>
      <c r="CF113" s="1">
        <v>64.242021786624548</v>
      </c>
      <c r="CG113" s="1">
        <v>10.619508211211663</v>
      </c>
      <c r="CH113" s="1">
        <v>28.967578761214295</v>
      </c>
      <c r="CI113" s="1">
        <v>149.4362398337166</v>
      </c>
      <c r="CJ113" s="1">
        <v>375.90448072645972</v>
      </c>
      <c r="CL113" s="1">
        <v>1905</v>
      </c>
      <c r="CM113" s="1">
        <v>38.130907281666659</v>
      </c>
      <c r="CN113" s="1">
        <v>34.611824539915247</v>
      </c>
      <c r="CO113" s="1">
        <v>0.71441005962782089</v>
      </c>
      <c r="CP113" s="1">
        <v>48.04637127956812</v>
      </c>
      <c r="CQ113" s="1">
        <v>3.4358276743351359</v>
      </c>
      <c r="CR113" s="1">
        <v>8.9128068275105168</v>
      </c>
      <c r="CS113" s="1">
        <v>68.282865565920744</v>
      </c>
      <c r="CT113" s="2">
        <v>202.13501322854427</v>
      </c>
      <c r="CV113" s="1">
        <v>1905</v>
      </c>
      <c r="CW113" s="1">
        <v>2210.4548800405464</v>
      </c>
      <c r="CX113" s="1">
        <v>2120.0179473620592</v>
      </c>
      <c r="CY113" s="1">
        <v>356.89859674220861</v>
      </c>
      <c r="CZ113" s="1">
        <v>301.34201447133449</v>
      </c>
      <c r="DA113" s="1">
        <v>717.63254584754793</v>
      </c>
      <c r="DB113" s="1">
        <v>5706.3459844636964</v>
      </c>
      <c r="DC113" s="1">
        <v>5448.1243064548444</v>
      </c>
      <c r="DD113" s="1">
        <v>1004.7394717016626</v>
      </c>
      <c r="DF113" s="1">
        <v>1905</v>
      </c>
      <c r="DG113" s="1">
        <v>2.8659046706058291</v>
      </c>
      <c r="DH113" s="1">
        <v>3.6713427177625704</v>
      </c>
      <c r="DI113" s="1">
        <v>2.0263006807030592</v>
      </c>
      <c r="DJ113" s="1">
        <v>5.7409637827226447</v>
      </c>
      <c r="DK113" s="1">
        <v>-6.7638977422793971</v>
      </c>
      <c r="DL113" s="1">
        <v>3.917666074301323</v>
      </c>
      <c r="DM113" s="1">
        <v>2.5725142436559025</v>
      </c>
      <c r="DN113" s="1">
        <v>2.3287464752359597</v>
      </c>
      <c r="DO113" s="1">
        <v>4.9897342096751487</v>
      </c>
      <c r="DQ113" s="1">
        <v>1905</v>
      </c>
      <c r="DR113" s="1">
        <v>3724.7814143009277</v>
      </c>
      <c r="DS113" s="1">
        <v>4216.08420821859</v>
      </c>
      <c r="DT113" s="1">
        <v>667.79202925878815</v>
      </c>
      <c r="DU113" s="1">
        <v>301.34201447133449</v>
      </c>
      <c r="DV113" s="1">
        <v>717.63254584754793</v>
      </c>
      <c r="DW113" s="1">
        <v>9627.6322120971872</v>
      </c>
      <c r="DX113" s="1">
        <v>9205.2483401237369</v>
      </c>
      <c r="DY113" s="1">
        <v>1343.2140901721077</v>
      </c>
      <c r="EA113" s="1">
        <v>1905</v>
      </c>
      <c r="EB113" s="1">
        <v>2.6188403911206848</v>
      </c>
      <c r="EC113" s="1">
        <v>3.350725707084365</v>
      </c>
      <c r="ED113" s="1">
        <v>1.9723644145845896</v>
      </c>
      <c r="EE113" s="1">
        <v>5.1704378200230821</v>
      </c>
      <c r="EF113" s="1">
        <v>-6.7638977422793971</v>
      </c>
      <c r="EG113" s="1">
        <v>3.917666074301323</v>
      </c>
      <c r="EH113" s="1">
        <v>2.5403688522612526</v>
      </c>
      <c r="EI113" s="1">
        <v>2.3766822703331343</v>
      </c>
      <c r="EJ113" s="1">
        <v>4.8708025314812602</v>
      </c>
      <c r="EL113" s="1">
        <v>1905</v>
      </c>
      <c r="EM113" s="1">
        <v>1212014.5556764549</v>
      </c>
      <c r="EN113" s="1">
        <v>514489.87262626301</v>
      </c>
      <c r="EO113" s="1">
        <v>84219.51994285245</v>
      </c>
      <c r="EP113" s="1">
        <v>77297.854356495081</v>
      </c>
      <c r="EQ113" s="1">
        <v>104720.7499713916</v>
      </c>
      <c r="ER113" s="1">
        <v>161647.91240304598</v>
      </c>
      <c r="ES113" s="1">
        <v>111288.50117990712</v>
      </c>
      <c r="ET113" s="1">
        <v>2953.5234856883799</v>
      </c>
      <c r="EU113" s="1">
        <v>2268632.4896420985</v>
      </c>
      <c r="EV113" s="1">
        <v>2157343.9884621915</v>
      </c>
      <c r="EX113" s="1">
        <v>1905</v>
      </c>
      <c r="EY113" s="1">
        <v>836079.6676414106</v>
      </c>
      <c r="EZ113" s="1">
        <v>440179.32176104171</v>
      </c>
      <c r="FA113" s="1">
        <v>66622.901929162443</v>
      </c>
      <c r="FB113" s="1">
        <v>77297.854356495081</v>
      </c>
      <c r="FC113" s="1">
        <v>64959.732904115372</v>
      </c>
      <c r="FD113" s="1">
        <v>149860.81521072166</v>
      </c>
      <c r="FE113" s="1">
        <v>111288.50117990712</v>
      </c>
      <c r="FF113" s="1">
        <v>2389.9944390143951</v>
      </c>
      <c r="FG113" s="1">
        <v>1748678.7894218683</v>
      </c>
      <c r="FH113" s="1">
        <v>1637390.2882419613</v>
      </c>
      <c r="FJ113" s="1">
        <v>1905</v>
      </c>
      <c r="FK113" s="1">
        <v>375934.88803504431</v>
      </c>
      <c r="FL113" s="1">
        <v>74310.550865221303</v>
      </c>
      <c r="FM113" s="1">
        <v>17596.618013690008</v>
      </c>
      <c r="FN113" s="1">
        <v>0</v>
      </c>
      <c r="FO113" s="1">
        <v>39761.017067276247</v>
      </c>
      <c r="FP113" s="1">
        <v>11787.097192324338</v>
      </c>
      <c r="FQ113" s="1">
        <v>563.52904667398468</v>
      </c>
      <c r="FR113" s="1">
        <v>519953.70022023015</v>
      </c>
      <c r="FS113" s="1">
        <v>831244.22553674353</v>
      </c>
      <c r="HC113" s="1">
        <v>1905</v>
      </c>
      <c r="HD113" s="1">
        <v>367.33470968998449</v>
      </c>
      <c r="HE113" s="1">
        <v>340.38337170896489</v>
      </c>
      <c r="HF113" s="1">
        <v>69.386639907875818</v>
      </c>
      <c r="HG113" s="1">
        <v>92.612317520021548</v>
      </c>
      <c r="HH113" s="1">
        <v>169.33061093554315</v>
      </c>
      <c r="HI113" s="1">
        <v>121.8409398879912</v>
      </c>
      <c r="HJ113" s="1">
        <v>3.0314451928973938</v>
      </c>
      <c r="HK113" s="2">
        <v>1163.9200348432785</v>
      </c>
      <c r="HL113" s="1">
        <v>1042.0790949552872</v>
      </c>
      <c r="HN113" s="1">
        <v>1905</v>
      </c>
      <c r="HO113" s="1">
        <v>207.98926403876496</v>
      </c>
      <c r="HP113" s="1">
        <v>61.769657676408173</v>
      </c>
      <c r="HQ113" s="1">
        <v>20.531959059278034</v>
      </c>
      <c r="HR113" s="1">
        <v>0</v>
      </c>
      <c r="HS113" s="1">
        <v>67.348144782728255</v>
      </c>
      <c r="HT113" s="1">
        <v>0.82761486528034778</v>
      </c>
      <c r="HU113" s="2">
        <v>358.46664042245976</v>
      </c>
      <c r="HW113" s="1">
        <v>1905</v>
      </c>
      <c r="HX113" s="1">
        <v>78.445750183302152</v>
      </c>
      <c r="HY113" s="1">
        <v>150.61205781620691</v>
      </c>
      <c r="HZ113" s="1">
        <v>102.82782893169281</v>
      </c>
      <c r="IA113" s="1">
        <v>42.819859313795092</v>
      </c>
      <c r="IB113" s="1">
        <v>182.22706167607828</v>
      </c>
      <c r="IC113" s="1">
        <v>8.9128068275104209</v>
      </c>
      <c r="ID113" s="1">
        <v>259.48759902713715</v>
      </c>
      <c r="IE113" s="2">
        <v>825.33296377572287</v>
      </c>
      <c r="IF113" s="1">
        <v>816.42015694821248</v>
      </c>
      <c r="IH113" s="1">
        <v>1905</v>
      </c>
      <c r="II113" s="1">
        <v>169.5523898765596</v>
      </c>
      <c r="IJ113" s="1">
        <v>36.837236397027802</v>
      </c>
      <c r="IK113" s="1">
        <v>15.877379705711123</v>
      </c>
      <c r="IL113" s="1">
        <v>180.06998049480234</v>
      </c>
      <c r="IM113" s="1">
        <v>28.844799069045823</v>
      </c>
      <c r="IN113" s="1">
        <v>12.432524047627396</v>
      </c>
      <c r="IO113" s="1">
        <v>-1.9034859761958529</v>
      </c>
    </row>
    <row r="114" spans="1:249" x14ac:dyDescent="0.25">
      <c r="A114" s="1" t="s">
        <v>205</v>
      </c>
      <c r="B114" s="1">
        <v>8.3278311725707397</v>
      </c>
      <c r="C114" s="1">
        <v>8.3865909368966669</v>
      </c>
      <c r="D114" s="1">
        <v>8.3976227612375425</v>
      </c>
      <c r="E114" s="1">
        <v>8.258084519076192</v>
      </c>
      <c r="F114" s="1">
        <v>8.3315641529377871</v>
      </c>
      <c r="G114" s="1">
        <v>8.4044183958249903</v>
      </c>
      <c r="H114" s="1">
        <v>8.7878077717078895</v>
      </c>
      <c r="J114" s="1">
        <v>1906</v>
      </c>
      <c r="K114" s="2">
        <v>2804.4056273581591</v>
      </c>
      <c r="L114" s="1">
        <v>2634.4092320195891</v>
      </c>
      <c r="M114" s="1">
        <v>2589.0344377523297</v>
      </c>
      <c r="N114" s="1">
        <v>2419.0380424137602</v>
      </c>
      <c r="O114" s="1">
        <v>215.37118960582916</v>
      </c>
      <c r="P114" s="1">
        <v>169.99639533856984</v>
      </c>
      <c r="Q114" s="1">
        <v>2370.4932349641845</v>
      </c>
      <c r="R114" s="1">
        <v>5174.8988623223431</v>
      </c>
      <c r="S114" s="1">
        <v>5004.9024669837736</v>
      </c>
      <c r="U114" s="1">
        <v>1906</v>
      </c>
      <c r="V114" s="1">
        <v>527.54768875354989</v>
      </c>
      <c r="W114" s="1">
        <v>29828.731061744209</v>
      </c>
      <c r="X114" s="1">
        <v>7.6273121183220809</v>
      </c>
      <c r="Y114" s="1">
        <v>495.5690032943499</v>
      </c>
      <c r="Z114" s="1">
        <v>25118.535732425484</v>
      </c>
      <c r="AA114" s="1">
        <v>7.5512739170804792</v>
      </c>
      <c r="AB114" s="1">
        <v>5315928.1845859243</v>
      </c>
      <c r="AC114" s="1">
        <v>0.72203445594607274</v>
      </c>
      <c r="AE114" s="1">
        <v>1906</v>
      </c>
      <c r="AF114" s="1">
        <v>695.04674213934356</v>
      </c>
      <c r="AG114" s="1">
        <v>642.80367320852952</v>
      </c>
      <c r="AH114" s="1">
        <v>207.1071073119389</v>
      </c>
      <c r="AI114" s="1">
        <v>199.40706814033484</v>
      </c>
      <c r="AJ114" s="1">
        <v>312.43236190724434</v>
      </c>
      <c r="AK114" s="1">
        <v>165.28424942497514</v>
      </c>
      <c r="AL114" s="1">
        <v>135.59285441163004</v>
      </c>
      <c r="AM114" s="1">
        <v>276.73517547559288</v>
      </c>
      <c r="AN114" s="2">
        <v>2634.4092320195891</v>
      </c>
      <c r="AP114" s="1" t="s">
        <v>205</v>
      </c>
      <c r="AQ114" s="1">
        <v>10.666922412749756</v>
      </c>
      <c r="AR114" s="1">
        <v>9.9957390177002736</v>
      </c>
      <c r="AS114" s="1">
        <v>7.7274576901691177</v>
      </c>
      <c r="AT114" s="1">
        <v>8.4477044354751314</v>
      </c>
      <c r="AU114" s="1">
        <v>15.071741541439991</v>
      </c>
      <c r="AV114" s="1">
        <v>4.2247098719591349</v>
      </c>
      <c r="AW114" s="1">
        <v>-8.1194915501797738</v>
      </c>
      <c r="AX114" s="1">
        <v>3.902029341682109</v>
      </c>
      <c r="AY114" s="1">
        <v>8.3278311725707397</v>
      </c>
      <c r="BA114" s="1">
        <v>1906</v>
      </c>
      <c r="BB114" s="1">
        <v>2224.7683393555531</v>
      </c>
      <c r="BC114" s="1">
        <v>223.62365274930522</v>
      </c>
      <c r="BD114" s="1">
        <v>318.17559499467336</v>
      </c>
      <c r="BE114" s="1">
        <v>84.253218354520442</v>
      </c>
      <c r="BF114" s="1">
        <v>6.0063921159897475</v>
      </c>
      <c r="BG114" s="1">
        <v>36.988002150915861</v>
      </c>
      <c r="BH114" s="1">
        <v>632.12185399150815</v>
      </c>
      <c r="BI114" s="1">
        <v>721.53142635430686</v>
      </c>
      <c r="BJ114" s="1">
        <v>2804.4056273581587</v>
      </c>
      <c r="BL114" s="1" t="s">
        <v>205</v>
      </c>
      <c r="BM114" s="1">
        <v>9.1149206117893158</v>
      </c>
      <c r="BN114" s="1">
        <v>-2.8872299691331875</v>
      </c>
      <c r="BO114" s="1">
        <v>14.868678919631506</v>
      </c>
      <c r="BP114" s="1">
        <v>6.3247863247863449</v>
      </c>
      <c r="BQ114" s="1">
        <v>8.6956521739130324</v>
      </c>
      <c r="BR114" s="1">
        <v>8.4044183958250471</v>
      </c>
      <c r="BT114" s="1" t="s">
        <v>205</v>
      </c>
      <c r="BU114" s="1">
        <v>1.8178650372291401</v>
      </c>
      <c r="BV114" s="1">
        <v>7.7308725890614198</v>
      </c>
      <c r="BW114" s="1">
        <v>3.1558144307453517</v>
      </c>
      <c r="BX114" s="1">
        <v>5.1053022636143481</v>
      </c>
      <c r="BY114" s="1">
        <v>2.0625000000000142</v>
      </c>
      <c r="BZ114" s="1">
        <v>3.1732217754065744</v>
      </c>
      <c r="CB114" s="1">
        <v>1906</v>
      </c>
      <c r="CC114" s="1">
        <v>42.202464430860346</v>
      </c>
      <c r="CD114" s="1">
        <v>114.57691619590896</v>
      </c>
      <c r="CE114" s="1">
        <v>2.1687577325682117</v>
      </c>
      <c r="CF114" s="1">
        <v>84.675730029659874</v>
      </c>
      <c r="CG114" s="1">
        <v>17.249841642130079</v>
      </c>
      <c r="CH114" s="1">
        <v>27.571565298994781</v>
      </c>
      <c r="CI114" s="1">
        <v>156.97793228597715</v>
      </c>
      <c r="CJ114" s="1">
        <v>445.42320761609938</v>
      </c>
      <c r="CL114" s="1">
        <v>1906</v>
      </c>
      <c r="CM114" s="1">
        <v>39.179815067909963</v>
      </c>
      <c r="CN114" s="1">
        <v>38.131572561981244</v>
      </c>
      <c r="CO114" s="1">
        <v>0.90626003918078601</v>
      </c>
      <c r="CP114" s="1">
        <v>51.055104332252782</v>
      </c>
      <c r="CQ114" s="1">
        <v>3.7486704269606759</v>
      </c>
      <c r="CR114" s="1">
        <v>9.8135280179617652</v>
      </c>
      <c r="CS114" s="1">
        <v>72.536239159581939</v>
      </c>
      <c r="CT114" s="2">
        <v>215.37118960582916</v>
      </c>
      <c r="CV114" s="1">
        <v>1906</v>
      </c>
      <c r="CW114" s="1">
        <v>2360.3857801388522</v>
      </c>
      <c r="CX114" s="1">
        <v>2228.9444936511345</v>
      </c>
      <c r="CY114" s="1">
        <v>379.74971641633397</v>
      </c>
      <c r="CZ114" s="1">
        <v>360.1594594049152</v>
      </c>
      <c r="DA114" s="1">
        <v>788.81937395979094</v>
      </c>
      <c r="DB114" s="1">
        <v>6118.0588235710266</v>
      </c>
      <c r="DC114" s="1">
        <v>5830.7384436158281</v>
      </c>
      <c r="DD114" s="1">
        <v>1097.1441554175453</v>
      </c>
      <c r="DF114" s="1">
        <v>1906</v>
      </c>
      <c r="DG114" s="1">
        <v>3.3806082396196757</v>
      </c>
      <c r="DH114" s="1">
        <v>3.5774530518239516</v>
      </c>
      <c r="DI114" s="1">
        <v>3.1721828153177967</v>
      </c>
      <c r="DJ114" s="1">
        <v>8.3820576576550536</v>
      </c>
      <c r="DK114" s="1">
        <v>1.1744771054720076</v>
      </c>
      <c r="DL114" s="1">
        <v>4.6890331769160269</v>
      </c>
      <c r="DM114" s="1">
        <v>3.7266655540321096</v>
      </c>
      <c r="DN114" s="1">
        <v>3.6059865986349848</v>
      </c>
      <c r="DO114" s="1">
        <v>6.1604104107991731</v>
      </c>
      <c r="DQ114" s="1">
        <v>1906</v>
      </c>
      <c r="DR114" s="1">
        <v>3965.1254647391074</v>
      </c>
      <c r="DS114" s="1">
        <v>4429.9812356858192</v>
      </c>
      <c r="DT114" s="1">
        <v>707.05743540936135</v>
      </c>
      <c r="DU114" s="1">
        <v>360.1594594049152</v>
      </c>
      <c r="DV114" s="1">
        <v>788.81937395979094</v>
      </c>
      <c r="DW114" s="1">
        <v>10251.142969198994</v>
      </c>
      <c r="DX114" s="1">
        <v>9788.2755573796603</v>
      </c>
      <c r="DY114" s="1">
        <v>1457.6582171733714</v>
      </c>
      <c r="EA114" s="1">
        <v>1906</v>
      </c>
      <c r="EB114" s="1">
        <v>2.9208080920450641</v>
      </c>
      <c r="EC114" s="1">
        <v>3.3110204366358431</v>
      </c>
      <c r="ED114" s="1">
        <v>2.5715795289538761</v>
      </c>
      <c r="EE114" s="1">
        <v>6.8289290536658598</v>
      </c>
      <c r="EF114" s="1">
        <v>1.1744771054720076</v>
      </c>
      <c r="EG114" s="1">
        <v>4.6890331769160269</v>
      </c>
      <c r="EH114" s="1">
        <v>3.2648397690497717</v>
      </c>
      <c r="EI114" s="1">
        <v>3.1712821682051526</v>
      </c>
      <c r="EJ114" s="1">
        <v>5.8717306143121846</v>
      </c>
      <c r="EL114" s="1">
        <v>1906</v>
      </c>
      <c r="EM114" s="1">
        <v>1220151.0334755532</v>
      </c>
      <c r="EN114" s="1">
        <v>529231.70278747403</v>
      </c>
      <c r="EO114" s="1">
        <v>89895.708382172335</v>
      </c>
      <c r="EP114" s="1">
        <v>80476.365278563229</v>
      </c>
      <c r="EQ114" s="1">
        <v>116267.49255266733</v>
      </c>
      <c r="ER114" s="1">
        <v>165059.04469074929</v>
      </c>
      <c r="ES114" s="1">
        <v>101071.85189125991</v>
      </c>
      <c r="ET114" s="1">
        <v>3017.5106384221817</v>
      </c>
      <c r="EU114" s="1">
        <v>2305170.7096968614</v>
      </c>
      <c r="EV114" s="1">
        <v>2204098.8578056018</v>
      </c>
      <c r="EX114" s="1">
        <v>1906</v>
      </c>
      <c r="EY114" s="1">
        <v>843708.63968548365</v>
      </c>
      <c r="EZ114" s="1">
        <v>456743.3655604255</v>
      </c>
      <c r="FA114" s="1">
        <v>73478.661267536372</v>
      </c>
      <c r="FB114" s="1">
        <v>80476.365278563229</v>
      </c>
      <c r="FC114" s="1">
        <v>74178.482587033694</v>
      </c>
      <c r="FD114" s="1">
        <v>152768.52475987771</v>
      </c>
      <c r="FE114" s="1">
        <v>101071.85189125991</v>
      </c>
      <c r="FF114" s="1">
        <v>2447.7887777257147</v>
      </c>
      <c r="FG114" s="1">
        <v>1784873.6798079058</v>
      </c>
      <c r="FH114" s="1">
        <v>1683801.8279166459</v>
      </c>
      <c r="FJ114" s="1">
        <v>1906</v>
      </c>
      <c r="FK114" s="1">
        <v>376442.39379006962</v>
      </c>
      <c r="FL114" s="1">
        <v>72488.337227048542</v>
      </c>
      <c r="FM114" s="1">
        <v>16417.04711463596</v>
      </c>
      <c r="FN114" s="1">
        <v>0</v>
      </c>
      <c r="FO114" s="1">
        <v>42089.009965633653</v>
      </c>
      <c r="FP114" s="1">
        <v>12290.5199308716</v>
      </c>
      <c r="FQ114" s="1">
        <v>569.72186069646716</v>
      </c>
      <c r="FR114" s="1">
        <v>520297.02988895582</v>
      </c>
      <c r="FS114" s="1">
        <v>837965.44513194636</v>
      </c>
      <c r="HC114" s="1">
        <v>1906</v>
      </c>
      <c r="HD114" s="1">
        <v>378.61950706244505</v>
      </c>
      <c r="HE114" s="1">
        <v>385.66933468339829</v>
      </c>
      <c r="HF114" s="1">
        <v>83.563709093412498</v>
      </c>
      <c r="HG114" s="1">
        <v>101.14239939686564</v>
      </c>
      <c r="HH114" s="1">
        <v>190.25336500417484</v>
      </c>
      <c r="HI114" s="1">
        <v>125.77932639366806</v>
      </c>
      <c r="HJ114" s="1">
        <v>3.2168272211661213</v>
      </c>
      <c r="HK114" s="2">
        <v>1268.2444688551304</v>
      </c>
      <c r="HL114" s="1">
        <v>1142.4651424614624</v>
      </c>
      <c r="HN114" s="1">
        <v>1906</v>
      </c>
      <c r="HO114" s="1">
        <v>212.72718709845768</v>
      </c>
      <c r="HP114" s="1">
        <v>65.795624513772253</v>
      </c>
      <c r="HQ114" s="1">
        <v>20.917047834056035</v>
      </c>
      <c r="HR114" s="1">
        <v>0</v>
      </c>
      <c r="HS114" s="1">
        <v>73.027386895103703</v>
      </c>
      <c r="HT114" s="1">
        <v>0.86691361927097588</v>
      </c>
      <c r="HU114" s="2">
        <v>373.3341599606606</v>
      </c>
      <c r="HW114" s="1">
        <v>1906</v>
      </c>
      <c r="HX114" s="1">
        <v>157.94204797844077</v>
      </c>
      <c r="HY114" s="1">
        <v>191.338714011359</v>
      </c>
      <c r="HZ114" s="1">
        <v>102.62635038447037</v>
      </c>
      <c r="IA114" s="1">
        <v>44.022668743469211</v>
      </c>
      <c r="IB114" s="1">
        <v>214.43585943294093</v>
      </c>
      <c r="IC114" s="1">
        <v>9.8135280179619819</v>
      </c>
      <c r="ID114" s="1">
        <v>272.65143463515579</v>
      </c>
      <c r="IE114" s="2">
        <v>992.83060320379809</v>
      </c>
      <c r="IF114" s="1">
        <v>983.01707518583612</v>
      </c>
      <c r="IH114" s="1">
        <v>1906</v>
      </c>
      <c r="II114" s="1">
        <v>159.80912746745776</v>
      </c>
      <c r="IJ114" s="1">
        <v>41.812102988443179</v>
      </c>
      <c r="IK114" s="1">
        <v>18.449607600986173</v>
      </c>
      <c r="IL114" s="1">
        <v>169.20726069432342</v>
      </c>
      <c r="IM114" s="1">
        <v>33.93555542423988</v>
      </c>
      <c r="IN114" s="1">
        <v>14.974077756189313</v>
      </c>
      <c r="IO114" s="1">
        <v>7.2457709619604032</v>
      </c>
    </row>
    <row r="115" spans="1:249" x14ac:dyDescent="0.25">
      <c r="A115" s="1" t="s">
        <v>206</v>
      </c>
      <c r="B115" s="1">
        <v>6.5629187799822688</v>
      </c>
      <c r="C115" s="1">
        <v>6.6542850799369546</v>
      </c>
      <c r="D115" s="1">
        <v>6.5305771131521198</v>
      </c>
      <c r="E115" s="1">
        <v>6.5952702654339106</v>
      </c>
      <c r="F115" s="1">
        <v>6.6967787666470997</v>
      </c>
      <c r="G115" s="1">
        <v>6.8744262076023972</v>
      </c>
      <c r="H115" s="1">
        <v>7.0854748199868425</v>
      </c>
      <c r="J115" s="1">
        <v>1907</v>
      </c>
      <c r="K115" s="2">
        <v>3082.8793372766809</v>
      </c>
      <c r="L115" s="1">
        <v>2901.3142976536747</v>
      </c>
      <c r="M115" s="1">
        <v>2856.378116373734</v>
      </c>
      <c r="N115" s="1">
        <v>2674.8130767507278</v>
      </c>
      <c r="O115" s="1">
        <v>226.50122090294695</v>
      </c>
      <c r="P115" s="1">
        <v>181.56503962300619</v>
      </c>
      <c r="Q115" s="1">
        <v>2559.6102287209096</v>
      </c>
      <c r="R115" s="1">
        <v>5642.48956599759</v>
      </c>
      <c r="S115" s="1">
        <v>5460.9245263745843</v>
      </c>
      <c r="U115" s="1">
        <v>1907</v>
      </c>
      <c r="V115" s="1">
        <v>575.44904983608672</v>
      </c>
      <c r="W115" s="1">
        <v>31632.828747492673</v>
      </c>
      <c r="X115" s="1">
        <v>6.0481878428353468</v>
      </c>
      <c r="Y115" s="1">
        <v>541.55819064118691</v>
      </c>
      <c r="Z115" s="1">
        <v>26560.110767282014</v>
      </c>
      <c r="AA115" s="1">
        <v>5.7390886563327967</v>
      </c>
      <c r="AB115" s="1">
        <v>5357345.4298948282</v>
      </c>
      <c r="AC115" s="1">
        <v>0.77911596753691015</v>
      </c>
      <c r="AE115" s="1">
        <v>1907</v>
      </c>
      <c r="AF115" s="1">
        <v>808.41066368840541</v>
      </c>
      <c r="AG115" s="1">
        <v>711.22366199815622</v>
      </c>
      <c r="AH115" s="1">
        <v>167.83876756332944</v>
      </c>
      <c r="AI115" s="1">
        <v>208.37064371996709</v>
      </c>
      <c r="AJ115" s="1">
        <v>367.68039226717843</v>
      </c>
      <c r="AK115" s="1">
        <v>174.27475825945538</v>
      </c>
      <c r="AL115" s="1">
        <v>144.86977024359737</v>
      </c>
      <c r="AM115" s="1">
        <v>318.64563991358523</v>
      </c>
      <c r="AN115" s="2">
        <v>2901.3142976536747</v>
      </c>
      <c r="AP115" s="1" t="s">
        <v>206</v>
      </c>
      <c r="AQ115" s="1">
        <v>10.973737755749127</v>
      </c>
      <c r="AR115" s="1">
        <v>6.3753167801916248</v>
      </c>
      <c r="AS115" s="1">
        <v>-6.1955440366830317</v>
      </c>
      <c r="AT115" s="1">
        <v>4.039518820379655</v>
      </c>
      <c r="AU115" s="1">
        <v>15.060378345422947</v>
      </c>
      <c r="AV115" s="1">
        <v>2.310729581058439</v>
      </c>
      <c r="AW115" s="1">
        <v>-1.0864969278417362</v>
      </c>
      <c r="AX115" s="1">
        <v>3.3560439597694085</v>
      </c>
      <c r="AY115" s="1">
        <v>6.5629187799822688</v>
      </c>
      <c r="BA115" s="1">
        <v>1907</v>
      </c>
      <c r="BB115" s="1">
        <v>2478.2728008353142</v>
      </c>
      <c r="BC115" s="1">
        <v>244.44208003976524</v>
      </c>
      <c r="BD115" s="1">
        <v>291.80023743095865</v>
      </c>
      <c r="BE115" s="1">
        <v>105.85105144775665</v>
      </c>
      <c r="BF115" s="1">
        <v>1.4766096283043662</v>
      </c>
      <c r="BG115" s="1">
        <v>60.665670434862449</v>
      </c>
      <c r="BH115" s="1">
        <v>659.16450015157261</v>
      </c>
      <c r="BI115" s="1">
        <v>758.79361269185324</v>
      </c>
      <c r="BJ115" s="1">
        <v>3082.8793372766804</v>
      </c>
      <c r="BL115" s="1" t="s">
        <v>206</v>
      </c>
      <c r="BM115" s="1">
        <v>7.9955906856465759</v>
      </c>
      <c r="BN115" s="1">
        <v>2.5021948515380643</v>
      </c>
      <c r="BO115" s="1">
        <v>1.8183473730810391</v>
      </c>
      <c r="BP115" s="1">
        <v>1.1254019292604482</v>
      </c>
      <c r="BQ115" s="1">
        <v>0.8571428571428612</v>
      </c>
      <c r="BR115" s="1">
        <v>6.8744262076023688</v>
      </c>
      <c r="BT115" s="1" t="s">
        <v>206</v>
      </c>
      <c r="BU115" s="1">
        <v>3.1474013092634721</v>
      </c>
      <c r="BV115" s="1">
        <v>6.6412110914133393</v>
      </c>
      <c r="BW115" s="1">
        <v>1.3827361279928425</v>
      </c>
      <c r="BX115" s="1">
        <v>3.117587546653283</v>
      </c>
      <c r="BY115" s="1">
        <v>4.2705714931705359</v>
      </c>
      <c r="BZ115" s="1">
        <v>2.8589060166069231</v>
      </c>
      <c r="CB115" s="1">
        <v>1907</v>
      </c>
      <c r="CC115" s="1">
        <v>41.863642341207466</v>
      </c>
      <c r="CD115" s="1">
        <v>153.38706822360271</v>
      </c>
      <c r="CE115" s="1">
        <v>3.3091951902910179</v>
      </c>
      <c r="CF115" s="1">
        <v>73.596849049949157</v>
      </c>
      <c r="CG115" s="1">
        <v>24.632697753183116</v>
      </c>
      <c r="CH115" s="1">
        <v>25.261040552581665</v>
      </c>
      <c r="CI115" s="1">
        <v>137.74307583106693</v>
      </c>
      <c r="CJ115" s="1">
        <v>459.79356894188209</v>
      </c>
      <c r="CL115" s="1">
        <v>1907</v>
      </c>
      <c r="CM115" s="1">
        <v>40.001521165981409</v>
      </c>
      <c r="CN115" s="1">
        <v>42.75583181614904</v>
      </c>
      <c r="CO115" s="1">
        <v>1.0184294704309687</v>
      </c>
      <c r="CP115" s="1">
        <v>53.411614133490978</v>
      </c>
      <c r="CQ115" s="1">
        <v>4.0846596120616656</v>
      </c>
      <c r="CR115" s="1">
        <v>10.456627881272929</v>
      </c>
      <c r="CS115" s="1">
        <v>74.772536823559946</v>
      </c>
      <c r="CT115" s="2">
        <v>226.50122090294695</v>
      </c>
      <c r="CV115" s="1">
        <v>1907</v>
      </c>
      <c r="CW115" s="1">
        <v>2462.2064871910134</v>
      </c>
      <c r="CX115" s="1">
        <v>2316.6141390328357</v>
      </c>
      <c r="CY115" s="1">
        <v>416.34402491320674</v>
      </c>
      <c r="CZ115" s="1">
        <v>411.52709575361467</v>
      </c>
      <c r="DA115" s="1">
        <v>854.20595517330264</v>
      </c>
      <c r="DB115" s="1">
        <v>6460.8977020639732</v>
      </c>
      <c r="DC115" s="1">
        <v>6152.7588307231799</v>
      </c>
      <c r="DD115" s="1">
        <v>1188.6740802409022</v>
      </c>
      <c r="DF115" s="1">
        <v>1907</v>
      </c>
      <c r="DG115" s="1">
        <v>2.588237922593521</v>
      </c>
      <c r="DH115" s="1">
        <v>2.5574840832844217</v>
      </c>
      <c r="DI115" s="1">
        <v>2.6209201315234196</v>
      </c>
      <c r="DJ115" s="1">
        <v>11.421670837259185</v>
      </c>
      <c r="DK115" s="1">
        <v>-0.77609895382148864</v>
      </c>
      <c r="DL115" s="1">
        <v>7.1019957268448621</v>
      </c>
      <c r="DM115" s="1">
        <v>3.5315669979231927</v>
      </c>
      <c r="DN115" s="1">
        <v>3.4680892256585309</v>
      </c>
      <c r="DO115" s="1">
        <v>8.9040125314449199</v>
      </c>
      <c r="DQ115" s="1">
        <v>1907</v>
      </c>
      <c r="DR115" s="1">
        <v>4125.5308502715561</v>
      </c>
      <c r="DS115" s="1">
        <v>4577.1890577616286</v>
      </c>
      <c r="DT115" s="1">
        <v>764.59780190789047</v>
      </c>
      <c r="DU115" s="1">
        <v>411.52709575361467</v>
      </c>
      <c r="DV115" s="1">
        <v>854.20595517330264</v>
      </c>
      <c r="DW115" s="1">
        <v>10733.050760867991</v>
      </c>
      <c r="DX115" s="1">
        <v>10241.046893519504</v>
      </c>
      <c r="DY115" s="1">
        <v>1569.3494255285905</v>
      </c>
      <c r="EA115" s="1">
        <v>1907</v>
      </c>
      <c r="EB115" s="1">
        <v>2.4941007175509355</v>
      </c>
      <c r="EC115" s="1">
        <v>2.7013378760585027</v>
      </c>
      <c r="ED115" s="1">
        <v>2.3073332056743823</v>
      </c>
      <c r="EE115" s="1">
        <v>8.8853476654304302</v>
      </c>
      <c r="EF115" s="1">
        <v>-0.77609895382147442</v>
      </c>
      <c r="EG115" s="1">
        <v>7.1019957268448621</v>
      </c>
      <c r="EH115" s="1">
        <v>3.1850939533858451</v>
      </c>
      <c r="EI115" s="1">
        <v>3.1259454127693971</v>
      </c>
      <c r="EJ115" s="1">
        <v>8.1201447050784452</v>
      </c>
      <c r="EL115" s="1">
        <v>1907</v>
      </c>
      <c r="EM115" s="1">
        <v>1228008.1388406141</v>
      </c>
      <c r="EN115" s="1">
        <v>536602.61786807957</v>
      </c>
      <c r="EO115" s="1">
        <v>89499.107285590129</v>
      </c>
      <c r="EP115" s="1">
        <v>85480.897294048482</v>
      </c>
      <c r="EQ115" s="1">
        <v>122491.83362159504</v>
      </c>
      <c r="ER115" s="1">
        <v>166970.70006908747</v>
      </c>
      <c r="ES115" s="1">
        <v>99490.7037870645</v>
      </c>
      <c r="ET115" s="1">
        <v>3082.9843118996369</v>
      </c>
      <c r="EU115" s="1">
        <v>2331626.9830779787</v>
      </c>
      <c r="EV115" s="1">
        <v>2232136.2792909145</v>
      </c>
      <c r="EX115" s="1">
        <v>1907</v>
      </c>
      <c r="EY115" s="1">
        <v>850931.36285676272</v>
      </c>
      <c r="EZ115" s="1">
        <v>464611.4799273216</v>
      </c>
      <c r="FA115" s="1">
        <v>73267.51954123957</v>
      </c>
      <c r="FB115" s="1">
        <v>85480.897294048482</v>
      </c>
      <c r="FC115" s="1">
        <v>79458.141534625087</v>
      </c>
      <c r="FD115" s="1">
        <v>154202.06201118929</v>
      </c>
      <c r="FE115" s="1">
        <v>99490.7037870645</v>
      </c>
      <c r="FF115" s="1">
        <v>2506.9976783956067</v>
      </c>
      <c r="FG115" s="1">
        <v>1809949.1646306468</v>
      </c>
      <c r="FH115" s="1">
        <v>1710458.4608435824</v>
      </c>
      <c r="FJ115" s="1">
        <v>1907</v>
      </c>
      <c r="FK115" s="1">
        <v>377076.77598385134</v>
      </c>
      <c r="FL115" s="1">
        <v>71991.137940757952</v>
      </c>
      <c r="FM115" s="1">
        <v>16231.587744350561</v>
      </c>
      <c r="FN115" s="1">
        <v>0</v>
      </c>
      <c r="FO115" s="1">
        <v>43033.692086969953</v>
      </c>
      <c r="FP115" s="1">
        <v>12768.638057898195</v>
      </c>
      <c r="FQ115" s="1">
        <v>575.98663350403001</v>
      </c>
      <c r="FR115" s="1">
        <v>521677.81844733207</v>
      </c>
      <c r="FS115" s="1">
        <v>844741.01072013075</v>
      </c>
      <c r="HC115" s="1">
        <v>1907</v>
      </c>
      <c r="HD115" s="1">
        <v>409.50019376671634</v>
      </c>
      <c r="HE115" s="1">
        <v>418.62481317124588</v>
      </c>
      <c r="HF115" s="1">
        <v>88.911949250453233</v>
      </c>
      <c r="HG115" s="1">
        <v>124.29547877687104</v>
      </c>
      <c r="HH115" s="1">
        <v>207.6963587401163</v>
      </c>
      <c r="HI115" s="1">
        <v>134.41314236232458</v>
      </c>
      <c r="HJ115" s="1">
        <v>3.4753670399401368</v>
      </c>
      <c r="HK115" s="2">
        <v>1386.9173031076675</v>
      </c>
      <c r="HL115" s="1">
        <v>1252.5041607453429</v>
      </c>
      <c r="HN115" s="1">
        <v>1907</v>
      </c>
      <c r="HO115" s="1">
        <v>228.50901993796836</v>
      </c>
      <c r="HP115" s="1">
        <v>69.726856032486708</v>
      </c>
      <c r="HQ115" s="1">
        <v>22.067773520374978</v>
      </c>
      <c r="HR115" s="1">
        <v>0</v>
      </c>
      <c r="HS115" s="1">
        <v>78.251694508995925</v>
      </c>
      <c r="HT115" s="1">
        <v>0.92452422940931478</v>
      </c>
      <c r="HU115" s="2">
        <v>399.47986822923531</v>
      </c>
      <c r="HW115" s="1">
        <v>1907</v>
      </c>
      <c r="HX115" s="1">
        <v>225.69344998372071</v>
      </c>
      <c r="HY115" s="1">
        <v>222.87199279442365</v>
      </c>
      <c r="HZ115" s="1">
        <v>56.859044792501223</v>
      </c>
      <c r="IA115" s="1">
        <v>28.783164943096054</v>
      </c>
      <c r="IB115" s="1">
        <v>256.0070972775215</v>
      </c>
      <c r="IC115" s="1">
        <v>10.45662788127278</v>
      </c>
      <c r="ID115" s="1">
        <v>314.24574864423579</v>
      </c>
      <c r="IE115" s="2">
        <v>1114.9171263167716</v>
      </c>
      <c r="IF115" s="1">
        <v>1104.4604984354989</v>
      </c>
      <c r="IH115" s="1">
        <v>1907</v>
      </c>
      <c r="II115" s="1">
        <v>156.80237883455527</v>
      </c>
      <c r="IJ115" s="1">
        <v>45.064207022022963</v>
      </c>
      <c r="IK115" s="1">
        <v>19.811566565511217</v>
      </c>
      <c r="IL115" s="1">
        <v>166.17476759197845</v>
      </c>
      <c r="IM115" s="1">
        <v>36.882470632681105</v>
      </c>
      <c r="IN115" s="1">
        <v>16.214631751597892</v>
      </c>
      <c r="IO115" s="1">
        <v>3.4508059635279835</v>
      </c>
    </row>
    <row r="116" spans="1:249" x14ac:dyDescent="0.25">
      <c r="A116" s="1" t="s">
        <v>207</v>
      </c>
      <c r="B116" s="1">
        <v>-1.6921406429196821</v>
      </c>
      <c r="C116" s="1">
        <v>-1.6932203689657683</v>
      </c>
      <c r="D116" s="1">
        <v>-1.5867186050464994</v>
      </c>
      <c r="E116" s="1">
        <v>-1.7974497508517828</v>
      </c>
      <c r="F116" s="1">
        <v>-1.75457474118177</v>
      </c>
      <c r="G116" s="1">
        <v>-1.3706858933295365</v>
      </c>
      <c r="H116" s="1">
        <v>-1.7243678470666595</v>
      </c>
      <c r="J116" s="1">
        <v>1908</v>
      </c>
      <c r="K116" s="2">
        <v>3061.5063654852311</v>
      </c>
      <c r="L116" s="1">
        <v>2887.136094964671</v>
      </c>
      <c r="M116" s="1">
        <v>2828.8540944089941</v>
      </c>
      <c r="N116" s="1">
        <v>2654.483823888434</v>
      </c>
      <c r="O116" s="1">
        <v>232.65227107623684</v>
      </c>
      <c r="P116" s="1">
        <v>174.37027052056021</v>
      </c>
      <c r="Q116" s="1">
        <v>2494.3966278376797</v>
      </c>
      <c r="R116" s="1">
        <v>5555.9029933229103</v>
      </c>
      <c r="S116" s="1">
        <v>5381.5327228023507</v>
      </c>
      <c r="U116" s="1">
        <v>1908</v>
      </c>
      <c r="V116" s="1">
        <v>566.56851723054103</v>
      </c>
      <c r="W116" s="1">
        <v>30932.211015554956</v>
      </c>
      <c r="X116" s="1">
        <v>-2.2148437546649973</v>
      </c>
      <c r="Y116" s="1">
        <v>534.29920473402308</v>
      </c>
      <c r="Z116" s="1">
        <v>25887.197822741917</v>
      </c>
      <c r="AA116" s="1">
        <v>-2.5335472070734824</v>
      </c>
      <c r="AB116" s="1">
        <v>5403594.2209607121</v>
      </c>
      <c r="AC116" s="1">
        <v>0.86327812292648787</v>
      </c>
      <c r="AE116" s="1">
        <v>1908</v>
      </c>
      <c r="AF116" s="1">
        <v>839.61908349996975</v>
      </c>
      <c r="AG116" s="1">
        <v>678.31257163118551</v>
      </c>
      <c r="AH116" s="1">
        <v>161.53365014344428</v>
      </c>
      <c r="AI116" s="1">
        <v>206.76071840794862</v>
      </c>
      <c r="AJ116" s="1">
        <v>365.93666962741878</v>
      </c>
      <c r="AK116" s="1">
        <v>180.29225646704361</v>
      </c>
      <c r="AL116" s="1">
        <v>150.56504335565282</v>
      </c>
      <c r="AM116" s="1">
        <v>304.11610183200753</v>
      </c>
      <c r="AN116" s="2">
        <v>2887.136094964671</v>
      </c>
      <c r="AP116" s="1" t="s">
        <v>207</v>
      </c>
      <c r="AQ116" s="1">
        <v>-3.1207724261340388</v>
      </c>
      <c r="AR116" s="1">
        <v>-2.933177922495986</v>
      </c>
      <c r="AS116" s="1">
        <v>-9.0377991728658031</v>
      </c>
      <c r="AT116" s="1">
        <v>1.1077070301787018</v>
      </c>
      <c r="AU116" s="1">
        <v>-2.1665600588826095</v>
      </c>
      <c r="AV116" s="1">
        <v>1.5643730356956382</v>
      </c>
      <c r="AW116" s="1">
        <v>4.6334590867354706</v>
      </c>
      <c r="AX116" s="1">
        <v>3.0339709833559994</v>
      </c>
      <c r="AY116" s="1">
        <v>-1.6921406429196821</v>
      </c>
      <c r="BA116" s="1">
        <v>1908</v>
      </c>
      <c r="BB116" s="1">
        <v>2482.2969296466972</v>
      </c>
      <c r="BC116" s="1">
        <v>265.69111983363513</v>
      </c>
      <c r="BD116" s="1">
        <v>249.46019063607565</v>
      </c>
      <c r="BE116" s="1">
        <v>92.674554610330389</v>
      </c>
      <c r="BF116" s="1">
        <v>6.2030008746365324</v>
      </c>
      <c r="BG116" s="1">
        <v>31.954633766806829</v>
      </c>
      <c r="BH116" s="1">
        <v>607.33276167811562</v>
      </c>
      <c r="BI116" s="1">
        <v>674.10682556106599</v>
      </c>
      <c r="BJ116" s="1">
        <v>3061.5063654852311</v>
      </c>
      <c r="BL116" s="1" t="s">
        <v>207</v>
      </c>
      <c r="BM116" s="1">
        <v>-1.9010677879711295</v>
      </c>
      <c r="BN116" s="1">
        <v>8.0062153661338016</v>
      </c>
      <c r="BO116" s="1">
        <v>-17.01839805608995</v>
      </c>
      <c r="BP116" s="1">
        <v>-3.8155802861685117</v>
      </c>
      <c r="BQ116" s="1">
        <v>-11.61473087818699</v>
      </c>
      <c r="BR116" s="1">
        <v>-1.3706858933295507</v>
      </c>
      <c r="BT116" s="1" t="s">
        <v>207</v>
      </c>
      <c r="BU116" s="1">
        <v>2.1034317980627435</v>
      </c>
      <c r="BV116" s="1">
        <v>0.63575760015115179</v>
      </c>
      <c r="BW116" s="1">
        <v>-0.3280588944842151</v>
      </c>
      <c r="BX116" s="1">
        <v>-4.2082362082362152</v>
      </c>
      <c r="BY116" s="1">
        <v>0.51367902930404341</v>
      </c>
      <c r="BZ116" s="1">
        <v>0.68682050171071296</v>
      </c>
      <c r="CB116" s="1">
        <v>1908</v>
      </c>
      <c r="CC116" s="1">
        <v>43.726454078806697</v>
      </c>
      <c r="CD116" s="1">
        <v>119.16111649925327</v>
      </c>
      <c r="CE116" s="1">
        <v>3.2822115972259249</v>
      </c>
      <c r="CF116" s="1">
        <v>74.911332780395725</v>
      </c>
      <c r="CG116" s="1">
        <v>12.317601644657298</v>
      </c>
      <c r="CH116" s="1">
        <v>31.214017501909161</v>
      </c>
      <c r="CI116" s="1">
        <v>95.679645785601352</v>
      </c>
      <c r="CJ116" s="1">
        <v>380.29237988784945</v>
      </c>
      <c r="CL116" s="1">
        <v>1908</v>
      </c>
      <c r="CM116" s="1">
        <v>40.054187670592448</v>
      </c>
      <c r="CN116" s="1">
        <v>45.984136184705292</v>
      </c>
      <c r="CO116" s="1">
        <v>1.3102622151889485</v>
      </c>
      <c r="CP116" s="1">
        <v>54.825979260620066</v>
      </c>
      <c r="CQ116" s="1">
        <v>4.2134564376229866</v>
      </c>
      <c r="CR116" s="1">
        <v>10.999160282487463</v>
      </c>
      <c r="CS116" s="1">
        <v>75.265089025019662</v>
      </c>
      <c r="CT116" s="2">
        <v>232.65227107623684</v>
      </c>
      <c r="CV116" s="1">
        <v>1908</v>
      </c>
      <c r="CW116" s="1">
        <v>2524.4989461922569</v>
      </c>
      <c r="CX116" s="1">
        <v>2377.338592477272</v>
      </c>
      <c r="CY116" s="1">
        <v>457.13489591054849</v>
      </c>
      <c r="CZ116" s="1">
        <v>416.40310657952381</v>
      </c>
      <c r="DA116" s="1">
        <v>912.24371008917149</v>
      </c>
      <c r="DB116" s="1">
        <v>6687.6192512487714</v>
      </c>
      <c r="DC116" s="1">
        <v>6364.9244955359873</v>
      </c>
      <c r="DD116" s="1">
        <v>1289.982215565982</v>
      </c>
      <c r="DF116" s="1">
        <v>1908</v>
      </c>
      <c r="DG116" s="1">
        <v>1.6060429748340681</v>
      </c>
      <c r="DH116" s="1">
        <v>0.80865776519232213</v>
      </c>
      <c r="DI116" s="1">
        <v>2.4529240746926178</v>
      </c>
      <c r="DJ116" s="1">
        <v>6.7319135389603417</v>
      </c>
      <c r="DK116" s="1">
        <v>-2.1067460085660628E-2</v>
      </c>
      <c r="DL116" s="1">
        <v>3.5028615065685926</v>
      </c>
      <c r="DM116" s="1">
        <v>2.1019385722451887</v>
      </c>
      <c r="DN116" s="1">
        <v>1.8892238729225568</v>
      </c>
      <c r="DO116" s="1">
        <v>4.8623037379653908</v>
      </c>
      <c r="DQ116" s="1">
        <v>1908</v>
      </c>
      <c r="DR116" s="1">
        <v>4235.8376324194351</v>
      </c>
      <c r="DS116" s="1">
        <v>4682.5722397055051</v>
      </c>
      <c r="DT116" s="1">
        <v>820.33241836957325</v>
      </c>
      <c r="DU116" s="1">
        <v>416.40310657952381</v>
      </c>
      <c r="DV116" s="1">
        <v>912.24371008917149</v>
      </c>
      <c r="DW116" s="1">
        <v>11067.389107163208</v>
      </c>
      <c r="DX116" s="1">
        <v>10553.982385931795</v>
      </c>
      <c r="DY116" s="1">
        <v>1690.1923996373685</v>
      </c>
      <c r="EA116" s="1">
        <v>1908</v>
      </c>
      <c r="EB116" s="1">
        <v>1.9451749972053705</v>
      </c>
      <c r="EC116" s="1">
        <v>1.6319443366445512</v>
      </c>
      <c r="ED116" s="1">
        <v>2.2285592722375895</v>
      </c>
      <c r="EE116" s="1">
        <v>6.468109610462335</v>
      </c>
      <c r="EF116" s="1">
        <v>-2.1067460085660628E-2</v>
      </c>
      <c r="EG116" s="1">
        <v>3.5028615065685926</v>
      </c>
      <c r="EH116" s="1">
        <v>2.3250124122671281</v>
      </c>
      <c r="EI116" s="1">
        <v>2.1755176371094649</v>
      </c>
      <c r="EJ116" s="1">
        <v>5.115711044598072</v>
      </c>
      <c r="EL116" s="1">
        <v>1908</v>
      </c>
      <c r="EM116" s="1">
        <v>1210158.7456114192</v>
      </c>
      <c r="EN116" s="1">
        <v>528052.35637457727</v>
      </c>
      <c r="EO116" s="1">
        <v>93784.385727873829</v>
      </c>
      <c r="EP116" s="1">
        <v>86292.736609038111</v>
      </c>
      <c r="EQ116" s="1">
        <v>122070.45011409016</v>
      </c>
      <c r="ER116" s="1">
        <v>167856.99919466348</v>
      </c>
      <c r="ES116" s="1">
        <v>103990.89454515911</v>
      </c>
      <c r="ET116" s="1">
        <v>3149.980432468014</v>
      </c>
      <c r="EU116" s="1">
        <v>2315356.5486092889</v>
      </c>
      <c r="EV116" s="1">
        <v>2211365.6540641305</v>
      </c>
      <c r="EX116" s="1">
        <v>1908</v>
      </c>
      <c r="EY116" s="1">
        <v>829529.42934239015</v>
      </c>
      <c r="EZ116" s="1">
        <v>456803.93376406864</v>
      </c>
      <c r="FA116" s="1">
        <v>77588.614737709606</v>
      </c>
      <c r="FB116" s="1">
        <v>86292.736609038111</v>
      </c>
      <c r="FC116" s="1">
        <v>78182.912516348864</v>
      </c>
      <c r="FD116" s="1">
        <v>154455.91189295106</v>
      </c>
      <c r="FE116" s="1">
        <v>103990.89454515911</v>
      </c>
      <c r="FF116" s="1">
        <v>2567.6561868420677</v>
      </c>
      <c r="FG116" s="1">
        <v>1789412.0895945076</v>
      </c>
      <c r="FH116" s="1">
        <v>1685421.1950493485</v>
      </c>
      <c r="FJ116" s="1">
        <v>1908</v>
      </c>
      <c r="FK116" s="1">
        <v>380629.31626902899</v>
      </c>
      <c r="FL116" s="1">
        <v>71248.422610508613</v>
      </c>
      <c r="FM116" s="1">
        <v>16195.770990164217</v>
      </c>
      <c r="FN116" s="1">
        <v>0</v>
      </c>
      <c r="FO116" s="1">
        <v>43887.537597741284</v>
      </c>
      <c r="FP116" s="1">
        <v>13401.087301712392</v>
      </c>
      <c r="FQ116" s="1">
        <v>582.32424562594622</v>
      </c>
      <c r="FR116" s="1">
        <v>525944.45901478152</v>
      </c>
      <c r="FS116" s="1">
        <v>851571.36172853317</v>
      </c>
      <c r="HC116" s="1">
        <v>1908</v>
      </c>
      <c r="HD116" s="1">
        <v>418.34539787192034</v>
      </c>
      <c r="HE116" s="1">
        <v>412.2434276200712</v>
      </c>
      <c r="HF116" s="1">
        <v>94.305172924314206</v>
      </c>
      <c r="HG116" s="1">
        <v>132.82556065371512</v>
      </c>
      <c r="HH116" s="1">
        <v>211.05027191194662</v>
      </c>
      <c r="HI116" s="1">
        <v>139.56588307316539</v>
      </c>
      <c r="HJ116" s="1">
        <v>3.6219902638854773</v>
      </c>
      <c r="HK116" s="2">
        <v>1411.9577043190181</v>
      </c>
      <c r="HL116" s="1">
        <v>1272.3918212458527</v>
      </c>
      <c r="HN116" s="1">
        <v>1908</v>
      </c>
      <c r="HO116" s="1">
        <v>241.72380064151383</v>
      </c>
      <c r="HP116" s="1">
        <v>69.117046843602907</v>
      </c>
      <c r="HQ116" s="1">
        <v>22.054032818766746</v>
      </c>
      <c r="HR116" s="1">
        <v>0</v>
      </c>
      <c r="HS116" s="1">
        <v>81.995064755137747</v>
      </c>
      <c r="HT116" s="1">
        <v>0.95111805674209271</v>
      </c>
      <c r="HU116" s="2">
        <v>415.84106311576329</v>
      </c>
      <c r="HW116" s="1">
        <v>1908</v>
      </c>
      <c r="HX116" s="1">
        <v>236.11688498653552</v>
      </c>
      <c r="HY116" s="1">
        <v>196.95209716751134</v>
      </c>
      <c r="HZ116" s="1">
        <v>45.174444400363313</v>
      </c>
      <c r="IA116" s="1">
        <v>17.368157754233494</v>
      </c>
      <c r="IB116" s="1">
        <v>253.18358942737797</v>
      </c>
      <c r="IC116" s="1">
        <v>10.99916028248742</v>
      </c>
      <c r="ID116" s="1">
        <v>299.54299351137996</v>
      </c>
      <c r="IE116" s="2">
        <v>1059.3373275298891</v>
      </c>
      <c r="IF116" s="1">
        <v>1048.3381672474015</v>
      </c>
      <c r="IH116" s="1">
        <v>1908</v>
      </c>
      <c r="II116" s="1">
        <v>178.78337607806975</v>
      </c>
      <c r="IJ116" s="1">
        <v>40.304528933564285</v>
      </c>
      <c r="IK116" s="1">
        <v>16.067748508849604</v>
      </c>
      <c r="IL116" s="1">
        <v>190.95302311125778</v>
      </c>
      <c r="IM116" s="1">
        <v>31.362766365687317</v>
      </c>
      <c r="IN116" s="1">
        <v>12.503037644635892</v>
      </c>
      <c r="IO116" s="1">
        <v>-1.9046241397791448</v>
      </c>
    </row>
    <row r="117" spans="1:249" x14ac:dyDescent="0.25">
      <c r="A117" s="1" t="s">
        <v>208</v>
      </c>
      <c r="B117" s="1">
        <v>0.71540710863440893</v>
      </c>
      <c r="C117" s="1">
        <v>0.71227357769349453</v>
      </c>
      <c r="D117" s="1">
        <v>0.75757389269132602</v>
      </c>
      <c r="E117" s="1">
        <v>0.67325797126753173</v>
      </c>
      <c r="F117" s="1">
        <v>0.68794460146503411</v>
      </c>
      <c r="G117" s="1">
        <v>0.2632112562630482</v>
      </c>
      <c r="H117" s="1">
        <v>0.1164620437049706</v>
      </c>
      <c r="J117" s="1">
        <v>1909</v>
      </c>
      <c r="K117" s="2">
        <v>3066.6676183019981</v>
      </c>
      <c r="L117" s="1">
        <v>2886.3916595362116</v>
      </c>
      <c r="M117" s="1">
        <v>2827.0579177113159</v>
      </c>
      <c r="N117" s="1">
        <v>2646.7819589455294</v>
      </c>
      <c r="O117" s="1">
        <v>239.60970059068237</v>
      </c>
      <c r="P117" s="1">
        <v>180.27595876578638</v>
      </c>
      <c r="Q117" s="1">
        <v>2463.0690596019426</v>
      </c>
      <c r="R117" s="1">
        <v>5529.7366779039403</v>
      </c>
      <c r="S117" s="1">
        <v>5349.4607191381547</v>
      </c>
      <c r="U117" s="1">
        <v>1909</v>
      </c>
      <c r="V117" s="1">
        <v>562.38481106052791</v>
      </c>
      <c r="W117" s="1">
        <v>30732.803436453658</v>
      </c>
      <c r="X117" s="1">
        <v>-0.64465995981024093</v>
      </c>
      <c r="Y117" s="1">
        <v>529.32467099050996</v>
      </c>
      <c r="Z117" s="1">
        <v>25836.314286851262</v>
      </c>
      <c r="AA117" s="1">
        <v>-0.19655868603109639</v>
      </c>
      <c r="AB117" s="1">
        <v>5452970.2047232939</v>
      </c>
      <c r="AC117" s="1">
        <v>0.9137618729965169</v>
      </c>
      <c r="AE117" s="1">
        <v>1909</v>
      </c>
      <c r="AF117" s="1">
        <v>863.99864946163939</v>
      </c>
      <c r="AG117" s="1">
        <v>623.93311536333067</v>
      </c>
      <c r="AH117" s="1">
        <v>153.2630226740286</v>
      </c>
      <c r="AI117" s="1">
        <v>205.48660331312058</v>
      </c>
      <c r="AJ117" s="1">
        <v>372.40473831784135</v>
      </c>
      <c r="AK117" s="1">
        <v>183.59988145660924</v>
      </c>
      <c r="AL117" s="1">
        <v>165.23070064913378</v>
      </c>
      <c r="AM117" s="1">
        <v>318.47494830050778</v>
      </c>
      <c r="AN117" s="2">
        <v>2886.3916595362116</v>
      </c>
      <c r="AP117" s="1" t="s">
        <v>208</v>
      </c>
      <c r="AQ117" s="1">
        <v>4.7189011108486909</v>
      </c>
      <c r="AR117" s="1">
        <v>-4.8062904329662928</v>
      </c>
      <c r="AS117" s="1">
        <v>-8.4852337377185307</v>
      </c>
      <c r="AT117" s="1">
        <v>-0.66511591061961894</v>
      </c>
      <c r="AU117" s="1">
        <v>3.8472398562223304</v>
      </c>
      <c r="AV117" s="1">
        <v>1.3990803798235021</v>
      </c>
      <c r="AW117" s="1">
        <v>4.6149071717132415</v>
      </c>
      <c r="AX117" s="1">
        <v>1.6544309533419295</v>
      </c>
      <c r="AY117" s="1">
        <v>0.71540710863440893</v>
      </c>
      <c r="BA117" s="1">
        <v>1909</v>
      </c>
      <c r="BB117" s="1">
        <v>2565.4940501237056</v>
      </c>
      <c r="BC117" s="1">
        <v>278.72229406149586</v>
      </c>
      <c r="BD117" s="1">
        <v>227.6549313171476</v>
      </c>
      <c r="BE117" s="1">
        <v>83.910969792983309</v>
      </c>
      <c r="BF117" s="1">
        <v>3.9469703718947908</v>
      </c>
      <c r="BG117" s="1">
        <v>0.7931964923108108</v>
      </c>
      <c r="BH117" s="1">
        <v>598.31854629142754</v>
      </c>
      <c r="BI117" s="1">
        <v>692.17334014896733</v>
      </c>
      <c r="BJ117" s="1">
        <v>3066.6676183019986</v>
      </c>
      <c r="BL117" s="1" t="s">
        <v>208</v>
      </c>
      <c r="BM117" s="1">
        <v>4.4964357273569391</v>
      </c>
      <c r="BN117" s="1">
        <v>1.3768022296556381</v>
      </c>
      <c r="BO117" s="1">
        <v>-17.1855488387082</v>
      </c>
      <c r="BP117" s="1">
        <v>-6.4462809917355059</v>
      </c>
      <c r="BQ117" s="1">
        <v>0.1602564102564088</v>
      </c>
      <c r="BR117" s="1">
        <v>0.2632112562630482</v>
      </c>
      <c r="BT117" s="1" t="s">
        <v>208</v>
      </c>
      <c r="BU117" s="1">
        <v>-1.0955563467983467</v>
      </c>
      <c r="BV117" s="1">
        <v>3.4799191235167086</v>
      </c>
      <c r="BW117" s="1">
        <v>0.4346966398894665</v>
      </c>
      <c r="BX117" s="1">
        <v>5.3039590394461555</v>
      </c>
      <c r="BY117" s="1">
        <v>2.515778894472362</v>
      </c>
      <c r="BZ117" s="1">
        <v>-9.4377442105624709E-2</v>
      </c>
      <c r="CB117" s="1">
        <v>1909</v>
      </c>
      <c r="CC117" s="1">
        <v>40.167374341682688</v>
      </c>
      <c r="CD117" s="1">
        <v>83.77895587895982</v>
      </c>
      <c r="CE117" s="1">
        <v>2.7524076433816544</v>
      </c>
      <c r="CF117" s="1">
        <v>71.785945650747465</v>
      </c>
      <c r="CG117" s="1">
        <v>4.4080945554765822</v>
      </c>
      <c r="CH117" s="1">
        <v>25.603404006505023</v>
      </c>
      <c r="CI117" s="1">
        <v>87.809885897583285</v>
      </c>
      <c r="CJ117" s="1">
        <v>316.30606797433654</v>
      </c>
      <c r="CL117" s="1">
        <v>1909</v>
      </c>
      <c r="CM117" s="1">
        <v>40.295547663794352</v>
      </c>
      <c r="CN117" s="1">
        <v>48.139736156520023</v>
      </c>
      <c r="CO117" s="1">
        <v>1.3868579068800961</v>
      </c>
      <c r="CP117" s="1">
        <v>56.188256080878602</v>
      </c>
      <c r="CQ117" s="1">
        <v>4.4960842808630179</v>
      </c>
      <c r="CR117" s="1">
        <v>11.721783312865451</v>
      </c>
      <c r="CS117" s="1">
        <v>77.381435188880829</v>
      </c>
      <c r="CT117" s="2">
        <v>239.60970059068237</v>
      </c>
      <c r="CV117" s="1">
        <v>1909</v>
      </c>
      <c r="CW117" s="1">
        <v>2607.1563774869987</v>
      </c>
      <c r="CX117" s="1">
        <v>2494.4027115770118</v>
      </c>
      <c r="CY117" s="1">
        <v>472.82811212685363</v>
      </c>
      <c r="CZ117" s="1">
        <v>403.29821667833954</v>
      </c>
      <c r="DA117" s="1">
        <v>909.05606870624149</v>
      </c>
      <c r="DB117" s="1">
        <v>6886.7414865754454</v>
      </c>
      <c r="DC117" s="1">
        <v>6535.8893163435323</v>
      </c>
      <c r="DD117" s="1">
        <v>1335.1623413670882</v>
      </c>
      <c r="DF117" s="1">
        <v>1909</v>
      </c>
      <c r="DG117" s="1">
        <v>1.0009872565963462</v>
      </c>
      <c r="DH117" s="1">
        <v>0.39999329532946604</v>
      </c>
      <c r="DI117" s="1">
        <v>1.6291337419735044</v>
      </c>
      <c r="DJ117" s="1">
        <v>4.4309081793884957</v>
      </c>
      <c r="DK117" s="1">
        <v>-2.6080726554465201</v>
      </c>
      <c r="DL117" s="1">
        <v>8.7254958150140283E-2</v>
      </c>
      <c r="DM117" s="1">
        <v>0.9028798491679737</v>
      </c>
      <c r="DN117" s="1">
        <v>0.73883098511255696</v>
      </c>
      <c r="DO117" s="1">
        <v>4.6822018464129656</v>
      </c>
      <c r="DQ117" s="1">
        <v>1909</v>
      </c>
      <c r="DR117" s="1">
        <v>4410.2539091683202</v>
      </c>
      <c r="DS117" s="1">
        <v>4902.7041705567599</v>
      </c>
      <c r="DT117" s="1">
        <v>845.3759795636339</v>
      </c>
      <c r="DU117" s="1">
        <v>403.29821667833954</v>
      </c>
      <c r="DV117" s="1">
        <v>909.05606870624149</v>
      </c>
      <c r="DW117" s="1">
        <v>11470.688344673295</v>
      </c>
      <c r="DX117" s="1">
        <v>10917.130261871009</v>
      </c>
      <c r="DY117" s="1">
        <v>1762.128384844023</v>
      </c>
      <c r="EA117" s="1">
        <v>1909</v>
      </c>
      <c r="EB117" s="1">
        <v>1.5974703357258164</v>
      </c>
      <c r="EC117" s="1">
        <v>1.3673086946134845</v>
      </c>
      <c r="ED117" s="1">
        <v>1.8045097718547964</v>
      </c>
      <c r="EE117" s="1">
        <v>5.1478247576922058</v>
      </c>
      <c r="EF117" s="1">
        <v>-2.6080726554465201</v>
      </c>
      <c r="EG117" s="1">
        <v>8.7254958150140283E-2</v>
      </c>
      <c r="EH117" s="1">
        <v>1.589766583540225</v>
      </c>
      <c r="EI117" s="1">
        <v>1.4710107904205643</v>
      </c>
      <c r="EJ117" s="1">
        <v>4.9651603613478699</v>
      </c>
      <c r="EL117" s="1">
        <v>1909</v>
      </c>
      <c r="EM117" s="1">
        <v>1207624.083659352</v>
      </c>
      <c r="EN117" s="1">
        <v>524317.75940040371</v>
      </c>
      <c r="EO117" s="1">
        <v>82042.980501249171</v>
      </c>
      <c r="EP117" s="1">
        <v>87099.034802907918</v>
      </c>
      <c r="EQ117" s="1">
        <v>122578.17314282284</v>
      </c>
      <c r="ER117" s="1">
        <v>168761.76292025973</v>
      </c>
      <c r="ES117" s="1">
        <v>108855.96563499111</v>
      </c>
      <c r="ET117" s="1">
        <v>3218.5358127726381</v>
      </c>
      <c r="EU117" s="1">
        <v>2304498.2958747591</v>
      </c>
      <c r="EV117" s="1">
        <v>2195642.3302397681</v>
      </c>
      <c r="EX117" s="1">
        <v>1909</v>
      </c>
      <c r="EY117" s="1">
        <v>824330.36217643984</v>
      </c>
      <c r="EZ117" s="1">
        <v>452337.15589224693</v>
      </c>
      <c r="FA117" s="1">
        <v>66023.737076693375</v>
      </c>
      <c r="FB117" s="1">
        <v>87099.034802907918</v>
      </c>
      <c r="FC117" s="1">
        <v>78386.34587014647</v>
      </c>
      <c r="FD117" s="1">
        <v>154821.58028107937</v>
      </c>
      <c r="FE117" s="1">
        <v>108855.96563499111</v>
      </c>
      <c r="FF117" s="1">
        <v>2629.800224593881</v>
      </c>
      <c r="FG117" s="1">
        <v>1774483.981959099</v>
      </c>
      <c r="FH117" s="1">
        <v>1665628.0163241078</v>
      </c>
      <c r="FJ117" s="1">
        <v>1909</v>
      </c>
      <c r="FK117" s="1">
        <v>383293.72148291225</v>
      </c>
      <c r="FL117" s="1">
        <v>71980.603508156782</v>
      </c>
      <c r="FM117" s="1">
        <v>16019.243424555792</v>
      </c>
      <c r="FN117" s="1">
        <v>0</v>
      </c>
      <c r="FO117" s="1">
        <v>44191.827272676361</v>
      </c>
      <c r="FP117" s="1">
        <v>13940.182639180368</v>
      </c>
      <c r="FQ117" s="1">
        <v>588.73558817875698</v>
      </c>
      <c r="FR117" s="1">
        <v>530014.31391566026</v>
      </c>
      <c r="FS117" s="1">
        <v>858456.94113748195</v>
      </c>
      <c r="HC117" s="1">
        <v>1909</v>
      </c>
      <c r="HD117" s="1">
        <v>421.36035015508725</v>
      </c>
      <c r="HE117" s="1">
        <v>381.31375850361354</v>
      </c>
      <c r="HF117" s="1">
        <v>74.960750795145373</v>
      </c>
      <c r="HG117" s="1">
        <v>132.82556065371512</v>
      </c>
      <c r="HH117" s="1">
        <v>215.90499816357232</v>
      </c>
      <c r="HI117" s="1">
        <v>153.50891733626821</v>
      </c>
      <c r="HJ117" s="1">
        <v>3.7608902480504378</v>
      </c>
      <c r="HK117" s="2">
        <v>1383.6352258554523</v>
      </c>
      <c r="HL117" s="1">
        <v>1230.126308519184</v>
      </c>
      <c r="HN117" s="1">
        <v>1909</v>
      </c>
      <c r="HO117" s="1">
        <v>246.71642137815368</v>
      </c>
      <c r="HP117" s="1">
        <v>65.22614491298188</v>
      </c>
      <c r="HQ117" s="1">
        <v>20.376270512089384</v>
      </c>
      <c r="HR117" s="1">
        <v>0</v>
      </c>
      <c r="HS117" s="1">
        <v>84.192044299741994</v>
      </c>
      <c r="HT117" s="1">
        <v>0.97487141606344041</v>
      </c>
      <c r="HU117" s="2">
        <v>417.48575251903037</v>
      </c>
      <c r="HW117" s="1">
        <v>1909</v>
      </c>
      <c r="HX117" s="1">
        <v>250.49487792839841</v>
      </c>
      <c r="HY117" s="1">
        <v>177.39321194673522</v>
      </c>
      <c r="HZ117" s="1">
        <v>57.926001366793841</v>
      </c>
      <c r="IA117" s="1">
        <v>18.08804265940546</v>
      </c>
      <c r="IB117" s="1">
        <v>255.90757731113632</v>
      </c>
      <c r="IC117" s="1">
        <v>11.721783312865572</v>
      </c>
      <c r="ID117" s="1">
        <v>313.73918663639392</v>
      </c>
      <c r="IE117" s="2">
        <v>1085.2706811617286</v>
      </c>
      <c r="IF117" s="1">
        <v>1073.5488978488631</v>
      </c>
      <c r="IH117" s="1">
        <v>1909</v>
      </c>
      <c r="II117" s="1">
        <v>200.69526979385159</v>
      </c>
      <c r="IJ117" s="1">
        <v>39.004085817568715</v>
      </c>
      <c r="IK117" s="1">
        <v>13.981230662011898</v>
      </c>
      <c r="IL117" s="1">
        <v>216.35070257288302</v>
      </c>
      <c r="IM117" s="1">
        <v>28.945560027505383</v>
      </c>
      <c r="IN117" s="1">
        <v>10.375696363671128</v>
      </c>
      <c r="IO117" s="1">
        <v>-5.5546668127765457</v>
      </c>
    </row>
    <row r="118" spans="1:249" x14ac:dyDescent="0.25">
      <c r="A118" s="1" t="s">
        <v>209</v>
      </c>
      <c r="B118" s="1">
        <v>6.9561245022840268</v>
      </c>
      <c r="C118" s="1">
        <v>7.0732148719120431</v>
      </c>
      <c r="D118" s="1">
        <v>7.0991588042476224</v>
      </c>
      <c r="E118" s="1">
        <v>6.8132812271386172</v>
      </c>
      <c r="F118" s="1">
        <v>7.0033815473873346</v>
      </c>
      <c r="G118" s="1">
        <v>5.593952200486882</v>
      </c>
      <c r="H118" s="1">
        <v>5.8519212036799502</v>
      </c>
      <c r="J118" s="1">
        <v>1910</v>
      </c>
      <c r="K118" s="2">
        <v>3301.9240924168798</v>
      </c>
      <c r="L118" s="1">
        <v>3108.410911950451</v>
      </c>
      <c r="M118" s="1">
        <v>3052.3545458176259</v>
      </c>
      <c r="N118" s="1">
        <v>2858.8413653511971</v>
      </c>
      <c r="O118" s="1">
        <v>249.5695465992541</v>
      </c>
      <c r="P118" s="1">
        <v>193.51318046642865</v>
      </c>
      <c r="Q118" s="1">
        <v>2735.5553781810013</v>
      </c>
      <c r="R118" s="1">
        <v>6037.4794705978811</v>
      </c>
      <c r="S118" s="1">
        <v>5843.9662901314523</v>
      </c>
      <c r="U118" s="1">
        <v>1910</v>
      </c>
      <c r="V118" s="1">
        <v>600.41817531772415</v>
      </c>
      <c r="W118" s="1">
        <v>32178.151589224592</v>
      </c>
      <c r="X118" s="1">
        <v>4.7029492631854595</v>
      </c>
      <c r="Y118" s="1">
        <v>565.22995552114571</v>
      </c>
      <c r="Z118" s="1">
        <v>27400.348523847384</v>
      </c>
      <c r="AA118" s="1">
        <v>6.0536275400245358</v>
      </c>
      <c r="AB118" s="1">
        <v>5499373.9832569128</v>
      </c>
      <c r="AC118" s="1">
        <v>0.85098169972440019</v>
      </c>
      <c r="AE118" s="1">
        <v>1910</v>
      </c>
      <c r="AF118" s="1">
        <v>889.51962955539454</v>
      </c>
      <c r="AG118" s="1">
        <v>751.87360667250255</v>
      </c>
      <c r="AH118" s="1">
        <v>166.13674450750753</v>
      </c>
      <c r="AI118" s="1">
        <v>231.18139857314455</v>
      </c>
      <c r="AJ118" s="1">
        <v>380.16861631870796</v>
      </c>
      <c r="AK118" s="1">
        <v>192.56251968208159</v>
      </c>
      <c r="AL118" s="1">
        <v>172.47864951401309</v>
      </c>
      <c r="AM118" s="1">
        <v>324.48974712709918</v>
      </c>
      <c r="AN118" s="2">
        <v>3108.4109119504506</v>
      </c>
      <c r="AP118" s="1" t="s">
        <v>209</v>
      </c>
      <c r="AQ118" s="1">
        <v>2.5517213444576754</v>
      </c>
      <c r="AR118" s="1">
        <v>19.495979267013269</v>
      </c>
      <c r="AS118" s="1">
        <v>10.11507171790565</v>
      </c>
      <c r="AT118" s="1">
        <v>10.444241734936526</v>
      </c>
      <c r="AU118" s="1">
        <v>3.3441392243712613</v>
      </c>
      <c r="AV118" s="1">
        <v>3.1344966124682969</v>
      </c>
      <c r="AW118" s="1">
        <v>-0.37850609193203866</v>
      </c>
      <c r="AX118" s="1">
        <v>0.80119950091916792</v>
      </c>
      <c r="AY118" s="1">
        <v>6.9561245022840268</v>
      </c>
      <c r="BA118" s="1">
        <v>1910</v>
      </c>
      <c r="BB118" s="1">
        <v>2635.7450938571337</v>
      </c>
      <c r="BC118" s="1">
        <v>276.92462449128897</v>
      </c>
      <c r="BD118" s="1">
        <v>273.19821446266639</v>
      </c>
      <c r="BE118" s="1">
        <v>89.540961952332438</v>
      </c>
      <c r="BF118" s="1">
        <v>3.5452228597129452</v>
      </c>
      <c r="BG118" s="1">
        <v>33.571809198441166</v>
      </c>
      <c r="BH118" s="1">
        <v>742.54599247843828</v>
      </c>
      <c r="BI118" s="1">
        <v>753.14782688313403</v>
      </c>
      <c r="BJ118" s="1">
        <v>3301.9240924168798</v>
      </c>
      <c r="BL118" s="1" t="s">
        <v>209</v>
      </c>
      <c r="BM118" s="1">
        <v>1.0487017445051379</v>
      </c>
      <c r="BN118" s="1">
        <v>-3.0260789771737535</v>
      </c>
      <c r="BO118" s="1">
        <v>24.376725932388283</v>
      </c>
      <c r="BP118" s="1">
        <v>23.321554770318016</v>
      </c>
      <c r="BQ118" s="1">
        <v>9.1199999999999761</v>
      </c>
      <c r="BR118" s="1">
        <v>5.593952200486882</v>
      </c>
      <c r="BT118" s="1" t="s">
        <v>209</v>
      </c>
      <c r="BU118" s="1">
        <v>1.6720679335613227</v>
      </c>
      <c r="BV118" s="1">
        <v>2.4554137491235224</v>
      </c>
      <c r="BW118" s="1">
        <v>1.6382549167738887</v>
      </c>
      <c r="BX118" s="1">
        <v>0.63566067159869988</v>
      </c>
      <c r="BY118" s="1">
        <v>-0.28488324809957533</v>
      </c>
      <c r="BZ118" s="1">
        <v>1.9673969391977693</v>
      </c>
      <c r="CB118" s="1">
        <v>1910</v>
      </c>
      <c r="CC118" s="1">
        <v>43.161659741549919</v>
      </c>
      <c r="CD118" s="1">
        <v>128.60859760803672</v>
      </c>
      <c r="CE118" s="1">
        <v>2.7342246918657751</v>
      </c>
      <c r="CF118" s="1">
        <v>80.923912963650665</v>
      </c>
      <c r="CG118" s="1">
        <v>12.602801871345131</v>
      </c>
      <c r="CH118" s="1">
        <v>26.487700073283847</v>
      </c>
      <c r="CI118" s="1">
        <v>105.33731152342087</v>
      </c>
      <c r="CJ118" s="1">
        <v>399.85620847315295</v>
      </c>
      <c r="CL118" s="1">
        <v>1910</v>
      </c>
      <c r="CM118" s="1">
        <v>41.698543865627357</v>
      </c>
      <c r="CN118" s="1">
        <v>50.924067658196684</v>
      </c>
      <c r="CO118" s="1">
        <v>1.515604603250762</v>
      </c>
      <c r="CP118" s="1">
        <v>58.625660955742212</v>
      </c>
      <c r="CQ118" s="1">
        <v>4.488701612995218</v>
      </c>
      <c r="CR118" s="1">
        <v>12.319434874510284</v>
      </c>
      <c r="CS118" s="1">
        <v>79.997533028931571</v>
      </c>
      <c r="CT118" s="2">
        <v>249.5695465992541</v>
      </c>
      <c r="CV118" s="1">
        <v>1910</v>
      </c>
      <c r="CW118" s="1">
        <v>2671.9031624553272</v>
      </c>
      <c r="CX118" s="1">
        <v>2587.7620580247703</v>
      </c>
      <c r="CY118" s="1">
        <v>494.55499952790473</v>
      </c>
      <c r="CZ118" s="1">
        <v>400.06709668550917</v>
      </c>
      <c r="DA118" s="1">
        <v>928.79400865790876</v>
      </c>
      <c r="DB118" s="1">
        <v>7083.0813253514207</v>
      </c>
      <c r="DC118" s="1">
        <v>6711.1909727563288</v>
      </c>
      <c r="DD118" s="1">
        <v>1418.4704719668107</v>
      </c>
      <c r="DF118" s="1">
        <v>1910</v>
      </c>
      <c r="DG118" s="1">
        <v>1.7063969050941097</v>
      </c>
      <c r="DH118" s="1">
        <v>0.94837937431846342</v>
      </c>
      <c r="DI118" s="1">
        <v>2.4890390072394695</v>
      </c>
      <c r="DJ118" s="1">
        <v>4.7305284064428292</v>
      </c>
      <c r="DK118" s="1">
        <v>1.9002085112739451</v>
      </c>
      <c r="DL118" s="1">
        <v>3.6145591902505743</v>
      </c>
      <c r="DM118" s="1">
        <v>2.1788740411451784</v>
      </c>
      <c r="DN118" s="1">
        <v>2.088403262527379</v>
      </c>
      <c r="DO118" s="1">
        <v>5.7141894409475071</v>
      </c>
      <c r="DQ118" s="1">
        <v>1910</v>
      </c>
      <c r="DR118" s="1">
        <v>4563.3256156315874</v>
      </c>
      <c r="DS118" s="1">
        <v>5094.9316366186849</v>
      </c>
      <c r="DT118" s="1">
        <v>891.46899054632195</v>
      </c>
      <c r="DU118" s="1">
        <v>400.06709668550917</v>
      </c>
      <c r="DV118" s="1">
        <v>928.79400865790876</v>
      </c>
      <c r="DW118" s="1">
        <v>11878.587348140012</v>
      </c>
      <c r="DX118" s="1">
        <v>11292.002661027615</v>
      </c>
      <c r="DY118" s="1">
        <v>1873.3995953783569</v>
      </c>
      <c r="EA118" s="1">
        <v>1910</v>
      </c>
      <c r="EB118" s="1">
        <v>1.9791970286628242</v>
      </c>
      <c r="EC118" s="1">
        <v>1.6748558750276885</v>
      </c>
      <c r="ED118" s="1">
        <v>2.2517769392500071</v>
      </c>
      <c r="EE118" s="1">
        <v>5.2727039558725863</v>
      </c>
      <c r="EF118" s="1">
        <v>1.9002085112739309</v>
      </c>
      <c r="EG118" s="1">
        <v>3.6145591902505743</v>
      </c>
      <c r="EH118" s="1">
        <v>2.3525312154885967</v>
      </c>
      <c r="EI118" s="1">
        <v>2.2753651880794195</v>
      </c>
      <c r="EJ118" s="1">
        <v>5.7645366432606266</v>
      </c>
      <c r="EL118" s="1">
        <v>1910</v>
      </c>
      <c r="EM118" s="1">
        <v>1199596.6893860567</v>
      </c>
      <c r="EN118" s="1">
        <v>543678.69634546083</v>
      </c>
      <c r="EO118" s="1">
        <v>88604.289436848368</v>
      </c>
      <c r="EP118" s="1">
        <v>89624.511167674122</v>
      </c>
      <c r="EQ118" s="1">
        <v>133128.88348693895</v>
      </c>
      <c r="ER118" s="1">
        <v>171576.95080313474</v>
      </c>
      <c r="ES118" s="1">
        <v>108126.20497151632</v>
      </c>
      <c r="ET118" s="1">
        <v>3288.6881738461288</v>
      </c>
      <c r="EU118" s="1">
        <v>2337624.9137714766</v>
      </c>
      <c r="EV118" s="1">
        <v>2229498.7087999601</v>
      </c>
      <c r="EX118" s="1">
        <v>1910</v>
      </c>
      <c r="EY118" s="1">
        <v>815795.46214811911</v>
      </c>
      <c r="EZ118" s="1">
        <v>470992.05759412132</v>
      </c>
      <c r="FA118" s="1">
        <v>72761.56678741223</v>
      </c>
      <c r="FB118" s="1">
        <v>89624.511167674122</v>
      </c>
      <c r="FC118" s="1">
        <v>86739.992752711347</v>
      </c>
      <c r="FD118" s="1">
        <v>156975.14830505877</v>
      </c>
      <c r="FE118" s="1">
        <v>108126.20497151632</v>
      </c>
      <c r="FF118" s="1">
        <v>2693.4666108582701</v>
      </c>
      <c r="FG118" s="1">
        <v>1803708.4103374712</v>
      </c>
      <c r="FH118" s="1">
        <v>1695582.2053659549</v>
      </c>
      <c r="FJ118" s="1">
        <v>1910</v>
      </c>
      <c r="FK118" s="1">
        <v>383801.22723793762</v>
      </c>
      <c r="FL118" s="1">
        <v>72686.638751339502</v>
      </c>
      <c r="FM118" s="1">
        <v>15842.722649436144</v>
      </c>
      <c r="FN118" s="1">
        <v>0</v>
      </c>
      <c r="FO118" s="1">
        <v>46388.890734227622</v>
      </c>
      <c r="FP118" s="1">
        <v>14601.802498075998</v>
      </c>
      <c r="FQ118" s="1">
        <v>595.22156298785887</v>
      </c>
      <c r="FR118" s="1">
        <v>533916.50343400484</v>
      </c>
      <c r="FS118" s="1">
        <v>865398.19550912618</v>
      </c>
      <c r="HC118" s="1">
        <v>1910</v>
      </c>
      <c r="HD118" s="1">
        <v>443.49587711279668</v>
      </c>
      <c r="HE118" s="1">
        <v>459.2635693428623</v>
      </c>
      <c r="HF118" s="1">
        <v>95.557343496967647</v>
      </c>
      <c r="HG118" s="1">
        <v>142.57422565582266</v>
      </c>
      <c r="HH118" s="1">
        <v>234.5402967915777</v>
      </c>
      <c r="HI118" s="1">
        <v>160.15921463950266</v>
      </c>
      <c r="HJ118" s="1">
        <v>3.9017946679438853</v>
      </c>
      <c r="HK118" s="2">
        <v>1539.4923217074734</v>
      </c>
      <c r="HL118" s="1">
        <v>1379.3331070679708</v>
      </c>
      <c r="HN118" s="1">
        <v>1910</v>
      </c>
      <c r="HO118" s="1">
        <v>262.74148025661492</v>
      </c>
      <c r="HP118" s="1">
        <v>76.188428227349434</v>
      </c>
      <c r="HQ118" s="1">
        <v>23.309916432163412</v>
      </c>
      <c r="HR118" s="1">
        <v>0</v>
      </c>
      <c r="HS118" s="1">
        <v>89.464059769029433</v>
      </c>
      <c r="HT118" s="1">
        <v>0.99836791758828303</v>
      </c>
      <c r="HU118" s="2">
        <v>452.70225260274543</v>
      </c>
      <c r="HW118" s="1">
        <v>1910</v>
      </c>
      <c r="HX118" s="1">
        <v>240.09827218598298</v>
      </c>
      <c r="HY118" s="1">
        <v>216.42160910229086</v>
      </c>
      <c r="HZ118" s="1">
        <v>47.269484578376463</v>
      </c>
      <c r="IA118" s="1">
        <v>31.791172917321887</v>
      </c>
      <c r="IB118" s="1">
        <v>248.72677944018255</v>
      </c>
      <c r="IC118" s="1">
        <v>12.319434874510408</v>
      </c>
      <c r="ID118" s="1">
        <v>319.58958454156704</v>
      </c>
      <c r="IE118" s="2">
        <v>1116.2163376402323</v>
      </c>
      <c r="IF118" s="1">
        <v>1103.8969027657217</v>
      </c>
      <c r="IH118" s="1">
        <v>1910</v>
      </c>
      <c r="II118" s="1">
        <v>176.99219137886971</v>
      </c>
      <c r="IJ118" s="1">
        <v>39.790493069415412</v>
      </c>
      <c r="IK118" s="1">
        <v>16.082278465705517</v>
      </c>
      <c r="IL118" s="1">
        <v>189.00162220598901</v>
      </c>
      <c r="IM118" s="1">
        <v>30.908007103361889</v>
      </c>
      <c r="IN118" s="1">
        <v>12.492209538321585</v>
      </c>
      <c r="IO118" s="1">
        <v>13.769681853743606</v>
      </c>
    </row>
    <row r="119" spans="1:249" x14ac:dyDescent="0.25">
      <c r="A119" s="1" t="s">
        <v>210</v>
      </c>
      <c r="B119" s="1">
        <v>2.1668318322868458</v>
      </c>
      <c r="C119" s="1">
        <v>2.2249863129233631</v>
      </c>
      <c r="D119" s="1">
        <v>2.0692528257535798</v>
      </c>
      <c r="E119" s="1">
        <v>2.264504125115991</v>
      </c>
      <c r="F119" s="1">
        <v>2.1422577056419101</v>
      </c>
      <c r="G119" s="1">
        <v>3.624818895765074</v>
      </c>
      <c r="H119" s="1">
        <v>3.6842625732866736</v>
      </c>
      <c r="J119" s="1">
        <v>1911</v>
      </c>
      <c r="K119" s="2">
        <v>3352.6412456091175</v>
      </c>
      <c r="L119" s="1">
        <v>3157.5625886200314</v>
      </c>
      <c r="M119" s="1">
        <v>3095.2610767690594</v>
      </c>
      <c r="N119" s="1">
        <v>2900.1824197799733</v>
      </c>
      <c r="O119" s="1">
        <v>257.3801688400581</v>
      </c>
      <c r="P119" s="1">
        <v>195.07865698908608</v>
      </c>
      <c r="Q119" s="1">
        <v>2821.5351191694112</v>
      </c>
      <c r="R119" s="1">
        <v>6174.1763647785283</v>
      </c>
      <c r="S119" s="1">
        <v>5979.0977077894422</v>
      </c>
      <c r="U119" s="1">
        <v>1911</v>
      </c>
      <c r="V119" s="1">
        <v>604.94430221080893</v>
      </c>
      <c r="W119" s="1">
        <v>33087.689346095671</v>
      </c>
      <c r="X119" s="1">
        <v>2.8265693085231618</v>
      </c>
      <c r="Y119" s="1">
        <v>569.74467499658124</v>
      </c>
      <c r="Z119" s="1">
        <v>27778.422233970748</v>
      </c>
      <c r="AA119" s="1">
        <v>1.3798135078257019</v>
      </c>
      <c r="AB119" s="1">
        <v>5542065.9941033721</v>
      </c>
      <c r="AC119" s="1">
        <v>0.77630673921136406</v>
      </c>
      <c r="AE119" s="1">
        <v>1911</v>
      </c>
      <c r="AF119" s="1">
        <v>853.33484061507272</v>
      </c>
      <c r="AG119" s="1">
        <v>781.80713988711659</v>
      </c>
      <c r="AH119" s="1">
        <v>203.6871231395225</v>
      </c>
      <c r="AI119" s="1">
        <v>237.87211163787316</v>
      </c>
      <c r="AJ119" s="1">
        <v>385.23171738664212</v>
      </c>
      <c r="AK119" s="1">
        <v>203.09117353862621</v>
      </c>
      <c r="AL119" s="1">
        <v>178.78150266025136</v>
      </c>
      <c r="AM119" s="1">
        <v>313.75697975492619</v>
      </c>
      <c r="AN119" s="2">
        <v>3157.562588620031</v>
      </c>
      <c r="AP119" s="1" t="s">
        <v>210</v>
      </c>
      <c r="AQ119" s="1">
        <v>-2.0765104399485494</v>
      </c>
      <c r="AR119" s="1">
        <v>2.4233882452391384</v>
      </c>
      <c r="AS119" s="1">
        <v>14.015076234335993</v>
      </c>
      <c r="AT119" s="1">
        <v>4.6399036337966209</v>
      </c>
      <c r="AU119" s="1">
        <v>4.8000193416668964</v>
      </c>
      <c r="AV119" s="1">
        <v>3.9954376541585788</v>
      </c>
      <c r="AW119" s="1">
        <v>2.2184955249380636</v>
      </c>
      <c r="AX119" s="1">
        <v>0.88152015396019578</v>
      </c>
      <c r="AY119" s="1">
        <v>2.1668318322868458</v>
      </c>
      <c r="BA119" s="1">
        <v>1911</v>
      </c>
      <c r="BB119" s="1">
        <v>2554.0825177968886</v>
      </c>
      <c r="BC119" s="1">
        <v>278.68978342366376</v>
      </c>
      <c r="BD119" s="1">
        <v>329.57736079415054</v>
      </c>
      <c r="BE119" s="1">
        <v>87.498533643134806</v>
      </c>
      <c r="BF119" s="1">
        <v>-6.3538726847856379</v>
      </c>
      <c r="BG119" s="1">
        <v>61.215862987483419</v>
      </c>
      <c r="BH119" s="1">
        <v>829.30781557531191</v>
      </c>
      <c r="BI119" s="1">
        <v>781.37675592672974</v>
      </c>
      <c r="BJ119" s="1">
        <v>3352.6412456091175</v>
      </c>
      <c r="BL119" s="1" t="s">
        <v>210</v>
      </c>
      <c r="BM119" s="1">
        <v>-1.3796173708772272</v>
      </c>
      <c r="BN119" s="1">
        <v>-0.10454154487760547</v>
      </c>
      <c r="BO119" s="1">
        <v>17.633151225417535</v>
      </c>
      <c r="BP119" s="1">
        <v>12.750716332378204</v>
      </c>
      <c r="BQ119" s="1">
        <v>1.3196480938416357</v>
      </c>
      <c r="BR119" s="1">
        <v>3.6248188957650882</v>
      </c>
      <c r="BT119" s="1" t="s">
        <v>210</v>
      </c>
      <c r="BU119" s="1">
        <v>-1.7426980987682867</v>
      </c>
      <c r="BV119" s="1">
        <v>0.74273295058037547</v>
      </c>
      <c r="BW119" s="1">
        <v>0.33472547971786071</v>
      </c>
      <c r="BX119" s="1">
        <v>-0.94575547641588287</v>
      </c>
      <c r="BY119" s="1">
        <v>2.3968478857532318</v>
      </c>
      <c r="BZ119" s="1">
        <v>-2.0157632683355189</v>
      </c>
      <c r="CB119" s="1">
        <v>1911</v>
      </c>
      <c r="CC119" s="1">
        <v>34.961940013319889</v>
      </c>
      <c r="CD119" s="1">
        <v>148.97324329290848</v>
      </c>
      <c r="CE119" s="1">
        <v>2.6134716673033163</v>
      </c>
      <c r="CF119" s="1">
        <v>84.727676616000551</v>
      </c>
      <c r="CG119" s="1">
        <v>31.593631404782251</v>
      </c>
      <c r="CH119" s="1">
        <v>25.975982677843156</v>
      </c>
      <c r="CI119" s="1">
        <v>143.09193906782542</v>
      </c>
      <c r="CJ119" s="1">
        <v>471.93788473998302</v>
      </c>
      <c r="CL119" s="1">
        <v>1911</v>
      </c>
      <c r="CM119" s="1">
        <v>42.28165982234875</v>
      </c>
      <c r="CN119" s="1">
        <v>53.814352125716539</v>
      </c>
      <c r="CO119" s="1">
        <v>1.6076229437998211</v>
      </c>
      <c r="CP119" s="1">
        <v>59.920510415021305</v>
      </c>
      <c r="CQ119" s="1">
        <v>5.0739038904653526</v>
      </c>
      <c r="CR119" s="1">
        <v>12.851350659184664</v>
      </c>
      <c r="CS119" s="1">
        <v>81.830768983521637</v>
      </c>
      <c r="CT119" s="2">
        <v>257.3801688400581</v>
      </c>
      <c r="CV119" s="1">
        <v>1911</v>
      </c>
      <c r="CW119" s="1">
        <v>2694.4564056041268</v>
      </c>
      <c r="CX119" s="1">
        <v>2649.5849997016926</v>
      </c>
      <c r="CY119" s="1">
        <v>523.58336644203644</v>
      </c>
      <c r="CZ119" s="1">
        <v>380.91287268478561</v>
      </c>
      <c r="DA119" s="1">
        <v>972.24903904664825</v>
      </c>
      <c r="DB119" s="1">
        <v>7220.7866834792894</v>
      </c>
      <c r="DC119" s="1">
        <v>6833.9296476072495</v>
      </c>
      <c r="DD119" s="1">
        <v>1507.8521081473623</v>
      </c>
      <c r="DF119" s="1">
        <v>1911</v>
      </c>
      <c r="DG119" s="1">
        <v>2.6505004667146608</v>
      </c>
      <c r="DH119" s="1">
        <v>2.2736003431671321</v>
      </c>
      <c r="DI119" s="1">
        <v>3.0336890917717767</v>
      </c>
      <c r="DJ119" s="1">
        <v>3.441392727203791</v>
      </c>
      <c r="DK119" s="1">
        <v>-0.52976051001056135</v>
      </c>
      <c r="DL119" s="1">
        <v>6.2963150930454503</v>
      </c>
      <c r="DM119" s="1">
        <v>2.9840375500235012</v>
      </c>
      <c r="DN119" s="1">
        <v>2.9609872457095605</v>
      </c>
      <c r="DO119" s="1">
        <v>5.8477314983391437</v>
      </c>
      <c r="DQ119" s="1">
        <v>1911</v>
      </c>
      <c r="DR119" s="1">
        <v>4634.9613886732932</v>
      </c>
      <c r="DS119" s="1">
        <v>5204.5159213836487</v>
      </c>
      <c r="DT119" s="1">
        <v>949.1167779685295</v>
      </c>
      <c r="DU119" s="1">
        <v>380.91287268478561</v>
      </c>
      <c r="DV119" s="1">
        <v>972.24903904664825</v>
      </c>
      <c r="DW119" s="1">
        <v>12141.755999756904</v>
      </c>
      <c r="DX119" s="1">
        <v>11531.317825508871</v>
      </c>
      <c r="DY119" s="1">
        <v>1990.7228500575611</v>
      </c>
      <c r="EA119" s="1">
        <v>1911</v>
      </c>
      <c r="EB119" s="1">
        <v>2.501098119655893</v>
      </c>
      <c r="EC119" s="1">
        <v>2.4465848321474795</v>
      </c>
      <c r="ED119" s="1">
        <v>2.5496361624924475</v>
      </c>
      <c r="EE119" s="1">
        <v>4.4487107548612244</v>
      </c>
      <c r="EF119" s="1">
        <v>-0.52976051001056135</v>
      </c>
      <c r="EG119" s="1">
        <v>6.2963150930454503</v>
      </c>
      <c r="EH119" s="1">
        <v>2.8330317355363661</v>
      </c>
      <c r="EI119" s="1">
        <v>2.7944431817706885</v>
      </c>
      <c r="EJ119" s="1">
        <v>5.8584709419532004</v>
      </c>
      <c r="EL119" s="1">
        <v>1911</v>
      </c>
      <c r="EM119" s="1">
        <v>1192929.9124344233</v>
      </c>
      <c r="EN119" s="1">
        <v>550853.05369058356</v>
      </c>
      <c r="EO119" s="1">
        <v>100454.5658676848</v>
      </c>
      <c r="EP119" s="1">
        <v>88413.78438433363</v>
      </c>
      <c r="EQ119" s="1">
        <v>140517.72759552801</v>
      </c>
      <c r="ER119" s="1">
        <v>175920.12635584958</v>
      </c>
      <c r="ES119" s="1">
        <v>110437.11373918652</v>
      </c>
      <c r="ET119" s="1">
        <v>3369.0117035373373</v>
      </c>
      <c r="EU119" s="1">
        <v>2362895.2957711266</v>
      </c>
      <c r="EV119" s="1">
        <v>2252458.1820319402</v>
      </c>
      <c r="EX119" s="1">
        <v>1911</v>
      </c>
      <c r="EY119" s="1">
        <v>811412.46109410003</v>
      </c>
      <c r="EZ119" s="1">
        <v>477446.19207841449</v>
      </c>
      <c r="FA119" s="1">
        <v>83589.823916965048</v>
      </c>
      <c r="FB119" s="1">
        <v>88413.78438433363</v>
      </c>
      <c r="FC119" s="1">
        <v>92829.095346625632</v>
      </c>
      <c r="FD119" s="1">
        <v>160825.32711994572</v>
      </c>
      <c r="FE119" s="1">
        <v>110437.11373918652</v>
      </c>
      <c r="FF119" s="1">
        <v>2765.4963894355155</v>
      </c>
      <c r="FG119" s="1">
        <v>1827719.2940690066</v>
      </c>
      <c r="FH119" s="1">
        <v>1717282.1803298201</v>
      </c>
      <c r="FJ119" s="1">
        <v>1911</v>
      </c>
      <c r="FK119" s="1">
        <v>381517.45134032337</v>
      </c>
      <c r="FL119" s="1">
        <v>73406.861612169057</v>
      </c>
      <c r="FM119" s="1">
        <v>16864.741950719752</v>
      </c>
      <c r="FN119" s="1">
        <v>0</v>
      </c>
      <c r="FO119" s="1">
        <v>47688.632248902395</v>
      </c>
      <c r="FP119" s="1">
        <v>15094.799235903869</v>
      </c>
      <c r="FQ119" s="1">
        <v>603.51531410182179</v>
      </c>
      <c r="FR119" s="1">
        <v>535176.00170212029</v>
      </c>
      <c r="FS119" s="1">
        <v>869735.21554010373</v>
      </c>
      <c r="HC119" s="1">
        <v>1911</v>
      </c>
      <c r="HD119" s="1">
        <v>449.4360084860723</v>
      </c>
      <c r="HE119" s="1">
        <v>470.94702617243979</v>
      </c>
      <c r="HF119" s="1">
        <v>111.04899889587026</v>
      </c>
      <c r="HG119" s="1">
        <v>145.01139190634956</v>
      </c>
      <c r="HH119" s="1">
        <v>252.0357272127913</v>
      </c>
      <c r="HI119" s="1">
        <v>165.93015200106669</v>
      </c>
      <c r="HJ119" s="1">
        <v>4.0034439387882221</v>
      </c>
      <c r="HK119" s="2">
        <v>1598.412748613378</v>
      </c>
      <c r="HL119" s="1">
        <v>1432.4825966123112</v>
      </c>
      <c r="HN119" s="1">
        <v>1911</v>
      </c>
      <c r="HO119" s="1">
        <v>266.10594780045915</v>
      </c>
      <c r="HP119" s="1">
        <v>77.834169644545383</v>
      </c>
      <c r="HQ119" s="1">
        <v>25.100929817046548</v>
      </c>
      <c r="HR119" s="1">
        <v>0</v>
      </c>
      <c r="HS119" s="1">
        <v>95.3334582258761</v>
      </c>
      <c r="HT119" s="1">
        <v>1.011598312641419</v>
      </c>
      <c r="HU119" s="2">
        <v>465.38610380056861</v>
      </c>
      <c r="HW119" s="1">
        <v>1911</v>
      </c>
      <c r="HX119" s="1">
        <v>195.83488432854131</v>
      </c>
      <c r="HY119" s="1">
        <v>233.02594407013135</v>
      </c>
      <c r="HZ119" s="1">
        <v>67.537194426605708</v>
      </c>
      <c r="IA119" s="1">
        <v>34.818719731523601</v>
      </c>
      <c r="IB119" s="1">
        <v>240.95370548660105</v>
      </c>
      <c r="IC119" s="1">
        <v>12.85135065918468</v>
      </c>
      <c r="ID119" s="1">
        <v>308.74193750349656</v>
      </c>
      <c r="IE119" s="2">
        <v>1093.7637362060843</v>
      </c>
      <c r="IF119" s="1">
        <v>1080.9123855468995</v>
      </c>
      <c r="IH119" s="1">
        <v>1911</v>
      </c>
      <c r="II119" s="1">
        <v>181.01308578483057</v>
      </c>
      <c r="IJ119" s="1">
        <v>41.818096301680498</v>
      </c>
      <c r="IK119" s="1">
        <v>16.29005816900213</v>
      </c>
      <c r="IL119" s="1">
        <v>193.51461409922342</v>
      </c>
      <c r="IM119" s="1">
        <v>32.656292400401533</v>
      </c>
      <c r="IN119" s="1">
        <v>12.721117167763218</v>
      </c>
      <c r="IO119" s="1">
        <v>2.9519026794551309</v>
      </c>
    </row>
    <row r="120" spans="1:249" x14ac:dyDescent="0.25">
      <c r="A120" s="1" t="s">
        <v>211</v>
      </c>
      <c r="B120" s="1">
        <v>3.8218421952792596</v>
      </c>
      <c r="C120" s="1">
        <v>3.9446782341522777</v>
      </c>
      <c r="D120" s="1">
        <v>4.0082960054809149</v>
      </c>
      <c r="E120" s="1">
        <v>3.6357226374850882</v>
      </c>
      <c r="F120" s="1">
        <v>3.902239284389708</v>
      </c>
      <c r="G120" s="1">
        <v>3.801564209089122</v>
      </c>
      <c r="H120" s="1">
        <v>3.8654079999436988</v>
      </c>
      <c r="J120" s="1">
        <v>1912</v>
      </c>
      <c r="K120" s="2">
        <v>3568.0887458819652</v>
      </c>
      <c r="L120" s="1">
        <v>3370.8111057513834</v>
      </c>
      <c r="M120" s="1">
        <v>3302.583692537622</v>
      </c>
      <c r="N120" s="1">
        <v>3105.3060524070402</v>
      </c>
      <c r="O120" s="1">
        <v>265.50505334434303</v>
      </c>
      <c r="P120" s="1">
        <v>197.27764013058206</v>
      </c>
      <c r="Q120" s="1">
        <v>3047.0067755723694</v>
      </c>
      <c r="R120" s="1">
        <v>6615.0955214543346</v>
      </c>
      <c r="S120" s="1">
        <v>6417.8178813237528</v>
      </c>
      <c r="U120" s="1">
        <v>1912</v>
      </c>
      <c r="V120" s="1">
        <v>639.10394732049167</v>
      </c>
      <c r="W120" s="1">
        <v>34093.994195038496</v>
      </c>
      <c r="X120" s="1">
        <v>3.0413270579789469</v>
      </c>
      <c r="Y120" s="1">
        <v>603.76824591142781</v>
      </c>
      <c r="Z120" s="1">
        <v>28628.846555181855</v>
      </c>
      <c r="AA120" s="1">
        <v>3.06145652927367</v>
      </c>
      <c r="AB120" s="1">
        <v>5582955.2623505769</v>
      </c>
      <c r="AC120" s="1">
        <v>0.7377982920216084</v>
      </c>
      <c r="AE120" s="1">
        <v>1912</v>
      </c>
      <c r="AF120" s="1">
        <v>933.26920748755538</v>
      </c>
      <c r="AG120" s="1">
        <v>828.94909609431647</v>
      </c>
      <c r="AH120" s="1">
        <v>211.89597662710406</v>
      </c>
      <c r="AI120" s="1">
        <v>255.81276885255554</v>
      </c>
      <c r="AJ120" s="1">
        <v>393.13009685003539</v>
      </c>
      <c r="AK120" s="1">
        <v>210.77227269397798</v>
      </c>
      <c r="AL120" s="1">
        <v>184.29532751282727</v>
      </c>
      <c r="AM120" s="1">
        <v>352.68635963301097</v>
      </c>
      <c r="AN120" s="2">
        <v>3370.8111057513829</v>
      </c>
      <c r="AP120" s="1" t="s">
        <v>211</v>
      </c>
      <c r="AQ120" s="1">
        <v>-0.35425466354645607</v>
      </c>
      <c r="AR120" s="1">
        <v>9.4350133935351153</v>
      </c>
      <c r="AS120" s="1">
        <v>1.2838516549888936</v>
      </c>
      <c r="AT120" s="1">
        <v>0.31719384962491404</v>
      </c>
      <c r="AU120" s="1">
        <v>11.21619176694972</v>
      </c>
      <c r="AV120" s="1">
        <v>1.4419445336493482</v>
      </c>
      <c r="AW120" s="1">
        <v>0.20804979390429423</v>
      </c>
      <c r="AX120" s="1">
        <v>1.4396197121366612</v>
      </c>
      <c r="AY120" s="1">
        <v>3.8218421952792596</v>
      </c>
      <c r="BA120" s="1">
        <v>1912</v>
      </c>
      <c r="BB120" s="1">
        <v>2750.4973334012443</v>
      </c>
      <c r="BC120" s="1">
        <v>297.37820271430331</v>
      </c>
      <c r="BD120" s="1">
        <v>337.8273756105192</v>
      </c>
      <c r="BE120" s="1">
        <v>95.58772862094547</v>
      </c>
      <c r="BF120" s="1">
        <v>-11.318</v>
      </c>
      <c r="BG120" s="1">
        <v>49.272490419737409</v>
      </c>
      <c r="BH120" s="1">
        <v>931.84451559888987</v>
      </c>
      <c r="BI120" s="1">
        <v>883.0009004836744</v>
      </c>
      <c r="BJ120" s="1">
        <v>3568.0887458819657</v>
      </c>
      <c r="BL120" s="1" t="s">
        <v>211</v>
      </c>
      <c r="BM120" s="1">
        <v>4.191784373201088</v>
      </c>
      <c r="BN120" s="1">
        <v>3.7444416109126024</v>
      </c>
      <c r="BO120" s="1">
        <v>0.67649471624244484</v>
      </c>
      <c r="BP120" s="1">
        <v>9.5298602287166432</v>
      </c>
      <c r="BQ120" s="1">
        <v>9.261939218523878</v>
      </c>
      <c r="BR120" s="1">
        <v>3.801564209089122</v>
      </c>
      <c r="BT120" s="1" t="s">
        <v>211</v>
      </c>
      <c r="BU120" s="1">
        <v>3.3576979945342913</v>
      </c>
      <c r="BV120" s="1">
        <v>2.8544880303917211</v>
      </c>
      <c r="BW120" s="1">
        <v>-0.79155616991423017</v>
      </c>
      <c r="BX120" s="1">
        <v>2.5876689700393456</v>
      </c>
      <c r="BY120" s="1">
        <v>3.4264824101366571</v>
      </c>
      <c r="BZ120" s="1">
        <v>2.5285147246976862</v>
      </c>
      <c r="CB120" s="1">
        <v>1912</v>
      </c>
      <c r="CC120" s="1">
        <v>31.796979531534525</v>
      </c>
      <c r="CD120" s="1">
        <v>128.23357932670814</v>
      </c>
      <c r="CE120" s="1">
        <v>3.0513583681626715</v>
      </c>
      <c r="CF120" s="1">
        <v>89.29966908639723</v>
      </c>
      <c r="CG120" s="1">
        <v>19.236842181233392</v>
      </c>
      <c r="CH120" s="1">
        <v>26.216733766856112</v>
      </c>
      <c r="CI120" s="1">
        <v>173.53443239031003</v>
      </c>
      <c r="CJ120" s="1">
        <v>471.36959465120214</v>
      </c>
      <c r="CL120" s="1">
        <v>1912</v>
      </c>
      <c r="CM120" s="1">
        <v>42.158085721850547</v>
      </c>
      <c r="CN120" s="1">
        <v>55.612069205983474</v>
      </c>
      <c r="CO120" s="1">
        <v>1.7290533898641969</v>
      </c>
      <c r="CP120" s="1">
        <v>62.16052011110731</v>
      </c>
      <c r="CQ120" s="1">
        <v>5.381655693119006</v>
      </c>
      <c r="CR120" s="1">
        <v>13.171662472797214</v>
      </c>
      <c r="CS120" s="1">
        <v>85.292006749621294</v>
      </c>
      <c r="CT120" s="2">
        <v>265.50505334434303</v>
      </c>
      <c r="CV120" s="1">
        <v>1912</v>
      </c>
      <c r="CW120" s="1">
        <v>2778.067157116513</v>
      </c>
      <c r="CX120" s="1">
        <v>2753.4642770302726</v>
      </c>
      <c r="CY120" s="1">
        <v>532.1334359249679</v>
      </c>
      <c r="CZ120" s="1">
        <v>458.31099999999992</v>
      </c>
      <c r="DA120" s="1">
        <v>1000.9041650931994</v>
      </c>
      <c r="DB120" s="1">
        <v>7522.8800351649525</v>
      </c>
      <c r="DC120" s="1">
        <v>7119.8833900051332</v>
      </c>
      <c r="DD120" s="1">
        <v>1571.2261787886273</v>
      </c>
      <c r="DF120" s="1">
        <v>1912</v>
      </c>
      <c r="DG120" s="1">
        <v>2.5948712724229068</v>
      </c>
      <c r="DH120" s="1">
        <v>3.1763964170066856</v>
      </c>
      <c r="DI120" s="1">
        <v>2.0080536279003809</v>
      </c>
      <c r="DJ120" s="1">
        <v>4.5792489449334255</v>
      </c>
      <c r="DK120" s="1">
        <v>3.7101219912563721</v>
      </c>
      <c r="DL120" s="1">
        <v>4.9227980198433272</v>
      </c>
      <c r="DM120" s="1">
        <v>3.1141017769411832</v>
      </c>
      <c r="DN120" s="1">
        <v>3.1072271194231007</v>
      </c>
      <c r="DO120" s="1">
        <v>5.5123797692355936</v>
      </c>
      <c r="DQ120" s="1">
        <v>1912</v>
      </c>
      <c r="DR120" s="1">
        <v>4786.870074405846</v>
      </c>
      <c r="DS120" s="1">
        <v>5382.6329376675567</v>
      </c>
      <c r="DT120" s="1">
        <v>973.59096827335873</v>
      </c>
      <c r="DU120" s="1">
        <v>458.31099999999992</v>
      </c>
      <c r="DV120" s="1">
        <v>1000.9041650931994</v>
      </c>
      <c r="DW120" s="1">
        <v>12602.30914543996</v>
      </c>
      <c r="DX120" s="1">
        <v>11965.553058334857</v>
      </c>
      <c r="DY120" s="1">
        <v>2080.1363737758875</v>
      </c>
      <c r="EA120" s="1">
        <v>1912</v>
      </c>
      <c r="EB120" s="1">
        <v>2.4748484142264999</v>
      </c>
      <c r="EC120" s="1">
        <v>2.9769181648414929</v>
      </c>
      <c r="ED120" s="1">
        <v>2.0282898050331966</v>
      </c>
      <c r="EE120" s="1">
        <v>5.0232879702071074</v>
      </c>
      <c r="EF120" s="1">
        <v>3.7101219912564005</v>
      </c>
      <c r="EG120" s="1">
        <v>4.9227980198433272</v>
      </c>
      <c r="EH120" s="1">
        <v>2.9106393862089277</v>
      </c>
      <c r="EI120" s="1">
        <v>2.8820701509027629</v>
      </c>
      <c r="EJ120" s="1">
        <v>5.5756062394567891</v>
      </c>
      <c r="EL120" s="1">
        <v>1912</v>
      </c>
      <c r="EM120" s="1">
        <v>1189144.2975115376</v>
      </c>
      <c r="EN120" s="1">
        <v>564612.09517438046</v>
      </c>
      <c r="EO120" s="1">
        <v>101416.45019980732</v>
      </c>
      <c r="EP120" s="1">
        <v>90450.734082218187</v>
      </c>
      <c r="EQ120" s="1">
        <v>139659.87115842939</v>
      </c>
      <c r="ER120" s="1">
        <v>178618.04109865418</v>
      </c>
      <c r="ES120" s="1">
        <v>110437.11373918652</v>
      </c>
      <c r="ET120" s="1">
        <v>3451.3990473670442</v>
      </c>
      <c r="EU120" s="1">
        <v>2377790.0020115809</v>
      </c>
      <c r="EV120" s="1">
        <v>2267352.8882723944</v>
      </c>
      <c r="EX120" s="1">
        <v>1912</v>
      </c>
      <c r="EY120" s="1">
        <v>810037.49850758468</v>
      </c>
      <c r="EZ120" s="1">
        <v>490392.950526417</v>
      </c>
      <c r="FA120" s="1">
        <v>85429.950952777232</v>
      </c>
      <c r="FB120" s="1">
        <v>90450.734082218187</v>
      </c>
      <c r="FC120" s="1">
        <v>93922.283921045644</v>
      </c>
      <c r="FD120" s="1">
        <v>163321.57408567291</v>
      </c>
      <c r="FE120" s="1">
        <v>110437.11373918652</v>
      </c>
      <c r="FF120" s="1">
        <v>2839.4705173161465</v>
      </c>
      <c r="FG120" s="1">
        <v>1846831.5763322182</v>
      </c>
      <c r="FH120" s="1">
        <v>1736394.4625930318</v>
      </c>
      <c r="FJ120" s="1">
        <v>1912</v>
      </c>
      <c r="FK120" s="1">
        <v>379106.79900395288</v>
      </c>
      <c r="FL120" s="1">
        <v>74219.144647963432</v>
      </c>
      <c r="FM120" s="1">
        <v>15986.4992470301</v>
      </c>
      <c r="FN120" s="1">
        <v>0</v>
      </c>
      <c r="FO120" s="1">
        <v>45737.587237383741</v>
      </c>
      <c r="FP120" s="1">
        <v>15296.467012981309</v>
      </c>
      <c r="FQ120" s="1">
        <v>611.92853005089796</v>
      </c>
      <c r="FR120" s="1">
        <v>530958.4256793625</v>
      </c>
      <c r="FS120" s="1">
        <v>874093.97093272943</v>
      </c>
      <c r="HC120" s="1">
        <v>1912</v>
      </c>
      <c r="HD120" s="1">
        <v>459.0604078597031</v>
      </c>
      <c r="HE120" s="1">
        <v>506.74783241460585</v>
      </c>
      <c r="HF120" s="1">
        <v>118.89715166315605</v>
      </c>
      <c r="HG120" s="1">
        <v>152.3228906579302</v>
      </c>
      <c r="HH120" s="1">
        <v>264.51772840656918</v>
      </c>
      <c r="HI120" s="1">
        <v>171.12366504003003</v>
      </c>
      <c r="HJ120" s="1">
        <v>4.2571389909615931</v>
      </c>
      <c r="HK120" s="2">
        <v>1676.926815032956</v>
      </c>
      <c r="HL120" s="1">
        <v>1505.8031499929259</v>
      </c>
      <c r="HN120" s="1">
        <v>1912</v>
      </c>
      <c r="HO120" s="1">
        <v>270.54547170512268</v>
      </c>
      <c r="HP120" s="1">
        <v>82.44221296656535</v>
      </c>
      <c r="HQ120" s="1">
        <v>24.926628253857796</v>
      </c>
      <c r="HR120" s="1">
        <v>0</v>
      </c>
      <c r="HS120" s="1">
        <v>95.543502786635429</v>
      </c>
      <c r="HT120" s="1">
        <v>1.0622832015529335</v>
      </c>
      <c r="HU120" s="2">
        <v>474.52009891373422</v>
      </c>
      <c r="HW120" s="1">
        <v>1912</v>
      </c>
      <c r="HX120" s="1">
        <v>261.70532792272968</v>
      </c>
      <c r="HY120" s="1">
        <v>239.75905071314526</v>
      </c>
      <c r="HZ120" s="1">
        <v>68.072196710090225</v>
      </c>
      <c r="IA120" s="1">
        <v>45.447878194625332</v>
      </c>
      <c r="IB120" s="1">
        <v>243.84113835080865</v>
      </c>
      <c r="IC120" s="1">
        <v>13.171662472797232</v>
      </c>
      <c r="ID120" s="1">
        <v>347.36693744049643</v>
      </c>
      <c r="IE120" s="2">
        <v>1219.3641918046928</v>
      </c>
      <c r="IF120" s="1">
        <v>1206.1925293318957</v>
      </c>
      <c r="IH120" s="1">
        <v>1912</v>
      </c>
      <c r="II120" s="1">
        <v>178.49377557606562</v>
      </c>
      <c r="IJ120" s="1">
        <v>40.105596419592452</v>
      </c>
      <c r="IK120" s="1">
        <v>16.037121517342552</v>
      </c>
      <c r="IL120" s="1">
        <v>190.53078441906365</v>
      </c>
      <c r="IM120" s="1">
        <v>31.254258783009409</v>
      </c>
      <c r="IN120" s="1">
        <v>12.497715799900977</v>
      </c>
      <c r="IO120" s="1">
        <v>1.3578123029563329</v>
      </c>
    </row>
    <row r="121" spans="1:249" x14ac:dyDescent="0.25">
      <c r="A121" s="1" t="s">
        <v>212</v>
      </c>
      <c r="B121" s="1">
        <v>6.7067959203941143</v>
      </c>
      <c r="C121" s="1">
        <v>6.8303799477375406</v>
      </c>
      <c r="D121" s="1">
        <v>6.7439441560467088</v>
      </c>
      <c r="E121" s="1">
        <v>6.6696606127949281</v>
      </c>
      <c r="F121" s="1">
        <v>6.5715408457405431</v>
      </c>
      <c r="G121" s="1">
        <v>6.4072087059703762</v>
      </c>
      <c r="H121" s="1">
        <v>6.574902220013314</v>
      </c>
      <c r="J121" s="1">
        <v>1913</v>
      </c>
      <c r="K121" s="2">
        <v>3912.4477310050474</v>
      </c>
      <c r="L121" s="1">
        <v>3687.679416020655</v>
      </c>
      <c r="M121" s="1">
        <v>3628.0769212434398</v>
      </c>
      <c r="N121" s="1">
        <v>3403.3086062590473</v>
      </c>
      <c r="O121" s="1">
        <v>284.37080976160746</v>
      </c>
      <c r="P121" s="1">
        <v>224.76831498439242</v>
      </c>
      <c r="Q121" s="1">
        <v>3269.1560369085255</v>
      </c>
      <c r="R121" s="1">
        <v>7181.6037679135734</v>
      </c>
      <c r="S121" s="1">
        <v>6956.835452929181</v>
      </c>
      <c r="U121" s="1">
        <v>1913</v>
      </c>
      <c r="V121" s="1">
        <v>695.99650189042939</v>
      </c>
      <c r="W121" s="1">
        <v>36030.607919889022</v>
      </c>
      <c r="X121" s="1">
        <v>5.680219553543381</v>
      </c>
      <c r="Y121" s="1">
        <v>656.01182433800705</v>
      </c>
      <c r="Z121" s="1">
        <v>30340.210277444025</v>
      </c>
      <c r="AA121" s="1">
        <v>5.9777599455972847</v>
      </c>
      <c r="AB121" s="1">
        <v>5621361.1999173295</v>
      </c>
      <c r="AC121" s="1">
        <v>0.68791412006734731</v>
      </c>
      <c r="AE121" s="1">
        <v>1913</v>
      </c>
      <c r="AF121" s="1">
        <v>1022.8963548719189</v>
      </c>
      <c r="AG121" s="1">
        <v>937.54587459787695</v>
      </c>
      <c r="AH121" s="1">
        <v>255.80433385115629</v>
      </c>
      <c r="AI121" s="1">
        <v>276.03914528930659</v>
      </c>
      <c r="AJ121" s="1">
        <v>417.69216578037259</v>
      </c>
      <c r="AK121" s="1">
        <v>224.46745634918574</v>
      </c>
      <c r="AL121" s="1">
        <v>191.35174415124695</v>
      </c>
      <c r="AM121" s="1">
        <v>361.88234112959168</v>
      </c>
      <c r="AN121" s="2">
        <v>3687.6794160206555</v>
      </c>
      <c r="AP121" s="1" t="s">
        <v>212</v>
      </c>
      <c r="AQ121" s="1">
        <v>4.4870540471569029</v>
      </c>
      <c r="AR121" s="1">
        <v>11.575005208179377</v>
      </c>
      <c r="AS121" s="1">
        <v>13.297444709056336</v>
      </c>
      <c r="AT121" s="1">
        <v>9.3091776068580145</v>
      </c>
      <c r="AU121" s="1">
        <v>3.6535825642147728</v>
      </c>
      <c r="AV121" s="1">
        <v>4.6017962518068316</v>
      </c>
      <c r="AW121" s="1">
        <v>1.3424903321475341</v>
      </c>
      <c r="AX121" s="1">
        <v>2.7768567073740371</v>
      </c>
      <c r="AY121" s="1">
        <v>6.7067959203941143</v>
      </c>
      <c r="BA121" s="1">
        <v>1913</v>
      </c>
      <c r="BB121" s="1">
        <v>2962.9248116171557</v>
      </c>
      <c r="BC121" s="1">
        <v>304.80405627760223</v>
      </c>
      <c r="BD121" s="1">
        <v>402.55281291624317</v>
      </c>
      <c r="BE121" s="1">
        <v>122.78887115968857</v>
      </c>
      <c r="BF121" s="1">
        <v>-13.404</v>
      </c>
      <c r="BG121" s="1">
        <v>79.582791483897836</v>
      </c>
      <c r="BH121" s="1">
        <v>1008.4653463857394</v>
      </c>
      <c r="BI121" s="1">
        <v>955.26695883527952</v>
      </c>
      <c r="BJ121" s="1">
        <v>3912.4477310050465</v>
      </c>
      <c r="BL121" s="1" t="s">
        <v>212</v>
      </c>
      <c r="BM121" s="1">
        <v>6.7897951265268404</v>
      </c>
      <c r="BN121" s="1">
        <v>0.99552641015499432</v>
      </c>
      <c r="BO121" s="1">
        <v>22.527527854709817</v>
      </c>
      <c r="BP121" s="1">
        <v>3.8283062645011654</v>
      </c>
      <c r="BQ121" s="1">
        <v>11.788079470198667</v>
      </c>
      <c r="BR121" s="1">
        <v>6.4072087059703762</v>
      </c>
      <c r="BT121" s="1" t="s">
        <v>212</v>
      </c>
      <c r="BU121" s="1">
        <v>0.87409448404940804</v>
      </c>
      <c r="BV121" s="1">
        <v>1.4867798574911717</v>
      </c>
      <c r="BW121" s="1">
        <v>2.4175885344239276</v>
      </c>
      <c r="BX121" s="1">
        <v>4.2321644498186259</v>
      </c>
      <c r="BY121" s="1">
        <v>-3.2239003163597886</v>
      </c>
      <c r="BZ121" s="1">
        <v>3.0485416660410039</v>
      </c>
      <c r="CB121" s="1">
        <v>1913</v>
      </c>
      <c r="CC121" s="1">
        <v>38.613396288320615</v>
      </c>
      <c r="CD121" s="1">
        <v>196.06598860572228</v>
      </c>
      <c r="CE121" s="1">
        <v>5.1277322867360047</v>
      </c>
      <c r="CF121" s="1">
        <v>99.804067619141819</v>
      </c>
      <c r="CG121" s="1">
        <v>38.160652889868913</v>
      </c>
      <c r="CH121" s="1">
        <v>27.676833234793868</v>
      </c>
      <c r="CI121" s="1">
        <v>186.07180463524602</v>
      </c>
      <c r="CJ121" s="1">
        <v>591.52047555982949</v>
      </c>
      <c r="CL121" s="1">
        <v>1913</v>
      </c>
      <c r="CM121" s="1">
        <v>44.056572620564367</v>
      </c>
      <c r="CN121" s="1">
        <v>61.38229042273764</v>
      </c>
      <c r="CO121" s="1">
        <v>2.0214910210608661</v>
      </c>
      <c r="CP121" s="1">
        <v>65.459713112982172</v>
      </c>
      <c r="CQ121" s="1">
        <v>6.3447413750953956</v>
      </c>
      <c r="CR121" s="1">
        <v>14.031787191401207</v>
      </c>
      <c r="CS121" s="1">
        <v>91.074214017765769</v>
      </c>
      <c r="CT121" s="2">
        <v>284.37080976160746</v>
      </c>
      <c r="CV121" s="1">
        <v>1913</v>
      </c>
      <c r="CW121" s="1">
        <v>2960.4548454997553</v>
      </c>
      <c r="CX121" s="1">
        <v>2900.0507529671354</v>
      </c>
      <c r="CY121" s="1">
        <v>562.4526689026236</v>
      </c>
      <c r="CZ121" s="1">
        <v>511.27100000000002</v>
      </c>
      <c r="DA121" s="1">
        <v>1067.145943307351</v>
      </c>
      <c r="DB121" s="1">
        <v>8001.3752106768643</v>
      </c>
      <c r="DC121" s="1">
        <v>7572.3079051713867</v>
      </c>
      <c r="DD121" s="1">
        <v>1695.5529137886474</v>
      </c>
      <c r="DF121" s="1">
        <v>1913</v>
      </c>
      <c r="DG121" s="1">
        <v>3.3326615612836861</v>
      </c>
      <c r="DH121" s="1">
        <v>3.2088849712363725</v>
      </c>
      <c r="DI121" s="1">
        <v>3.458982577749552</v>
      </c>
      <c r="DJ121" s="1">
        <v>8.1203692445918279</v>
      </c>
      <c r="DK121" s="1">
        <v>-1.0756119559211044</v>
      </c>
      <c r="DL121" s="1">
        <v>7.4575358677981001</v>
      </c>
      <c r="DM121" s="1">
        <v>3.9367243062341117</v>
      </c>
      <c r="DN121" s="1">
        <v>3.9800031742008457</v>
      </c>
      <c r="DO121" s="1">
        <v>7.6575503089897552</v>
      </c>
      <c r="DQ121" s="1">
        <v>1913</v>
      </c>
      <c r="DR121" s="1">
        <v>5091.2787566626812</v>
      </c>
      <c r="DS121" s="1">
        <v>5670.6763521462481</v>
      </c>
      <c r="DT121" s="1">
        <v>1033.5526257834329</v>
      </c>
      <c r="DU121" s="1">
        <v>511.27100000000002</v>
      </c>
      <c r="DV121" s="1">
        <v>1067.145943307351</v>
      </c>
      <c r="DW121" s="1">
        <v>13373.924677899713</v>
      </c>
      <c r="DX121" s="1">
        <v>12694.525700102917</v>
      </c>
      <c r="DY121" s="1">
        <v>2248.2685583162611</v>
      </c>
      <c r="EA121" s="1">
        <v>1913</v>
      </c>
      <c r="EB121" s="1">
        <v>2.8938754112125764</v>
      </c>
      <c r="EC121" s="1">
        <v>3.0028390841286381</v>
      </c>
      <c r="ED121" s="1">
        <v>2.7960660586650476</v>
      </c>
      <c r="EE121" s="1">
        <v>7.0764962198190062</v>
      </c>
      <c r="EF121" s="1">
        <v>-1.0756119559210902</v>
      </c>
      <c r="EG121" s="1">
        <v>7.4575358677981001</v>
      </c>
      <c r="EH121" s="1">
        <v>3.4238088355397451</v>
      </c>
      <c r="EI121" s="1">
        <v>3.4249069056543391</v>
      </c>
      <c r="EJ121" s="1">
        <v>7.252716615813398</v>
      </c>
      <c r="EL121" s="1">
        <v>1913</v>
      </c>
      <c r="EM121" s="1">
        <v>1194444.5948970113</v>
      </c>
      <c r="EN121" s="1">
        <v>590076.71532999014</v>
      </c>
      <c r="EO121" s="1">
        <v>114315.29565815111</v>
      </c>
      <c r="EP121" s="1">
        <v>94666.621418772032</v>
      </c>
      <c r="EQ121" s="1">
        <v>149274.11457330466</v>
      </c>
      <c r="ER121" s="1">
        <v>183530.62502980247</v>
      </c>
      <c r="ES121" s="1">
        <v>111775.00828889031</v>
      </c>
      <c r="ET121" s="1">
        <v>3535.9049462284947</v>
      </c>
      <c r="EU121" s="1">
        <v>2441618.88014215</v>
      </c>
      <c r="EV121" s="1">
        <v>2329843.8718532603</v>
      </c>
      <c r="EX121" s="1">
        <v>1913</v>
      </c>
      <c r="EY121" s="1">
        <v>818002.20110694168</v>
      </c>
      <c r="EZ121" s="1">
        <v>515993.50318138197</v>
      </c>
      <c r="FA121" s="1">
        <v>97395.922951748173</v>
      </c>
      <c r="FB121" s="1">
        <v>94666.621418772032</v>
      </c>
      <c r="FC121" s="1">
        <v>101732.81985440402</v>
      </c>
      <c r="FD121" s="1">
        <v>167527.36625056126</v>
      </c>
      <c r="FE121" s="1">
        <v>111775.00828889031</v>
      </c>
      <c r="FF121" s="1">
        <v>2915.441961565276</v>
      </c>
      <c r="FG121" s="1">
        <v>1910008.8850142648</v>
      </c>
      <c r="FH121" s="1">
        <v>1798233.8767253745</v>
      </c>
      <c r="FJ121" s="1">
        <v>1913</v>
      </c>
      <c r="FK121" s="1">
        <v>376442.39379006962</v>
      </c>
      <c r="FL121" s="1">
        <v>74083.212148608189</v>
      </c>
      <c r="FM121" s="1">
        <v>16919.372706402941</v>
      </c>
      <c r="FN121" s="1">
        <v>0</v>
      </c>
      <c r="FO121" s="1">
        <v>47541.294718900637</v>
      </c>
      <c r="FP121" s="1">
        <v>16003.258779241221</v>
      </c>
      <c r="FQ121" s="1">
        <v>620.46298466321878</v>
      </c>
      <c r="FR121" s="1">
        <v>531609.99512788584</v>
      </c>
      <c r="FS121" s="1">
        <v>878474.57061570161</v>
      </c>
      <c r="HC121" s="1">
        <v>1913</v>
      </c>
      <c r="HD121" s="1">
        <v>474.0622267221832</v>
      </c>
      <c r="HE121" s="1">
        <v>547.7446407558549</v>
      </c>
      <c r="HF121" s="1">
        <v>139.24778428765833</v>
      </c>
      <c r="HG121" s="1">
        <v>157.19722315898397</v>
      </c>
      <c r="HH121" s="1">
        <v>285.86964479565398</v>
      </c>
      <c r="HI121" s="1">
        <v>177.31995695984565</v>
      </c>
      <c r="HJ121" s="1">
        <v>4.4335248743608524</v>
      </c>
      <c r="HK121" s="2">
        <v>1785.8750015545411</v>
      </c>
      <c r="HL121" s="1">
        <v>1608.5550445946953</v>
      </c>
      <c r="HN121" s="1">
        <v>1913</v>
      </c>
      <c r="HO121" s="1">
        <v>274.72196733857959</v>
      </c>
      <c r="HP121" s="1">
        <v>84.535616218364837</v>
      </c>
      <c r="HQ121" s="1">
        <v>27.100708503763499</v>
      </c>
      <c r="HR121" s="1">
        <v>0</v>
      </c>
      <c r="HS121" s="1">
        <v>101.91845165786577</v>
      </c>
      <c r="HT121" s="1">
        <v>1.0924957918892753</v>
      </c>
      <c r="HU121" s="2">
        <v>489.36923951046299</v>
      </c>
      <c r="HW121" s="1">
        <v>1913</v>
      </c>
      <c r="HX121" s="1">
        <v>335.05616081115613</v>
      </c>
      <c r="HY121" s="1">
        <v>305.26561762365714</v>
      </c>
      <c r="HZ121" s="1">
        <v>89.455841059734439</v>
      </c>
      <c r="IA121" s="1">
        <v>57.897922130322598</v>
      </c>
      <c r="IB121" s="1">
        <v>254.37152567603874</v>
      </c>
      <c r="IC121" s="1">
        <v>14.031787191401285</v>
      </c>
      <c r="ID121" s="1">
        <v>356.35632046334155</v>
      </c>
      <c r="IE121" s="2">
        <v>1412.4351749556517</v>
      </c>
      <c r="IF121" s="1">
        <v>1398.4033877642505</v>
      </c>
      <c r="IH121" s="1">
        <v>1913</v>
      </c>
      <c r="II121" s="1">
        <v>169.92609409762059</v>
      </c>
      <c r="IJ121" s="1">
        <v>47.655269008644119</v>
      </c>
      <c r="IK121" s="1">
        <v>18.993364436685667</v>
      </c>
      <c r="IL121" s="1">
        <v>181.06455701993494</v>
      </c>
      <c r="IM121" s="1">
        <v>38.572029493380725</v>
      </c>
      <c r="IN121" s="1">
        <v>15.37317128768029</v>
      </c>
      <c r="IO121" s="1">
        <v>1.837228881631134</v>
      </c>
    </row>
    <row r="122" spans="1:249" x14ac:dyDescent="0.25">
      <c r="A122" s="1" t="s">
        <v>213</v>
      </c>
      <c r="B122" s="1">
        <v>1.5590227537035588</v>
      </c>
      <c r="C122" s="1">
        <v>1.5343655716304738</v>
      </c>
      <c r="D122" s="1">
        <v>1.7262948855760527</v>
      </c>
      <c r="E122" s="1">
        <v>1.3920256732927783</v>
      </c>
      <c r="F122" s="1">
        <v>1.553003382151104</v>
      </c>
      <c r="G122" s="1">
        <v>-0.57984253934505148</v>
      </c>
      <c r="H122" s="1">
        <v>-0.94934321879426875</v>
      </c>
      <c r="J122" s="1">
        <v>1914</v>
      </c>
      <c r="K122" s="2">
        <v>3924.4793633840172</v>
      </c>
      <c r="L122" s="1">
        <v>3712.1086854805858</v>
      </c>
      <c r="M122" s="1">
        <v>3620.1741055015655</v>
      </c>
      <c r="N122" s="1">
        <v>3407.803427598134</v>
      </c>
      <c r="O122" s="1">
        <v>304.30525788245177</v>
      </c>
      <c r="P122" s="1">
        <v>212.37067790343139</v>
      </c>
      <c r="Q122" s="1">
        <v>3298.8841397388546</v>
      </c>
      <c r="R122" s="1">
        <v>7223.3635031228714</v>
      </c>
      <c r="S122" s="1">
        <v>7010.9928252194404</v>
      </c>
      <c r="U122" s="1">
        <v>1914</v>
      </c>
      <c r="V122" s="1">
        <v>693.48635128318745</v>
      </c>
      <c r="W122" s="1">
        <v>35583.068477446497</v>
      </c>
      <c r="X122" s="1">
        <v>-1.2421090519415969</v>
      </c>
      <c r="Y122" s="1">
        <v>655.95878319023302</v>
      </c>
      <c r="Z122" s="1">
        <v>30607.965254191658</v>
      </c>
      <c r="AA122" s="1">
        <v>0.88250863886297282</v>
      </c>
      <c r="AB122" s="1">
        <v>5659057.8259000853</v>
      </c>
      <c r="AC122" s="1">
        <v>0.67059604679575102</v>
      </c>
      <c r="AE122" s="1">
        <v>1914</v>
      </c>
      <c r="AF122" s="1">
        <v>994.81355577191061</v>
      </c>
      <c r="AG122" s="1">
        <v>938.53439221599285</v>
      </c>
      <c r="AH122" s="1">
        <v>240.76449530946815</v>
      </c>
      <c r="AI122" s="1">
        <v>275.29469772719733</v>
      </c>
      <c r="AJ122" s="1">
        <v>428.85266550220604</v>
      </c>
      <c r="AK122" s="1">
        <v>251.14396543362977</v>
      </c>
      <c r="AL122" s="1">
        <v>201.00742881433385</v>
      </c>
      <c r="AM122" s="1">
        <v>381.69748470584744</v>
      </c>
      <c r="AN122" s="2">
        <v>3712.1086854805858</v>
      </c>
      <c r="AP122" s="1" t="s">
        <v>213</v>
      </c>
      <c r="AQ122" s="1">
        <v>5.9065932428921286</v>
      </c>
      <c r="AR122" s="1">
        <v>-1.3656786875357056</v>
      </c>
      <c r="AS122" s="1">
        <v>-7.9961921516935917</v>
      </c>
      <c r="AT122" s="1">
        <v>-0.5247348426702132</v>
      </c>
      <c r="AU122" s="1">
        <v>5.1095048597837263</v>
      </c>
      <c r="AV122" s="1">
        <v>-2.8822654719615031</v>
      </c>
      <c r="AW122" s="1">
        <v>5.0063241823387727</v>
      </c>
      <c r="AX122" s="1">
        <v>2.8800484266500632</v>
      </c>
      <c r="AY122" s="1">
        <v>1.5590227537035588</v>
      </c>
      <c r="BA122" s="1">
        <v>1914</v>
      </c>
      <c r="BB122" s="1">
        <v>2905.4685983141544</v>
      </c>
      <c r="BC122" s="1">
        <v>321.04593414115072</v>
      </c>
      <c r="BD122" s="1">
        <v>382.21165266078685</v>
      </c>
      <c r="BE122" s="1">
        <v>130.4896861814222</v>
      </c>
      <c r="BF122" s="1">
        <v>-18.788</v>
      </c>
      <c r="BG122" s="1">
        <v>53.662280281800363</v>
      </c>
      <c r="BH122" s="1">
        <v>969.02815406897867</v>
      </c>
      <c r="BI122" s="1">
        <v>818.63894226427612</v>
      </c>
      <c r="BJ122" s="1">
        <v>3924.4793633840172</v>
      </c>
      <c r="BL122" s="1" t="s">
        <v>213</v>
      </c>
      <c r="BM122" s="1">
        <v>-4.0491150151982822</v>
      </c>
      <c r="BN122" s="1">
        <v>3.9380329206301354</v>
      </c>
      <c r="BO122" s="1">
        <v>-9.9292505110378499</v>
      </c>
      <c r="BP122" s="1">
        <v>-10.614525139664792</v>
      </c>
      <c r="BQ122" s="1">
        <v>-25.118483412322291</v>
      </c>
      <c r="BR122" s="1">
        <v>-0.57984253934503727</v>
      </c>
      <c r="BT122" s="1" t="s">
        <v>213</v>
      </c>
      <c r="BU122" s="1">
        <v>2.1989821642830663</v>
      </c>
      <c r="BV122" s="1">
        <v>1.3379089572675582</v>
      </c>
      <c r="BW122" s="1">
        <v>2.775723782389079</v>
      </c>
      <c r="BX122" s="1">
        <v>7.5</v>
      </c>
      <c r="BY122" s="1">
        <v>14.443995571116503</v>
      </c>
      <c r="BZ122" s="1">
        <v>0.89253973321821434</v>
      </c>
      <c r="CB122" s="1">
        <v>1914</v>
      </c>
      <c r="CC122" s="1">
        <v>35.317391109459891</v>
      </c>
      <c r="CD122" s="1">
        <v>172.26033638699951</v>
      </c>
      <c r="CE122" s="1">
        <v>7.0711693969271705</v>
      </c>
      <c r="CF122" s="1">
        <v>104.64208257497722</v>
      </c>
      <c r="CG122" s="1">
        <v>20.499688807158257</v>
      </c>
      <c r="CH122" s="1">
        <v>30.461549017455518</v>
      </c>
      <c r="CI122" s="1">
        <v>177.32340183103187</v>
      </c>
      <c r="CJ122" s="1">
        <v>547.57561912400945</v>
      </c>
      <c r="CL122" s="1">
        <v>1914</v>
      </c>
      <c r="CM122" s="1">
        <v>46.052472836051649</v>
      </c>
      <c r="CN122" s="1">
        <v>66.192858977724811</v>
      </c>
      <c r="CO122" s="1">
        <v>2.4960259667978724</v>
      </c>
      <c r="CP122" s="1">
        <v>69.570888192073895</v>
      </c>
      <c r="CQ122" s="1">
        <v>6.893550637772961</v>
      </c>
      <c r="CR122" s="1">
        <v>15.18919632796889</v>
      </c>
      <c r="CS122" s="1">
        <v>97.910264944061694</v>
      </c>
      <c r="CT122" s="2">
        <v>304.30525788245177</v>
      </c>
      <c r="CV122" s="1">
        <v>1914</v>
      </c>
      <c r="CW122" s="1">
        <v>3196.705089560442</v>
      </c>
      <c r="CX122" s="1">
        <v>3140.7407908030332</v>
      </c>
      <c r="CY122" s="1">
        <v>595.96624727723895</v>
      </c>
      <c r="CZ122" s="1">
        <v>473.90499999999997</v>
      </c>
      <c r="DA122" s="1">
        <v>1157.2238276563855</v>
      </c>
      <c r="DB122" s="1">
        <v>8564.5409552970996</v>
      </c>
      <c r="DC122" s="1">
        <v>8100.2866424376834</v>
      </c>
      <c r="DD122" s="1">
        <v>1859.379754366691</v>
      </c>
      <c r="DF122" s="1">
        <v>1914</v>
      </c>
      <c r="DG122" s="1">
        <v>2.5178554436850789</v>
      </c>
      <c r="DH122" s="1">
        <v>2.4842184268518253</v>
      </c>
      <c r="DI122" s="1">
        <v>2.5520838750565389</v>
      </c>
      <c r="DJ122" s="1">
        <v>8.1797448399570243</v>
      </c>
      <c r="DK122" s="1">
        <v>4.8803184667776804</v>
      </c>
      <c r="DL122" s="1">
        <v>4.6371565292150336</v>
      </c>
      <c r="DM122" s="1">
        <v>3.2448694369888358</v>
      </c>
      <c r="DN122" s="1">
        <v>3.2422923150269298</v>
      </c>
      <c r="DO122" s="1">
        <v>4.7367327110680009</v>
      </c>
      <c r="DQ122" s="1">
        <v>1914</v>
      </c>
      <c r="DR122" s="1">
        <v>5486.5976923683547</v>
      </c>
      <c r="DS122" s="1">
        <v>6101.3473471266325</v>
      </c>
      <c r="DT122" s="1">
        <v>1084.6372401494632</v>
      </c>
      <c r="DU122" s="1">
        <v>473.90499999999997</v>
      </c>
      <c r="DV122" s="1">
        <v>1157.2238276563855</v>
      </c>
      <c r="DW122" s="1">
        <v>14303.711107300836</v>
      </c>
      <c r="DX122" s="1">
        <v>13567.138350782836</v>
      </c>
      <c r="DY122" s="1">
        <v>2456.8899444381</v>
      </c>
      <c r="EA122" s="1">
        <v>1914</v>
      </c>
      <c r="EB122" s="1">
        <v>2.4523065011242977</v>
      </c>
      <c r="EC122" s="1">
        <v>2.576536034378222</v>
      </c>
      <c r="ED122" s="1">
        <v>2.3406149532822553</v>
      </c>
      <c r="EE122" s="1">
        <v>7.2441231660560703</v>
      </c>
      <c r="EF122" s="1">
        <v>4.8803184667776804</v>
      </c>
      <c r="EG122" s="1">
        <v>4.6371565292150336</v>
      </c>
      <c r="EH122" s="1">
        <v>3.0175730916665202</v>
      </c>
      <c r="EI122" s="1">
        <v>2.9929295398194</v>
      </c>
      <c r="EJ122" s="1">
        <v>5.0715816576048383</v>
      </c>
      <c r="EL122" s="1">
        <v>1914</v>
      </c>
      <c r="EM122" s="1">
        <v>1202590.2580875214</v>
      </c>
      <c r="EN122" s="1">
        <v>597979.52848173107</v>
      </c>
      <c r="EO122" s="1">
        <v>106309.72243170849</v>
      </c>
      <c r="EP122" s="1">
        <v>96645.906148757029</v>
      </c>
      <c r="EQ122" s="1">
        <v>136927.63218131979</v>
      </c>
      <c r="ER122" s="1">
        <v>183131.17009428376</v>
      </c>
      <c r="ES122" s="1">
        <v>117491.46681944293</v>
      </c>
      <c r="ET122" s="1">
        <v>3622.5856203462608</v>
      </c>
      <c r="EU122" s="1">
        <v>2444698.269865111</v>
      </c>
      <c r="EV122" s="1">
        <v>2327206.8030456682</v>
      </c>
      <c r="EX122" s="1">
        <v>1914</v>
      </c>
      <c r="EY122" s="1">
        <v>828431.64019506588</v>
      </c>
      <c r="EZ122" s="1">
        <v>522129.19384150475</v>
      </c>
      <c r="FA122" s="1">
        <v>91536.071114878519</v>
      </c>
      <c r="FB122" s="1">
        <v>96645.906148757029</v>
      </c>
      <c r="FC122" s="1">
        <v>94982.362947598594</v>
      </c>
      <c r="FD122" s="1">
        <v>167594.47978471956</v>
      </c>
      <c r="FE122" s="1">
        <v>117491.46681944293</v>
      </c>
      <c r="FF122" s="1">
        <v>2993.4651421204053</v>
      </c>
      <c r="FG122" s="1">
        <v>1921804.5859940879</v>
      </c>
      <c r="FH122" s="1">
        <v>1804313.1191746448</v>
      </c>
      <c r="FJ122" s="1">
        <v>1914</v>
      </c>
      <c r="FK122" s="1">
        <v>374158.61789245543</v>
      </c>
      <c r="FL122" s="1">
        <v>75850.334640226356</v>
      </c>
      <c r="FM122" s="1">
        <v>14773.65131682997</v>
      </c>
      <c r="FN122" s="1">
        <v>0</v>
      </c>
      <c r="FO122" s="1">
        <v>41945.269233721185</v>
      </c>
      <c r="FP122" s="1">
        <v>15536.69030956419</v>
      </c>
      <c r="FQ122" s="1">
        <v>629.12047822585566</v>
      </c>
      <c r="FR122" s="1">
        <v>522893.68387102295</v>
      </c>
      <c r="FS122" s="1">
        <v>882877.12406362419</v>
      </c>
      <c r="HC122" s="1">
        <v>1914</v>
      </c>
      <c r="HD122" s="1">
        <v>518.34503683948481</v>
      </c>
      <c r="HE122" s="1">
        <v>558.99552427998935</v>
      </c>
      <c r="HF122" s="1">
        <v>131.98854284205592</v>
      </c>
      <c r="HG122" s="1">
        <v>163.29013878530117</v>
      </c>
      <c r="HH122" s="1">
        <v>296.22337239978515</v>
      </c>
      <c r="HI122" s="1">
        <v>185.81823248636499</v>
      </c>
      <c r="HJ122" s="1">
        <v>4.7213141653027906</v>
      </c>
      <c r="HK122" s="2">
        <v>1859.3821617982844</v>
      </c>
      <c r="HL122" s="1">
        <v>1673.5639293119193</v>
      </c>
      <c r="HN122" s="1">
        <v>1914</v>
      </c>
      <c r="HO122" s="1">
        <v>294.80306965153409</v>
      </c>
      <c r="HP122" s="1">
        <v>87.291884612611398</v>
      </c>
      <c r="HQ122" s="1">
        <v>23.866057510280349</v>
      </c>
      <c r="HR122" s="1">
        <v>0</v>
      </c>
      <c r="HS122" s="1">
        <v>98.059870623055303</v>
      </c>
      <c r="HT122" s="1">
        <v>1.1488985010302704</v>
      </c>
      <c r="HU122" s="2">
        <v>505.16978089851142</v>
      </c>
      <c r="HW122" s="1">
        <v>1914</v>
      </c>
      <c r="HX122" s="1">
        <v>238.02444928089164</v>
      </c>
      <c r="HY122" s="1">
        <v>292.2469833233921</v>
      </c>
      <c r="HZ122" s="1">
        <v>84.909894957131883</v>
      </c>
      <c r="IA122" s="1">
        <v>55.645558941896184</v>
      </c>
      <c r="IB122" s="1">
        <v>285.71338791299547</v>
      </c>
      <c r="IC122" s="1">
        <v>15.189196327968851</v>
      </c>
      <c r="ID122" s="1">
        <v>375.82727203951436</v>
      </c>
      <c r="IE122" s="2">
        <v>1347.5567427837905</v>
      </c>
      <c r="IF122" s="1">
        <v>1332.3675464558216</v>
      </c>
      <c r="IH122" s="1">
        <v>1914</v>
      </c>
      <c r="II122" s="1">
        <v>186.81561572114273</v>
      </c>
      <c r="IJ122" s="1">
        <v>44.593575110059867</v>
      </c>
      <c r="IK122" s="1">
        <v>16.508595257647219</v>
      </c>
      <c r="IL122" s="1">
        <v>200.12498678703216</v>
      </c>
      <c r="IM122" s="1">
        <v>34.977336899229719</v>
      </c>
      <c r="IN122" s="1">
        <v>12.948652280841481</v>
      </c>
      <c r="IO122" s="1">
        <v>-1.315287559955209</v>
      </c>
    </row>
    <row r="123" spans="1:249" x14ac:dyDescent="0.25">
      <c r="A123" s="1" t="s">
        <v>214</v>
      </c>
      <c r="B123" s="1">
        <v>1.5270695046725393</v>
      </c>
      <c r="C123" s="1">
        <v>1.5102957779031101</v>
      </c>
      <c r="D123" s="1">
        <v>2.3558479388049278</v>
      </c>
      <c r="E123" s="1">
        <v>0.70500171489231889</v>
      </c>
      <c r="F123" s="1">
        <v>2.1548126338889659</v>
      </c>
      <c r="G123" s="1">
        <v>2.8999558002767714</v>
      </c>
      <c r="H123" s="1">
        <v>2.8930534482148431</v>
      </c>
      <c r="J123" s="1">
        <v>1915</v>
      </c>
      <c r="K123" s="2">
        <v>4529.6278003454618</v>
      </c>
      <c r="L123" s="1">
        <v>4296.7864110544187</v>
      </c>
      <c r="M123" s="1">
        <v>4174.1833639245524</v>
      </c>
      <c r="N123" s="1">
        <v>3941.3419746335098</v>
      </c>
      <c r="O123" s="1">
        <v>355.44443642090903</v>
      </c>
      <c r="P123" s="1">
        <v>232.84138929104265</v>
      </c>
      <c r="Q123" s="1">
        <v>4303.3348683054846</v>
      </c>
      <c r="R123" s="1">
        <v>8832.9626686509473</v>
      </c>
      <c r="S123" s="1">
        <v>8600.1212793599043</v>
      </c>
      <c r="U123" s="1">
        <v>1915</v>
      </c>
      <c r="V123" s="1">
        <v>795.2087410035723</v>
      </c>
      <c r="W123" s="1">
        <v>36376.536299529784</v>
      </c>
      <c r="X123" s="1">
        <v>2.229902748792469</v>
      </c>
      <c r="Y123" s="1">
        <v>754.33176033475638</v>
      </c>
      <c r="Z123" s="1">
        <v>30873.016848123134</v>
      </c>
      <c r="AA123" s="1">
        <v>0.8659562689982323</v>
      </c>
      <c r="AB123" s="1">
        <v>5696149.4093097663</v>
      </c>
      <c r="AC123" s="1">
        <v>0.65543743412415267</v>
      </c>
      <c r="AE123" s="1">
        <v>1915</v>
      </c>
      <c r="AF123" s="1">
        <v>1236.770381908462</v>
      </c>
      <c r="AG123" s="1">
        <v>1050.5999167350569</v>
      </c>
      <c r="AH123" s="1">
        <v>234.42449918281764</v>
      </c>
      <c r="AI123" s="1">
        <v>337.1696307579648</v>
      </c>
      <c r="AJ123" s="1">
        <v>492.51583983587494</v>
      </c>
      <c r="AK123" s="1">
        <v>312.37948335324592</v>
      </c>
      <c r="AL123" s="1">
        <v>225.3791472715246</v>
      </c>
      <c r="AM123" s="1">
        <v>407.54751200947123</v>
      </c>
      <c r="AN123" s="2">
        <v>4296.7864110544187</v>
      </c>
      <c r="AP123" s="1" t="s">
        <v>214</v>
      </c>
      <c r="AQ123" s="1">
        <v>-4.6763939817678306</v>
      </c>
      <c r="AR123" s="1">
        <v>7.2593312640008634</v>
      </c>
      <c r="AS123" s="1">
        <v>-14.56994227201649</v>
      </c>
      <c r="AT123" s="1">
        <v>-4.9852694981453141</v>
      </c>
      <c r="AU123" s="1">
        <v>12.159993820373742</v>
      </c>
      <c r="AV123" s="1">
        <v>4.082072782835283</v>
      </c>
      <c r="AW123" s="1">
        <v>10.321429365913886</v>
      </c>
      <c r="AX123" s="1">
        <v>3.4855578571236805</v>
      </c>
      <c r="AY123" s="1">
        <v>1.5270695046725393</v>
      </c>
      <c r="BA123" s="1">
        <v>1915</v>
      </c>
      <c r="BB123" s="1">
        <v>3249.6367108281593</v>
      </c>
      <c r="BC123" s="1">
        <v>373.95848645145384</v>
      </c>
      <c r="BD123" s="1">
        <v>369.35300676264745</v>
      </c>
      <c r="BE123" s="1">
        <v>133.41798787260268</v>
      </c>
      <c r="BF123" s="1">
        <v>-8.0500000000000007</v>
      </c>
      <c r="BG123" s="1">
        <v>55.788566462102438</v>
      </c>
      <c r="BH123" s="1">
        <v>1680.0243926940082</v>
      </c>
      <c r="BI123" s="1">
        <v>1324.5013507255117</v>
      </c>
      <c r="BJ123" s="1">
        <v>4529.6278003454627</v>
      </c>
      <c r="BL123" s="1" t="s">
        <v>214</v>
      </c>
      <c r="BM123" s="1">
        <v>-1.6423293873007054</v>
      </c>
      <c r="BN123" s="1">
        <v>8.0015100342573362</v>
      </c>
      <c r="BO123" s="1">
        <v>-9.0374409576658365</v>
      </c>
      <c r="BP123" s="1">
        <v>54.125</v>
      </c>
      <c r="BQ123" s="1">
        <v>40.981012658227854</v>
      </c>
      <c r="BR123" s="1">
        <v>2.8999558002767571</v>
      </c>
      <c r="BT123" s="1" t="s">
        <v>214</v>
      </c>
      <c r="BU123" s="1">
        <v>13.713071751089799</v>
      </c>
      <c r="BV123" s="1">
        <v>7.8515501252905011</v>
      </c>
      <c r="BW123" s="1">
        <v>10.52438153343644</v>
      </c>
      <c r="BX123" s="1">
        <v>12.487976008600697</v>
      </c>
      <c r="BY123" s="1">
        <v>14.762336003715319</v>
      </c>
      <c r="BZ123" s="1">
        <v>12.1670452226126</v>
      </c>
      <c r="CB123" s="1">
        <v>1915</v>
      </c>
      <c r="CC123" s="1">
        <v>54.766059951632002</v>
      </c>
      <c r="CD123" s="1">
        <v>174.15882792611689</v>
      </c>
      <c r="CE123" s="1">
        <v>6.9154363414049698</v>
      </c>
      <c r="CF123" s="1">
        <v>114.2685386098203</v>
      </c>
      <c r="CG123" s="1">
        <v>23.655026672659535</v>
      </c>
      <c r="CH123" s="1">
        <v>34.807976632965321</v>
      </c>
      <c r="CI123" s="1">
        <v>141.93769496275357</v>
      </c>
      <c r="CJ123" s="1">
        <v>550.5095610973525</v>
      </c>
      <c r="CL123" s="1">
        <v>1915</v>
      </c>
      <c r="CM123" s="1">
        <v>52.528297002519977</v>
      </c>
      <c r="CN123" s="1">
        <v>77.210740760122405</v>
      </c>
      <c r="CO123" s="1">
        <v>3.0092941803031579</v>
      </c>
      <c r="CP123" s="1">
        <v>81.215422147703549</v>
      </c>
      <c r="CQ123" s="1">
        <v>7.8004373073280107</v>
      </c>
      <c r="CR123" s="1">
        <v>18.309716194790873</v>
      </c>
      <c r="CS123" s="1">
        <v>115.370528828141</v>
      </c>
      <c r="CT123" s="2">
        <v>355.44443642090903</v>
      </c>
      <c r="CV123" s="1">
        <v>1915</v>
      </c>
      <c r="CW123" s="1">
        <v>3818.8188704187396</v>
      </c>
      <c r="CX123" s="1">
        <v>3756.1951341443746</v>
      </c>
      <c r="CY123" s="1">
        <v>677.08629778444333</v>
      </c>
      <c r="CZ123" s="1">
        <v>669.84699999999998</v>
      </c>
      <c r="DA123" s="1">
        <v>1236.1122374119523</v>
      </c>
      <c r="DB123" s="1">
        <v>10158.05953975951</v>
      </c>
      <c r="DC123" s="1">
        <v>9598.5989021652931</v>
      </c>
      <c r="DD123" s="1">
        <v>2113.2079865976002</v>
      </c>
      <c r="DF123" s="1">
        <v>1915</v>
      </c>
      <c r="DG123" s="1">
        <v>1.3907222078455703</v>
      </c>
      <c r="DH123" s="1">
        <v>0.69569065818771492</v>
      </c>
      <c r="DI123" s="1">
        <v>2.0972578575997289</v>
      </c>
      <c r="DJ123" s="1">
        <v>6.2047626030255429</v>
      </c>
      <c r="DK123" s="1">
        <v>-0.77543382739486333</v>
      </c>
      <c r="DL123" s="1">
        <v>4.5132282307071847</v>
      </c>
      <c r="DM123" s="1">
        <v>1.9623051183642559</v>
      </c>
      <c r="DN123" s="1">
        <v>1.902389376850806</v>
      </c>
      <c r="DO123" s="1">
        <v>4.8310631254093579</v>
      </c>
      <c r="DQ123" s="1">
        <v>1915</v>
      </c>
      <c r="DR123" s="1">
        <v>6560.2537709242388</v>
      </c>
      <c r="DS123" s="1">
        <v>7281.2842211264333</v>
      </c>
      <c r="DT123" s="1">
        <v>1221.9559268117823</v>
      </c>
      <c r="DU123" s="1">
        <v>669.84699999999998</v>
      </c>
      <c r="DV123" s="1">
        <v>1236.1122374119523</v>
      </c>
      <c r="DW123" s="1">
        <v>16969.453156274405</v>
      </c>
      <c r="DX123" s="1">
        <v>16080.514092011235</v>
      </c>
      <c r="DY123" s="1">
        <v>2827.9992368917915</v>
      </c>
      <c r="EA123" s="1">
        <v>1915</v>
      </c>
      <c r="EB123" s="1">
        <v>1.8210220456655435</v>
      </c>
      <c r="EC123" s="1">
        <v>1.5050874663630793</v>
      </c>
      <c r="ED123" s="1">
        <v>2.1056436529798219</v>
      </c>
      <c r="EE123" s="1">
        <v>6.1807632206366065</v>
      </c>
      <c r="EF123" s="1">
        <v>-0.77543382739486333</v>
      </c>
      <c r="EG123" s="1">
        <v>4.5132282307071847</v>
      </c>
      <c r="EH123" s="1">
        <v>2.2443576540006376</v>
      </c>
      <c r="EI123" s="1">
        <v>2.186513180857645</v>
      </c>
      <c r="EJ123" s="1">
        <v>5.1332242286320309</v>
      </c>
      <c r="EL123" s="1">
        <v>1915</v>
      </c>
      <c r="EM123" s="1">
        <v>1189180.9417629403</v>
      </c>
      <c r="EN123" s="1">
        <v>614004.6773727613</v>
      </c>
      <c r="EO123" s="1">
        <v>91874.158063332434</v>
      </c>
      <c r="EP123" s="1">
        <v>101138.14130263079</v>
      </c>
      <c r="EQ123" s="1">
        <v>143776.99674294409</v>
      </c>
      <c r="ER123" s="1">
        <v>187613.13372626912</v>
      </c>
      <c r="ES123" s="1">
        <v>130262.27843025194</v>
      </c>
      <c r="ET123" s="1">
        <v>3711.4988096776865</v>
      </c>
      <c r="EU123" s="1">
        <v>2461561.8262108075</v>
      </c>
      <c r="EV123" s="1">
        <v>2331299.5477805557</v>
      </c>
      <c r="EX123" s="1">
        <v>1915</v>
      </c>
      <c r="EY123" s="1">
        <v>817179.22332934267</v>
      </c>
      <c r="EZ123" s="1">
        <v>536523.15274027199</v>
      </c>
      <c r="FA123" s="1">
        <v>79886.256178889904</v>
      </c>
      <c r="FB123" s="1">
        <v>101138.14130263079</v>
      </c>
      <c r="FC123" s="1">
        <v>100847.18103971441</v>
      </c>
      <c r="FD123" s="1">
        <v>171569.85700114651</v>
      </c>
      <c r="FE123" s="1">
        <v>130262.27843025194</v>
      </c>
      <c r="FF123" s="1">
        <v>3073.5959718030217</v>
      </c>
      <c r="FG123" s="1">
        <v>1940479.6859940512</v>
      </c>
      <c r="FH123" s="1">
        <v>1810217.4075637993</v>
      </c>
      <c r="FJ123" s="1">
        <v>1915</v>
      </c>
      <c r="FK123" s="1">
        <v>372001.71843359765</v>
      </c>
      <c r="FL123" s="1">
        <v>77481.524632489294</v>
      </c>
      <c r="FM123" s="1">
        <v>11987.901884442525</v>
      </c>
      <c r="FN123" s="1">
        <v>0</v>
      </c>
      <c r="FO123" s="1">
        <v>42929.815703229673</v>
      </c>
      <c r="FP123" s="1">
        <v>16043.276725122661</v>
      </c>
      <c r="FQ123" s="1">
        <v>637.90283787466467</v>
      </c>
      <c r="FR123" s="1">
        <v>521082.1402167565</v>
      </c>
      <c r="FS123" s="1">
        <v>887301.74129974295</v>
      </c>
      <c r="HC123" s="1">
        <v>1915</v>
      </c>
      <c r="HD123" s="1">
        <v>557.40568467762387</v>
      </c>
      <c r="HE123" s="1">
        <v>593.10253868169025</v>
      </c>
      <c r="HF123" s="1">
        <v>118.93974310518539</v>
      </c>
      <c r="HG123" s="1">
        <v>179.1317194137259</v>
      </c>
      <c r="HH123" s="1">
        <v>338.42305540917255</v>
      </c>
      <c r="HI123" s="1">
        <v>207.06943107673391</v>
      </c>
      <c r="HJ123" s="1">
        <v>5.4016340427276859</v>
      </c>
      <c r="HK123" s="2">
        <v>1999.4738064068597</v>
      </c>
      <c r="HL123" s="1">
        <v>1792.4043753301257</v>
      </c>
      <c r="HN123" s="1">
        <v>1915</v>
      </c>
      <c r="HO123" s="1">
        <v>319.53100475580396</v>
      </c>
      <c r="HP123" s="1">
        <v>92.071557044160457</v>
      </c>
      <c r="HQ123" s="1">
        <v>19.996177301931667</v>
      </c>
      <c r="HR123" s="1">
        <v>0</v>
      </c>
      <c r="HS123" s="1">
        <v>108.19431353385086</v>
      </c>
      <c r="HT123" s="1">
        <v>1.2980519070003258</v>
      </c>
      <c r="HU123" s="2">
        <v>541.09110454274719</v>
      </c>
      <c r="HW123" s="1">
        <v>1915</v>
      </c>
      <c r="HX123" s="1">
        <v>423.16869247503428</v>
      </c>
      <c r="HY123" s="1">
        <v>365.42582100920617</v>
      </c>
      <c r="HZ123" s="1">
        <v>95.488578775700603</v>
      </c>
      <c r="IA123" s="1">
        <v>94.702911344238913</v>
      </c>
      <c r="IB123" s="1">
        <v>358.27795424609735</v>
      </c>
      <c r="IC123" s="1">
        <v>18.309716194790688</v>
      </c>
      <c r="ID123" s="1">
        <v>400.84782605974323</v>
      </c>
      <c r="IE123" s="2">
        <v>1756.2215001048114</v>
      </c>
      <c r="IF123" s="1">
        <v>1737.9117839100206</v>
      </c>
      <c r="IH123" s="1">
        <v>1915</v>
      </c>
      <c r="II123" s="1">
        <v>190.26200813200361</v>
      </c>
      <c r="IJ123" s="1">
        <v>52.678145133832565</v>
      </c>
      <c r="IK123" s="1">
        <v>18.134330358474791</v>
      </c>
      <c r="IL123" s="1">
        <v>204.47648646938669</v>
      </c>
      <c r="IM123" s="1">
        <v>42.064503320686441</v>
      </c>
      <c r="IN123" s="1">
        <v>14.480608564415295</v>
      </c>
      <c r="IO123" s="1">
        <v>-9.1969221304702273</v>
      </c>
    </row>
    <row r="124" spans="1:249" x14ac:dyDescent="0.25">
      <c r="A124" s="1" t="s">
        <v>215</v>
      </c>
      <c r="B124" s="1">
        <v>5.132153499812091</v>
      </c>
      <c r="C124" s="1">
        <v>5.1145776356561043</v>
      </c>
      <c r="D124" s="1">
        <v>5.2893561459244012</v>
      </c>
      <c r="E124" s="1">
        <v>4.9751855656673172</v>
      </c>
      <c r="F124" s="1">
        <v>5.7944446377984065</v>
      </c>
      <c r="G124" s="1">
        <v>6.3273596411814452</v>
      </c>
      <c r="H124" s="1">
        <v>6.6455237297860776</v>
      </c>
      <c r="J124" s="1">
        <v>1916</v>
      </c>
      <c r="K124" s="2">
        <v>5699.6302994822308</v>
      </c>
      <c r="L124" s="1">
        <v>5412.7830690016763</v>
      </c>
      <c r="M124" s="1">
        <v>5255.2730358980216</v>
      </c>
      <c r="N124" s="1">
        <v>4968.425805417467</v>
      </c>
      <c r="O124" s="1">
        <v>444.35726358420914</v>
      </c>
      <c r="P124" s="1">
        <v>286.8472304805548</v>
      </c>
      <c r="Q124" s="1">
        <v>5831.1615937761317</v>
      </c>
      <c r="R124" s="1">
        <v>11530.791893258363</v>
      </c>
      <c r="S124" s="1">
        <v>11243.944662777809</v>
      </c>
      <c r="U124" s="1">
        <v>1916</v>
      </c>
      <c r="V124" s="1">
        <v>993.81373500685925</v>
      </c>
      <c r="W124" s="1">
        <v>38415.461407935283</v>
      </c>
      <c r="X124" s="1">
        <v>5.6050556644994742</v>
      </c>
      <c r="Y124" s="1">
        <v>943.79773352582447</v>
      </c>
      <c r="Z124" s="1">
        <v>32236.977102638673</v>
      </c>
      <c r="AA124" s="1">
        <v>4.4179688082490003</v>
      </c>
      <c r="AB124" s="1">
        <v>5735109.2047876474</v>
      </c>
      <c r="AC124" s="1">
        <v>0.68396723256951475</v>
      </c>
      <c r="AE124" s="1">
        <v>1916</v>
      </c>
      <c r="AF124" s="1">
        <v>1606.4671753222804</v>
      </c>
      <c r="AG124" s="1">
        <v>1402.7645770333413</v>
      </c>
      <c r="AH124" s="1">
        <v>246.56014784184552</v>
      </c>
      <c r="AI124" s="1">
        <v>421.32347104450787</v>
      </c>
      <c r="AJ124" s="1">
        <v>642.73219339795298</v>
      </c>
      <c r="AK124" s="1">
        <v>405.36521457365245</v>
      </c>
      <c r="AL124" s="1">
        <v>246.79605177848515</v>
      </c>
      <c r="AM124" s="1">
        <v>440.77423800960986</v>
      </c>
      <c r="AN124" s="2">
        <v>5412.7830690016754</v>
      </c>
      <c r="AP124" s="1" t="s">
        <v>215</v>
      </c>
      <c r="AQ124" s="1">
        <v>3.0254339635464618</v>
      </c>
      <c r="AR124" s="1">
        <v>8.820087398676165</v>
      </c>
      <c r="AS124" s="1">
        <v>-2.1818856096830359</v>
      </c>
      <c r="AT124" s="1">
        <v>2.3188498512144946</v>
      </c>
      <c r="AU124" s="1">
        <v>16.192022991868569</v>
      </c>
      <c r="AV124" s="1">
        <v>3.9324145106394184</v>
      </c>
      <c r="AW124" s="1">
        <v>-6.0283121118981313</v>
      </c>
      <c r="AX124" s="1">
        <v>2.3109322201551521</v>
      </c>
      <c r="AY124" s="1">
        <v>5.132153499812091</v>
      </c>
      <c r="BA124" s="1">
        <v>1916</v>
      </c>
      <c r="BB124" s="1">
        <v>3765.567760516185</v>
      </c>
      <c r="BC124" s="1">
        <v>481.10954864906813</v>
      </c>
      <c r="BD124" s="1">
        <v>430.74378820143136</v>
      </c>
      <c r="BE124" s="1">
        <v>182.84222517017162</v>
      </c>
      <c r="BF124" s="1">
        <v>-4.4859999999999998</v>
      </c>
      <c r="BG124" s="1">
        <v>135.76062917787027</v>
      </c>
      <c r="BH124" s="1">
        <v>2085.6640850949761</v>
      </c>
      <c r="BI124" s="1">
        <v>1377.5717373274715</v>
      </c>
      <c r="BJ124" s="1">
        <v>5699.6302994822308</v>
      </c>
      <c r="BL124" s="1" t="s">
        <v>215</v>
      </c>
      <c r="BM124" s="1">
        <v>1.6753198183173055</v>
      </c>
      <c r="BN124" s="1">
        <v>10.045024577557854</v>
      </c>
      <c r="BO124" s="1">
        <v>11.633148044054082</v>
      </c>
      <c r="BP124" s="1">
        <v>-2.5141930251419353</v>
      </c>
      <c r="BQ124" s="1">
        <v>-13.131313131313149</v>
      </c>
      <c r="BR124" s="1">
        <v>6.3273596411814736</v>
      </c>
      <c r="BT124" s="1" t="s">
        <v>215</v>
      </c>
      <c r="BU124" s="1">
        <v>13.967260137457444</v>
      </c>
      <c r="BV124" s="1">
        <v>16.909599134122246</v>
      </c>
      <c r="BW124" s="1">
        <v>21.204010195982221</v>
      </c>
      <c r="BX124" s="1">
        <v>27.346608770761009</v>
      </c>
      <c r="BY124" s="1">
        <v>19.72878130018438</v>
      </c>
      <c r="BZ124" s="1">
        <v>18.342064017761842</v>
      </c>
      <c r="CB124" s="1">
        <v>1916</v>
      </c>
      <c r="CC124" s="1">
        <v>74.281686331117669</v>
      </c>
      <c r="CD124" s="1">
        <v>288.35828258407309</v>
      </c>
      <c r="CE124" s="1">
        <v>9.1572620745011921</v>
      </c>
      <c r="CF124" s="1">
        <v>108.04759231054307</v>
      </c>
      <c r="CG124" s="1">
        <v>55.134370913575637</v>
      </c>
      <c r="CH124" s="1">
        <v>32.080035714244538</v>
      </c>
      <c r="CI124" s="1">
        <v>177.80141262141794</v>
      </c>
      <c r="CJ124" s="1">
        <v>744.86064254947314</v>
      </c>
      <c r="CL124" s="1">
        <v>1916</v>
      </c>
      <c r="CM124" s="1">
        <v>64.774373800476013</v>
      </c>
      <c r="CN124" s="1">
        <v>102.85150112939539</v>
      </c>
      <c r="CO124" s="1">
        <v>4.5114503310220542</v>
      </c>
      <c r="CP124" s="1">
        <v>101.64402700001312</v>
      </c>
      <c r="CQ124" s="1">
        <v>11.007348273159291</v>
      </c>
      <c r="CR124" s="1">
        <v>22.780759570161923</v>
      </c>
      <c r="CS124" s="1">
        <v>136.78780347998131</v>
      </c>
      <c r="CT124" s="2">
        <v>444.35726358420914</v>
      </c>
      <c r="CV124" s="1">
        <v>1916</v>
      </c>
      <c r="CW124" s="1">
        <v>4509.0329454676403</v>
      </c>
      <c r="CX124" s="1">
        <v>4497.8878641626279</v>
      </c>
      <c r="CY124" s="1">
        <v>968.24971324193655</v>
      </c>
      <c r="CZ124" s="1">
        <v>838.42200000000003</v>
      </c>
      <c r="DA124" s="1">
        <v>1542.9562099375223</v>
      </c>
      <c r="DB124" s="1">
        <v>12356.548732809726</v>
      </c>
      <c r="DC124" s="1">
        <v>11674.834864160173</v>
      </c>
      <c r="DD124" s="1">
        <v>2668.2702323047397</v>
      </c>
      <c r="DF124" s="1">
        <v>1916</v>
      </c>
      <c r="DG124" s="1">
        <v>1.292846665852764</v>
      </c>
      <c r="DH124" s="1">
        <v>0.90958770178563952</v>
      </c>
      <c r="DI124" s="1">
        <v>1.676888746491727</v>
      </c>
      <c r="DJ124" s="1">
        <v>5.4529630543490839</v>
      </c>
      <c r="DK124" s="1">
        <v>5.5647158215268604</v>
      </c>
      <c r="DL124" s="1">
        <v>8.7987350712543986</v>
      </c>
      <c r="DM124" s="1">
        <v>2.839168247378268</v>
      </c>
      <c r="DN124" s="1">
        <v>2.9231813949374299</v>
      </c>
      <c r="DO124" s="1">
        <v>6.1054969269177093</v>
      </c>
      <c r="DQ124" s="1">
        <v>1916</v>
      </c>
      <c r="DR124" s="1">
        <v>7808.2176917960014</v>
      </c>
      <c r="DS124" s="1">
        <v>8719.3765134637088</v>
      </c>
      <c r="DT124" s="1">
        <v>1746.5256517675414</v>
      </c>
      <c r="DU124" s="1">
        <v>838.42200000000003</v>
      </c>
      <c r="DV124" s="1">
        <v>1542.9562099375223</v>
      </c>
      <c r="DW124" s="1">
        <v>20655.49806696477</v>
      </c>
      <c r="DX124" s="1">
        <v>19568.348501243137</v>
      </c>
      <c r="DY124" s="1">
        <v>3597.3138456855022</v>
      </c>
      <c r="EA124" s="1">
        <v>1916</v>
      </c>
      <c r="EB124" s="1">
        <v>1.754624430968093</v>
      </c>
      <c r="EC124" s="1">
        <v>1.6123227746893889</v>
      </c>
      <c r="ED124" s="1">
        <v>1.8820105156532492</v>
      </c>
      <c r="EE124" s="1">
        <v>5.7494404491131377</v>
      </c>
      <c r="EF124" s="1">
        <v>5.5647158215268462</v>
      </c>
      <c r="EG124" s="1">
        <v>8.7987350712543986</v>
      </c>
      <c r="EH124" s="1">
        <v>2.7752534692173469</v>
      </c>
      <c r="EI124" s="1">
        <v>2.8023490214062292</v>
      </c>
      <c r="EJ124" s="1">
        <v>6.0951294761267576</v>
      </c>
      <c r="EL124" s="1">
        <v>1916</v>
      </c>
      <c r="EM124" s="1">
        <v>1192868.7213824517</v>
      </c>
      <c r="EN124" s="1">
        <v>646933.0655050152</v>
      </c>
      <c r="EO124" s="1">
        <v>91832.516671767546</v>
      </c>
      <c r="EP124" s="1">
        <v>103967.26193223575</v>
      </c>
      <c r="EQ124" s="1">
        <v>152873.25528059906</v>
      </c>
      <c r="ER124" s="1">
        <v>192056.49026534997</v>
      </c>
      <c r="ES124" s="1">
        <v>121383.52369130852</v>
      </c>
      <c r="ET124" s="1">
        <v>3802.70381542416</v>
      </c>
      <c r="EU124" s="1">
        <v>2505717.5385441519</v>
      </c>
      <c r="EV124" s="1">
        <v>2384334.0148528432</v>
      </c>
      <c r="EX124" s="1">
        <v>1916</v>
      </c>
      <c r="EY124" s="1">
        <v>821882.01445890474</v>
      </c>
      <c r="EZ124" s="1">
        <v>567140.6883834867</v>
      </c>
      <c r="FA124" s="1">
        <v>80581.772720551089</v>
      </c>
      <c r="FB124" s="1">
        <v>103862.87230243278</v>
      </c>
      <c r="FC124" s="1">
        <v>109390.21863046745</v>
      </c>
      <c r="FD124" s="1">
        <v>175431.37879839999</v>
      </c>
      <c r="FE124" s="1">
        <v>121383.52369130852</v>
      </c>
      <c r="FF124" s="1">
        <v>3155.8918974342469</v>
      </c>
      <c r="FG124" s="1">
        <v>1982828.3608829856</v>
      </c>
      <c r="FH124" s="1">
        <v>1861444.8371916772</v>
      </c>
      <c r="FJ124" s="1">
        <v>1916</v>
      </c>
      <c r="FK124" s="1">
        <v>370986.70692354685</v>
      </c>
      <c r="FL124" s="1">
        <v>79792.377121528451</v>
      </c>
      <c r="FM124" s="1">
        <v>11250.743951216464</v>
      </c>
      <c r="FN124" s="1">
        <v>104.38962980297309</v>
      </c>
      <c r="FO124" s="1">
        <v>43483.036650131609</v>
      </c>
      <c r="FP124" s="1">
        <v>16625.111466949984</v>
      </c>
      <c r="FQ124" s="1">
        <v>646.81191798991301</v>
      </c>
      <c r="FR124" s="1">
        <v>522889.17766116624</v>
      </c>
      <c r="FS124" s="1">
        <v>891748.53289869498</v>
      </c>
      <c r="HC124" s="1">
        <v>1916</v>
      </c>
      <c r="HD124" s="1">
        <v>671.61216653674285</v>
      </c>
      <c r="HE124" s="1">
        <v>708.26192655422437</v>
      </c>
      <c r="HF124" s="1">
        <v>135.53564287392879</v>
      </c>
      <c r="HG124" s="1">
        <v>198.62904941794096</v>
      </c>
      <c r="HH124" s="1">
        <v>423.84135940399955</v>
      </c>
      <c r="HI124" s="1">
        <v>224.01529220832285</v>
      </c>
      <c r="HJ124" s="1">
        <v>6.4624422655430154</v>
      </c>
      <c r="HK124" s="2">
        <v>2368.3578792607022</v>
      </c>
      <c r="HL124" s="1">
        <v>2144.3425870523793</v>
      </c>
      <c r="HN124" s="1">
        <v>1916</v>
      </c>
      <c r="HO124" s="1">
        <v>381.75207671211956</v>
      </c>
      <c r="HP124" s="1">
        <v>107.11505340105576</v>
      </c>
      <c r="HQ124" s="1">
        <v>21.200534750280905</v>
      </c>
      <c r="HR124" s="1">
        <v>0.21500298989361671</v>
      </c>
      <c r="HS124" s="1">
        <v>128.97919212006667</v>
      </c>
      <c r="HT124" s="1">
        <v>1.5335986491026212</v>
      </c>
      <c r="HU124" s="2">
        <v>640.79545862251905</v>
      </c>
      <c r="HW124" s="1">
        <v>1916</v>
      </c>
      <c r="HX124" s="1">
        <v>627.97693207341808</v>
      </c>
      <c r="HY124" s="1">
        <v>587.38759707806128</v>
      </c>
      <c r="HZ124" s="1">
        <v>89.823970217635832</v>
      </c>
      <c r="IA124" s="1">
        <v>147.60541863667328</v>
      </c>
      <c r="IB124" s="1">
        <v>495.27685644753922</v>
      </c>
      <c r="IC124" s="1">
        <v>22.780759570162289</v>
      </c>
      <c r="ID124" s="1">
        <v>432.77819709496424</v>
      </c>
      <c r="IE124" s="2">
        <v>2403.6297311184544</v>
      </c>
      <c r="IF124" s="1">
        <v>2380.848971548292</v>
      </c>
      <c r="IH124" s="1">
        <v>1916</v>
      </c>
      <c r="II124" s="1">
        <v>180.2088165839271</v>
      </c>
      <c r="IJ124" s="1">
        <v>71.325681502406752</v>
      </c>
      <c r="IK124" s="1">
        <v>23.101885509490938</v>
      </c>
      <c r="IL124" s="1">
        <v>193.66120798259033</v>
      </c>
      <c r="IM124" s="1">
        <v>59.424794648389593</v>
      </c>
      <c r="IN124" s="1">
        <v>19.247272139219344</v>
      </c>
      <c r="IO124" s="1">
        <v>-0.87534979391188017</v>
      </c>
    </row>
    <row r="125" spans="1:249" x14ac:dyDescent="0.25">
      <c r="A125" s="1" t="s">
        <v>216</v>
      </c>
      <c r="B125" s="1">
        <v>-6.7488185268872058</v>
      </c>
      <c r="C125" s="1">
        <v>-6.9148926116588996</v>
      </c>
      <c r="D125" s="1">
        <v>-5.5892965013287039</v>
      </c>
      <c r="E125" s="1">
        <v>-7.8940996742620939</v>
      </c>
      <c r="F125" s="1">
        <v>-6.2753062038644458</v>
      </c>
      <c r="G125" s="1">
        <v>-11.946261577727512</v>
      </c>
      <c r="H125" s="1">
        <v>-13.139280102164449</v>
      </c>
      <c r="J125" s="1">
        <v>1917</v>
      </c>
      <c r="K125" s="2">
        <v>6645.9466993370415</v>
      </c>
      <c r="L125" s="1">
        <v>6345.3813640752305</v>
      </c>
      <c r="M125" s="1">
        <v>6077.9733984846152</v>
      </c>
      <c r="N125" s="1">
        <v>5777.4080632228042</v>
      </c>
      <c r="O125" s="1">
        <v>567.97330085242641</v>
      </c>
      <c r="P125" s="1">
        <v>300.56533526181062</v>
      </c>
      <c r="Q125" s="1">
        <v>6808.1049544933512</v>
      </c>
      <c r="R125" s="1">
        <v>13454.051653830393</v>
      </c>
      <c r="S125" s="1">
        <v>13153.486318568583</v>
      </c>
      <c r="U125" s="1">
        <v>1917</v>
      </c>
      <c r="V125" s="1">
        <v>1149.9837033496985</v>
      </c>
      <c r="W125" s="1">
        <v>33568.379546139855</v>
      </c>
      <c r="X125" s="1">
        <v>-12.61752868285005</v>
      </c>
      <c r="Y125" s="1">
        <v>1097.9752758103382</v>
      </c>
      <c r="Z125" s="1">
        <v>29832.192834559304</v>
      </c>
      <c r="AA125" s="1">
        <v>-7.4597077152204037</v>
      </c>
      <c r="AB125" s="1">
        <v>5779165.9829426948</v>
      </c>
      <c r="AC125" s="1">
        <v>0.76819423278406873</v>
      </c>
      <c r="AE125" s="1">
        <v>1917</v>
      </c>
      <c r="AF125" s="1">
        <v>1884.6550485012185</v>
      </c>
      <c r="AG125" s="1">
        <v>1695.0002685878487</v>
      </c>
      <c r="AH125" s="1">
        <v>241.85706034253144</v>
      </c>
      <c r="AI125" s="1">
        <v>429.55494587441848</v>
      </c>
      <c r="AJ125" s="1">
        <v>803.69380603644049</v>
      </c>
      <c r="AK125" s="1">
        <v>552.23078825709604</v>
      </c>
      <c r="AL125" s="1">
        <v>272.74871811233737</v>
      </c>
      <c r="AM125" s="1">
        <v>465.64072836333958</v>
      </c>
      <c r="AN125" s="2">
        <v>6345.3813640752305</v>
      </c>
      <c r="AP125" s="1" t="s">
        <v>216</v>
      </c>
      <c r="AQ125" s="1">
        <v>-2.3502722895653534</v>
      </c>
      <c r="AR125" s="1">
        <v>-12.679650265775166</v>
      </c>
      <c r="AS125" s="1">
        <v>-2.5225804962241369</v>
      </c>
      <c r="AT125" s="1">
        <v>-27.983332758364028</v>
      </c>
      <c r="AU125" s="1">
        <v>1.86500810249008</v>
      </c>
      <c r="AV125" s="1">
        <v>2.1631056067340495</v>
      </c>
      <c r="AW125" s="1">
        <v>-12.864203780621423</v>
      </c>
      <c r="AX125" s="1">
        <v>1.2526369680687424</v>
      </c>
      <c r="AY125" s="1">
        <v>-6.7488185268872058</v>
      </c>
      <c r="BA125" s="1">
        <v>1917</v>
      </c>
      <c r="BB125" s="1">
        <v>4511.1721746789572</v>
      </c>
      <c r="BC125" s="1">
        <v>515.73121637879763</v>
      </c>
      <c r="BD125" s="1">
        <v>551.09930584001563</v>
      </c>
      <c r="BE125" s="1">
        <v>264.03475329721095</v>
      </c>
      <c r="BF125" s="1">
        <v>-39.798000000000002</v>
      </c>
      <c r="BG125" s="1">
        <v>77.332856510540637</v>
      </c>
      <c r="BH125" s="1">
        <v>1756.6452234808578</v>
      </c>
      <c r="BI125" s="1">
        <v>990.27083084933815</v>
      </c>
      <c r="BJ125" s="1">
        <v>6645.9466993370406</v>
      </c>
      <c r="BL125" s="1" t="s">
        <v>216</v>
      </c>
      <c r="BM125" s="1">
        <v>-5.069663901579375</v>
      </c>
      <c r="BN125" s="1">
        <v>-18.475609635569683</v>
      </c>
      <c r="BO125" s="1">
        <v>-9.8374477312424631</v>
      </c>
      <c r="BP125" s="1">
        <v>-43.34442595673876</v>
      </c>
      <c r="BQ125" s="1">
        <v>-45.090439276485782</v>
      </c>
      <c r="BR125" s="1">
        <v>-11.94626157772754</v>
      </c>
      <c r="BT125" s="1" t="s">
        <v>216</v>
      </c>
      <c r="BU125" s="1">
        <v>26.198419915830897</v>
      </c>
      <c r="BV125" s="1">
        <v>31.489744956962966</v>
      </c>
      <c r="BW125" s="1">
        <v>26.963593699624596</v>
      </c>
      <c r="BX125" s="1">
        <v>48.661000800456321</v>
      </c>
      <c r="BY125" s="1">
        <v>30.915718418514956</v>
      </c>
      <c r="BZ125" s="1">
        <v>32.422678543767006</v>
      </c>
      <c r="CB125" s="1">
        <v>1917</v>
      </c>
      <c r="CC125" s="1">
        <v>53.067692424706621</v>
      </c>
      <c r="CD125" s="1">
        <v>324.94670380121011</v>
      </c>
      <c r="CE125" s="1">
        <v>13.562766615342909</v>
      </c>
      <c r="CF125" s="1">
        <v>145.22444418666214</v>
      </c>
      <c r="CG125" s="1">
        <v>50.53438165541337</v>
      </c>
      <c r="CH125" s="1">
        <v>42.070947613461946</v>
      </c>
      <c r="CI125" s="1">
        <v>223.26197935097022</v>
      </c>
      <c r="CJ125" s="1">
        <v>852.66891564776745</v>
      </c>
      <c r="CL125" s="1">
        <v>1917</v>
      </c>
      <c r="CM125" s="1">
        <v>82.256402628673968</v>
      </c>
      <c r="CN125" s="1">
        <v>139.6399679431681</v>
      </c>
      <c r="CO125" s="1">
        <v>5.9115026186274315</v>
      </c>
      <c r="CP125" s="1">
        <v>127.68781271625178</v>
      </c>
      <c r="CQ125" s="1">
        <v>15.917909931172657</v>
      </c>
      <c r="CR125" s="1">
        <v>29.529659358287024</v>
      </c>
      <c r="CS125" s="1">
        <v>167.03004565624548</v>
      </c>
      <c r="CT125" s="2">
        <v>567.97330085242641</v>
      </c>
      <c r="CV125" s="1">
        <v>1917</v>
      </c>
      <c r="CW125" s="1">
        <v>5496.4780654163387</v>
      </c>
      <c r="CX125" s="1">
        <v>5529.3614987855417</v>
      </c>
      <c r="CY125" s="1">
        <v>1349.2377128878311</v>
      </c>
      <c r="CZ125" s="1">
        <v>891.72900000000004</v>
      </c>
      <c r="DA125" s="1">
        <v>2237.1632580967125</v>
      </c>
      <c r="DB125" s="1">
        <v>15503.969535186423</v>
      </c>
      <c r="DC125" s="1">
        <v>14655.554600537544</v>
      </c>
      <c r="DD125" s="1">
        <v>3617.5139182424882</v>
      </c>
      <c r="DF125" s="1">
        <v>1917</v>
      </c>
      <c r="DG125" s="1">
        <v>1.498195873838398</v>
      </c>
      <c r="DH125" s="1">
        <v>1.0230539088026802</v>
      </c>
      <c r="DI125" s="1">
        <v>1.9704389749168598</v>
      </c>
      <c r="DJ125" s="1">
        <v>6.075111249695027</v>
      </c>
      <c r="DK125" s="1">
        <v>-7.3812832423673029</v>
      </c>
      <c r="DL125" s="1">
        <v>3.4567372868590951</v>
      </c>
      <c r="DM125" s="1">
        <v>1.7819904058625156</v>
      </c>
      <c r="DN125" s="1">
        <v>1.7989415420677517</v>
      </c>
      <c r="DO125" s="1">
        <v>3.3534100524114763</v>
      </c>
      <c r="DQ125" s="1">
        <v>1917</v>
      </c>
      <c r="DR125" s="1">
        <v>9584.4445890957159</v>
      </c>
      <c r="DS125" s="1">
        <v>10738.91818309649</v>
      </c>
      <c r="DT125" s="1">
        <v>2441.2494781040314</v>
      </c>
      <c r="DU125" s="1">
        <v>891.72900000000004</v>
      </c>
      <c r="DV125" s="1">
        <v>2237.1632580967125</v>
      </c>
      <c r="DW125" s="1">
        <v>25893.504508392951</v>
      </c>
      <c r="DX125" s="1">
        <v>24527.723089904659</v>
      </c>
      <c r="DY125" s="1">
        <v>4847.962737157899</v>
      </c>
      <c r="EA125" s="1">
        <v>1917</v>
      </c>
      <c r="EB125" s="1">
        <v>1.8584626805956646</v>
      </c>
      <c r="EC125" s="1">
        <v>1.6622981998159361</v>
      </c>
      <c r="ED125" s="1">
        <v>2.0335163492287478</v>
      </c>
      <c r="EE125" s="1">
        <v>6.1082057075671656</v>
      </c>
      <c r="EF125" s="1">
        <v>-7.3812832423673029</v>
      </c>
      <c r="EG125" s="1">
        <v>3.4567372868590951</v>
      </c>
      <c r="EH125" s="1">
        <v>2.1473347419132267</v>
      </c>
      <c r="EI125" s="1">
        <v>2.1378265819492555</v>
      </c>
      <c r="EJ125" s="1">
        <v>4.0671127287178876</v>
      </c>
      <c r="EL125" s="1">
        <v>1917</v>
      </c>
      <c r="EM125" s="1">
        <v>1184118.5150258725</v>
      </c>
      <c r="EN125" s="1">
        <v>655604.20771317545</v>
      </c>
      <c r="EO125" s="1">
        <v>93808.276443001552</v>
      </c>
      <c r="EP125" s="1">
        <v>107617.09579719571</v>
      </c>
      <c r="EQ125" s="1">
        <v>158267.4389073519</v>
      </c>
      <c r="ER125" s="1">
        <v>195322.80010969786</v>
      </c>
      <c r="ES125" s="1">
        <v>103869.2677679133</v>
      </c>
      <c r="ET125" s="1">
        <v>3896.2615426827883</v>
      </c>
      <c r="EU125" s="1">
        <v>2502503.8633068912</v>
      </c>
      <c r="EV125" s="1">
        <v>2398634.595538978</v>
      </c>
      <c r="EX125" s="1">
        <v>1917</v>
      </c>
      <c r="EY125" s="1">
        <v>814781.20180615806</v>
      </c>
      <c r="EZ125" s="1">
        <v>574588.43809744983</v>
      </c>
      <c r="FA125" s="1">
        <v>83017.297169936617</v>
      </c>
      <c r="FB125" s="1">
        <v>107512.70616739275</v>
      </c>
      <c r="FC125" s="1">
        <v>115153.20916211219</v>
      </c>
      <c r="FD125" s="1">
        <v>178334.02170188914</v>
      </c>
      <c r="FE125" s="1">
        <v>103869.2677679133</v>
      </c>
      <c r="FF125" s="1">
        <v>3240.411942085012</v>
      </c>
      <c r="FG125" s="1">
        <v>1980496.5538149367</v>
      </c>
      <c r="FH125" s="1">
        <v>1876627.2860470233</v>
      </c>
      <c r="FJ125" s="1">
        <v>1917</v>
      </c>
      <c r="FK125" s="1">
        <v>369337.31321971444</v>
      </c>
      <c r="FL125" s="1">
        <v>81015.769615725658</v>
      </c>
      <c r="FM125" s="1">
        <v>10790.979273064939</v>
      </c>
      <c r="FN125" s="1">
        <v>104.38962980297309</v>
      </c>
      <c r="FO125" s="1">
        <v>43114.229745239674</v>
      </c>
      <c r="FP125" s="1">
        <v>16988.778407808728</v>
      </c>
      <c r="FQ125" s="1">
        <v>655.84960059777654</v>
      </c>
      <c r="FR125" s="1">
        <v>522007.30949195416</v>
      </c>
      <c r="FS125" s="1">
        <v>896217.60998927196</v>
      </c>
      <c r="HC125" s="1">
        <v>1917</v>
      </c>
      <c r="HD125" s="1">
        <v>842.01240042132542</v>
      </c>
      <c r="HE125" s="1">
        <v>862.93962115384011</v>
      </c>
      <c r="HF125" s="1">
        <v>167.9212772993194</v>
      </c>
      <c r="HG125" s="1">
        <v>238.84229255163453</v>
      </c>
      <c r="HH125" s="1">
        <v>545.91352324815455</v>
      </c>
      <c r="HI125" s="1">
        <v>243.21905875405059</v>
      </c>
      <c r="HJ125" s="1">
        <v>7.794049507617399</v>
      </c>
      <c r="HK125" s="2">
        <v>2908.6422229359414</v>
      </c>
      <c r="HL125" s="1">
        <v>2665.423164181891</v>
      </c>
      <c r="HN125" s="1">
        <v>1917</v>
      </c>
      <c r="HO125" s="1">
        <v>480.63418206437461</v>
      </c>
      <c r="HP125" s="1">
        <v>130.79137442216842</v>
      </c>
      <c r="HQ125" s="1">
        <v>24.453828907780512</v>
      </c>
      <c r="HR125" s="1">
        <v>0.24975460330304955</v>
      </c>
      <c r="HS125" s="1">
        <v>162.48548434896708</v>
      </c>
      <c r="HT125" s="1">
        <v>1.8265280263939723</v>
      </c>
      <c r="HU125" s="2">
        <v>800.4411523729874</v>
      </c>
      <c r="HW125" s="1">
        <v>1917</v>
      </c>
      <c r="HX125" s="1">
        <v>652.90246601551848</v>
      </c>
      <c r="HY125" s="1">
        <v>701.26927301184026</v>
      </c>
      <c r="HZ125" s="1">
        <v>49.48195413543155</v>
      </c>
      <c r="IA125" s="1">
        <v>99.568898719480899</v>
      </c>
      <c r="IB125" s="1">
        <v>647.52558669641496</v>
      </c>
      <c r="IC125" s="1">
        <v>29.529659358286757</v>
      </c>
      <c r="ID125" s="1">
        <v>456.0201508293282</v>
      </c>
      <c r="IE125" s="2">
        <v>2636.2979887663009</v>
      </c>
      <c r="IF125" s="1">
        <v>2606.7683294080143</v>
      </c>
      <c r="IH125" s="1">
        <v>1917</v>
      </c>
      <c r="II125" s="1">
        <v>203.35742754161834</v>
      </c>
      <c r="IJ125" s="1">
        <v>69.850165624823845</v>
      </c>
      <c r="IK125" s="1">
        <v>20.222806486457053</v>
      </c>
      <c r="IL125" s="1">
        <v>220.6804396814411</v>
      </c>
      <c r="IM125" s="1">
        <v>56.517237317643286</v>
      </c>
      <c r="IN125" s="1">
        <v>16.36269782898961</v>
      </c>
      <c r="IO125" s="1">
        <v>-4.7057888815418352</v>
      </c>
    </row>
    <row r="126" spans="1:249" x14ac:dyDescent="0.25">
      <c r="A126" s="1" t="s">
        <v>217</v>
      </c>
      <c r="B126" s="1">
        <v>-6.2303078521431701</v>
      </c>
      <c r="C126" s="1">
        <v>-6.4611426996211634</v>
      </c>
      <c r="D126" s="1">
        <v>-5.2521998047459988</v>
      </c>
      <c r="E126" s="1">
        <v>-7.198318616538387</v>
      </c>
      <c r="F126" s="1">
        <v>-5.8180936587985457</v>
      </c>
      <c r="G126" s="1">
        <v>-2.1861358579460557</v>
      </c>
      <c r="H126" s="1">
        <v>-2.6446632734097051</v>
      </c>
      <c r="J126" s="1">
        <v>1918</v>
      </c>
      <c r="K126" s="2">
        <v>8842.6758330400007</v>
      </c>
      <c r="L126" s="1">
        <v>8464.8502099357793</v>
      </c>
      <c r="M126" s="1">
        <v>8023.4443311773475</v>
      </c>
      <c r="N126" s="1">
        <v>7645.6187080731261</v>
      </c>
      <c r="O126" s="1">
        <v>819.2315018626532</v>
      </c>
      <c r="P126" s="1">
        <v>377.82562310422145</v>
      </c>
      <c r="Q126" s="1">
        <v>8464.1079982961201</v>
      </c>
      <c r="R126" s="1">
        <v>17306.783831336121</v>
      </c>
      <c r="S126" s="1">
        <v>16928.958208231899</v>
      </c>
      <c r="U126" s="1">
        <v>1918</v>
      </c>
      <c r="V126" s="1">
        <v>1522.6710390320484</v>
      </c>
      <c r="W126" s="1">
        <v>32675.206753226441</v>
      </c>
      <c r="X126" s="1">
        <v>-2.6607563575886815</v>
      </c>
      <c r="Y126" s="1">
        <v>1457.6110792452771</v>
      </c>
      <c r="Z126" s="1">
        <v>27837.81978913386</v>
      </c>
      <c r="AA126" s="1">
        <v>-6.6853048868571534</v>
      </c>
      <c r="AB126" s="1">
        <v>5807344.8606871972</v>
      </c>
      <c r="AC126" s="1">
        <v>0.48759419313570618</v>
      </c>
      <c r="AE126" s="1">
        <v>1918</v>
      </c>
      <c r="AF126" s="1">
        <v>2555.6101837190145</v>
      </c>
      <c r="AG126" s="1">
        <v>2026.7131021061311</v>
      </c>
      <c r="AH126" s="1">
        <v>363.79198654622797</v>
      </c>
      <c r="AI126" s="1">
        <v>634.05129037349195</v>
      </c>
      <c r="AJ126" s="1">
        <v>1092.6120853198593</v>
      </c>
      <c r="AK126" s="1">
        <v>776.77733487298747</v>
      </c>
      <c r="AL126" s="1">
        <v>484.08258047853752</v>
      </c>
      <c r="AM126" s="1">
        <v>531.21164651952972</v>
      </c>
      <c r="AN126" s="2">
        <v>8464.8502099357793</v>
      </c>
      <c r="AP126" s="1" t="s">
        <v>217</v>
      </c>
      <c r="AQ126" s="1">
        <v>-16.137624536040946</v>
      </c>
      <c r="AR126" s="1">
        <v>-13.349734024282697</v>
      </c>
      <c r="AS126" s="1">
        <v>-3.4024854065822865</v>
      </c>
      <c r="AT126" s="1">
        <v>9.9645008249791971</v>
      </c>
      <c r="AU126" s="1">
        <v>3.4732147309718187</v>
      </c>
      <c r="AV126" s="1">
        <v>3.8578741808794206</v>
      </c>
      <c r="AW126" s="1">
        <v>24.703574127516021</v>
      </c>
      <c r="AX126" s="1">
        <v>0.95208357270260535</v>
      </c>
      <c r="AY126" s="1">
        <v>-6.2303078521431701</v>
      </c>
      <c r="BA126" s="1">
        <v>1918</v>
      </c>
      <c r="BB126" s="1">
        <v>6595.3817640182288</v>
      </c>
      <c r="BC126" s="1">
        <v>891.35620543974335</v>
      </c>
      <c r="BD126" s="1">
        <v>773.82064143562002</v>
      </c>
      <c r="BE126" s="1">
        <v>349.95983978317059</v>
      </c>
      <c r="BF126" s="1">
        <v>-89.775999999999996</v>
      </c>
      <c r="BG126" s="1">
        <v>-70.321052777864296</v>
      </c>
      <c r="BH126" s="1">
        <v>1931.2956465979412</v>
      </c>
      <c r="BI126" s="1">
        <v>1539.0412114568392</v>
      </c>
      <c r="BJ126" s="1">
        <v>8842.6758330400007</v>
      </c>
      <c r="BL126" s="1" t="s">
        <v>217</v>
      </c>
      <c r="BM126" s="1">
        <v>5.0407122140805143</v>
      </c>
      <c r="BN126" s="1">
        <v>20.463414570813157</v>
      </c>
      <c r="BO126" s="1">
        <v>-16.808344616802799</v>
      </c>
      <c r="BP126" s="1">
        <v>-14.390602055800301</v>
      </c>
      <c r="BQ126" s="1">
        <v>9.4117647058823621</v>
      </c>
      <c r="BR126" s="1">
        <v>-2.1861358579460557</v>
      </c>
      <c r="BT126" s="1" t="s">
        <v>217</v>
      </c>
      <c r="BU126" s="1">
        <v>39.185142534570389</v>
      </c>
      <c r="BV126" s="1">
        <v>43.473833927862557</v>
      </c>
      <c r="BW126" s="1">
        <v>35.85455174044165</v>
      </c>
      <c r="BX126" s="1">
        <v>28.423132654195143</v>
      </c>
      <c r="BY126" s="1">
        <v>42.047056804109815</v>
      </c>
      <c r="BZ126" s="1">
        <v>36.027411665655023</v>
      </c>
      <c r="CB126" s="1">
        <v>1918</v>
      </c>
      <c r="CC126" s="1">
        <v>15.624957320011134</v>
      </c>
      <c r="CD126" s="1">
        <v>389.53777590833778</v>
      </c>
      <c r="CE126" s="1">
        <v>31.149606044691055</v>
      </c>
      <c r="CF126" s="1">
        <v>215.76350117526249</v>
      </c>
      <c r="CG126" s="1">
        <v>22.69833039172946</v>
      </c>
      <c r="CH126" s="1">
        <v>51.534549183378644</v>
      </c>
      <c r="CI126" s="1">
        <v>237.3747084175159</v>
      </c>
      <c r="CJ126" s="1">
        <v>963.68342844092638</v>
      </c>
      <c r="CL126" s="1">
        <v>1918</v>
      </c>
      <c r="CM126" s="1">
        <v>115.96904715851056</v>
      </c>
      <c r="CN126" s="1">
        <v>205.98209926163753</v>
      </c>
      <c r="CO126" s="1">
        <v>12.108092034534236</v>
      </c>
      <c r="CP126" s="1">
        <v>184.67334038259219</v>
      </c>
      <c r="CQ126" s="1">
        <v>22.861343067640657</v>
      </c>
      <c r="CR126" s="1">
        <v>41.617969828028627</v>
      </c>
      <c r="CS126" s="1">
        <v>236.01961012970935</v>
      </c>
      <c r="CT126" s="2">
        <v>819.2315018626532</v>
      </c>
      <c r="CV126" s="1">
        <v>1918</v>
      </c>
      <c r="CW126" s="1">
        <v>7812.4982623809829</v>
      </c>
      <c r="CX126" s="1">
        <v>7935.3906277471742</v>
      </c>
      <c r="CY126" s="1">
        <v>2005.0675144064605</v>
      </c>
      <c r="CZ126" s="1">
        <v>1993.1379999999999</v>
      </c>
      <c r="DA126" s="1">
        <v>3166.5993046914705</v>
      </c>
      <c r="DB126" s="1">
        <v>22912.693709226085</v>
      </c>
      <c r="DC126" s="1">
        <v>21702.979718889128</v>
      </c>
      <c r="DD126" s="1">
        <v>5170.8716748091001</v>
      </c>
      <c r="DF126" s="1">
        <v>1918</v>
      </c>
      <c r="DG126" s="1">
        <v>1.4072725529196362</v>
      </c>
      <c r="DH126" s="1">
        <v>1.7345261941770218E-2</v>
      </c>
      <c r="DI126" s="1">
        <v>2.7767131602274731</v>
      </c>
      <c r="DJ126" s="1">
        <v>4.1058256363574657</v>
      </c>
      <c r="DK126" s="1">
        <v>3.1456259225448662</v>
      </c>
      <c r="DL126" s="1">
        <v>-2.2207120640012903</v>
      </c>
      <c r="DM126" s="1">
        <v>1.1234331514898201</v>
      </c>
      <c r="DN126" s="1">
        <v>1.1396055326009673</v>
      </c>
      <c r="DO126" s="1">
        <v>2.899024823021378</v>
      </c>
      <c r="DQ126" s="1">
        <v>1918</v>
      </c>
      <c r="DR126" s="1">
        <v>13709.190638107842</v>
      </c>
      <c r="DS126" s="1">
        <v>15420.536577685096</v>
      </c>
      <c r="DT126" s="1">
        <v>3628.3896057110142</v>
      </c>
      <c r="DU126" s="1">
        <v>1993.1379999999999</v>
      </c>
      <c r="DV126" s="1">
        <v>3166.5993046914705</v>
      </c>
      <c r="DW126" s="1">
        <v>37917.854126195431</v>
      </c>
      <c r="DX126" s="1">
        <v>35954.720520694143</v>
      </c>
      <c r="DY126" s="1">
        <v>6986.7296275462268</v>
      </c>
      <c r="EA126" s="1">
        <v>1918</v>
      </c>
      <c r="EB126" s="1">
        <v>1.801348037200313</v>
      </c>
      <c r="EC126" s="1">
        <v>1.0572659372987516</v>
      </c>
      <c r="ED126" s="1">
        <v>2.4632707003706713</v>
      </c>
      <c r="EE126" s="1">
        <v>4.9285801138362331</v>
      </c>
      <c r="EF126" s="1">
        <v>3.1456259225448804</v>
      </c>
      <c r="EG126" s="1">
        <v>-2.2207120640012903</v>
      </c>
      <c r="EH126" s="1">
        <v>1.7282972385440871</v>
      </c>
      <c r="EI126" s="1">
        <v>1.7211025104057853</v>
      </c>
      <c r="EJ126" s="1">
        <v>3.7540626271071744</v>
      </c>
      <c r="EL126" s="1">
        <v>1918</v>
      </c>
      <c r="EM126" s="1">
        <v>1148167.790252158</v>
      </c>
      <c r="EN126" s="1">
        <v>640237.6265847903</v>
      </c>
      <c r="EO126" s="1">
        <v>92001.348991577601</v>
      </c>
      <c r="EP126" s="1">
        <v>112996.90229595589</v>
      </c>
      <c r="EQ126" s="1">
        <v>168478.86266789155</v>
      </c>
      <c r="ER126" s="1">
        <v>199753.94017206552</v>
      </c>
      <c r="ES126" s="1">
        <v>132451.56042067634</v>
      </c>
      <c r="ET126" s="1">
        <v>3992.2345442699107</v>
      </c>
      <c r="EU126" s="1">
        <v>2498080.2659293837</v>
      </c>
      <c r="EV126" s="1">
        <v>2365628.7055087085</v>
      </c>
      <c r="EX126" s="1">
        <v>1918</v>
      </c>
      <c r="EY126" s="1">
        <v>778830.47703244339</v>
      </c>
      <c r="EZ126" s="1">
        <v>558406.26197293319</v>
      </c>
      <c r="FA126" s="1">
        <v>82064.496473453546</v>
      </c>
      <c r="FB126" s="1">
        <v>112892.51266615292</v>
      </c>
      <c r="FC126" s="1">
        <v>124760.08810550492</v>
      </c>
      <c r="FD126" s="1">
        <v>182185.28827005121</v>
      </c>
      <c r="FE126" s="1">
        <v>132451.56042067634</v>
      </c>
      <c r="FF126" s="1">
        <v>3327.2167484921169</v>
      </c>
      <c r="FG126" s="1">
        <v>1974917.9016897075</v>
      </c>
      <c r="FH126" s="1">
        <v>1842466.3412690312</v>
      </c>
      <c r="FJ126" s="1">
        <v>1918</v>
      </c>
      <c r="FK126" s="1">
        <v>369337.31321971444</v>
      </c>
      <c r="FL126" s="1">
        <v>81831.364611857134</v>
      </c>
      <c r="FM126" s="1">
        <v>9936.8525181240566</v>
      </c>
      <c r="FN126" s="1">
        <v>104.38962980297309</v>
      </c>
      <c r="FO126" s="1">
        <v>43718.774562386614</v>
      </c>
      <c r="FP126" s="1">
        <v>17568.651902014306</v>
      </c>
      <c r="FQ126" s="1">
        <v>665.01779577779382</v>
      </c>
      <c r="FR126" s="1">
        <v>523162.36423967732</v>
      </c>
      <c r="FS126" s="1">
        <v>900709.08425719733</v>
      </c>
      <c r="HC126" s="1">
        <v>1918</v>
      </c>
      <c r="HD126" s="1">
        <v>1070.4839698846645</v>
      </c>
      <c r="HE126" s="1">
        <v>1146.7324478447615</v>
      </c>
      <c r="HF126" s="1">
        <v>226.97642072091008</v>
      </c>
      <c r="HG126" s="1">
        <v>407.00676383798947</v>
      </c>
      <c r="HH126" s="1">
        <v>780.6512894906507</v>
      </c>
      <c r="HI126" s="1">
        <v>442.46461065050869</v>
      </c>
      <c r="HJ126" s="1">
        <v>12.093393620113277</v>
      </c>
      <c r="HK126" s="2">
        <v>4086.4088960495988</v>
      </c>
      <c r="HL126" s="1">
        <v>3643.9442853990899</v>
      </c>
      <c r="HN126" s="1">
        <v>1918</v>
      </c>
      <c r="HO126" s="1">
        <v>639.25538855212096</v>
      </c>
      <c r="HP126" s="1">
        <v>180.64154117276388</v>
      </c>
      <c r="HQ126" s="1">
        <v>30.790954347534907</v>
      </c>
      <c r="HR126" s="1">
        <v>0.40532048272893018</v>
      </c>
      <c r="HS126" s="1">
        <v>218.08994870515562</v>
      </c>
      <c r="HT126" s="1">
        <v>2.798720366952991</v>
      </c>
      <c r="HU126" s="2">
        <v>1071.9818736272571</v>
      </c>
      <c r="HW126" s="1">
        <v>1918</v>
      </c>
      <c r="HX126" s="1">
        <v>992.00082528222902</v>
      </c>
      <c r="HY126" s="1">
        <v>699.3391130886057</v>
      </c>
      <c r="HZ126" s="1">
        <v>106.02461147778297</v>
      </c>
      <c r="IA126" s="1">
        <v>80.509206052773607</v>
      </c>
      <c r="IB126" s="1">
        <v>870.64818199704064</v>
      </c>
      <c r="IC126" s="1">
        <v>41.617969828028826</v>
      </c>
      <c r="ID126" s="1">
        <v>516.31953253246343</v>
      </c>
      <c r="IE126" s="2">
        <v>3306.4594402589246</v>
      </c>
      <c r="IF126" s="1">
        <v>3264.8414704308952</v>
      </c>
      <c r="IH126" s="1">
        <v>1918</v>
      </c>
      <c r="II126" s="1">
        <v>243.603183131712</v>
      </c>
      <c r="IJ126" s="1">
        <v>51.909084206751587</v>
      </c>
      <c r="IK126" s="1">
        <v>14.027383244050426</v>
      </c>
      <c r="IL126" s="1">
        <v>269.78277663801924</v>
      </c>
      <c r="IM126" s="1">
        <v>37.167898264462259</v>
      </c>
      <c r="IN126" s="1">
        <v>10.04387500374504</v>
      </c>
      <c r="IO126" s="1">
        <v>-1.7584024245994101</v>
      </c>
    </row>
    <row r="127" spans="1:249" x14ac:dyDescent="0.25">
      <c r="A127" s="1" t="s">
        <v>218</v>
      </c>
      <c r="B127" s="1">
        <v>4.5957643258254421</v>
      </c>
      <c r="C127" s="1">
        <v>4.4441159478395349</v>
      </c>
      <c r="D127" s="1">
        <v>5.1732030495609251</v>
      </c>
      <c r="E127" s="1">
        <v>4.0214959484329569</v>
      </c>
      <c r="F127" s="1">
        <v>4.1727066690286421</v>
      </c>
      <c r="G127" s="1">
        <v>1.444311897335254</v>
      </c>
      <c r="H127" s="1">
        <v>1.3940070209309567</v>
      </c>
      <c r="J127" s="1">
        <v>1919</v>
      </c>
      <c r="K127" s="2">
        <v>11003.944457304089</v>
      </c>
      <c r="L127" s="1">
        <v>10433.62530445439</v>
      </c>
      <c r="M127" s="1">
        <v>10004.809759926909</v>
      </c>
      <c r="N127" s="1">
        <v>9434.4906070772104</v>
      </c>
      <c r="O127" s="1">
        <v>999.13469737717946</v>
      </c>
      <c r="P127" s="1">
        <v>570.31915284969909</v>
      </c>
      <c r="Q127" s="1">
        <v>9078.5041594842824</v>
      </c>
      <c r="R127" s="1">
        <v>20082.448616788373</v>
      </c>
      <c r="S127" s="1">
        <v>19512.129463938672</v>
      </c>
      <c r="U127" s="1">
        <v>1919</v>
      </c>
      <c r="V127" s="1">
        <v>1887.3331029273784</v>
      </c>
      <c r="W127" s="1">
        <v>33015.952369900922</v>
      </c>
      <c r="X127" s="1">
        <v>1.042826199227747</v>
      </c>
      <c r="Y127" s="1">
        <v>1789.5152503761262</v>
      </c>
      <c r="Z127" s="1">
        <v>29001.943445922534</v>
      </c>
      <c r="AA127" s="1">
        <v>4.1818061385794181</v>
      </c>
      <c r="AB127" s="1">
        <v>5830419.8873194372</v>
      </c>
      <c r="AC127" s="1">
        <v>0.39734211047885992</v>
      </c>
      <c r="AE127" s="1">
        <v>1919</v>
      </c>
      <c r="AF127" s="1">
        <v>2994.7826236284136</v>
      </c>
      <c r="AG127" s="1">
        <v>2575.2824400192731</v>
      </c>
      <c r="AH127" s="1">
        <v>498.69694003906284</v>
      </c>
      <c r="AI127" s="1">
        <v>789.75898514636981</v>
      </c>
      <c r="AJ127" s="1">
        <v>1440.950248820347</v>
      </c>
      <c r="AK127" s="1">
        <v>905.15193349884703</v>
      </c>
      <c r="AL127" s="1">
        <v>607.16624321252459</v>
      </c>
      <c r="AM127" s="1">
        <v>621.83589008954982</v>
      </c>
      <c r="AN127" s="2">
        <v>10433.625304454388</v>
      </c>
      <c r="AP127" s="1" t="s">
        <v>218</v>
      </c>
      <c r="AQ127" s="1">
        <v>4.0819711167376482</v>
      </c>
      <c r="AR127" s="1">
        <v>4.2787183594990381</v>
      </c>
      <c r="AS127" s="1">
        <v>-3.069711260953838</v>
      </c>
      <c r="AT127" s="1">
        <v>13.461264456205186</v>
      </c>
      <c r="AU127" s="1">
        <v>6.0744489509352775</v>
      </c>
      <c r="AV127" s="1">
        <v>6.9750716568804734</v>
      </c>
      <c r="AW127" s="1">
        <v>1.032624908123438</v>
      </c>
      <c r="AX127" s="1">
        <v>0.18619108849955524</v>
      </c>
      <c r="AY127" s="1">
        <v>4.5957643258254421</v>
      </c>
      <c r="BA127" s="1">
        <v>1919</v>
      </c>
      <c r="BB127" s="1">
        <v>9441.7047176088818</v>
      </c>
      <c r="BC127" s="1">
        <v>919.89643420365053</v>
      </c>
      <c r="BD127" s="1">
        <v>926.64663006906585</v>
      </c>
      <c r="BE127" s="1">
        <v>360.61478119069648</v>
      </c>
      <c r="BF127" s="1">
        <v>40.850999999999999</v>
      </c>
      <c r="BG127" s="1">
        <v>-7.0541386496257346</v>
      </c>
      <c r="BH127" s="1">
        <v>2181.4401235785381</v>
      </c>
      <c r="BI127" s="1">
        <v>2860.1550906971192</v>
      </c>
      <c r="BJ127" s="1">
        <v>11003.944457304087</v>
      </c>
      <c r="BL127" s="1" t="s">
        <v>218</v>
      </c>
      <c r="BM127" s="1">
        <v>20.315746836156308</v>
      </c>
      <c r="BN127" s="1">
        <v>-33.643383689127219</v>
      </c>
      <c r="BO127" s="1">
        <v>13.244985214809262</v>
      </c>
      <c r="BP127" s="1">
        <v>2.0583190394511064</v>
      </c>
      <c r="BQ127" s="1">
        <v>69.032258064516157</v>
      </c>
      <c r="BR127" s="1">
        <v>1.4443118973352682</v>
      </c>
      <c r="BT127" s="1" t="s">
        <v>218</v>
      </c>
      <c r="BU127" s="1">
        <v>18.983846254160014</v>
      </c>
      <c r="BV127" s="1">
        <v>55.526146287894591</v>
      </c>
      <c r="BW127" s="1">
        <v>21.051062215613882</v>
      </c>
      <c r="BX127" s="1">
        <v>10.674131963170353</v>
      </c>
      <c r="BY127" s="1">
        <v>9.9435461739651316</v>
      </c>
      <c r="BZ127" s="1">
        <v>22.669610023991666</v>
      </c>
      <c r="CB127" s="1">
        <v>1919</v>
      </c>
      <c r="CC127" s="1">
        <v>164.03128345869425</v>
      </c>
      <c r="CD127" s="1">
        <v>437.59421903608171</v>
      </c>
      <c r="CE127" s="1">
        <v>19.407574059058039</v>
      </c>
      <c r="CF127" s="1">
        <v>250.04900359858584</v>
      </c>
      <c r="CG127" s="1">
        <v>63.802671004091557</v>
      </c>
      <c r="CH127" s="1">
        <v>87.320152455950549</v>
      </c>
      <c r="CI127" s="1">
        <v>298.85336899767464</v>
      </c>
      <c r="CJ127" s="1">
        <v>1321.0582726101363</v>
      </c>
      <c r="CL127" s="1">
        <v>1919</v>
      </c>
      <c r="CM127" s="1">
        <v>134.34374062645912</v>
      </c>
      <c r="CN127" s="1">
        <v>246.11725954401288</v>
      </c>
      <c r="CO127" s="1">
        <v>13.763873251881071</v>
      </c>
      <c r="CP127" s="1">
        <v>231.4737990410822</v>
      </c>
      <c r="CQ127" s="1">
        <v>28.617105824942673</v>
      </c>
      <c r="CR127" s="1">
        <v>49.7214633467566</v>
      </c>
      <c r="CS127" s="1">
        <v>295.09745574204487</v>
      </c>
      <c r="CT127" s="2">
        <v>999.13469737717946</v>
      </c>
      <c r="CV127" s="1">
        <v>1919</v>
      </c>
      <c r="CW127" s="1">
        <v>9721.9423028401543</v>
      </c>
      <c r="CX127" s="1">
        <v>10132.063673673099</v>
      </c>
      <c r="CY127" s="1">
        <v>2293.2717453433747</v>
      </c>
      <c r="CZ127" s="1">
        <v>1774.884</v>
      </c>
      <c r="DA127" s="1">
        <v>3832.0638504972303</v>
      </c>
      <c r="DB127" s="1">
        <v>27754.225572353862</v>
      </c>
      <c r="DC127" s="1">
        <v>26273.473466437717</v>
      </c>
      <c r="DD127" s="1">
        <v>6444.8342427729658</v>
      </c>
      <c r="DF127" s="1">
        <v>1919</v>
      </c>
      <c r="DG127" s="1">
        <v>1.1579113180907967</v>
      </c>
      <c r="DH127" s="1">
        <v>3.8633362949852312E-2</v>
      </c>
      <c r="DI127" s="1">
        <v>2.2321390039682854</v>
      </c>
      <c r="DJ127" s="1">
        <v>2.5489212450663814</v>
      </c>
      <c r="DK127" s="1">
        <v>-0.97213910950789284</v>
      </c>
      <c r="DL127" s="1">
        <v>-0.18408197057337361</v>
      </c>
      <c r="DM127" s="1">
        <v>1.0091405465393279</v>
      </c>
      <c r="DN127" s="1">
        <v>0.92190642746135154</v>
      </c>
      <c r="DO127" s="1">
        <v>3.2837039081261565</v>
      </c>
      <c r="DQ127" s="1">
        <v>1919</v>
      </c>
      <c r="DR127" s="1">
        <v>17237.216749275132</v>
      </c>
      <c r="DS127" s="1">
        <v>19634.014663224425</v>
      </c>
      <c r="DT127" s="1">
        <v>4189.6571283606581</v>
      </c>
      <c r="DU127" s="1">
        <v>1774.884</v>
      </c>
      <c r="DV127" s="1">
        <v>3832.0638504972303</v>
      </c>
      <c r="DW127" s="1">
        <v>46667.83639135745</v>
      </c>
      <c r="DX127" s="1">
        <v>44243.488332160916</v>
      </c>
      <c r="DY127" s="1">
        <v>8715.1973150193262</v>
      </c>
      <c r="EA127" s="1">
        <v>1919</v>
      </c>
      <c r="EB127" s="1">
        <v>1.6530907535089909</v>
      </c>
      <c r="EC127" s="1">
        <v>1.0472599372048705</v>
      </c>
      <c r="ED127" s="1">
        <v>2.1850719711088686</v>
      </c>
      <c r="EE127" s="1">
        <v>3.9062028948485334</v>
      </c>
      <c r="EF127" s="1">
        <v>-0.97213910950789284</v>
      </c>
      <c r="EG127" s="1">
        <v>-0.18408197057337361</v>
      </c>
      <c r="EH127" s="1">
        <v>1.6432868467834538</v>
      </c>
      <c r="EI127" s="1">
        <v>1.5755087710387556</v>
      </c>
      <c r="EJ127" s="1">
        <v>4.0076814741479581</v>
      </c>
      <c r="EL127" s="1">
        <v>1919</v>
      </c>
      <c r="EM127" s="1">
        <v>1152062.9868411198</v>
      </c>
      <c r="EN127" s="1">
        <v>655165.16253807873</v>
      </c>
      <c r="EO127" s="1">
        <v>104088.81540301812</v>
      </c>
      <c r="EP127" s="1">
        <v>118423.70986939376</v>
      </c>
      <c r="EQ127" s="1">
        <v>184086.64315396981</v>
      </c>
      <c r="ER127" s="1">
        <v>206682.65943042905</v>
      </c>
      <c r="ES127" s="1">
        <v>133667.82819313434</v>
      </c>
      <c r="ET127" s="1">
        <v>4090.6870657487316</v>
      </c>
      <c r="EU127" s="1">
        <v>2558268.4924948919</v>
      </c>
      <c r="EV127" s="1">
        <v>2424600.6643017582</v>
      </c>
      <c r="EX127" s="1">
        <v>1919</v>
      </c>
      <c r="EY127" s="1">
        <v>785897.58459031407</v>
      </c>
      <c r="EZ127" s="1">
        <v>571430.74293524818</v>
      </c>
      <c r="FA127" s="1">
        <v>93532.954425398915</v>
      </c>
      <c r="FB127" s="1">
        <v>117901.7617203789</v>
      </c>
      <c r="FC127" s="1">
        <v>137501.66088113841</v>
      </c>
      <c r="FD127" s="1">
        <v>188263.92166320345</v>
      </c>
      <c r="FE127" s="1">
        <v>133667.82819313434</v>
      </c>
      <c r="FF127" s="1">
        <v>3416.3686236723634</v>
      </c>
      <c r="FG127" s="1">
        <v>2031612.8230324886</v>
      </c>
      <c r="FH127" s="1">
        <v>1897944.9948393542</v>
      </c>
      <c r="FJ127" s="1">
        <v>1919</v>
      </c>
      <c r="FK127" s="1">
        <v>366165.40225080587</v>
      </c>
      <c r="FL127" s="1">
        <v>83734.41960283056</v>
      </c>
      <c r="FM127" s="1">
        <v>10555.860977619206</v>
      </c>
      <c r="FN127" s="1">
        <v>521.94814901486541</v>
      </c>
      <c r="FO127" s="1">
        <v>46584.98227283141</v>
      </c>
      <c r="FP127" s="1">
        <v>18418.73776722563</v>
      </c>
      <c r="FQ127" s="1">
        <v>674.31844207636823</v>
      </c>
      <c r="FR127" s="1">
        <v>526655.66946240386</v>
      </c>
      <c r="FS127" s="1">
        <v>905223.0679479175</v>
      </c>
      <c r="HC127" s="1">
        <v>1919</v>
      </c>
      <c r="HD127" s="1">
        <v>1269.6351696531922</v>
      </c>
      <c r="HE127" s="1">
        <v>1470.5799690209044</v>
      </c>
      <c r="HF127" s="1">
        <v>324.19275825965565</v>
      </c>
      <c r="HG127" s="1">
        <v>549.58098949381213</v>
      </c>
      <c r="HH127" s="1">
        <v>954.70236247719765</v>
      </c>
      <c r="HI127" s="1">
        <v>557.44477986576794</v>
      </c>
      <c r="HJ127" s="1">
        <v>13.099709369337571</v>
      </c>
      <c r="HK127" s="2">
        <v>5139.2357381398679</v>
      </c>
      <c r="HL127" s="1">
        <v>4581.7909582740995</v>
      </c>
      <c r="HN127" s="1">
        <v>1919</v>
      </c>
      <c r="HO127" s="1">
        <v>744.91081330574161</v>
      </c>
      <c r="HP127" s="1">
        <v>231.64080927376548</v>
      </c>
      <c r="HQ127" s="1">
        <v>40.990308825057859</v>
      </c>
      <c r="HR127" s="1">
        <v>2.6202544995471362</v>
      </c>
      <c r="HS127" s="1">
        <v>273.15612817850325</v>
      </c>
      <c r="HT127" s="1">
        <v>2.9937885242689215</v>
      </c>
      <c r="HU127" s="2">
        <v>1296.3121026068843</v>
      </c>
      <c r="HW127" s="1">
        <v>1919</v>
      </c>
      <c r="HX127" s="1">
        <v>1173.8506406694798</v>
      </c>
      <c r="HY127" s="1">
        <v>873.06166172460303</v>
      </c>
      <c r="HZ127" s="1">
        <v>133.51387295434932</v>
      </c>
      <c r="IA127" s="1">
        <v>43.943741153010592</v>
      </c>
      <c r="IB127" s="1">
        <v>1118.2436916634929</v>
      </c>
      <c r="IC127" s="1">
        <v>49.721463346756664</v>
      </c>
      <c r="ID127" s="1">
        <v>605.74239219594335</v>
      </c>
      <c r="IE127" s="2">
        <v>3998.0774637076356</v>
      </c>
      <c r="IF127" s="1">
        <v>3948.3560003608791</v>
      </c>
      <c r="IH127" s="1">
        <v>1919</v>
      </c>
      <c r="II127" s="1">
        <v>236.52941355623702</v>
      </c>
      <c r="IJ127" s="1">
        <v>50.41768043096959</v>
      </c>
      <c r="IK127" s="1">
        <v>14.170945212426577</v>
      </c>
      <c r="IL127" s="1">
        <v>260.01574115117256</v>
      </c>
      <c r="IM127" s="1">
        <v>36.830968707166164</v>
      </c>
      <c r="IN127" s="1">
        <v>10.352115274015036</v>
      </c>
      <c r="IO127" s="1">
        <v>5.3234845604039265</v>
      </c>
    </row>
    <row r="128" spans="1:249" x14ac:dyDescent="0.25">
      <c r="A128" s="1" t="s">
        <v>219</v>
      </c>
      <c r="B128" s="1">
        <v>6.7017603007714968</v>
      </c>
      <c r="C128" s="1">
        <v>6.4734937240169472</v>
      </c>
      <c r="D128" s="1">
        <v>7.2029195696438677</v>
      </c>
      <c r="E128" s="1">
        <v>6.2029438842559728</v>
      </c>
      <c r="F128" s="1">
        <v>7.1857103558567132</v>
      </c>
      <c r="G128" s="1">
        <v>4.7482432369525753</v>
      </c>
      <c r="H128" s="1">
        <v>4.9802418418940277</v>
      </c>
      <c r="J128" s="1">
        <v>1920</v>
      </c>
      <c r="K128" s="2">
        <v>12200.330457361921</v>
      </c>
      <c r="L128" s="1">
        <v>11536.323608143024</v>
      </c>
      <c r="M128" s="1">
        <v>11071.893804030648</v>
      </c>
      <c r="N128" s="1">
        <v>10407.886954811751</v>
      </c>
      <c r="O128" s="1">
        <v>1128.4366533312727</v>
      </c>
      <c r="P128" s="1">
        <v>664.0068492188957</v>
      </c>
      <c r="Q128" s="1">
        <v>10844.771537581039</v>
      </c>
      <c r="R128" s="1">
        <v>23045.101994942961</v>
      </c>
      <c r="S128" s="1">
        <v>22381.095145724063</v>
      </c>
      <c r="U128" s="1">
        <v>1920</v>
      </c>
      <c r="V128" s="1">
        <v>2076.4071426874089</v>
      </c>
      <c r="W128" s="1">
        <v>34317.159222188151</v>
      </c>
      <c r="X128" s="1">
        <v>3.9411458973192453</v>
      </c>
      <c r="Y128" s="1">
        <v>1963.3980263089661</v>
      </c>
      <c r="Z128" s="1">
        <v>30707.144869927914</v>
      </c>
      <c r="AA128" s="1">
        <v>5.8796108860253611</v>
      </c>
      <c r="AB128" s="1">
        <v>5875692.7803530535</v>
      </c>
      <c r="AC128" s="1">
        <v>0.77649455628538533</v>
      </c>
      <c r="AE128" s="1">
        <v>1920</v>
      </c>
      <c r="AF128" s="1">
        <v>2976.6295017358134</v>
      </c>
      <c r="AG128" s="1">
        <v>3064.6627385004103</v>
      </c>
      <c r="AH128" s="1">
        <v>508.00286670482137</v>
      </c>
      <c r="AI128" s="1">
        <v>887.70728849674686</v>
      </c>
      <c r="AJ128" s="1">
        <v>1643.3096732161325</v>
      </c>
      <c r="AK128" s="1">
        <v>1004.1990831778176</v>
      </c>
      <c r="AL128" s="1">
        <v>739.02649210456957</v>
      </c>
      <c r="AM128" s="1">
        <v>712.78596420671374</v>
      </c>
      <c r="AN128" s="2">
        <v>11536.323608143026</v>
      </c>
      <c r="AP128" s="1" t="s">
        <v>219</v>
      </c>
      <c r="AQ128" s="1">
        <v>11.218861854169845</v>
      </c>
      <c r="AR128" s="1">
        <v>4.3425031506823615</v>
      </c>
      <c r="AS128" s="1">
        <v>-2.9294928966522917</v>
      </c>
      <c r="AT128" s="1">
        <v>14.044532342079947</v>
      </c>
      <c r="AU128" s="1">
        <v>7.2262440793861913</v>
      </c>
      <c r="AV128" s="1">
        <v>4.003594870390188</v>
      </c>
      <c r="AW128" s="1">
        <v>4.995178079683015</v>
      </c>
      <c r="AX128" s="1">
        <v>0.37885422482663955</v>
      </c>
      <c r="AY128" s="1">
        <v>6.7017603007714968</v>
      </c>
      <c r="BA128" s="1">
        <v>1920</v>
      </c>
      <c r="BB128" s="1">
        <v>10227.958967645964</v>
      </c>
      <c r="BC128" s="1">
        <v>1060.2511779992171</v>
      </c>
      <c r="BD128" s="1">
        <v>1003.7854564383816</v>
      </c>
      <c r="BE128" s="1">
        <v>497.04951766514216</v>
      </c>
      <c r="BF128" s="1">
        <v>15.744</v>
      </c>
      <c r="BG128" s="1">
        <v>191.04651710857075</v>
      </c>
      <c r="BH128" s="1">
        <v>2946.5216545236967</v>
      </c>
      <c r="BI128" s="1">
        <v>3742.0268340190501</v>
      </c>
      <c r="BJ128" s="1">
        <v>12200.330457361921</v>
      </c>
      <c r="BL128" s="1" t="s">
        <v>219</v>
      </c>
      <c r="BM128" s="1">
        <v>3.1875028441063762</v>
      </c>
      <c r="BN128" s="1">
        <v>29.339659792122063</v>
      </c>
      <c r="BO128" s="1">
        <v>18.311441704648374</v>
      </c>
      <c r="BP128" s="1">
        <v>13.949579831932766</v>
      </c>
      <c r="BQ128" s="1">
        <v>20.86513994910942</v>
      </c>
      <c r="BR128" s="1">
        <v>4.7482432369525327</v>
      </c>
      <c r="BT128" s="1" t="s">
        <v>219</v>
      </c>
      <c r="BU128" s="1">
        <v>4.9811825241076662</v>
      </c>
      <c r="BV128" s="1">
        <v>-10.887605413026407</v>
      </c>
      <c r="BW128" s="1">
        <v>9.2556506440529347</v>
      </c>
      <c r="BX128" s="1">
        <v>18.536912772129995</v>
      </c>
      <c r="BY128" s="1">
        <v>8.2470962245724877</v>
      </c>
      <c r="BZ128" s="1">
        <v>5.846488932613596</v>
      </c>
      <c r="CB128" s="1">
        <v>1920</v>
      </c>
      <c r="CC128" s="1">
        <v>153.10176186694386</v>
      </c>
      <c r="CD128" s="1">
        <v>675.68272630138745</v>
      </c>
      <c r="CE128" s="1">
        <v>32.463366234603143</v>
      </c>
      <c r="CF128" s="1">
        <v>318.59206953662601</v>
      </c>
      <c r="CG128" s="1">
        <v>90.802102115849365</v>
      </c>
      <c r="CH128" s="1">
        <v>103.50113682261973</v>
      </c>
      <c r="CI128" s="1">
        <v>333.48232833406507</v>
      </c>
      <c r="CJ128" s="1">
        <v>1707.6254912120944</v>
      </c>
      <c r="CL128" s="1">
        <v>1920</v>
      </c>
      <c r="CM128" s="1">
        <v>151.92876469655445</v>
      </c>
      <c r="CN128" s="1">
        <v>288.18769494329513</v>
      </c>
      <c r="CO128" s="1">
        <v>15.543370701483738</v>
      </c>
      <c r="CP128" s="1">
        <v>255.89561401860402</v>
      </c>
      <c r="CQ128" s="1">
        <v>32.055822210483967</v>
      </c>
      <c r="CR128" s="1">
        <v>56.553919028366785</v>
      </c>
      <c r="CS128" s="1">
        <v>328.27146773248472</v>
      </c>
      <c r="CT128" s="2">
        <v>1128.4366533312727</v>
      </c>
      <c r="CV128" s="1">
        <v>1920</v>
      </c>
      <c r="CW128" s="1">
        <v>10761.338659409048</v>
      </c>
      <c r="CX128" s="1">
        <v>11455.757517100519</v>
      </c>
      <c r="CY128" s="1">
        <v>2573.0554546961121</v>
      </c>
      <c r="CZ128" s="1">
        <v>1190.8889999999999</v>
      </c>
      <c r="DA128" s="1">
        <v>4223.6392680710314</v>
      </c>
      <c r="DB128" s="1">
        <v>30204.679899276707</v>
      </c>
      <c r="DC128" s="1">
        <v>28528.8661223085</v>
      </c>
      <c r="DD128" s="1">
        <v>7371.8296816399379</v>
      </c>
      <c r="DF128" s="1">
        <v>1920</v>
      </c>
      <c r="DG128" s="1">
        <v>1.0032658549888254</v>
      </c>
      <c r="DH128" s="1">
        <v>4.8422048283242702E-2</v>
      </c>
      <c r="DI128" s="1">
        <v>1.9004994266141608</v>
      </c>
      <c r="DJ128" s="1">
        <v>5.8851717428105843</v>
      </c>
      <c r="DK128" s="1">
        <v>2.9926915967341898</v>
      </c>
      <c r="DL128" s="1">
        <v>4.5232678499038173</v>
      </c>
      <c r="DM128" s="1">
        <v>1.983000926745305</v>
      </c>
      <c r="DN128" s="1">
        <v>1.933693139640198</v>
      </c>
      <c r="DO128" s="1">
        <v>6.8896505959842784</v>
      </c>
      <c r="DQ128" s="1">
        <v>1920</v>
      </c>
      <c r="DR128" s="1">
        <v>19272.461797529239</v>
      </c>
      <c r="DS128" s="1">
        <v>22190.525528959653</v>
      </c>
      <c r="DT128" s="1">
        <v>4763.6850882338422</v>
      </c>
      <c r="DU128" s="1">
        <v>1190.8889999999999</v>
      </c>
      <c r="DV128" s="1">
        <v>4223.6392680710314</v>
      </c>
      <c r="DW128" s="1">
        <v>51641.200682793766</v>
      </c>
      <c r="DX128" s="1">
        <v>48888.240767453324</v>
      </c>
      <c r="DY128" s="1">
        <v>10046.431029889187</v>
      </c>
      <c r="EA128" s="1">
        <v>1920</v>
      </c>
      <c r="EB128" s="1">
        <v>1.5549317523914681</v>
      </c>
      <c r="EC128" s="1">
        <v>1.0306120176605305</v>
      </c>
      <c r="ED128" s="1">
        <v>2.0104188307787467</v>
      </c>
      <c r="EE128" s="1">
        <v>5.7504649249994628</v>
      </c>
      <c r="EF128" s="1">
        <v>2.992691596734204</v>
      </c>
      <c r="EG128" s="1">
        <v>4.5232678499038173</v>
      </c>
      <c r="EH128" s="1">
        <v>2.2078061663310677</v>
      </c>
      <c r="EI128" s="1">
        <v>2.1619974629365544</v>
      </c>
      <c r="EJ128" s="1">
        <v>6.6618366654187753</v>
      </c>
      <c r="EL128" s="1">
        <v>1920</v>
      </c>
      <c r="EM128" s="1">
        <v>1171483.21299798</v>
      </c>
      <c r="EN128" s="1">
        <v>689630.20878317114</v>
      </c>
      <c r="EO128" s="1">
        <v>112257.2166239111</v>
      </c>
      <c r="EP128" s="1">
        <v>120360.77002258443</v>
      </c>
      <c r="EQ128" s="1">
        <v>194301.45574837457</v>
      </c>
      <c r="ER128" s="1">
        <v>211495.46910339597</v>
      </c>
      <c r="ES128" s="1">
        <v>140600.55449614496</v>
      </c>
      <c r="ET128" s="1">
        <v>4191.6850916942822</v>
      </c>
      <c r="EU128" s="1">
        <v>2644320.5728672566</v>
      </c>
      <c r="EV128" s="1">
        <v>2503720.0183711112</v>
      </c>
      <c r="EX128" s="1">
        <v>1920</v>
      </c>
      <c r="EY128" s="1">
        <v>807474.71020603203</v>
      </c>
      <c r="EZ128" s="1">
        <v>603449.00419194624</v>
      </c>
      <c r="FA128" s="1">
        <v>101568.17390450175</v>
      </c>
      <c r="FB128" s="1">
        <v>119212.48409475172</v>
      </c>
      <c r="FC128" s="1">
        <v>146638.63434923472</v>
      </c>
      <c r="FD128" s="1">
        <v>192595.47418215685</v>
      </c>
      <c r="FE128" s="1">
        <v>140600.55449614496</v>
      </c>
      <c r="FF128" s="1">
        <v>3507.9315847678731</v>
      </c>
      <c r="FG128" s="1">
        <v>2115046.9670095365</v>
      </c>
      <c r="FH128" s="1">
        <v>1974446.4125133911</v>
      </c>
      <c r="FJ128" s="1">
        <v>1920</v>
      </c>
      <c r="FK128" s="1">
        <v>364008.50279194792</v>
      </c>
      <c r="FL128" s="1">
        <v>86181.20459122496</v>
      </c>
      <c r="FM128" s="1">
        <v>10689.042719409352</v>
      </c>
      <c r="FN128" s="1">
        <v>1148.2859278327039</v>
      </c>
      <c r="FO128" s="1">
        <v>47662.821399139837</v>
      </c>
      <c r="FP128" s="1">
        <v>18899.994921239118</v>
      </c>
      <c r="FQ128" s="1">
        <v>683.75350692640893</v>
      </c>
      <c r="FR128" s="1">
        <v>529273.60585772025</v>
      </c>
      <c r="FS128" s="1">
        <v>909759.67386940622</v>
      </c>
      <c r="HC128" s="1">
        <v>1920</v>
      </c>
      <c r="HD128" s="1">
        <v>1468.0728435352789</v>
      </c>
      <c r="HE128" s="1">
        <v>1814.8778907442136</v>
      </c>
      <c r="HF128" s="1">
        <v>411.41307693855572</v>
      </c>
      <c r="HG128" s="1">
        <v>679.9693838970004</v>
      </c>
      <c r="HH128" s="1">
        <v>1135.1885122075009</v>
      </c>
      <c r="HI128" s="1">
        <v>682.47257307620373</v>
      </c>
      <c r="HJ128" s="1">
        <v>15.053548065721152</v>
      </c>
      <c r="HK128" s="2">
        <v>6207.0478284644742</v>
      </c>
      <c r="HL128" s="1">
        <v>5524.5752553882703</v>
      </c>
      <c r="HN128" s="1">
        <v>1920</v>
      </c>
      <c r="HO128" s="1">
        <v>833.3821340418923</v>
      </c>
      <c r="HP128" s="1">
        <v>278.61558748784989</v>
      </c>
      <c r="HQ128" s="1">
        <v>48.507415062235687</v>
      </c>
      <c r="HR128" s="1">
        <v>7.0537874673039669</v>
      </c>
      <c r="HS128" s="1">
        <v>326.87662879561424</v>
      </c>
      <c r="HT128" s="1">
        <v>3.3973983511746564</v>
      </c>
      <c r="HU128" s="2">
        <v>1497.8329512060704</v>
      </c>
      <c r="HW128" s="1">
        <v>1920</v>
      </c>
      <c r="HX128" s="1">
        <v>901.53952415864205</v>
      </c>
      <c r="HY128" s="1">
        <v>971.16926026834699</v>
      </c>
      <c r="HZ128" s="1">
        <v>48.082374704029974</v>
      </c>
      <c r="IA128" s="1">
        <v>-25.680882867557557</v>
      </c>
      <c r="IB128" s="1">
        <v>1185.4436153908346</v>
      </c>
      <c r="IC128" s="1">
        <v>56.55391902836589</v>
      </c>
      <c r="ID128" s="1">
        <v>694.33501778981793</v>
      </c>
      <c r="IE128" s="2">
        <v>3831.4428284724795</v>
      </c>
      <c r="IF128" s="1">
        <v>3774.8889094441138</v>
      </c>
      <c r="IH128" s="1">
        <v>1920</v>
      </c>
      <c r="II128" s="1">
        <v>226.60715919422833</v>
      </c>
      <c r="IJ128" s="1">
        <v>45.514847888554357</v>
      </c>
      <c r="IK128" s="1">
        <v>13.802957780314939</v>
      </c>
      <c r="IL128" s="1">
        <v>248.63300229233772</v>
      </c>
      <c r="IM128" s="1">
        <v>32.624012084423768</v>
      </c>
      <c r="IN128" s="1">
        <v>9.8936475087951425</v>
      </c>
      <c r="IO128" s="1">
        <v>11.319265009815922</v>
      </c>
    </row>
    <row r="129" spans="1:249" x14ac:dyDescent="0.25">
      <c r="A129" s="1" t="s">
        <v>220</v>
      </c>
      <c r="B129" s="1">
        <v>-8.5076161245910669</v>
      </c>
      <c r="C129" s="1">
        <v>-8.9728087031468675</v>
      </c>
      <c r="D129" s="1">
        <v>-8.0682066182790919</v>
      </c>
      <c r="E129" s="1">
        <v>-8.9449253704040927</v>
      </c>
      <c r="F129" s="1">
        <v>-9.847415199734229</v>
      </c>
      <c r="G129" s="1">
        <v>-9.8457108997027944</v>
      </c>
      <c r="H129" s="1">
        <v>-10.960216579548316</v>
      </c>
      <c r="J129" s="1">
        <v>1921</v>
      </c>
      <c r="K129" s="2">
        <v>9397.8251650094971</v>
      </c>
      <c r="L129" s="1">
        <v>8862.9643122215311</v>
      </c>
      <c r="M129" s="1">
        <v>8408.3871140422198</v>
      </c>
      <c r="N129" s="1">
        <v>7873.5262612542538</v>
      </c>
      <c r="O129" s="1">
        <v>989.43805096727738</v>
      </c>
      <c r="P129" s="1">
        <v>534.86085278796645</v>
      </c>
      <c r="Q129" s="1">
        <v>6885.4860775271081</v>
      </c>
      <c r="R129" s="1">
        <v>16283.311242536605</v>
      </c>
      <c r="S129" s="1">
        <v>15748.450389748639</v>
      </c>
      <c r="U129" s="1">
        <v>1921</v>
      </c>
      <c r="V129" s="1">
        <v>1584.9671398712626</v>
      </c>
      <c r="W129" s="1">
        <v>30658.415398338166</v>
      </c>
      <c r="X129" s="1">
        <v>-10.661557969181729</v>
      </c>
      <c r="Y129" s="1">
        <v>1494.7614953537641</v>
      </c>
      <c r="Z129" s="1">
        <v>27840.457183635051</v>
      </c>
      <c r="AA129" s="1">
        <v>-9.3355722208490448</v>
      </c>
      <c r="AB129" s="1">
        <v>5929350.1603905968</v>
      </c>
      <c r="AC129" s="1">
        <v>0.91320942131216043</v>
      </c>
      <c r="AE129" s="1">
        <v>1921</v>
      </c>
      <c r="AF129" s="1">
        <v>2127.6191157582912</v>
      </c>
      <c r="AG129" s="1">
        <v>2127.9601758733588</v>
      </c>
      <c r="AH129" s="1">
        <v>567.29828400167548</v>
      </c>
      <c r="AI129" s="1">
        <v>693.38127853709557</v>
      </c>
      <c r="AJ129" s="1">
        <v>1172.9214693815277</v>
      </c>
      <c r="AK129" s="1">
        <v>710.95252933195798</v>
      </c>
      <c r="AL129" s="1">
        <v>744.76859367031238</v>
      </c>
      <c r="AM129" s="1">
        <v>718.06286566731092</v>
      </c>
      <c r="AN129" s="2">
        <v>8862.9643122215293</v>
      </c>
      <c r="AP129" s="1" t="s">
        <v>220</v>
      </c>
      <c r="AQ129" s="1">
        <v>4.3279343333570068</v>
      </c>
      <c r="AR129" s="1">
        <v>-18.969972230429505</v>
      </c>
      <c r="AS129" s="1">
        <v>-4.9066936861100459</v>
      </c>
      <c r="AT129" s="1">
        <v>-4.7468720137185016</v>
      </c>
      <c r="AU129" s="1">
        <v>-18.608431700953048</v>
      </c>
      <c r="AV129" s="1">
        <v>-3.427454340203667</v>
      </c>
      <c r="AW129" s="1">
        <v>-10.467004580032196</v>
      </c>
      <c r="AX129" s="1">
        <v>-1.3312823088468804</v>
      </c>
      <c r="AY129" s="1">
        <v>-8.5076161245910669</v>
      </c>
      <c r="BA129" s="1">
        <v>1921</v>
      </c>
      <c r="BB129" s="1">
        <v>7349.1936705789703</v>
      </c>
      <c r="BC129" s="1">
        <v>1066.3202671713843</v>
      </c>
      <c r="BD129" s="1">
        <v>782.26285362092608</v>
      </c>
      <c r="BE129" s="1">
        <v>280.80147764737751</v>
      </c>
      <c r="BF129" s="1">
        <v>-5.2569999999999997</v>
      </c>
      <c r="BG129" s="1">
        <v>-40.952010238731035</v>
      </c>
      <c r="BH129" s="1">
        <v>1385.9356157033067</v>
      </c>
      <c r="BI129" s="1">
        <v>1420.4797094737371</v>
      </c>
      <c r="BJ129" s="1">
        <v>9397.825165009499</v>
      </c>
      <c r="BL129" s="1" t="s">
        <v>220</v>
      </c>
      <c r="BM129" s="1">
        <v>-12.315282703806758</v>
      </c>
      <c r="BN129" s="1">
        <v>1.5156988183927922</v>
      </c>
      <c r="BO129" s="1">
        <v>-31.46097329776849</v>
      </c>
      <c r="BP129" s="1">
        <v>-21.976401179941007</v>
      </c>
      <c r="BQ129" s="1">
        <v>-35.05263157894737</v>
      </c>
      <c r="BR129" s="1">
        <v>-9.8457108997027802</v>
      </c>
      <c r="BT129" s="1" t="s">
        <v>220</v>
      </c>
      <c r="BU129" s="1">
        <v>-18.054179292280764</v>
      </c>
      <c r="BV129" s="1">
        <v>-0.92919507813788016</v>
      </c>
      <c r="BW129" s="1">
        <v>-13.118241322408409</v>
      </c>
      <c r="BX129" s="1">
        <v>-39.715253355116445</v>
      </c>
      <c r="BY129" s="1">
        <v>-41.552414050113015</v>
      </c>
      <c r="BZ129" s="1">
        <v>-14.558399701217709</v>
      </c>
      <c r="CB129" s="1">
        <v>1921</v>
      </c>
      <c r="CC129" s="1">
        <v>86.424662662044923</v>
      </c>
      <c r="CD129" s="1">
        <v>273.88525652485214</v>
      </c>
      <c r="CE129" s="1">
        <v>18.884082576259207</v>
      </c>
      <c r="CF129" s="1">
        <v>260.20940960647704</v>
      </c>
      <c r="CG129" s="1">
        <v>7.4299398588738086</v>
      </c>
      <c r="CH129" s="1">
        <v>132.34419914328623</v>
      </c>
      <c r="CI129" s="1">
        <v>237.67777065777938</v>
      </c>
      <c r="CJ129" s="1">
        <v>1016.8553210295727</v>
      </c>
      <c r="CL129" s="1">
        <v>1921</v>
      </c>
      <c r="CM129" s="1">
        <v>129.85887315967398</v>
      </c>
      <c r="CN129" s="1">
        <v>246.28438905973246</v>
      </c>
      <c r="CO129" s="1">
        <v>17.898630833779819</v>
      </c>
      <c r="CP129" s="1">
        <v>223.57543977545595</v>
      </c>
      <c r="CQ129" s="1">
        <v>26.380234335769746</v>
      </c>
      <c r="CR129" s="1">
        <v>51.256637266220729</v>
      </c>
      <c r="CS129" s="1">
        <v>294.18384653664469</v>
      </c>
      <c r="CT129" s="2">
        <v>989.43805096727738</v>
      </c>
      <c r="CV129" s="1">
        <v>1921</v>
      </c>
      <c r="CW129" s="1">
        <v>9648.1137839420535</v>
      </c>
      <c r="CX129" s="1">
        <v>10454.499696800483</v>
      </c>
      <c r="CY129" s="1">
        <v>2194.255455741134</v>
      </c>
      <c r="CZ129" s="1">
        <v>813.47400000000005</v>
      </c>
      <c r="DA129" s="1">
        <v>3824.6092012935769</v>
      </c>
      <c r="DB129" s="1">
        <v>26934.952137777247</v>
      </c>
      <c r="DC129" s="1">
        <v>25410.763327119297</v>
      </c>
      <c r="DD129" s="1">
        <v>6842.3321555645789</v>
      </c>
      <c r="DF129" s="1">
        <v>1921</v>
      </c>
      <c r="DG129" s="1">
        <v>0.38295771936908807</v>
      </c>
      <c r="DH129" s="1">
        <v>-0.58566966708986001</v>
      </c>
      <c r="DI129" s="1">
        <v>1.2772191297378157</v>
      </c>
      <c r="DJ129" s="1">
        <v>-0.16283434294716415</v>
      </c>
      <c r="DK129" s="1">
        <v>-5.2334643235886205</v>
      </c>
      <c r="DL129" s="1">
        <v>-1.0707501886697202</v>
      </c>
      <c r="DM129" s="1">
        <v>-2.1463591341202459E-2</v>
      </c>
      <c r="DN129" s="1">
        <v>-0.3404941083307591</v>
      </c>
      <c r="DO129" s="1">
        <v>0.95702287892368076</v>
      </c>
      <c r="DQ129" s="1">
        <v>1921</v>
      </c>
      <c r="DR129" s="1">
        <v>17448.417795133508</v>
      </c>
      <c r="DS129" s="1">
        <v>20274.787197787682</v>
      </c>
      <c r="DT129" s="1">
        <v>4045.7807606126212</v>
      </c>
      <c r="DU129" s="1">
        <v>813.47400000000005</v>
      </c>
      <c r="DV129" s="1">
        <v>3824.6092012935769</v>
      </c>
      <c r="DW129" s="1">
        <v>46407.068954827395</v>
      </c>
      <c r="DX129" s="1">
        <v>43901.691301881925</v>
      </c>
      <c r="DY129" s="1">
        <v>9278.0798157630306</v>
      </c>
      <c r="EA129" s="1">
        <v>1921</v>
      </c>
      <c r="EB129" s="1">
        <v>1.1988617324142155</v>
      </c>
      <c r="EC129" s="1">
        <v>0.64902262758322138</v>
      </c>
      <c r="ED129" s="1">
        <v>1.672206518090718</v>
      </c>
      <c r="EE129" s="1">
        <v>2.2118063034898228</v>
      </c>
      <c r="EF129" s="1">
        <v>-5.2334643235886347</v>
      </c>
      <c r="EG129" s="1">
        <v>-1.0707501886697202</v>
      </c>
      <c r="EH129" s="1">
        <v>1.003332375094601</v>
      </c>
      <c r="EI129" s="1">
        <v>0.80109600074027298</v>
      </c>
      <c r="EJ129" s="1">
        <v>2.1872948726397965</v>
      </c>
      <c r="EL129" s="1">
        <v>1921</v>
      </c>
      <c r="EM129" s="1">
        <v>1159602.475119059</v>
      </c>
      <c r="EN129" s="1">
        <v>586125.30875411967</v>
      </c>
      <c r="EO129" s="1">
        <v>110690.76484549422</v>
      </c>
      <c r="EP129" s="1">
        <v>111810.62039376792</v>
      </c>
      <c r="EQ129" s="1">
        <v>169944.43665039472</v>
      </c>
      <c r="ER129" s="1">
        <v>211062.91017628403</v>
      </c>
      <c r="ES129" s="1">
        <v>124302.56634520773</v>
      </c>
      <c r="ET129" s="1">
        <v>4390.552899936657</v>
      </c>
      <c r="EU129" s="1">
        <v>2477929.6351842638</v>
      </c>
      <c r="EV129" s="1">
        <v>2353627.0688390564</v>
      </c>
      <c r="EX129" s="1">
        <v>1921</v>
      </c>
      <c r="EY129" s="1">
        <v>796862.73671467439</v>
      </c>
      <c r="EZ129" s="1">
        <v>499808.17166353948</v>
      </c>
      <c r="FA129" s="1">
        <v>102450.96241802341</v>
      </c>
      <c r="FB129" s="1">
        <v>110035.99668711738</v>
      </c>
      <c r="FC129" s="1">
        <v>128412.06582127864</v>
      </c>
      <c r="FD129" s="1">
        <v>192979.28879323931</v>
      </c>
      <c r="FE129" s="1">
        <v>124302.56634520773</v>
      </c>
      <c r="FF129" s="1">
        <v>3681.642962647783</v>
      </c>
      <c r="FG129" s="1">
        <v>1958533.431405728</v>
      </c>
      <c r="FH129" s="1">
        <v>1834230.8650605204</v>
      </c>
      <c r="FJ129" s="1">
        <v>1921</v>
      </c>
      <c r="FK129" s="1">
        <v>362739.73840438452</v>
      </c>
      <c r="FL129" s="1">
        <v>86317.137090580203</v>
      </c>
      <c r="FM129" s="1">
        <v>8239.8024274708132</v>
      </c>
      <c r="FN129" s="1">
        <v>1774.6237066505423</v>
      </c>
      <c r="FO129" s="1">
        <v>41532.370829116087</v>
      </c>
      <c r="FP129" s="1">
        <v>18083.621383044734</v>
      </c>
      <c r="FQ129" s="1">
        <v>708.90993728887383</v>
      </c>
      <c r="FR129" s="1">
        <v>519396.20377853577</v>
      </c>
      <c r="FS129" s="1">
        <v>914444.75006403308</v>
      </c>
      <c r="HC129" s="1">
        <v>1921</v>
      </c>
      <c r="HD129" s="1">
        <v>1215.8301955103334</v>
      </c>
      <c r="HE129" s="1">
        <v>1354.9389711309825</v>
      </c>
      <c r="HF129" s="1">
        <v>374.06410609066751</v>
      </c>
      <c r="HG129" s="1">
        <v>594.66856512855952</v>
      </c>
      <c r="HH129" s="1">
        <v>926.53201447126537</v>
      </c>
      <c r="HI129" s="1">
        <v>693.51195640409162</v>
      </c>
      <c r="HJ129" s="1">
        <v>12.48138441882965</v>
      </c>
      <c r="HK129" s="2">
        <v>5172.0271931547286</v>
      </c>
      <c r="HL129" s="1">
        <v>4478.5152367506371</v>
      </c>
      <c r="HN129" s="1">
        <v>1921</v>
      </c>
      <c r="HO129" s="1">
        <v>696.9450269326818</v>
      </c>
      <c r="HP129" s="1">
        <v>251.53557938307739</v>
      </c>
      <c r="HQ129" s="1">
        <v>33.705103441794932</v>
      </c>
      <c r="HR129" s="1">
        <v>10.3288313318383</v>
      </c>
      <c r="HS129" s="1">
        <v>267.38306628725485</v>
      </c>
      <c r="HT129" s="1">
        <v>2.7827314749311962</v>
      </c>
      <c r="HU129" s="2">
        <v>1262.6803388515782</v>
      </c>
      <c r="HW129" s="1">
        <v>1921</v>
      </c>
      <c r="HX129" s="1">
        <v>380.44989331527631</v>
      </c>
      <c r="HY129" s="1">
        <v>521.48562535929887</v>
      </c>
      <c r="HZ129" s="1">
        <v>159.52907446921301</v>
      </c>
      <c r="IA129" s="1">
        <v>-77.222117923302221</v>
      </c>
      <c r="IB129" s="1">
        <v>689.95891795496527</v>
      </c>
      <c r="IC129" s="1">
        <v>51.256637266220793</v>
      </c>
      <c r="ID129" s="1">
        <v>702.79874977355007</v>
      </c>
      <c r="IE129" s="2">
        <v>2428.2567802152221</v>
      </c>
      <c r="IF129" s="1">
        <v>2377.0001429490012</v>
      </c>
      <c r="IH129" s="1">
        <v>1921</v>
      </c>
      <c r="II129" s="1">
        <v>301.66896353331322</v>
      </c>
      <c r="IJ129" s="1">
        <v>31.398443378355186</v>
      </c>
      <c r="IK129" s="1">
        <v>7.9211322879163619</v>
      </c>
      <c r="IL129" s="1">
        <v>338.41523404797579</v>
      </c>
      <c r="IM129" s="1">
        <v>17.130756052842795</v>
      </c>
      <c r="IN129" s="1">
        <v>4.3217105781789913</v>
      </c>
      <c r="IO129" s="1">
        <v>9.9974804834267843</v>
      </c>
    </row>
    <row r="130" spans="1:249" x14ac:dyDescent="0.25">
      <c r="A130" s="1" t="s">
        <v>221</v>
      </c>
      <c r="B130" s="1">
        <v>10.863693741848834</v>
      </c>
      <c r="C130" s="1">
        <v>10.841908069068197</v>
      </c>
      <c r="D130" s="1">
        <v>11.709125068119761</v>
      </c>
      <c r="E130" s="1">
        <v>10.024660765999172</v>
      </c>
      <c r="F130" s="1">
        <v>10.18017647646883</v>
      </c>
      <c r="G130" s="1">
        <v>11.607806149647999</v>
      </c>
      <c r="H130" s="1">
        <v>12.919154051250729</v>
      </c>
      <c r="J130" s="1">
        <v>1922</v>
      </c>
      <c r="K130" s="2">
        <v>8168.3895512243698</v>
      </c>
      <c r="L130" s="1">
        <v>7666.0350889157662</v>
      </c>
      <c r="M130" s="1">
        <v>7430.5781972528121</v>
      </c>
      <c r="N130" s="1">
        <v>6928.2237349442084</v>
      </c>
      <c r="O130" s="1">
        <v>737.81135397155776</v>
      </c>
      <c r="P130" s="1">
        <v>502.35446230860322</v>
      </c>
      <c r="Q130" s="1">
        <v>5907.6625040925701</v>
      </c>
      <c r="R130" s="1">
        <v>14076.052055316941</v>
      </c>
      <c r="S130" s="1">
        <v>13573.697593008335</v>
      </c>
      <c r="U130" s="1">
        <v>1922</v>
      </c>
      <c r="V130" s="1">
        <v>1368.0343837464225</v>
      </c>
      <c r="W130" s="1">
        <v>33979.10582636061</v>
      </c>
      <c r="X130" s="1">
        <v>10.831252642634752</v>
      </c>
      <c r="Y130" s="1">
        <v>1283.9005195426023</v>
      </c>
      <c r="Z130" s="1">
        <v>30650.204565682037</v>
      </c>
      <c r="AA130" s="1">
        <v>10.092317678240519</v>
      </c>
      <c r="AB130" s="1">
        <v>5970894.919216047</v>
      </c>
      <c r="AC130" s="1">
        <v>0.70066293441360017</v>
      </c>
      <c r="AE130" s="1">
        <v>1922</v>
      </c>
      <c r="AF130" s="1">
        <v>1725.7221743443356</v>
      </c>
      <c r="AG130" s="1">
        <v>1833.9302531767466</v>
      </c>
      <c r="AH130" s="1">
        <v>526.56248023394107</v>
      </c>
      <c r="AI130" s="1">
        <v>597.13922673869956</v>
      </c>
      <c r="AJ130" s="1">
        <v>1013.1462075733644</v>
      </c>
      <c r="AK130" s="1">
        <v>613.01858635577207</v>
      </c>
      <c r="AL130" s="1">
        <v>644.13975212825733</v>
      </c>
      <c r="AM130" s="1">
        <v>712.37640836465062</v>
      </c>
      <c r="AN130" s="2">
        <v>7666.0350889157671</v>
      </c>
      <c r="AP130" s="1" t="s">
        <v>221</v>
      </c>
      <c r="AQ130" s="1">
        <v>7.4701985822067911</v>
      </c>
      <c r="AR130" s="1">
        <v>21.982553256709409</v>
      </c>
      <c r="AS130" s="1">
        <v>22.004999122209014</v>
      </c>
      <c r="AT130" s="1">
        <v>6.5351611735801498</v>
      </c>
      <c r="AU130" s="1">
        <v>8.5712342971526567</v>
      </c>
      <c r="AV130" s="1">
        <v>6.842189770676768</v>
      </c>
      <c r="AW130" s="1">
        <v>5.4950562575158131</v>
      </c>
      <c r="AX130" s="1">
        <v>-0.52994490198385336</v>
      </c>
      <c r="AY130" s="1">
        <v>10.863693741848834</v>
      </c>
      <c r="BA130" s="1">
        <v>1922</v>
      </c>
      <c r="BB130" s="1">
        <v>6332.0456966747261</v>
      </c>
      <c r="BC130" s="1">
        <v>903.29872946564808</v>
      </c>
      <c r="BD130" s="1">
        <v>661.42587193141571</v>
      </c>
      <c r="BE130" s="1">
        <v>155.51025978712016</v>
      </c>
      <c r="BF130" s="1">
        <v>1.5640000000000001</v>
      </c>
      <c r="BG130" s="1">
        <v>-64.207364990118549</v>
      </c>
      <c r="BH130" s="1">
        <v>1440.0209080234356</v>
      </c>
      <c r="BI130" s="1">
        <v>1261.2685496678571</v>
      </c>
      <c r="BJ130" s="1">
        <v>8168.3895512243707</v>
      </c>
      <c r="BL130" s="1" t="s">
        <v>221</v>
      </c>
      <c r="BM130" s="1">
        <v>9.0372436529852109</v>
      </c>
      <c r="BN130" s="1">
        <v>6.0128622161957423</v>
      </c>
      <c r="BO130" s="1">
        <v>-6.3162772185975768E-2</v>
      </c>
      <c r="BP130" s="1">
        <v>37.429111531190898</v>
      </c>
      <c r="BQ130" s="1">
        <v>10.534846029173423</v>
      </c>
      <c r="BR130" s="1">
        <v>11.607806149648027</v>
      </c>
      <c r="BT130" s="1" t="s">
        <v>221</v>
      </c>
      <c r="BU130" s="1">
        <v>-20.981372210853493</v>
      </c>
      <c r="BV130" s="1">
        <v>-20.092935684943711</v>
      </c>
      <c r="BW130" s="1">
        <v>-25.774150514935997</v>
      </c>
      <c r="BX130" s="1">
        <v>-24.395611769047548</v>
      </c>
      <c r="BY130" s="1">
        <v>-19.670822279930462</v>
      </c>
      <c r="BZ130" s="1">
        <v>-22.122050444382509</v>
      </c>
      <c r="CB130" s="1">
        <v>1922</v>
      </c>
      <c r="CC130" s="1">
        <v>61.715247313900619</v>
      </c>
      <c r="CD130" s="1">
        <v>135.52563560950773</v>
      </c>
      <c r="CE130" s="1">
        <v>10.012257818139576</v>
      </c>
      <c r="CF130" s="1">
        <v>197.29622967702841</v>
      </c>
      <c r="CG130" s="1">
        <v>26.420169951465823</v>
      </c>
      <c r="CH130" s="1">
        <v>127.79089122706692</v>
      </c>
      <c r="CI130" s="1">
        <v>195.53233513130832</v>
      </c>
      <c r="CJ130" s="1">
        <v>754.2927667284174</v>
      </c>
      <c r="CL130" s="1">
        <v>1922</v>
      </c>
      <c r="CM130" s="1">
        <v>94.834091283994255</v>
      </c>
      <c r="CN130" s="1">
        <v>184.85855421181037</v>
      </c>
      <c r="CO130" s="1">
        <v>17.067335873564105</v>
      </c>
      <c r="CP130" s="1">
        <v>168.07777155647887</v>
      </c>
      <c r="CQ130" s="1">
        <v>19.965821670387463</v>
      </c>
      <c r="CR130" s="1">
        <v>39.519184715054216</v>
      </c>
      <c r="CS130" s="1">
        <v>213.48859466026857</v>
      </c>
      <c r="CT130" s="2">
        <v>737.81135397155776</v>
      </c>
      <c r="CV130" s="1">
        <v>1922</v>
      </c>
      <c r="CW130" s="1">
        <v>6950.244646832035</v>
      </c>
      <c r="CX130" s="1">
        <v>7666.1880267420156</v>
      </c>
      <c r="CY130" s="1">
        <v>1743.5469260304155</v>
      </c>
      <c r="CZ130" s="1">
        <v>588.49599999999998</v>
      </c>
      <c r="DA130" s="1">
        <v>2709.6391832553218</v>
      </c>
      <c r="DB130" s="1">
        <v>19658.11478285979</v>
      </c>
      <c r="DC130" s="1">
        <v>18501.667823357646</v>
      </c>
      <c r="DD130" s="1">
        <v>5041.5786434191941</v>
      </c>
      <c r="DF130" s="1">
        <v>1922</v>
      </c>
      <c r="DG130" s="1">
        <v>0.98752956030728001</v>
      </c>
      <c r="DH130" s="1">
        <v>-0.25835435213269875</v>
      </c>
      <c r="DI130" s="1">
        <v>2.1175051729107679</v>
      </c>
      <c r="DJ130" s="1">
        <v>-3.7262042839882525</v>
      </c>
      <c r="DK130" s="1">
        <v>50.36605368491621</v>
      </c>
      <c r="DL130" s="1">
        <v>-2.3695909546517839</v>
      </c>
      <c r="DM130" s="1">
        <v>1.1285211553456804</v>
      </c>
      <c r="DN130" s="1">
        <v>0.71471509857632043</v>
      </c>
      <c r="DO130" s="1">
        <v>-0.94047158160786637</v>
      </c>
      <c r="DQ130" s="1">
        <v>1922</v>
      </c>
      <c r="DR130" s="1">
        <v>12725.483656621478</v>
      </c>
      <c r="DS130" s="1">
        <v>14927.204032853913</v>
      </c>
      <c r="DT130" s="1">
        <v>3283.7151932886854</v>
      </c>
      <c r="DU130" s="1">
        <v>588.49599999999998</v>
      </c>
      <c r="DV130" s="1">
        <v>2709.6391832553218</v>
      </c>
      <c r="DW130" s="1">
        <v>34234.538066019399</v>
      </c>
      <c r="DX130" s="1">
        <v>32347.355381646586</v>
      </c>
      <c r="DY130" s="1">
        <v>6957.1200640089019</v>
      </c>
      <c r="EA130" s="1">
        <v>1922</v>
      </c>
      <c r="EB130" s="1">
        <v>1.5073598686670522</v>
      </c>
      <c r="EC130" s="1">
        <v>0.81043204770780619</v>
      </c>
      <c r="ED130" s="1">
        <v>2.1016877919693542</v>
      </c>
      <c r="EE130" s="1">
        <v>-4.0110563788360309E-2</v>
      </c>
      <c r="EF130" s="1">
        <v>50.36605368491621</v>
      </c>
      <c r="EG130" s="1">
        <v>-2.3695909546517839</v>
      </c>
      <c r="EH130" s="1">
        <v>1.6256193611312142</v>
      </c>
      <c r="EI130" s="1">
        <v>1.3638536760993674</v>
      </c>
      <c r="EJ130" s="1">
        <v>0.73321078818607077</v>
      </c>
      <c r="EL130" s="1">
        <v>1922</v>
      </c>
      <c r="EM130" s="1">
        <v>1147836.0420170943</v>
      </c>
      <c r="EN130" s="1">
        <v>582064.14088447497</v>
      </c>
      <c r="EO130" s="1">
        <v>126368.48683684987</v>
      </c>
      <c r="EP130" s="1">
        <v>116505.99846522541</v>
      </c>
      <c r="EQ130" s="1">
        <v>195032.60334020853</v>
      </c>
      <c r="ER130" s="1">
        <v>219172.17921816633</v>
      </c>
      <c r="ES130" s="1">
        <v>130992.03909372674</v>
      </c>
      <c r="ET130" s="1">
        <v>4598.9759130355142</v>
      </c>
      <c r="EU130" s="1">
        <v>2522570.4657687824</v>
      </c>
      <c r="EV130" s="1">
        <v>2391578.4266750552</v>
      </c>
      <c r="EX130" s="1">
        <v>1922</v>
      </c>
      <c r="EY130" s="1">
        <v>786491.94443902955</v>
      </c>
      <c r="EZ130" s="1">
        <v>494795.47629840806</v>
      </c>
      <c r="FA130" s="1">
        <v>116893.26743463265</v>
      </c>
      <c r="FB130" s="1">
        <v>114000.64734995406</v>
      </c>
      <c r="FC130" s="1">
        <v>147171.59534233631</v>
      </c>
      <c r="FD130" s="1">
        <v>199595.68228723336</v>
      </c>
      <c r="FE130" s="1">
        <v>130992.03909372674</v>
      </c>
      <c r="FF130" s="1">
        <v>3863.97959712171</v>
      </c>
      <c r="FG130" s="1">
        <v>1993804.6318424426</v>
      </c>
      <c r="FH130" s="1">
        <v>1862812.5927487158</v>
      </c>
      <c r="FJ130" s="1">
        <v>1922</v>
      </c>
      <c r="FK130" s="1">
        <v>361344.09757806483</v>
      </c>
      <c r="FL130" s="1">
        <v>87268.664586066923</v>
      </c>
      <c r="FM130" s="1">
        <v>9475.2194022172171</v>
      </c>
      <c r="FN130" s="1">
        <v>2505.3511152713536</v>
      </c>
      <c r="FO130" s="1">
        <v>47861.007997872235</v>
      </c>
      <c r="FP130" s="1">
        <v>19576.496930932997</v>
      </c>
      <c r="FQ130" s="1">
        <v>734.99631591380444</v>
      </c>
      <c r="FR130" s="1">
        <v>528765.8339263394</v>
      </c>
      <c r="FS130" s="1">
        <v>919153.95344255248</v>
      </c>
      <c r="HC130" s="1">
        <v>1922</v>
      </c>
      <c r="HD130" s="1">
        <v>933.78675701462396</v>
      </c>
      <c r="HE130" s="1">
        <v>1048.1034249499771</v>
      </c>
      <c r="HF130" s="1">
        <v>333.48901309150244</v>
      </c>
      <c r="HG130" s="1">
        <v>487.43325010537666</v>
      </c>
      <c r="HH130" s="1">
        <v>861.6781511965894</v>
      </c>
      <c r="HI130" s="1">
        <v>604.62056741320282</v>
      </c>
      <c r="HJ130" s="1">
        <v>11.104491772453592</v>
      </c>
      <c r="HK130" s="2">
        <v>4280.2156555437259</v>
      </c>
      <c r="HL130" s="1">
        <v>3675.595088130523</v>
      </c>
      <c r="HN130" s="1">
        <v>1922</v>
      </c>
      <c r="HO130" s="1">
        <v>540.24204219850094</v>
      </c>
      <c r="HP130" s="1">
        <v>198.71139160548969</v>
      </c>
      <c r="HQ130" s="1">
        <v>30.285181367228489</v>
      </c>
      <c r="HR130" s="1">
        <v>11.536687777274969</v>
      </c>
      <c r="HS130" s="1">
        <v>262.16389026858275</v>
      </c>
      <c r="HT130" s="1">
        <v>2.4457280828677246</v>
      </c>
      <c r="HU130" s="2">
        <v>1045.3849212999444</v>
      </c>
      <c r="HW130" s="1">
        <v>1922</v>
      </c>
      <c r="HX130" s="1">
        <v>366.03637513121089</v>
      </c>
      <c r="HY130" s="1">
        <v>587.11543662127997</v>
      </c>
      <c r="HZ130" s="1">
        <v>162.78828577521011</v>
      </c>
      <c r="IA130" s="1">
        <v>-16.173711143952005</v>
      </c>
      <c r="IB130" s="1">
        <v>502.32275246396455</v>
      </c>
      <c r="IC130" s="1">
        <v>39.519184715054521</v>
      </c>
      <c r="ID130" s="1">
        <v>698.82618850932931</v>
      </c>
      <c r="IE130" s="2">
        <v>2340.4345120720973</v>
      </c>
      <c r="IF130" s="1">
        <v>2300.9153273570428</v>
      </c>
      <c r="IH130" s="1">
        <v>1922</v>
      </c>
      <c r="II130" s="1">
        <v>256.55168880258606</v>
      </c>
      <c r="IJ130" s="1">
        <v>45.996553533205557</v>
      </c>
      <c r="IK130" s="1">
        <v>12.280267021023962</v>
      </c>
      <c r="IL130" s="1">
        <v>283.19129382918197</v>
      </c>
      <c r="IM130" s="1">
        <v>32.26276084212499</v>
      </c>
      <c r="IN130" s="1">
        <v>8.6135870525758378</v>
      </c>
      <c r="IO130" s="1">
        <v>-1.1145135566851678</v>
      </c>
    </row>
    <row r="131" spans="1:249" x14ac:dyDescent="0.25">
      <c r="A131" s="1" t="s">
        <v>222</v>
      </c>
      <c r="B131" s="1">
        <v>5.0870507013798658</v>
      </c>
      <c r="C131" s="1">
        <v>4.8759061613669274</v>
      </c>
      <c r="D131" s="1">
        <v>5.156745110254306</v>
      </c>
      <c r="E131" s="1">
        <v>5.0174024836520346</v>
      </c>
      <c r="F131" s="1">
        <v>4.9931184910178672</v>
      </c>
      <c r="G131" s="1">
        <v>3.2759761852375675</v>
      </c>
      <c r="H131" s="1">
        <v>3.5612975359598664</v>
      </c>
      <c r="J131" s="1">
        <v>1923</v>
      </c>
      <c r="K131" s="2">
        <v>7801.2120222431877</v>
      </c>
      <c r="L131" s="1">
        <v>7284.8894581220729</v>
      </c>
      <c r="M131" s="1">
        <v>7090.1668240418876</v>
      </c>
      <c r="N131" s="1">
        <v>6573.8442599207729</v>
      </c>
      <c r="O131" s="1">
        <v>711.0451982013002</v>
      </c>
      <c r="P131" s="1">
        <v>516.32256412111451</v>
      </c>
      <c r="Q131" s="1">
        <v>5974.4577891506697</v>
      </c>
      <c r="R131" s="1">
        <v>13775.669811393858</v>
      </c>
      <c r="S131" s="1">
        <v>13259.347247272743</v>
      </c>
      <c r="U131" s="1">
        <v>1923</v>
      </c>
      <c r="V131" s="1">
        <v>1300.9321376302701</v>
      </c>
      <c r="W131" s="1">
        <v>34941.636708096463</v>
      </c>
      <c r="X131" s="1">
        <v>2.8327139820999463</v>
      </c>
      <c r="Y131" s="1">
        <v>1214.8300530908882</v>
      </c>
      <c r="Z131" s="1">
        <v>32071.152749976813</v>
      </c>
      <c r="AA131" s="1">
        <v>4.6360153363731911</v>
      </c>
      <c r="AB131" s="1">
        <v>5996632.5656721704</v>
      </c>
      <c r="AC131" s="1">
        <v>0.43105174022227288</v>
      </c>
      <c r="AE131" s="1">
        <v>1923</v>
      </c>
      <c r="AF131" s="1">
        <v>1486.1408828663425</v>
      </c>
      <c r="AG131" s="1">
        <v>1842.8724709763776</v>
      </c>
      <c r="AH131" s="1">
        <v>473.85361440328194</v>
      </c>
      <c r="AI131" s="1">
        <v>593.46288179687724</v>
      </c>
      <c r="AJ131" s="1">
        <v>992.22503656625065</v>
      </c>
      <c r="AK131" s="1">
        <v>612.35186605762158</v>
      </c>
      <c r="AL131" s="1">
        <v>588.89297077917638</v>
      </c>
      <c r="AM131" s="1">
        <v>695.08973467614442</v>
      </c>
      <c r="AN131" s="2">
        <v>7284.889458122072</v>
      </c>
      <c r="AP131" s="1" t="s">
        <v>222</v>
      </c>
      <c r="AQ131" s="1">
        <v>-1.3463899333540326</v>
      </c>
      <c r="AR131" s="1">
        <v>11.079795623527389</v>
      </c>
      <c r="AS131" s="1">
        <v>2.981214019800845</v>
      </c>
      <c r="AT131" s="1">
        <v>6.5262724973076445</v>
      </c>
      <c r="AU131" s="1">
        <v>7.5513065060449662</v>
      </c>
      <c r="AV131" s="1">
        <v>4.8793762326370285</v>
      </c>
      <c r="AW131" s="1">
        <v>8.0099651682529895</v>
      </c>
      <c r="AX131" s="1">
        <v>-0.40165140721440196</v>
      </c>
      <c r="AY131" s="1">
        <v>5.0870507013798658</v>
      </c>
      <c r="BA131" s="1">
        <v>1923</v>
      </c>
      <c r="BB131" s="1">
        <v>5906.5424526222705</v>
      </c>
      <c r="BC131" s="1">
        <v>811.51061733423398</v>
      </c>
      <c r="BD131" s="1">
        <v>704.91563296656602</v>
      </c>
      <c r="BE131" s="1">
        <v>167.29652948143567</v>
      </c>
      <c r="BF131" s="1">
        <v>3.492</v>
      </c>
      <c r="BG131" s="1">
        <v>218.42463704014494</v>
      </c>
      <c r="BH131" s="1">
        <v>1451.2886772567958</v>
      </c>
      <c r="BI131" s="1">
        <v>1462.2585244582588</v>
      </c>
      <c r="BJ131" s="1">
        <v>7801.2120222431877</v>
      </c>
      <c r="BL131" s="1" t="s">
        <v>222</v>
      </c>
      <c r="BM131" s="1">
        <v>1.1955071265857669</v>
      </c>
      <c r="BN131" s="1">
        <v>2.7330996570875499</v>
      </c>
      <c r="BO131" s="1">
        <v>50.238698961190039</v>
      </c>
      <c r="BP131" s="1">
        <v>-1.9257221458046558</v>
      </c>
      <c r="BQ131" s="1">
        <v>14.662756598240478</v>
      </c>
      <c r="BR131" s="1">
        <v>3.2759761852375817</v>
      </c>
      <c r="BT131" s="1" t="s">
        <v>222</v>
      </c>
      <c r="BU131" s="1">
        <v>-7.8218350233925378</v>
      </c>
      <c r="BV131" s="1">
        <v>-12.551489808291421</v>
      </c>
      <c r="BW131" s="1">
        <v>-3.45124175451177</v>
      </c>
      <c r="BX131" s="1">
        <v>2.76137109394719</v>
      </c>
      <c r="BY131" s="1">
        <v>1.1100247969648223</v>
      </c>
      <c r="BZ131" s="1">
        <v>-7.524575933430242</v>
      </c>
      <c r="CB131" s="1">
        <v>1923</v>
      </c>
      <c r="CC131" s="1">
        <v>82.595960537447979</v>
      </c>
      <c r="CD131" s="1">
        <v>334.557410925456</v>
      </c>
      <c r="CE131" s="1">
        <v>9.863314583673473</v>
      </c>
      <c r="CF131" s="1">
        <v>143.74293451391316</v>
      </c>
      <c r="CG131" s="1">
        <v>103.24157296804161</v>
      </c>
      <c r="CH131" s="1">
        <v>112.96473839253642</v>
      </c>
      <c r="CI131" s="1">
        <v>307.16286756707797</v>
      </c>
      <c r="CJ131" s="1">
        <v>1094.1287994881466</v>
      </c>
      <c r="CL131" s="1">
        <v>1923</v>
      </c>
      <c r="CM131" s="1">
        <v>91.767694459471272</v>
      </c>
      <c r="CN131" s="1">
        <v>181.42835701460069</v>
      </c>
      <c r="CO131" s="1">
        <v>9.0130239721002035</v>
      </c>
      <c r="CP131" s="1">
        <v>149.19399794151087</v>
      </c>
      <c r="CQ131" s="1">
        <v>20.83447477987108</v>
      </c>
      <c r="CR131" s="1">
        <v>41.528873553008744</v>
      </c>
      <c r="CS131" s="1">
        <v>217.27877648073738</v>
      </c>
      <c r="CT131" s="2">
        <v>711.0451982013002</v>
      </c>
      <c r="CV131" s="1">
        <v>1923</v>
      </c>
      <c r="CW131" s="1">
        <v>6970.9205945539079</v>
      </c>
      <c r="CX131" s="1">
        <v>7865.7808944741</v>
      </c>
      <c r="CY131" s="1">
        <v>1429.1026181855748</v>
      </c>
      <c r="CZ131" s="1">
        <v>582.63699999999994</v>
      </c>
      <c r="DA131" s="1">
        <v>2412.826447981427</v>
      </c>
      <c r="DB131" s="1">
        <v>19261.267555195009</v>
      </c>
      <c r="DC131" s="1">
        <v>18018.340479547736</v>
      </c>
      <c r="DD131" s="1">
        <v>4822.7317182605439</v>
      </c>
      <c r="DF131" s="1">
        <v>1923</v>
      </c>
      <c r="DG131" s="1">
        <v>1.2086263392548489</v>
      </c>
      <c r="DH131" s="1">
        <v>1.289414932606789</v>
      </c>
      <c r="DI131" s="1">
        <v>1.1370353037860639</v>
      </c>
      <c r="DJ131" s="1">
        <v>-1.2116680332676424</v>
      </c>
      <c r="DK131" s="1">
        <v>0.19718388814204957</v>
      </c>
      <c r="DL131" s="1">
        <v>9.0526460045594632</v>
      </c>
      <c r="DM131" s="1">
        <v>1.9281056312720324</v>
      </c>
      <c r="DN131" s="1">
        <v>1.6597567567633575</v>
      </c>
      <c r="DO131" s="1">
        <v>2.9007521633763957</v>
      </c>
      <c r="DQ131" s="1">
        <v>1923</v>
      </c>
      <c r="DR131" s="1">
        <v>12900.10626882125</v>
      </c>
      <c r="DS131" s="1">
        <v>15315.601859757053</v>
      </c>
      <c r="DT131" s="1">
        <v>2802.7291889630383</v>
      </c>
      <c r="DU131" s="1">
        <v>582.63699999999994</v>
      </c>
      <c r="DV131" s="1">
        <v>2412.826447981427</v>
      </c>
      <c r="DW131" s="1">
        <v>34013.900765522769</v>
      </c>
      <c r="DX131" s="1">
        <v>32015.886614651292</v>
      </c>
      <c r="DY131" s="1">
        <v>6825.2356414704445</v>
      </c>
      <c r="EA131" s="1">
        <v>1923</v>
      </c>
      <c r="EB131" s="1">
        <v>1.6108607847595096</v>
      </c>
      <c r="EC131" s="1">
        <v>1.6487471419143418</v>
      </c>
      <c r="ED131" s="1">
        <v>1.5789520579091914</v>
      </c>
      <c r="EE131" s="1">
        <v>1.137706489395768</v>
      </c>
      <c r="EF131" s="1">
        <v>0.19718388814204957</v>
      </c>
      <c r="EG131" s="1">
        <v>9.0526460045594632</v>
      </c>
      <c r="EH131" s="1">
        <v>2.0423778049276251</v>
      </c>
      <c r="EI131" s="1">
        <v>1.8583342401859113</v>
      </c>
      <c r="EJ131" s="1">
        <v>3.4310777209911976</v>
      </c>
      <c r="EL131" s="1">
        <v>1923</v>
      </c>
      <c r="EM131" s="1">
        <v>1140118.2431142887</v>
      </c>
      <c r="EN131" s="1">
        <v>618724.41300505109</v>
      </c>
      <c r="EO131" s="1">
        <v>124232.42232124534</v>
      </c>
      <c r="EP131" s="1">
        <v>119441.60655219485</v>
      </c>
      <c r="EQ131" s="1">
        <v>212074.9800887054</v>
      </c>
      <c r="ER131" s="1">
        <v>225827.17633448326</v>
      </c>
      <c r="ES131" s="1">
        <v>141695.19549135715</v>
      </c>
      <c r="ET131" s="1">
        <v>4817.4180426656612</v>
      </c>
      <c r="EU131" s="1">
        <v>2586931.4549499922</v>
      </c>
      <c r="EV131" s="1">
        <v>2445236.2594586341</v>
      </c>
      <c r="EX131" s="1">
        <v>1923</v>
      </c>
      <c r="EY131" s="1">
        <v>778774.14553622389</v>
      </c>
      <c r="EZ131" s="1">
        <v>529824.55842672125</v>
      </c>
      <c r="FA131" s="1">
        <v>114098.6733115399</v>
      </c>
      <c r="FB131" s="1">
        <v>115579.19024948485</v>
      </c>
      <c r="FC131" s="1">
        <v>159537.41690737306</v>
      </c>
      <c r="FD131" s="1">
        <v>204887.13926838519</v>
      </c>
      <c r="FE131" s="1">
        <v>141695.19549135715</v>
      </c>
      <c r="FF131" s="1">
        <v>4055.3708675735602</v>
      </c>
      <c r="FG131" s="1">
        <v>2048451.6900586591</v>
      </c>
      <c r="FH131" s="1">
        <v>1906756.4945673018</v>
      </c>
      <c r="FJ131" s="1">
        <v>1923</v>
      </c>
      <c r="FK131" s="1">
        <v>361344.09757806483</v>
      </c>
      <c r="FL131" s="1">
        <v>88899.854578329861</v>
      </c>
      <c r="FM131" s="1">
        <v>10133.749009705432</v>
      </c>
      <c r="FN131" s="1">
        <v>3862.4163027100039</v>
      </c>
      <c r="FO131" s="1">
        <v>52537.563181332327</v>
      </c>
      <c r="FP131" s="1">
        <v>20940.037066098062</v>
      </c>
      <c r="FQ131" s="1">
        <v>762.04717509210093</v>
      </c>
      <c r="FR131" s="1">
        <v>538479.76489133271</v>
      </c>
      <c r="FS131" s="1">
        <v>923887.4082550254</v>
      </c>
      <c r="HC131" s="1">
        <v>1923</v>
      </c>
      <c r="HD131" s="1">
        <v>820.77815188896489</v>
      </c>
      <c r="HE131" s="1">
        <v>1078.3654938083021</v>
      </c>
      <c r="HF131" s="1">
        <v>312.77217116369832</v>
      </c>
      <c r="HG131" s="1">
        <v>455.75008884852713</v>
      </c>
      <c r="HH131" s="1">
        <v>860.6991554732881</v>
      </c>
      <c r="HI131" s="1">
        <v>547.36409722616736</v>
      </c>
      <c r="HJ131" s="1">
        <v>10.848581501681565</v>
      </c>
      <c r="HK131" s="2">
        <v>4086.5777399106291</v>
      </c>
      <c r="HL131" s="1">
        <v>3539.2136426844618</v>
      </c>
      <c r="HN131" s="1">
        <v>1923</v>
      </c>
      <c r="HO131" s="1">
        <v>479.56691002933877</v>
      </c>
      <c r="HP131" s="1">
        <v>194.50060791173507</v>
      </c>
      <c r="HQ131" s="1">
        <v>31.121930277302827</v>
      </c>
      <c r="HR131" s="1">
        <v>16.402532332805556</v>
      </c>
      <c r="HS131" s="1">
        <v>269.31876861838185</v>
      </c>
      <c r="HT131" s="1">
        <v>2.3603879154837886</v>
      </c>
      <c r="HU131" s="2">
        <v>993.27113708504783</v>
      </c>
      <c r="HW131" s="1">
        <v>1923</v>
      </c>
      <c r="HX131" s="1">
        <v>296.19182094803887</v>
      </c>
      <c r="HY131" s="1">
        <v>570.00636925634035</v>
      </c>
      <c r="HZ131" s="1">
        <v>129.95951296228077</v>
      </c>
      <c r="IA131" s="1">
        <v>10.914260615544549</v>
      </c>
      <c r="IB131" s="1">
        <v>474.55897853220245</v>
      </c>
      <c r="IC131" s="1">
        <v>41.528873553009049</v>
      </c>
      <c r="ID131" s="1">
        <v>681.88076525897907</v>
      </c>
      <c r="IE131" s="2">
        <v>2205.0405811263954</v>
      </c>
      <c r="IF131" s="1">
        <v>2163.511707573386</v>
      </c>
      <c r="IH131" s="1">
        <v>1923</v>
      </c>
      <c r="II131" s="1">
        <v>242.96186222280073</v>
      </c>
      <c r="IJ131" s="1">
        <v>43.658287232282859</v>
      </c>
      <c r="IK131" s="1">
        <v>12.508288855733058</v>
      </c>
      <c r="IL131" s="1">
        <v>267.40269204322465</v>
      </c>
      <c r="IM131" s="1">
        <v>30.52779956325729</v>
      </c>
      <c r="IN131" s="1">
        <v>8.7463471261599679</v>
      </c>
      <c r="IO131" s="1">
        <v>4.2383239623569295</v>
      </c>
    </row>
    <row r="132" spans="1:249" x14ac:dyDescent="0.25">
      <c r="A132" s="1" t="s">
        <v>223</v>
      </c>
      <c r="B132" s="1">
        <v>5.3113370310742454</v>
      </c>
      <c r="C132" s="1">
        <v>5.0609699890724187</v>
      </c>
      <c r="D132" s="1">
        <v>5.6097937263116791</v>
      </c>
      <c r="E132" s="1">
        <v>5.0137237841174027</v>
      </c>
      <c r="F132" s="1">
        <v>4.9254316026237461</v>
      </c>
      <c r="G132" s="1">
        <v>5.4568644627252638</v>
      </c>
      <c r="H132" s="1">
        <v>5.923469946233368</v>
      </c>
      <c r="J132" s="1">
        <v>1924</v>
      </c>
      <c r="K132" s="2">
        <v>8069.3530087640238</v>
      </c>
      <c r="L132" s="1">
        <v>7541.1979746430807</v>
      </c>
      <c r="M132" s="1">
        <v>7309.81401842794</v>
      </c>
      <c r="N132" s="1">
        <v>6781.6589843069978</v>
      </c>
      <c r="O132" s="1">
        <v>759.53899033608332</v>
      </c>
      <c r="P132" s="1">
        <v>528.1550341209429</v>
      </c>
      <c r="Q132" s="1">
        <v>6429.9926589727456</v>
      </c>
      <c r="R132" s="1">
        <v>14499.345667736769</v>
      </c>
      <c r="S132" s="1">
        <v>13971.190633615826</v>
      </c>
      <c r="U132" s="1">
        <v>1924</v>
      </c>
      <c r="V132" s="1">
        <v>1340.2194115497653</v>
      </c>
      <c r="W132" s="1">
        <v>36699.717927674952</v>
      </c>
      <c r="X132" s="1">
        <v>5.0314793043770578</v>
      </c>
      <c r="Y132" s="1">
        <v>1252.499413643138</v>
      </c>
      <c r="Z132" s="1">
        <v>33638.322102209699</v>
      </c>
      <c r="AA132" s="1">
        <v>4.8865388919767412</v>
      </c>
      <c r="AB132" s="1">
        <v>6020919.3653097535</v>
      </c>
      <c r="AC132" s="1">
        <v>0.40500729987383011</v>
      </c>
      <c r="AE132" s="1">
        <v>1924</v>
      </c>
      <c r="AF132" s="1">
        <v>1550.6684326157972</v>
      </c>
      <c r="AG132" s="1">
        <v>1922.862510662532</v>
      </c>
      <c r="AH132" s="1">
        <v>537.46835622141816</v>
      </c>
      <c r="AI132" s="1">
        <v>593.54160821408016</v>
      </c>
      <c r="AJ132" s="1">
        <v>1001.1693319624758</v>
      </c>
      <c r="AK132" s="1">
        <v>601.93746101881948</v>
      </c>
      <c r="AL132" s="1">
        <v>580.35213593027208</v>
      </c>
      <c r="AM132" s="1">
        <v>753.19813801768532</v>
      </c>
      <c r="AN132" s="2">
        <v>7541.1979746430807</v>
      </c>
      <c r="AP132" s="1" t="s">
        <v>223</v>
      </c>
      <c r="AQ132" s="1">
        <v>2.2315037327942804</v>
      </c>
      <c r="AR132" s="1">
        <v>15.104697551539999</v>
      </c>
      <c r="AS132" s="1">
        <v>1.5369023953391263</v>
      </c>
      <c r="AT132" s="1">
        <v>3.1721967506509259</v>
      </c>
      <c r="AU132" s="1">
        <v>7.0452563585911037</v>
      </c>
      <c r="AV132" s="1">
        <v>-0.97444957598587223</v>
      </c>
      <c r="AW132" s="1">
        <v>-1.3214844015897853</v>
      </c>
      <c r="AX132" s="1">
        <v>0.56000134027544846</v>
      </c>
      <c r="AY132" s="1">
        <v>5.3113370310742454</v>
      </c>
      <c r="BA132" s="1">
        <v>1924</v>
      </c>
      <c r="BB132" s="1">
        <v>6083.3507792718619</v>
      </c>
      <c r="BC132" s="1">
        <v>824.85243996103634</v>
      </c>
      <c r="BD132" s="1">
        <v>804.66110012559113</v>
      </c>
      <c r="BE132" s="1">
        <v>183.29626187376354</v>
      </c>
      <c r="BF132" s="1">
        <v>4.6710000000000003</v>
      </c>
      <c r="BG132" s="1">
        <v>188.81492111293647</v>
      </c>
      <c r="BH132" s="1">
        <v>1588.7554619037905</v>
      </c>
      <c r="BI132" s="1">
        <v>1609.0489554849567</v>
      </c>
      <c r="BJ132" s="1">
        <v>8069.3530087640238</v>
      </c>
      <c r="BL132" s="1" t="s">
        <v>223</v>
      </c>
      <c r="BM132" s="1">
        <v>2.9195218022643417</v>
      </c>
      <c r="BN132" s="1">
        <v>2.131374590425807</v>
      </c>
      <c r="BO132" s="1">
        <v>6.1150760849687771</v>
      </c>
      <c r="BP132" s="1">
        <v>20.196353436185134</v>
      </c>
      <c r="BQ132" s="1">
        <v>7.8005115089514021</v>
      </c>
      <c r="BR132" s="1">
        <v>5.4568644627252354</v>
      </c>
      <c r="BT132" s="1" t="s">
        <v>223</v>
      </c>
      <c r="BU132" s="1">
        <v>7.1813498597222747E-2</v>
      </c>
      <c r="BV132" s="1">
        <v>-0.47713263953139062</v>
      </c>
      <c r="BW132" s="1">
        <v>1.757713107719681</v>
      </c>
      <c r="BX132" s="1">
        <v>-8.9223203867311156</v>
      </c>
      <c r="BY132" s="1">
        <v>2.0761483394935425</v>
      </c>
      <c r="BZ132" s="1">
        <v>-1.9151845741800457</v>
      </c>
      <c r="CB132" s="1">
        <v>1924</v>
      </c>
      <c r="CC132" s="1">
        <v>89.75656758156569</v>
      </c>
      <c r="CD132" s="1">
        <v>328.07259863264113</v>
      </c>
      <c r="CE132" s="1">
        <v>14.086965407909007</v>
      </c>
      <c r="CF132" s="1">
        <v>169.38289349540591</v>
      </c>
      <c r="CG132" s="1">
        <v>93.939698533422359</v>
      </c>
      <c r="CH132" s="1">
        <v>97.592997374261756</v>
      </c>
      <c r="CI132" s="1">
        <v>388.6115620870853</v>
      </c>
      <c r="CJ132" s="1">
        <v>1181.4432831122913</v>
      </c>
      <c r="CL132" s="1">
        <v>1924</v>
      </c>
      <c r="CM132" s="1">
        <v>93.924777725878357</v>
      </c>
      <c r="CN132" s="1">
        <v>181.95801251194743</v>
      </c>
      <c r="CO132" s="1">
        <v>12.016766266421419</v>
      </c>
      <c r="CP132" s="1">
        <v>160.20942125601056</v>
      </c>
      <c r="CQ132" s="1">
        <v>22.172072817906027</v>
      </c>
      <c r="CR132" s="1">
        <v>46.653380354048053</v>
      </c>
      <c r="CS132" s="1">
        <v>242.60455940387141</v>
      </c>
      <c r="CT132" s="2">
        <v>759.53899033608332</v>
      </c>
      <c r="CV132" s="1">
        <v>1924</v>
      </c>
      <c r="CW132" s="1">
        <v>7753.8041311520174</v>
      </c>
      <c r="CX132" s="1">
        <v>8737.6396961654827</v>
      </c>
      <c r="CY132" s="1">
        <v>1330.3509339782545</v>
      </c>
      <c r="CZ132" s="1">
        <v>565.36400000000003</v>
      </c>
      <c r="DA132" s="1">
        <v>2422.7490865987102</v>
      </c>
      <c r="DB132" s="1">
        <v>20809.907847894465</v>
      </c>
      <c r="DC132" s="1">
        <v>19369.891254324135</v>
      </c>
      <c r="DD132" s="1">
        <v>4993.3123049791411</v>
      </c>
      <c r="DF132" s="1">
        <v>1924</v>
      </c>
      <c r="DG132" s="1">
        <v>1.3374206171706362</v>
      </c>
      <c r="DH132" s="1">
        <v>1.8830370256144278</v>
      </c>
      <c r="DI132" s="1">
        <v>0.85334302987935473</v>
      </c>
      <c r="DJ132" s="1">
        <v>0.57025595162471632</v>
      </c>
      <c r="DK132" s="1">
        <v>-6.4105010621486542</v>
      </c>
      <c r="DL132" s="1">
        <v>7.7934162541781546</v>
      </c>
      <c r="DM132" s="1">
        <v>1.7998984685408743</v>
      </c>
      <c r="DN132" s="1">
        <v>1.6704172546298821</v>
      </c>
      <c r="DO132" s="1">
        <v>3.0306874023231956</v>
      </c>
      <c r="DQ132" s="1">
        <v>1924</v>
      </c>
      <c r="DR132" s="1">
        <v>14399.782948445218</v>
      </c>
      <c r="DS132" s="1">
        <v>17086.965490433577</v>
      </c>
      <c r="DT132" s="1">
        <v>2664.488723500026</v>
      </c>
      <c r="DU132" s="1">
        <v>565.36400000000003</v>
      </c>
      <c r="DV132" s="1">
        <v>2422.7490865987102</v>
      </c>
      <c r="DW132" s="1">
        <v>37139.350248977535</v>
      </c>
      <c r="DX132" s="1">
        <v>34843.53194231596</v>
      </c>
      <c r="DY132" s="1">
        <v>7159.3132819368711</v>
      </c>
      <c r="EA132" s="1">
        <v>1924</v>
      </c>
      <c r="EB132" s="1">
        <v>1.6678261607518294</v>
      </c>
      <c r="EC132" s="1">
        <v>1.9672113848191515</v>
      </c>
      <c r="ED132" s="1">
        <v>1.4155676977376714</v>
      </c>
      <c r="EE132" s="1">
        <v>1.9376328403054117</v>
      </c>
      <c r="EF132" s="1">
        <v>-6.4105010621486684</v>
      </c>
      <c r="EG132" s="1">
        <v>7.7934162541781546</v>
      </c>
      <c r="EH132" s="1">
        <v>1.9458193917846813</v>
      </c>
      <c r="EI132" s="1">
        <v>1.8382091297689129</v>
      </c>
      <c r="EJ132" s="1">
        <v>3.4530283412976104</v>
      </c>
      <c r="EL132" s="1">
        <v>1924</v>
      </c>
      <c r="EM132" s="1">
        <v>1132514.7489884396</v>
      </c>
      <c r="EN132" s="1">
        <v>646933.0655050152</v>
      </c>
      <c r="EO132" s="1">
        <v>122520.17813029904</v>
      </c>
      <c r="EP132" s="1">
        <v>121753.07785065314</v>
      </c>
      <c r="EQ132" s="1">
        <v>191658.65190472791</v>
      </c>
      <c r="ER132" s="1">
        <v>227352.09557707456</v>
      </c>
      <c r="ES132" s="1">
        <v>139262.65994644116</v>
      </c>
      <c r="ET132" s="1">
        <v>5046.3659131701888</v>
      </c>
      <c r="EU132" s="1">
        <v>2587040.8438158212</v>
      </c>
      <c r="EV132" s="1">
        <v>2447778.18386938</v>
      </c>
      <c r="EX132" s="1">
        <v>1924</v>
      </c>
      <c r="EY132" s="1">
        <v>771297.52784913115</v>
      </c>
      <c r="EZ132" s="1">
        <v>556673.88593313284</v>
      </c>
      <c r="FA132" s="1">
        <v>111421.44841030435</v>
      </c>
      <c r="FB132" s="1">
        <v>116951.15487971637</v>
      </c>
      <c r="FC132" s="1">
        <v>144395.15867344508</v>
      </c>
      <c r="FD132" s="1">
        <v>206590.92719520605</v>
      </c>
      <c r="FE132" s="1">
        <v>139262.65994644116</v>
      </c>
      <c r="FF132" s="1">
        <v>4256.2675788499328</v>
      </c>
      <c r="FG132" s="1">
        <v>2050849.0304662271</v>
      </c>
      <c r="FH132" s="1">
        <v>1911586.3705197859</v>
      </c>
      <c r="FJ132" s="1">
        <v>1924</v>
      </c>
      <c r="FK132" s="1">
        <v>361217.22113930847</v>
      </c>
      <c r="FL132" s="1">
        <v>90259.179571882298</v>
      </c>
      <c r="FM132" s="1">
        <v>11098.729719994684</v>
      </c>
      <c r="FN132" s="1">
        <v>4801.922970936761</v>
      </c>
      <c r="FO132" s="1">
        <v>47263.493231282853</v>
      </c>
      <c r="FP132" s="1">
        <v>20761.168381868494</v>
      </c>
      <c r="FQ132" s="1">
        <v>790.09833432025596</v>
      </c>
      <c r="FR132" s="1">
        <v>536191.81334959378</v>
      </c>
      <c r="FS132" s="1">
        <v>928645.23939137498</v>
      </c>
      <c r="HC132" s="1">
        <v>1924</v>
      </c>
      <c r="HD132" s="1">
        <v>787.18616404171928</v>
      </c>
      <c r="HE132" s="1">
        <v>1176.9585527812837</v>
      </c>
      <c r="HF132" s="1">
        <v>317.28002619127739</v>
      </c>
      <c r="HG132" s="1">
        <v>443.56425759589274</v>
      </c>
      <c r="HH132" s="1">
        <v>803.58870858425018</v>
      </c>
      <c r="HI132" s="1">
        <v>533.69875557622368</v>
      </c>
      <c r="HJ132" s="1">
        <v>11.253318541908026</v>
      </c>
      <c r="HK132" s="2">
        <v>4073.5297833125551</v>
      </c>
      <c r="HL132" s="1">
        <v>3539.8310277363312</v>
      </c>
      <c r="HN132" s="1">
        <v>1924</v>
      </c>
      <c r="HO132" s="1">
        <v>464.23506584695451</v>
      </c>
      <c r="HP132" s="1">
        <v>205.13403225628744</v>
      </c>
      <c r="HQ132" s="1">
        <v>35.407566548922489</v>
      </c>
      <c r="HR132" s="1">
        <v>19.614259837526518</v>
      </c>
      <c r="HS132" s="1">
        <v>241.7049517959307</v>
      </c>
      <c r="HT132" s="1">
        <v>2.4187555654695596</v>
      </c>
      <c r="HU132" s="2">
        <v>968.51463185109139</v>
      </c>
      <c r="HW132" s="1">
        <v>1924</v>
      </c>
      <c r="HX132" s="1">
        <v>405.92820272712356</v>
      </c>
      <c r="HY132" s="1">
        <v>540.76992562496071</v>
      </c>
      <c r="HZ132" s="1">
        <v>184.78076348121829</v>
      </c>
      <c r="IA132" s="1">
        <v>23.682090780660928</v>
      </c>
      <c r="IB132" s="1">
        <v>557.81313260111415</v>
      </c>
      <c r="IC132" s="1">
        <v>46.653380354048387</v>
      </c>
      <c r="ID132" s="1">
        <v>739.5260639103077</v>
      </c>
      <c r="IE132" s="2">
        <v>2499.1535594794336</v>
      </c>
      <c r="IF132" s="1">
        <v>2452.5001791253853</v>
      </c>
      <c r="IH132" s="1">
        <v>1924</v>
      </c>
      <c r="II132" s="1">
        <v>241.36741088559344</v>
      </c>
      <c r="IJ132" s="1">
        <v>38.108877989955545</v>
      </c>
      <c r="IK132" s="1">
        <v>11.43209786228033</v>
      </c>
      <c r="IL132" s="1">
        <v>264.64422321367323</v>
      </c>
      <c r="IM132" s="1">
        <v>25.9614961398016</v>
      </c>
      <c r="IN132" s="1">
        <v>7.7880635740483291</v>
      </c>
      <c r="IO132" s="1">
        <v>3.804134727099111</v>
      </c>
    </row>
    <row r="133" spans="1:249" x14ac:dyDescent="0.25">
      <c r="A133" s="1" t="s">
        <v>224</v>
      </c>
      <c r="B133" s="1">
        <v>0.58487128715722747</v>
      </c>
      <c r="C133" s="1">
        <v>0.40526394488249196</v>
      </c>
      <c r="D133" s="1">
        <v>0.79224016844992207</v>
      </c>
      <c r="E133" s="1">
        <v>0.37792904439201891</v>
      </c>
      <c r="F133" s="1">
        <v>-0.17253870354136325</v>
      </c>
      <c r="G133" s="1">
        <v>0.17249075582141415</v>
      </c>
      <c r="H133" s="1">
        <v>1.2175940333776225E-3</v>
      </c>
      <c r="J133" s="1">
        <v>1925</v>
      </c>
      <c r="K133" s="2">
        <v>8221.7458956280443</v>
      </c>
      <c r="L133" s="1">
        <v>7702.4691358478312</v>
      </c>
      <c r="M133" s="1">
        <v>7446.2919904058272</v>
      </c>
      <c r="N133" s="1">
        <v>6927.0152306256141</v>
      </c>
      <c r="O133" s="1">
        <v>775.45390522221692</v>
      </c>
      <c r="P133" s="1">
        <v>519.27675978021318</v>
      </c>
      <c r="Q133" s="1">
        <v>6482.5974188258369</v>
      </c>
      <c r="R133" s="1">
        <v>14704.343314453881</v>
      </c>
      <c r="S133" s="1">
        <v>14185.066554673667</v>
      </c>
      <c r="U133" s="1">
        <v>1925</v>
      </c>
      <c r="V133" s="1">
        <v>1360.1277211837864</v>
      </c>
      <c r="W133" s="1">
        <v>36617.581074416703</v>
      </c>
      <c r="X133" s="1">
        <v>-0.22380785983183671</v>
      </c>
      <c r="Y133" s="1">
        <v>1274.2234953770592</v>
      </c>
      <c r="Z133" s="1">
        <v>33701.205994376425</v>
      </c>
      <c r="AA133" s="1">
        <v>0.18694122725757722</v>
      </c>
      <c r="AB133" s="1">
        <v>6044833.7075817063</v>
      </c>
      <c r="AC133" s="1">
        <v>0.39718755261428385</v>
      </c>
      <c r="AE133" s="1">
        <v>1925</v>
      </c>
      <c r="AF133" s="1">
        <v>1535.4280005368275</v>
      </c>
      <c r="AG133" s="1">
        <v>1942.4676736359256</v>
      </c>
      <c r="AH133" s="1">
        <v>635.01688122915357</v>
      </c>
      <c r="AI133" s="1">
        <v>606.25437401997124</v>
      </c>
      <c r="AJ133" s="1">
        <v>999.56635159100756</v>
      </c>
      <c r="AK133" s="1">
        <v>594.68505613856405</v>
      </c>
      <c r="AL133" s="1">
        <v>601.01164402591019</v>
      </c>
      <c r="AM133" s="1">
        <v>788.03915467047113</v>
      </c>
      <c r="AN133" s="2">
        <v>7702.4691358478294</v>
      </c>
      <c r="AP133" s="1" t="s">
        <v>224</v>
      </c>
      <c r="AQ133" s="1">
        <v>-8.5161735980694715</v>
      </c>
      <c r="AR133" s="1">
        <v>4.2136721771403529</v>
      </c>
      <c r="AS133" s="1">
        <v>9.8088792863097609</v>
      </c>
      <c r="AT133" s="1">
        <v>7.9726224789282298</v>
      </c>
      <c r="AU133" s="1">
        <v>-1.6475917606227171</v>
      </c>
      <c r="AV133" s="1">
        <v>-0.71045579494270328</v>
      </c>
      <c r="AW133" s="1">
        <v>1.8930861833860888</v>
      </c>
      <c r="AX133" s="1">
        <v>1.4631706244066862</v>
      </c>
      <c r="AY133" s="1">
        <v>0.58487128715722747</v>
      </c>
      <c r="BA133" s="1">
        <v>1925</v>
      </c>
      <c r="BB133" s="1">
        <v>6048.2198054694109</v>
      </c>
      <c r="BC133" s="1">
        <v>846.95754436765196</v>
      </c>
      <c r="BD133" s="1">
        <v>877.40126441120628</v>
      </c>
      <c r="BE133" s="1">
        <v>217.05536174344985</v>
      </c>
      <c r="BF133" s="1">
        <v>7.6890000000000001</v>
      </c>
      <c r="BG133" s="1">
        <v>152.37307074890964</v>
      </c>
      <c r="BH133" s="1">
        <v>1705.9402619307368</v>
      </c>
      <c r="BI133" s="1">
        <v>1633.8904130433209</v>
      </c>
      <c r="BJ133" s="1">
        <v>8221.7458956280461</v>
      </c>
      <c r="BL133" s="1" t="s">
        <v>224</v>
      </c>
      <c r="BM133" s="1">
        <v>-1.501809772854088</v>
      </c>
      <c r="BN133" s="1">
        <v>1.2152035389155174</v>
      </c>
      <c r="BO133" s="1">
        <v>6.1942747068063539</v>
      </c>
      <c r="BP133" s="1">
        <v>10.735122520420063</v>
      </c>
      <c r="BQ133" s="1">
        <v>9.3712930011862454</v>
      </c>
      <c r="BR133" s="1">
        <v>0.17249075582144258</v>
      </c>
      <c r="BT133" s="1" t="s">
        <v>224</v>
      </c>
      <c r="BU133" s="1">
        <v>0.93840908864180506</v>
      </c>
      <c r="BV133" s="1">
        <v>1.4470972055192988</v>
      </c>
      <c r="BW133" s="1">
        <v>-8.4829059806850182E-3</v>
      </c>
      <c r="BX133" s="1">
        <v>-3.0335777115141553</v>
      </c>
      <c r="BY133" s="1">
        <v>-7.1567530540016122</v>
      </c>
      <c r="BZ133" s="1">
        <v>1.7130934185800299</v>
      </c>
      <c r="CB133" s="1">
        <v>1925</v>
      </c>
      <c r="CC133" s="1">
        <v>92.135950740831959</v>
      </c>
      <c r="CD133" s="1">
        <v>313.40766304937858</v>
      </c>
      <c r="CE133" s="1">
        <v>14.037300246640056</v>
      </c>
      <c r="CF133" s="1">
        <v>224.61086379813955</v>
      </c>
      <c r="CG133" s="1">
        <v>80.407565614325392</v>
      </c>
      <c r="CH133" s="1">
        <v>102.89877377493471</v>
      </c>
      <c r="CI133" s="1">
        <v>427.02057967931557</v>
      </c>
      <c r="CJ133" s="1">
        <v>1254.5186969035658</v>
      </c>
      <c r="CL133" s="1">
        <v>1925</v>
      </c>
      <c r="CM133" s="1">
        <v>94.848070401920978</v>
      </c>
      <c r="CN133" s="1">
        <v>184.27574726804215</v>
      </c>
      <c r="CO133" s="1">
        <v>12.25313861618192</v>
      </c>
      <c r="CP133" s="1">
        <v>160.03140264570214</v>
      </c>
      <c r="CQ133" s="1">
        <v>23.176307492514859</v>
      </c>
      <c r="CR133" s="1">
        <v>49.190139576614001</v>
      </c>
      <c r="CS133" s="1">
        <v>251.67909922124093</v>
      </c>
      <c r="CT133" s="2">
        <v>775.45390522221692</v>
      </c>
      <c r="CV133" s="1">
        <v>1925</v>
      </c>
      <c r="CW133" s="1">
        <v>8033.4705303587862</v>
      </c>
      <c r="CX133" s="1">
        <v>8965.1960451452323</v>
      </c>
      <c r="CY133" s="1">
        <v>1278.3884710069149</v>
      </c>
      <c r="CZ133" s="1">
        <v>623.49800000000005</v>
      </c>
      <c r="DA133" s="1">
        <v>2584.8341491054061</v>
      </c>
      <c r="DB133" s="1">
        <v>21485.387195616338</v>
      </c>
      <c r="DC133" s="1">
        <v>19965.739350733533</v>
      </c>
      <c r="DD133" s="1">
        <v>5162.4894100782258</v>
      </c>
      <c r="DF133" s="1">
        <v>1925</v>
      </c>
      <c r="DG133" s="1">
        <v>1.6131931987899861</v>
      </c>
      <c r="DH133" s="1">
        <v>2.1826367545066745</v>
      </c>
      <c r="DI133" s="1">
        <v>1.1028992507207107</v>
      </c>
      <c r="DJ133" s="1">
        <v>3.5520682890427935</v>
      </c>
      <c r="DK133" s="1">
        <v>1.4438290100411706</v>
      </c>
      <c r="DL133" s="1">
        <v>5.8948877165540807</v>
      </c>
      <c r="DM133" s="1">
        <v>2.2304270737005965</v>
      </c>
      <c r="DN133" s="1">
        <v>2.1307836584660151</v>
      </c>
      <c r="DO133" s="1">
        <v>2.7019106230115284</v>
      </c>
      <c r="DQ133" s="1">
        <v>1925</v>
      </c>
      <c r="DR133" s="1">
        <v>14931.484393061966</v>
      </c>
      <c r="DS133" s="1">
        <v>17628.242247328759</v>
      </c>
      <c r="DT133" s="1">
        <v>2595.2132926082068</v>
      </c>
      <c r="DU133" s="1">
        <v>623.49800000000005</v>
      </c>
      <c r="DV133" s="1">
        <v>2584.8341491054061</v>
      </c>
      <c r="DW133" s="1">
        <v>38363.27208210434</v>
      </c>
      <c r="DX133" s="1">
        <v>35939.824923041342</v>
      </c>
      <c r="DY133" s="1">
        <v>7441.2489926380404</v>
      </c>
      <c r="EA133" s="1">
        <v>1925</v>
      </c>
      <c r="EB133" s="1">
        <v>1.803972756108692</v>
      </c>
      <c r="EC133" s="1">
        <v>2.1295586346982418</v>
      </c>
      <c r="ED133" s="1">
        <v>1.5281813075064292</v>
      </c>
      <c r="EE133" s="1">
        <v>3.379748502039746</v>
      </c>
      <c r="EF133" s="1">
        <v>1.4438290100411706</v>
      </c>
      <c r="EG133" s="1">
        <v>5.8948877165540807</v>
      </c>
      <c r="EH133" s="1">
        <v>2.1754131670478358</v>
      </c>
      <c r="EI133" s="1">
        <v>2.0812705429546128</v>
      </c>
      <c r="EJ133" s="1">
        <v>3.1576436264848269</v>
      </c>
      <c r="EL133" s="1">
        <v>1925</v>
      </c>
      <c r="EM133" s="1">
        <v>1124543.1972081214</v>
      </c>
      <c r="EN133" s="1">
        <v>667238.90485323849</v>
      </c>
      <c r="EO133" s="1">
        <v>127517.43344779249</v>
      </c>
      <c r="EP133" s="1">
        <v>126722.68974334856</v>
      </c>
      <c r="EQ133" s="1">
        <v>179251.83798172831</v>
      </c>
      <c r="ER133" s="1">
        <v>229127.0997861317</v>
      </c>
      <c r="ES133" s="1">
        <v>141695.19549135715</v>
      </c>
      <c r="ET133" s="1">
        <v>5286.3299809455266</v>
      </c>
      <c r="EU133" s="1">
        <v>2601382.6884926641</v>
      </c>
      <c r="EV133" s="1">
        <v>2459687.4930013064</v>
      </c>
      <c r="EX133" s="1">
        <v>1925</v>
      </c>
      <c r="EY133" s="1">
        <v>763579.7289463256</v>
      </c>
      <c r="EZ133" s="1">
        <v>575620.40028780373</v>
      </c>
      <c r="FA133" s="1">
        <v>115923.40699030831</v>
      </c>
      <c r="FB133" s="1">
        <v>120563.70158497314</v>
      </c>
      <c r="FC133" s="1">
        <v>135015.64742801199</v>
      </c>
      <c r="FD133" s="1">
        <v>208183.84746736407</v>
      </c>
      <c r="FE133" s="1">
        <v>141695.19549135715</v>
      </c>
      <c r="FF133" s="1">
        <v>4467.1430325233841</v>
      </c>
      <c r="FG133" s="1">
        <v>2065049.0712286674</v>
      </c>
      <c r="FH133" s="1">
        <v>1923353.8757373102</v>
      </c>
      <c r="FJ133" s="1">
        <v>1925</v>
      </c>
      <c r="FK133" s="1">
        <v>360963.46826179582</v>
      </c>
      <c r="FL133" s="1">
        <v>91618.504565434734</v>
      </c>
      <c r="FM133" s="1">
        <v>11594.026457484169</v>
      </c>
      <c r="FN133" s="1">
        <v>6158.9881583754113</v>
      </c>
      <c r="FO133" s="1">
        <v>44236.190553716318</v>
      </c>
      <c r="FP133" s="1">
        <v>20943.252318767638</v>
      </c>
      <c r="FQ133" s="1">
        <v>819.18694842214234</v>
      </c>
      <c r="FR133" s="1">
        <v>536333.61726399628</v>
      </c>
      <c r="FS133" s="1">
        <v>933427.57238468225</v>
      </c>
      <c r="HC133" s="1">
        <v>1925</v>
      </c>
      <c r="HD133" s="1">
        <v>791.71044993754708</v>
      </c>
      <c r="HE133" s="1">
        <v>1244.6511655309878</v>
      </c>
      <c r="HF133" s="1">
        <v>337.59516802975116</v>
      </c>
      <c r="HG133" s="1">
        <v>466.71733697589815</v>
      </c>
      <c r="HH133" s="1">
        <v>793.45030499049301</v>
      </c>
      <c r="HI133" s="1">
        <v>551.82150444929641</v>
      </c>
      <c r="HJ133" s="1">
        <v>11.771694259356053</v>
      </c>
      <c r="HK133" s="2">
        <v>4197.7176241733296</v>
      </c>
      <c r="HL133" s="1">
        <v>3645.8961197240328</v>
      </c>
      <c r="HN133" s="1">
        <v>1925</v>
      </c>
      <c r="HO133" s="1">
        <v>471.29107918466366</v>
      </c>
      <c r="HP133" s="1">
        <v>212.95149164357906</v>
      </c>
      <c r="HQ133" s="1">
        <v>37.827552627761669</v>
      </c>
      <c r="HR133" s="1">
        <v>25.677423024132999</v>
      </c>
      <c r="HS133" s="1">
        <v>238.63763327236586</v>
      </c>
      <c r="HT133" s="1">
        <v>2.4994893228971842</v>
      </c>
      <c r="HU133" s="2">
        <v>988.88466907540032</v>
      </c>
      <c r="HW133" s="1">
        <v>1925</v>
      </c>
      <c r="HX133" s="1">
        <v>380.66347141461688</v>
      </c>
      <c r="HY133" s="1">
        <v>484.86501646135889</v>
      </c>
      <c r="HZ133" s="1">
        <v>259.59416057164077</v>
      </c>
      <c r="IA133" s="1">
        <v>5.6226140199401584</v>
      </c>
      <c r="IB133" s="1">
        <v>562.16346946671274</v>
      </c>
      <c r="IC133" s="1">
        <v>49.190139576613788</v>
      </c>
      <c r="ID133" s="1">
        <v>773.76797108821791</v>
      </c>
      <c r="IE133" s="2">
        <v>2515.8668425991009</v>
      </c>
      <c r="IF133" s="1">
        <v>2466.6767030224873</v>
      </c>
      <c r="IH133" s="1">
        <v>1925</v>
      </c>
      <c r="II133" s="1">
        <v>247.66010244739144</v>
      </c>
      <c r="IJ133" s="1">
        <v>32.319561789613807</v>
      </c>
      <c r="IK133" s="1">
        <v>9.862462423004418</v>
      </c>
      <c r="IL133" s="1">
        <v>271.67706204772708</v>
      </c>
      <c r="IM133" s="1">
        <v>20.622168031442968</v>
      </c>
      <c r="IN133" s="1">
        <v>6.2929491004531197</v>
      </c>
      <c r="IO133" s="1">
        <v>1.3198870497126478</v>
      </c>
    </row>
    <row r="134" spans="1:249" x14ac:dyDescent="0.25">
      <c r="A134" s="1" t="s">
        <v>225</v>
      </c>
      <c r="B134" s="1">
        <v>7.9507673792603697</v>
      </c>
      <c r="C134" s="1">
        <v>7.8299814089765221</v>
      </c>
      <c r="D134" s="1">
        <v>8.147974683334084</v>
      </c>
      <c r="E134" s="1">
        <v>7.7539196817432554</v>
      </c>
      <c r="F134" s="1">
        <v>7.2846294453228637</v>
      </c>
      <c r="G134" s="1">
        <v>7.0388747550276918</v>
      </c>
      <c r="H134" s="1">
        <v>7.600120460166778</v>
      </c>
      <c r="J134" s="1">
        <v>1926</v>
      </c>
      <c r="K134" s="2">
        <v>8403.8448448111922</v>
      </c>
      <c r="L134" s="1">
        <v>7866.3578698295369</v>
      </c>
      <c r="M134" s="1">
        <v>7616.3088247835649</v>
      </c>
      <c r="N134" s="1">
        <v>7078.8218498019096</v>
      </c>
      <c r="O134" s="1">
        <v>787.53602002762705</v>
      </c>
      <c r="P134" s="1">
        <v>537.48697498165575</v>
      </c>
      <c r="Q134" s="1">
        <v>6846.4124947404443</v>
      </c>
      <c r="R134" s="1">
        <v>15250.257339551637</v>
      </c>
      <c r="S134" s="1">
        <v>14712.77036456998</v>
      </c>
      <c r="U134" s="1">
        <v>1926</v>
      </c>
      <c r="V134" s="1">
        <v>1385.868357004432</v>
      </c>
      <c r="W134" s="1">
        <v>39071.447210253238</v>
      </c>
      <c r="X134" s="1">
        <v>6.7013332498660105</v>
      </c>
      <c r="Y134" s="1">
        <v>1297.2320001124997</v>
      </c>
      <c r="Z134" s="1">
        <v>36265.985815189801</v>
      </c>
      <c r="AA134" s="1">
        <v>7.6103502683000386</v>
      </c>
      <c r="AB134" s="1">
        <v>6063956.0765902651</v>
      </c>
      <c r="AC134" s="1">
        <v>0.31634235007282996</v>
      </c>
      <c r="AE134" s="1">
        <v>1926</v>
      </c>
      <c r="AF134" s="1">
        <v>1589.3050115027088</v>
      </c>
      <c r="AG134" s="1">
        <v>2010.7603317625387</v>
      </c>
      <c r="AH134" s="1">
        <v>590.00525464474254</v>
      </c>
      <c r="AI134" s="1">
        <v>629.50397056643783</v>
      </c>
      <c r="AJ134" s="1">
        <v>1024.5937677681727</v>
      </c>
      <c r="AK134" s="1">
        <v>609.25018773332044</v>
      </c>
      <c r="AL134" s="1">
        <v>591.0680537055656</v>
      </c>
      <c r="AM134" s="1">
        <v>821.87129214604988</v>
      </c>
      <c r="AN134" s="2">
        <v>7866.3578698295369</v>
      </c>
      <c r="AP134" s="1" t="s">
        <v>225</v>
      </c>
      <c r="AQ134" s="1">
        <v>14.185083147855067</v>
      </c>
      <c r="AR134" s="1">
        <v>8.7112308375695306</v>
      </c>
      <c r="AS134" s="1">
        <v>0.84143564362517509</v>
      </c>
      <c r="AT134" s="1">
        <v>10.856744797639635</v>
      </c>
      <c r="AU134" s="1">
        <v>6.8284280030016475</v>
      </c>
      <c r="AV134" s="1">
        <v>5.9014039000131646</v>
      </c>
      <c r="AW134" s="1">
        <v>5.6349651801631353</v>
      </c>
      <c r="AX134" s="1">
        <v>2.5019511206941161</v>
      </c>
      <c r="AY134" s="1">
        <v>7.9507673792603697</v>
      </c>
      <c r="BA134" s="1">
        <v>1926</v>
      </c>
      <c r="BB134" s="1">
        <v>6320.4917762290197</v>
      </c>
      <c r="BC134" s="1">
        <v>824.51667254882375</v>
      </c>
      <c r="BD134" s="1">
        <v>825.61482858303339</v>
      </c>
      <c r="BE134" s="1">
        <v>222.00305981011266</v>
      </c>
      <c r="BF134" s="1">
        <v>10.352</v>
      </c>
      <c r="BG134" s="1">
        <v>93.988924380905573</v>
      </c>
      <c r="BH134" s="1">
        <v>1789.3217542576024</v>
      </c>
      <c r="BI134" s="1">
        <v>1682.4441709983055</v>
      </c>
      <c r="BJ134" s="1">
        <v>8403.8448448111903</v>
      </c>
      <c r="BL134" s="1" t="s">
        <v>225</v>
      </c>
      <c r="BM134" s="1">
        <v>9.9746515774727271</v>
      </c>
      <c r="BN134" s="1">
        <v>3.1318875057356763</v>
      </c>
      <c r="BO134" s="1">
        <v>-7.2378048733673666</v>
      </c>
      <c r="BP134" s="1">
        <v>7.7976817702844983</v>
      </c>
      <c r="BQ134" s="1">
        <v>5.5314533622559594</v>
      </c>
      <c r="BR134" s="1">
        <v>7.0388747550276491</v>
      </c>
      <c r="BT134" s="1" t="s">
        <v>225</v>
      </c>
      <c r="BU134" s="1">
        <v>-4.9765684525154228</v>
      </c>
      <c r="BV134" s="1">
        <v>-5.6059033097086655</v>
      </c>
      <c r="BW134" s="1">
        <v>-1.0105762580041642</v>
      </c>
      <c r="BX134" s="1">
        <v>-2.6994709527627947</v>
      </c>
      <c r="BY134" s="1">
        <v>-2.4256160280581867</v>
      </c>
      <c r="BZ134" s="1">
        <v>-4.5068013906025328</v>
      </c>
      <c r="CB134" s="1">
        <v>1926</v>
      </c>
      <c r="CC134" s="1">
        <v>96.967669706540647</v>
      </c>
      <c r="CD134" s="1">
        <v>284.00446563647671</v>
      </c>
      <c r="CE134" s="1">
        <v>14.066610830177053</v>
      </c>
      <c r="CF134" s="1">
        <v>141.51743032609198</v>
      </c>
      <c r="CG134" s="1">
        <v>70.885190936606591</v>
      </c>
      <c r="CH134" s="1">
        <v>103.57618954100404</v>
      </c>
      <c r="CI134" s="1">
        <v>440.9412557971545</v>
      </c>
      <c r="CJ134" s="1">
        <v>1151.9588127740517</v>
      </c>
      <c r="CL134" s="1">
        <v>1926</v>
      </c>
      <c r="CM134" s="1">
        <v>95.530146503908568</v>
      </c>
      <c r="CN134" s="1">
        <v>186.59276127736217</v>
      </c>
      <c r="CO134" s="1">
        <v>9.043560922478072</v>
      </c>
      <c r="CP134" s="1">
        <v>163.22347369240921</v>
      </c>
      <c r="CQ134" s="1">
        <v>24.797798330142655</v>
      </c>
      <c r="CR134" s="1">
        <v>50.753161425345226</v>
      </c>
      <c r="CS134" s="1">
        <v>257.5951178759812</v>
      </c>
      <c r="CT134" s="2">
        <v>787.53602002762705</v>
      </c>
      <c r="CV134" s="1">
        <v>1926</v>
      </c>
      <c r="CW134" s="1">
        <v>8217.7022496812442</v>
      </c>
      <c r="CX134" s="1">
        <v>9072.7767103921997</v>
      </c>
      <c r="CY134" s="1">
        <v>1306.170986477877</v>
      </c>
      <c r="CZ134" s="1">
        <v>569.92499999999995</v>
      </c>
      <c r="DA134" s="1">
        <v>2627.4644355327287</v>
      </c>
      <c r="DB134" s="1">
        <v>21794.039382084051</v>
      </c>
      <c r="DC134" s="1">
        <v>20221.27140459347</v>
      </c>
      <c r="DD134" s="1">
        <v>5221.8376660196109</v>
      </c>
      <c r="DF134" s="1">
        <v>1926</v>
      </c>
      <c r="DG134" s="1">
        <v>1.2384391936189019</v>
      </c>
      <c r="DH134" s="1">
        <v>2.2311119623284412</v>
      </c>
      <c r="DI134" s="1">
        <v>0.3391129393126846</v>
      </c>
      <c r="DJ134" s="1">
        <v>3.5620735766292313</v>
      </c>
      <c r="DK134" s="1">
        <v>4.7868827569700727</v>
      </c>
      <c r="DL134" s="1">
        <v>3.5771720868925598</v>
      </c>
      <c r="DM134" s="1">
        <v>1.743355364638461</v>
      </c>
      <c r="DN134" s="1">
        <v>1.6173574388838858</v>
      </c>
      <c r="DO134" s="1">
        <v>2.2651828837160934</v>
      </c>
      <c r="DQ134" s="1">
        <v>1926</v>
      </c>
      <c r="DR134" s="1">
        <v>15265.974449786525</v>
      </c>
      <c r="DS134" s="1">
        <v>17915.245635228959</v>
      </c>
      <c r="DT134" s="1">
        <v>2653.2120465609464</v>
      </c>
      <c r="DU134" s="1">
        <v>569.92499999999995</v>
      </c>
      <c r="DV134" s="1">
        <v>2627.4644355327287</v>
      </c>
      <c r="DW134" s="1">
        <v>39031.82156710916</v>
      </c>
      <c r="DX134" s="1">
        <v>36523.221333988309</v>
      </c>
      <c r="DY134" s="1">
        <v>7590.7988208626466</v>
      </c>
      <c r="EA134" s="1">
        <v>1926</v>
      </c>
      <c r="EB134" s="1">
        <v>1.5919471760491177</v>
      </c>
      <c r="EC134" s="1">
        <v>2.1561464462779014</v>
      </c>
      <c r="ED134" s="1">
        <v>1.1110906345711129</v>
      </c>
      <c r="EE134" s="1">
        <v>3.3536002378459955</v>
      </c>
      <c r="EF134" s="1">
        <v>4.7868827569700727</v>
      </c>
      <c r="EG134" s="1">
        <v>3.5771720868925598</v>
      </c>
      <c r="EH134" s="1">
        <v>1.887678593825882</v>
      </c>
      <c r="EI134" s="1">
        <v>1.779927581609698</v>
      </c>
      <c r="EJ134" s="1">
        <v>2.8025069879853248</v>
      </c>
      <c r="EL134" s="1">
        <v>1926</v>
      </c>
      <c r="EM134" s="1">
        <v>1122022.2062841819</v>
      </c>
      <c r="EN134" s="1">
        <v>687544.74420146167</v>
      </c>
      <c r="EO134" s="1">
        <v>130818.22706256386</v>
      </c>
      <c r="EP134" s="1">
        <v>130556.92477747219</v>
      </c>
      <c r="EQ134" s="1">
        <v>205983.8623104367</v>
      </c>
      <c r="ER134" s="1">
        <v>236888.83542488472</v>
      </c>
      <c r="ES134" s="1">
        <v>149965.81634407156</v>
      </c>
      <c r="ET134" s="1">
        <v>5537.8457092811996</v>
      </c>
      <c r="EU134" s="1">
        <v>2669318.4621143532</v>
      </c>
      <c r="EV134" s="1">
        <v>2519352.645770282</v>
      </c>
      <c r="EX134" s="1">
        <v>1926</v>
      </c>
      <c r="EY134" s="1">
        <v>758394.33280850295</v>
      </c>
      <c r="EZ134" s="1">
        <v>593343.52214827726</v>
      </c>
      <c r="FA134" s="1">
        <v>118760.36743241506</v>
      </c>
      <c r="FB134" s="1">
        <v>122936.48180185516</v>
      </c>
      <c r="FC134" s="1">
        <v>154641.35922923798</v>
      </c>
      <c r="FD134" s="1">
        <v>214264.35214288154</v>
      </c>
      <c r="FE134" s="1">
        <v>149965.81634407156</v>
      </c>
      <c r="FF134" s="1">
        <v>4688.4941518076121</v>
      </c>
      <c r="FG134" s="1">
        <v>2116994.7260590489</v>
      </c>
      <c r="FH134" s="1">
        <v>1967028.9097149775</v>
      </c>
      <c r="FJ134" s="1">
        <v>1926</v>
      </c>
      <c r="FK134" s="1">
        <v>363627.87347567902</v>
      </c>
      <c r="FL134" s="1">
        <v>94201.222053184363</v>
      </c>
      <c r="FM134" s="1">
        <v>12057.859630148805</v>
      </c>
      <c r="FN134" s="1">
        <v>7620.442975617033</v>
      </c>
      <c r="FO134" s="1">
        <v>51342.503081198716</v>
      </c>
      <c r="FP134" s="1">
        <v>22624.483282003159</v>
      </c>
      <c r="FQ134" s="1">
        <v>849.35155747358738</v>
      </c>
      <c r="FR134" s="1">
        <v>552323.73605530465</v>
      </c>
      <c r="FS134" s="1">
        <v>938234.53341449774</v>
      </c>
      <c r="HC134" s="1">
        <v>1926</v>
      </c>
      <c r="HD134" s="1">
        <v>776.61018706450864</v>
      </c>
      <c r="HE134" s="1">
        <v>1298.6859424831373</v>
      </c>
      <c r="HF134" s="1">
        <v>350.0927194920659</v>
      </c>
      <c r="HG134" s="1">
        <v>480.12175135379601</v>
      </c>
      <c r="HH134" s="1">
        <v>836.24259841301591</v>
      </c>
      <c r="HI134" s="1">
        <v>540.31489228022031</v>
      </c>
      <c r="HJ134" s="1">
        <v>11.861706514042611</v>
      </c>
      <c r="HK134" s="2">
        <v>4293.9297976007865</v>
      </c>
      <c r="HL134" s="1">
        <v>3753.6149053205663</v>
      </c>
      <c r="HN134" s="1">
        <v>1926</v>
      </c>
      <c r="HO134" s="1">
        <v>468.8988329610267</v>
      </c>
      <c r="HP134" s="1">
        <v>221.6360930244949</v>
      </c>
      <c r="HQ134" s="1">
        <v>39.822694503887192</v>
      </c>
      <c r="HR134" s="1">
        <v>32.052028876834761</v>
      </c>
      <c r="HS134" s="1">
        <v>260.5912040177659</v>
      </c>
      <c r="HT134" s="1">
        <v>2.488057593894383</v>
      </c>
      <c r="HU134" s="2">
        <v>1025.488910977904</v>
      </c>
      <c r="HW134" s="1">
        <v>1926</v>
      </c>
      <c r="HX134" s="1">
        <v>445.81599147717338</v>
      </c>
      <c r="HY134" s="1">
        <v>490.43829625490662</v>
      </c>
      <c r="HZ134" s="1">
        <v>200.08984064878939</v>
      </c>
      <c r="IA134" s="1">
        <v>15.310190335807079</v>
      </c>
      <c r="IB134" s="1">
        <v>537.010153070711</v>
      </c>
      <c r="IC134" s="1">
        <v>50.75316142534529</v>
      </c>
      <c r="ID134" s="1">
        <v>807.52152803811293</v>
      </c>
      <c r="IE134" s="2">
        <v>2546.9391612508457</v>
      </c>
      <c r="IF134" s="1">
        <v>2496.1859998255004</v>
      </c>
      <c r="IH134" s="1">
        <v>1926</v>
      </c>
      <c r="II134" s="1">
        <v>241.82875459047963</v>
      </c>
      <c r="IJ134" s="1">
        <v>31.334630336715481</v>
      </c>
      <c r="IK134" s="1">
        <v>9.8659152453186181</v>
      </c>
      <c r="IL134" s="1">
        <v>264.70250717086077</v>
      </c>
      <c r="IM134" s="1">
        <v>19.985603568265791</v>
      </c>
      <c r="IN134" s="1">
        <v>6.2925992364432579</v>
      </c>
      <c r="IO134" s="1">
        <v>6.5260322871850462</v>
      </c>
    </row>
    <row r="135" spans="1:249" x14ac:dyDescent="0.25">
      <c r="A135" s="1" t="s">
        <v>226</v>
      </c>
      <c r="B135" s="1">
        <v>3.1967312677963662</v>
      </c>
      <c r="C135" s="1">
        <v>3.1097164850772288</v>
      </c>
      <c r="D135" s="1">
        <v>3.3078749565940342</v>
      </c>
      <c r="E135" s="1">
        <v>3.0857071528411097</v>
      </c>
      <c r="F135" s="1">
        <v>2.633052945925769</v>
      </c>
      <c r="G135" s="1">
        <v>3.1839225351071718</v>
      </c>
      <c r="H135" s="1">
        <v>3.3256442649514355</v>
      </c>
      <c r="J135" s="1">
        <v>1927</v>
      </c>
      <c r="K135" s="2">
        <v>8480.2800255277671</v>
      </c>
      <c r="L135" s="1">
        <v>7918.3539064169336</v>
      </c>
      <c r="M135" s="1">
        <v>7680.5241661099317</v>
      </c>
      <c r="N135" s="1">
        <v>7118.5980469990982</v>
      </c>
      <c r="O135" s="1">
        <v>799.75585941783561</v>
      </c>
      <c r="P135" s="1">
        <v>561.9261191108327</v>
      </c>
      <c r="Q135" s="1">
        <v>6956.0825570708366</v>
      </c>
      <c r="R135" s="1">
        <v>15436.362582598604</v>
      </c>
      <c r="S135" s="1">
        <v>14874.436463487771</v>
      </c>
      <c r="U135" s="1">
        <v>1927</v>
      </c>
      <c r="V135" s="1">
        <v>1394.5210310051762</v>
      </c>
      <c r="W135" s="1">
        <v>40201.518101188893</v>
      </c>
      <c r="X135" s="1">
        <v>2.8923189992284222</v>
      </c>
      <c r="Y135" s="1">
        <v>1302.1163240129199</v>
      </c>
      <c r="Z135" s="1">
        <v>37319.545898727934</v>
      </c>
      <c r="AA135" s="1">
        <v>2.9050915337226542</v>
      </c>
      <c r="AB135" s="1">
        <v>6081141.7232016558</v>
      </c>
      <c r="AC135" s="1">
        <v>0.28340651538911743</v>
      </c>
      <c r="AE135" s="1">
        <v>1927</v>
      </c>
      <c r="AF135" s="1">
        <v>1529.5187114599166</v>
      </c>
      <c r="AG135" s="1">
        <v>2069.1294063294918</v>
      </c>
      <c r="AH135" s="1">
        <v>603.91743328843404</v>
      </c>
      <c r="AI135" s="1">
        <v>644.14627586373547</v>
      </c>
      <c r="AJ135" s="1">
        <v>998.7116234828743</v>
      </c>
      <c r="AK135" s="1">
        <v>622.12248375455624</v>
      </c>
      <c r="AL135" s="1">
        <v>593.83127744905755</v>
      </c>
      <c r="AM135" s="1">
        <v>856.97669478886701</v>
      </c>
      <c r="AN135" s="2">
        <v>7918.3539064169327</v>
      </c>
      <c r="AP135" s="1" t="s">
        <v>226</v>
      </c>
      <c r="AQ135" s="1">
        <v>-2.20038956695889</v>
      </c>
      <c r="AR135" s="1">
        <v>8.1614206474534825</v>
      </c>
      <c r="AS135" s="1">
        <v>5.9819791658209311</v>
      </c>
      <c r="AT135" s="1">
        <v>6.0179507452515821</v>
      </c>
      <c r="AU135" s="1">
        <v>2.1979693420203716</v>
      </c>
      <c r="AV135" s="1">
        <v>2.7329007556804896</v>
      </c>
      <c r="AW135" s="1">
        <v>-0.88691913500753117</v>
      </c>
      <c r="AX135" s="1">
        <v>2.1228622413493667</v>
      </c>
      <c r="AY135" s="1">
        <v>3.1967312677963662</v>
      </c>
      <c r="BA135" s="1">
        <v>1927</v>
      </c>
      <c r="BB135" s="1">
        <v>6178.2761515542952</v>
      </c>
      <c r="BC135" s="1">
        <v>824.47412980592901</v>
      </c>
      <c r="BD135" s="1">
        <v>858.83547522378854</v>
      </c>
      <c r="BE135" s="1">
        <v>227.34635144487902</v>
      </c>
      <c r="BF135" s="1">
        <v>11.92</v>
      </c>
      <c r="BG135" s="1">
        <v>129.67578762464476</v>
      </c>
      <c r="BH135" s="1">
        <v>2039.4662312381993</v>
      </c>
      <c r="BI135" s="1">
        <v>1789.7141013639693</v>
      </c>
      <c r="BJ135" s="1">
        <v>8480.2800255277652</v>
      </c>
      <c r="BL135" s="1" t="s">
        <v>226</v>
      </c>
      <c r="BM135" s="1">
        <v>-0.99596524485762927</v>
      </c>
      <c r="BN135" s="1">
        <v>0.21017935703919477</v>
      </c>
      <c r="BO135" s="1">
        <v>7.6457160465911187</v>
      </c>
      <c r="BP135" s="1">
        <v>19.257086999022491</v>
      </c>
      <c r="BQ135" s="1">
        <v>5.8581706063720418</v>
      </c>
      <c r="BR135" s="1">
        <v>3.1839225351072002</v>
      </c>
      <c r="BT135" s="1" t="s">
        <v>226</v>
      </c>
      <c r="BU135" s="1">
        <v>-1.2667230178384585</v>
      </c>
      <c r="BV135" s="1">
        <v>-0.21488742696415386</v>
      </c>
      <c r="BW135" s="1">
        <v>-0.98841605872173943</v>
      </c>
      <c r="BX135" s="1">
        <v>-4.4250939422719568</v>
      </c>
      <c r="BY135" s="1">
        <v>0.48902065550271345</v>
      </c>
      <c r="BZ135" s="1">
        <v>-2.2042156953248195</v>
      </c>
      <c r="CB135" s="1">
        <v>1927</v>
      </c>
      <c r="CC135" s="1">
        <v>97.454328444910686</v>
      </c>
      <c r="CD135" s="1">
        <v>300.03372153264814</v>
      </c>
      <c r="CE135" s="1">
        <v>13.915549113847391</v>
      </c>
      <c r="CF135" s="1">
        <v>193.73781720661015</v>
      </c>
      <c r="CG135" s="1">
        <v>88.200513988211327</v>
      </c>
      <c r="CH135" s="1">
        <v>92.28722097358883</v>
      </c>
      <c r="CI135" s="1">
        <v>442.14846303349583</v>
      </c>
      <c r="CJ135" s="1">
        <v>1227.7776142933124</v>
      </c>
      <c r="CL135" s="1">
        <v>1927</v>
      </c>
      <c r="CM135" s="1">
        <v>93.095656968168797</v>
      </c>
      <c r="CN135" s="1">
        <v>187.98321120326688</v>
      </c>
      <c r="CO135" s="1">
        <v>11.48153051673275</v>
      </c>
      <c r="CP135" s="1">
        <v>167.70124935007462</v>
      </c>
      <c r="CQ135" s="1">
        <v>26.680595353223591</v>
      </c>
      <c r="CR135" s="1">
        <v>51.688242132207122</v>
      </c>
      <c r="CS135" s="1">
        <v>261.12537389416184</v>
      </c>
      <c r="CT135" s="2">
        <v>799.75585941783561</v>
      </c>
      <c r="CV135" s="1">
        <v>1927</v>
      </c>
      <c r="CW135" s="1">
        <v>8323.4168277868266</v>
      </c>
      <c r="CX135" s="1">
        <v>9015.1664066789781</v>
      </c>
      <c r="CY135" s="1">
        <v>1380.4638474622077</v>
      </c>
      <c r="CZ135" s="1">
        <v>494.03899999999999</v>
      </c>
      <c r="DA135" s="1">
        <v>2625.5858178591575</v>
      </c>
      <c r="DB135" s="1">
        <v>21838.671899787172</v>
      </c>
      <c r="DC135" s="1">
        <v>20230.945116310544</v>
      </c>
      <c r="DD135" s="1">
        <v>5243.1615913862979</v>
      </c>
      <c r="DF135" s="1">
        <v>1927</v>
      </c>
      <c r="DG135" s="1">
        <v>1.4101827363168411</v>
      </c>
      <c r="DH135" s="1">
        <v>2.174865117111608</v>
      </c>
      <c r="DI135" s="1">
        <v>0.70419196903750958</v>
      </c>
      <c r="DJ135" s="1">
        <v>3.0408522483014906</v>
      </c>
      <c r="DK135" s="1">
        <v>-1.0200474208942865</v>
      </c>
      <c r="DL135" s="1">
        <v>4.9389277906132207</v>
      </c>
      <c r="DM135" s="1">
        <v>1.8791077880985227</v>
      </c>
      <c r="DN135" s="1">
        <v>1.8276866127902451</v>
      </c>
      <c r="DO135" s="1">
        <v>1.8654940414029255</v>
      </c>
      <c r="DQ135" s="1">
        <v>1927</v>
      </c>
      <c r="DR135" s="1">
        <v>15451.021301240642</v>
      </c>
      <c r="DS135" s="1">
        <v>17940.124215630218</v>
      </c>
      <c r="DT135" s="1">
        <v>2792.0352281049923</v>
      </c>
      <c r="DU135" s="1">
        <v>494.03899999999999</v>
      </c>
      <c r="DV135" s="1">
        <v>2625.5858178591575</v>
      </c>
      <c r="DW135" s="1">
        <v>39302.805562835012</v>
      </c>
      <c r="DX135" s="1">
        <v>36735.535926039593</v>
      </c>
      <c r="DY135" s="1">
        <v>7686.6280174835529</v>
      </c>
      <c r="EA135" s="1">
        <v>1927</v>
      </c>
      <c r="EB135" s="1">
        <v>1.6697596360042866</v>
      </c>
      <c r="EC135" s="1">
        <v>2.1246499694934613</v>
      </c>
      <c r="ED135" s="1">
        <v>1.2779902502336569</v>
      </c>
      <c r="EE135" s="1">
        <v>3.0719868382884385</v>
      </c>
      <c r="EF135" s="1">
        <v>-1.0200474208942722</v>
      </c>
      <c r="EG135" s="1">
        <v>4.9389277906132207</v>
      </c>
      <c r="EH135" s="1">
        <v>1.9514610301886108</v>
      </c>
      <c r="EI135" s="1">
        <v>1.8841634495410773</v>
      </c>
      <c r="EJ135" s="1">
        <v>2.4791691447688038</v>
      </c>
      <c r="EL135" s="1">
        <v>1927</v>
      </c>
      <c r="EM135" s="1">
        <v>1120415.6535758935</v>
      </c>
      <c r="EN135" s="1">
        <v>695886.60252829932</v>
      </c>
      <c r="EO135" s="1">
        <v>131211.33753333107</v>
      </c>
      <c r="EP135" s="1">
        <v>136177.00744043905</v>
      </c>
      <c r="EQ135" s="1">
        <v>223193.89522993274</v>
      </c>
      <c r="ER135" s="1">
        <v>241926.38064286037</v>
      </c>
      <c r="ES135" s="1">
        <v>148141.41468538455</v>
      </c>
      <c r="ET135" s="1">
        <v>5801.4748014125325</v>
      </c>
      <c r="EU135" s="1">
        <v>2702753.7664375524</v>
      </c>
      <c r="EV135" s="1">
        <v>2554612.351752168</v>
      </c>
      <c r="EX135" s="1">
        <v>1927</v>
      </c>
      <c r="EY135" s="1">
        <v>755138.386396382</v>
      </c>
      <c r="EZ135" s="1">
        <v>599918.25798349676</v>
      </c>
      <c r="FA135" s="1">
        <v>119043.1693600335</v>
      </c>
      <c r="FB135" s="1">
        <v>126677.5511283685</v>
      </c>
      <c r="FC135" s="1">
        <v>167142.8500678585</v>
      </c>
      <c r="FD135" s="1">
        <v>218031.64094738482</v>
      </c>
      <c r="FE135" s="1">
        <v>148141.41468538455</v>
      </c>
      <c r="FF135" s="1">
        <v>4920.8426628151665</v>
      </c>
      <c r="FG135" s="1">
        <v>2139014.1132317237</v>
      </c>
      <c r="FH135" s="1">
        <v>1990872.6985463395</v>
      </c>
      <c r="FJ135" s="1">
        <v>1927</v>
      </c>
      <c r="FK135" s="1">
        <v>365277.26717951143</v>
      </c>
      <c r="FL135" s="1">
        <v>95968.34454480253</v>
      </c>
      <c r="FM135" s="1">
        <v>12168.168173297565</v>
      </c>
      <c r="FN135" s="1">
        <v>9499.4563120705479</v>
      </c>
      <c r="FO135" s="1">
        <v>56051.045162074239</v>
      </c>
      <c r="FP135" s="1">
        <v>23894.739695475611</v>
      </c>
      <c r="FQ135" s="1">
        <v>880.63213859736607</v>
      </c>
      <c r="FR135" s="1">
        <v>563739.65320582921</v>
      </c>
      <c r="FS135" s="1">
        <v>943066.24931017077</v>
      </c>
      <c r="HC135" s="1">
        <v>1927</v>
      </c>
      <c r="HD135" s="1">
        <v>772.6305636737743</v>
      </c>
      <c r="HE135" s="1">
        <v>1321.1556840705025</v>
      </c>
      <c r="HF135" s="1">
        <v>353.08560439416516</v>
      </c>
      <c r="HG135" s="1">
        <v>502.05624760853794</v>
      </c>
      <c r="HH135" s="1">
        <v>862.27967410473025</v>
      </c>
      <c r="HI135" s="1">
        <v>542.14303531685096</v>
      </c>
      <c r="HJ135" s="1">
        <v>12.20505454753367</v>
      </c>
      <c r="HK135" s="2">
        <v>4365.5558637160948</v>
      </c>
      <c r="HL135" s="1">
        <v>3823.4128283992436</v>
      </c>
      <c r="HN135" s="1">
        <v>1927</v>
      </c>
      <c r="HO135" s="1">
        <v>470.63255253681422</v>
      </c>
      <c r="HP135" s="1">
        <v>227.18305540388971</v>
      </c>
      <c r="HQ135" s="1">
        <v>40.434269885307486</v>
      </c>
      <c r="HR135" s="1">
        <v>40.546761533122179</v>
      </c>
      <c r="HS135" s="1">
        <v>275.65409727793417</v>
      </c>
      <c r="HT135" s="1">
        <v>2.5290296581732705</v>
      </c>
      <c r="HU135" s="2">
        <v>1056.9797662952408</v>
      </c>
      <c r="HW135" s="1">
        <v>1927</v>
      </c>
      <c r="HX135" s="1">
        <v>379.13459524932796</v>
      </c>
      <c r="HY135" s="1">
        <v>520.79066685509952</v>
      </c>
      <c r="HZ135" s="1">
        <v>210.39755900896142</v>
      </c>
      <c r="IA135" s="1">
        <v>8.6642667220753538</v>
      </c>
      <c r="IB135" s="1">
        <v>482.90033585476635</v>
      </c>
      <c r="IC135" s="1">
        <v>51.688242132206646</v>
      </c>
      <c r="ID135" s="1">
        <v>842.24261058316006</v>
      </c>
      <c r="IE135" s="2">
        <v>2495.8182764055973</v>
      </c>
      <c r="IF135" s="1">
        <v>2444.1300342733907</v>
      </c>
      <c r="IH135" s="1">
        <v>1927</v>
      </c>
      <c r="II135" s="1">
        <v>235.34416196689523</v>
      </c>
      <c r="IJ135" s="1">
        <v>32.690659188912306</v>
      </c>
      <c r="IK135" s="1">
        <v>10.468390070876625</v>
      </c>
      <c r="IL135" s="1">
        <v>257.03201010623434</v>
      </c>
      <c r="IM135" s="1">
        <v>21.494486133235245</v>
      </c>
      <c r="IN135" s="1">
        <v>6.8830874261499346</v>
      </c>
      <c r="IO135" s="1">
        <v>1.9061588924307955</v>
      </c>
    </row>
    <row r="136" spans="1:249" x14ac:dyDescent="0.25">
      <c r="A136" s="1" t="s">
        <v>227</v>
      </c>
      <c r="B136" s="1">
        <v>3.0271404624508875</v>
      </c>
      <c r="C136" s="1">
        <v>3.0151371484307958</v>
      </c>
      <c r="D136" s="1">
        <v>3.1839293238103465</v>
      </c>
      <c r="E136" s="1">
        <v>2.8705898431045966</v>
      </c>
      <c r="F136" s="1">
        <v>2.6562212671005483</v>
      </c>
      <c r="G136" s="1">
        <v>2.2432331836059092</v>
      </c>
      <c r="H136" s="1">
        <v>2.2016339241214524</v>
      </c>
      <c r="J136" s="1">
        <v>1928</v>
      </c>
      <c r="K136" s="2">
        <v>8775.8495308683378</v>
      </c>
      <c r="L136" s="1">
        <v>8195.5745371075718</v>
      </c>
      <c r="M136" s="1">
        <v>7961.4888608030724</v>
      </c>
      <c r="N136" s="1">
        <v>7381.2138670423064</v>
      </c>
      <c r="O136" s="1">
        <v>814.36067006526514</v>
      </c>
      <c r="P136" s="1">
        <v>580.2749937607656</v>
      </c>
      <c r="Q136" s="1">
        <v>7236.0688163320392</v>
      </c>
      <c r="R136" s="1">
        <v>16011.918347200377</v>
      </c>
      <c r="S136" s="1">
        <v>15431.643353439611</v>
      </c>
      <c r="U136" s="1">
        <v>1928</v>
      </c>
      <c r="V136" s="1">
        <v>1439.4778971536202</v>
      </c>
      <c r="W136" s="1">
        <v>40999.445701048746</v>
      </c>
      <c r="X136" s="1">
        <v>1.9848195728614968</v>
      </c>
      <c r="Y136" s="1">
        <v>1344.2970232277969</v>
      </c>
      <c r="Z136" s="1">
        <v>38352.082782855556</v>
      </c>
      <c r="AA136" s="1">
        <v>2.7667455732970581</v>
      </c>
      <c r="AB136" s="1">
        <v>6096550.3869294804</v>
      </c>
      <c r="AC136" s="1">
        <v>0.25338438782038963</v>
      </c>
      <c r="AE136" s="1">
        <v>1928</v>
      </c>
      <c r="AF136" s="1">
        <v>1566.0858629830209</v>
      </c>
      <c r="AG136" s="1">
        <v>2135.0982336878915</v>
      </c>
      <c r="AH136" s="1">
        <v>653.01051102133795</v>
      </c>
      <c r="AI136" s="1">
        <v>643.09644993582663</v>
      </c>
      <c r="AJ136" s="1">
        <v>1069.1539180741811</v>
      </c>
      <c r="AK136" s="1">
        <v>639.92928173757127</v>
      </c>
      <c r="AL136" s="1">
        <v>604.8966661622419</v>
      </c>
      <c r="AM136" s="1">
        <v>884.30361350550208</v>
      </c>
      <c r="AN136" s="2">
        <v>8195.5745371075736</v>
      </c>
      <c r="AP136" s="1" t="s">
        <v>227</v>
      </c>
      <c r="AQ136" s="1">
        <v>-4.1227498953535928</v>
      </c>
      <c r="AR136" s="1">
        <v>5.4083988066357023</v>
      </c>
      <c r="AS136" s="1">
        <v>11.317002571609393</v>
      </c>
      <c r="AT136" s="1">
        <v>1.9850404062099187</v>
      </c>
      <c r="AU136" s="1">
        <v>5.2454772212500131</v>
      </c>
      <c r="AV136" s="1">
        <v>2.9846358157777502</v>
      </c>
      <c r="AW136" s="1">
        <v>4.0580068413029693</v>
      </c>
      <c r="AX136" s="1">
        <v>2.2552656219072702</v>
      </c>
      <c r="AY136" s="1">
        <v>3.0271404624508875</v>
      </c>
      <c r="BA136" s="1">
        <v>1928</v>
      </c>
      <c r="BB136" s="1">
        <v>6552.7702473830814</v>
      </c>
      <c r="BC136" s="1">
        <v>845.37868091602468</v>
      </c>
      <c r="BD136" s="1">
        <v>936.37551595731497</v>
      </c>
      <c r="BE136" s="1">
        <v>275.46838459570699</v>
      </c>
      <c r="BF136" s="1">
        <v>16.495000000000001</v>
      </c>
      <c r="BG136" s="1">
        <v>120.76489987044702</v>
      </c>
      <c r="BH136" s="1">
        <v>1963.9721773746858</v>
      </c>
      <c r="BI136" s="1">
        <v>1935.3753752289233</v>
      </c>
      <c r="BJ136" s="1">
        <v>8775.8495308683396</v>
      </c>
      <c r="BL136" s="1" t="s">
        <v>227</v>
      </c>
      <c r="BM136" s="1">
        <v>5.4118884827786502</v>
      </c>
      <c r="BN136" s="1">
        <v>3.8336846939568829</v>
      </c>
      <c r="BO136" s="1">
        <v>10.820938859150345</v>
      </c>
      <c r="BP136" s="1">
        <v>-3.6885245901639365</v>
      </c>
      <c r="BQ136" s="1">
        <v>13.300970873786412</v>
      </c>
      <c r="BR136" s="1">
        <v>2.2432331836058808</v>
      </c>
      <c r="BT136" s="1" t="s">
        <v>227</v>
      </c>
      <c r="BU136" s="1">
        <v>0.61622775619667891</v>
      </c>
      <c r="BV136" s="1">
        <v>-1.2502527860844168</v>
      </c>
      <c r="BW136" s="1">
        <v>-0.84746324745370316</v>
      </c>
      <c r="BX136" s="1">
        <v>-1.3635829317038883E-2</v>
      </c>
      <c r="BY136" s="1">
        <v>-4.556156555540241</v>
      </c>
      <c r="BZ136" s="1">
        <v>1.2148883929820897</v>
      </c>
      <c r="CB136" s="1">
        <v>1928</v>
      </c>
      <c r="CC136" s="1">
        <v>103.51827133220338</v>
      </c>
      <c r="CD136" s="1">
        <v>346.27650599394389</v>
      </c>
      <c r="CE136" s="1">
        <v>16.481094476795537</v>
      </c>
      <c r="CF136" s="1">
        <v>226.22377557623645</v>
      </c>
      <c r="CG136" s="1">
        <v>79.116983170377679</v>
      </c>
      <c r="CH136" s="1">
        <v>97.254289491227098</v>
      </c>
      <c r="CI136" s="1">
        <v>480.23288038268487</v>
      </c>
      <c r="CJ136" s="1">
        <v>1349.103800423469</v>
      </c>
      <c r="CL136" s="1">
        <v>1928</v>
      </c>
      <c r="CM136" s="1">
        <v>91.357112106963541</v>
      </c>
      <c r="CN136" s="1">
        <v>189.59005075012993</v>
      </c>
      <c r="CO136" s="1">
        <v>13.896321052869169</v>
      </c>
      <c r="CP136" s="1">
        <v>171.62862000749107</v>
      </c>
      <c r="CQ136" s="1">
        <v>27.661353386129409</v>
      </c>
      <c r="CR136" s="1">
        <v>52.708210759843205</v>
      </c>
      <c r="CS136" s="1">
        <v>267.51900200183894</v>
      </c>
      <c r="CT136" s="2">
        <v>814.36067006526514</v>
      </c>
      <c r="CV136" s="1">
        <v>1928</v>
      </c>
      <c r="CW136" s="1">
        <v>8492.1206939098483</v>
      </c>
      <c r="CX136" s="1">
        <v>9065.9190421700769</v>
      </c>
      <c r="CY136" s="1">
        <v>1381.0374098704733</v>
      </c>
      <c r="CZ136" s="1">
        <v>506.22</v>
      </c>
      <c r="DA136" s="1">
        <v>2715.9346352606922</v>
      </c>
      <c r="DB136" s="1">
        <v>22161.231781211092</v>
      </c>
      <c r="DC136" s="1">
        <v>20517.266507706459</v>
      </c>
      <c r="DD136" s="1">
        <v>5278.4611531710952</v>
      </c>
      <c r="DF136" s="1">
        <v>1928</v>
      </c>
      <c r="DG136" s="1">
        <v>1.7742290283477189</v>
      </c>
      <c r="DH136" s="1">
        <v>2.5048381440621057</v>
      </c>
      <c r="DI136" s="1">
        <v>1.0898500108143452</v>
      </c>
      <c r="DJ136" s="1">
        <v>6.3127831218568815</v>
      </c>
      <c r="DK136" s="1">
        <v>-1.3675381996572327</v>
      </c>
      <c r="DL136" s="1">
        <v>4.4465318974385042</v>
      </c>
      <c r="DM136" s="1">
        <v>2.3113694519909558</v>
      </c>
      <c r="DN136" s="1">
        <v>2.2795056620521024</v>
      </c>
      <c r="DO136" s="1">
        <v>3.5345499323291989</v>
      </c>
      <c r="DQ136" s="1">
        <v>1928</v>
      </c>
      <c r="DR136" s="1">
        <v>15756.444097236219</v>
      </c>
      <c r="DS136" s="1">
        <v>18143.748026879945</v>
      </c>
      <c r="DT136" s="1">
        <v>2789.6817852874074</v>
      </c>
      <c r="DU136" s="1">
        <v>506.22</v>
      </c>
      <c r="DV136" s="1">
        <v>2715.9346352606922</v>
      </c>
      <c r="DW136" s="1">
        <v>39912.028544664267</v>
      </c>
      <c r="DX136" s="1">
        <v>37277.779513475951</v>
      </c>
      <c r="DY136" s="1">
        <v>7778.429472161125</v>
      </c>
      <c r="EA136" s="1">
        <v>1928</v>
      </c>
      <c r="EB136" s="1">
        <v>1.8508588505643075</v>
      </c>
      <c r="EC136" s="1">
        <v>2.3057148551038864</v>
      </c>
      <c r="ED136" s="1">
        <v>1.455846255527689</v>
      </c>
      <c r="EE136" s="1">
        <v>4.7902081525125482</v>
      </c>
      <c r="EF136" s="1">
        <v>-1.3675381996572469</v>
      </c>
      <c r="EG136" s="1">
        <v>4.4465318974385042</v>
      </c>
      <c r="EH136" s="1">
        <v>2.1917794835347877</v>
      </c>
      <c r="EI136" s="1">
        <v>2.1336065753625206</v>
      </c>
      <c r="EJ136" s="1">
        <v>3.5949857806997727</v>
      </c>
      <c r="EL136" s="1">
        <v>1928</v>
      </c>
      <c r="EM136" s="1">
        <v>1117222.5654727723</v>
      </c>
      <c r="EN136" s="1">
        <v>731119.97782981105</v>
      </c>
      <c r="EO136" s="1">
        <v>138407.8026690101</v>
      </c>
      <c r="EP136" s="1">
        <v>137136.15092185902</v>
      </c>
      <c r="EQ136" s="1">
        <v>234680.59205036671</v>
      </c>
      <c r="ER136" s="1">
        <v>247280.93818165967</v>
      </c>
      <c r="ES136" s="1">
        <v>154344.38032492038</v>
      </c>
      <c r="ET136" s="1">
        <v>6077.8064946821551</v>
      </c>
      <c r="EU136" s="1">
        <v>2766270.2139450819</v>
      </c>
      <c r="EV136" s="1">
        <v>2611925.8336201608</v>
      </c>
      <c r="EX136" s="1">
        <v>1928</v>
      </c>
      <c r="EY136" s="1">
        <v>750676.53390569752</v>
      </c>
      <c r="EZ136" s="1">
        <v>633792.30829145608</v>
      </c>
      <c r="FA136" s="1">
        <v>125482.31544188177</v>
      </c>
      <c r="FB136" s="1">
        <v>127219.13609057656</v>
      </c>
      <c r="FC136" s="1">
        <v>175422.33574570721</v>
      </c>
      <c r="FD136" s="1">
        <v>222352.33254714808</v>
      </c>
      <c r="FE136" s="1">
        <v>154344.38032492038</v>
      </c>
      <c r="FF136" s="1">
        <v>5164.7363349833686</v>
      </c>
      <c r="FG136" s="1">
        <v>2194454.0786823709</v>
      </c>
      <c r="FH136" s="1">
        <v>2040109.6983574505</v>
      </c>
      <c r="FJ136" s="1">
        <v>1928</v>
      </c>
      <c r="FK136" s="1">
        <v>366546.03156707482</v>
      </c>
      <c r="FL136" s="1">
        <v>97327.669538354981</v>
      </c>
      <c r="FM136" s="1">
        <v>12925.487227128324</v>
      </c>
      <c r="FN136" s="1">
        <v>9917.0148312824404</v>
      </c>
      <c r="FO136" s="1">
        <v>59258.256304659524</v>
      </c>
      <c r="FP136" s="1">
        <v>24928.605634511583</v>
      </c>
      <c r="FQ136" s="1">
        <v>913.07015969878614</v>
      </c>
      <c r="FR136" s="1">
        <v>571816.13526271051</v>
      </c>
      <c r="FS136" s="1">
        <v>947922.84755419602</v>
      </c>
      <c r="HC136" s="1">
        <v>1928</v>
      </c>
      <c r="HD136" s="1">
        <v>766.14038010626996</v>
      </c>
      <c r="HE136" s="1">
        <v>1397.4688446967677</v>
      </c>
      <c r="HF136" s="1">
        <v>372.64157472854453</v>
      </c>
      <c r="HG136" s="1">
        <v>498.40049823274762</v>
      </c>
      <c r="HH136" s="1">
        <v>901.89919089876048</v>
      </c>
      <c r="HI136" s="1">
        <v>552.18845540239943</v>
      </c>
      <c r="HJ136" s="1">
        <v>12.885449696724351</v>
      </c>
      <c r="HK136" s="2">
        <v>4501.6243937622139</v>
      </c>
      <c r="HL136" s="1">
        <v>3949.4359383598144</v>
      </c>
      <c r="HN136" s="1">
        <v>1928</v>
      </c>
      <c r="HO136" s="1">
        <v>471.08363373089264</v>
      </c>
      <c r="HP136" s="1">
        <v>230.68401917854476</v>
      </c>
      <c r="HQ136" s="1">
        <v>43.003576582592558</v>
      </c>
      <c r="HR136" s="1">
        <v>41.841928684819635</v>
      </c>
      <c r="HS136" s="1">
        <v>292.51041029776172</v>
      </c>
      <c r="HT136" s="1">
        <v>2.6376351413236079</v>
      </c>
      <c r="HU136" s="2">
        <v>1081.7612036159351</v>
      </c>
      <c r="HW136" s="1">
        <v>1928</v>
      </c>
      <c r="HX136" s="1">
        <v>413.57384914585828</v>
      </c>
      <c r="HY136" s="1">
        <v>506.9453698125792</v>
      </c>
      <c r="HZ136" s="1">
        <v>237.36535971020083</v>
      </c>
      <c r="IA136" s="1">
        <v>18.142023018259465</v>
      </c>
      <c r="IB136" s="1">
        <v>514.67359861523016</v>
      </c>
      <c r="IC136" s="1">
        <v>52.708210759842451</v>
      </c>
      <c r="ID136" s="1">
        <v>868.78052866745418</v>
      </c>
      <c r="IE136" s="2">
        <v>2612.1889397294244</v>
      </c>
      <c r="IF136" s="1">
        <v>2559.4807289695823</v>
      </c>
      <c r="IH136" s="1">
        <v>1928</v>
      </c>
      <c r="II136" s="1">
        <v>229.66632689864204</v>
      </c>
      <c r="IJ136" s="1">
        <v>30.234923322577963</v>
      </c>
      <c r="IK136" s="1">
        <v>10.108438849195499</v>
      </c>
      <c r="IL136" s="1">
        <v>250.31501369389383</v>
      </c>
      <c r="IM136" s="1">
        <v>19.491739756369281</v>
      </c>
      <c r="IN136" s="1">
        <v>6.516671376657948</v>
      </c>
      <c r="IO136" s="1">
        <v>-0.49034486953367207</v>
      </c>
    </row>
    <row r="137" spans="1:249" x14ac:dyDescent="0.25">
      <c r="A137" s="1" t="s">
        <v>228</v>
      </c>
      <c r="B137" s="1">
        <v>6.9861461502939619</v>
      </c>
      <c r="C137" s="1">
        <v>7.0470675137293171</v>
      </c>
      <c r="D137" s="1">
        <v>7.0407024055305669</v>
      </c>
      <c r="E137" s="1">
        <v>6.9316177011621249</v>
      </c>
      <c r="F137" s="1">
        <v>6.8682755974047325</v>
      </c>
      <c r="G137" s="1">
        <v>7.5800258257052064</v>
      </c>
      <c r="H137" s="1">
        <v>8.07762613554155</v>
      </c>
      <c r="J137" s="1">
        <v>1929</v>
      </c>
      <c r="K137" s="2">
        <v>9210.6997372704354</v>
      </c>
      <c r="L137" s="1">
        <v>8598.8146326965489</v>
      </c>
      <c r="M137" s="1">
        <v>8369.7822830038858</v>
      </c>
      <c r="N137" s="1">
        <v>7757.8971784299983</v>
      </c>
      <c r="O137" s="1">
        <v>840.91745426655052</v>
      </c>
      <c r="P137" s="1">
        <v>611.88510457388702</v>
      </c>
      <c r="Q137" s="1">
        <v>7677.6945218849396</v>
      </c>
      <c r="R137" s="1">
        <v>16888.394259155375</v>
      </c>
      <c r="S137" s="1">
        <v>16276.509154581488</v>
      </c>
      <c r="U137" s="1">
        <v>1929</v>
      </c>
      <c r="V137" s="1">
        <v>1506.8307806825428</v>
      </c>
      <c r="W137" s="1">
        <v>43991.184439648488</v>
      </c>
      <c r="X137" s="1">
        <v>7.2970224046790406</v>
      </c>
      <c r="Y137" s="1">
        <v>1406.7290146807422</v>
      </c>
      <c r="Z137" s="1">
        <v>40923.47679784667</v>
      </c>
      <c r="AA137" s="1">
        <v>6.704705007939225</v>
      </c>
      <c r="AB137" s="1">
        <v>6112630.4661086788</v>
      </c>
      <c r="AC137" s="1">
        <v>0.26375701271447838</v>
      </c>
      <c r="AE137" s="1">
        <v>1929</v>
      </c>
      <c r="AF137" s="1">
        <v>1603.0659747997604</v>
      </c>
      <c r="AG137" s="1">
        <v>2362.8080358917882</v>
      </c>
      <c r="AH137" s="1">
        <v>672.28579819347647</v>
      </c>
      <c r="AI137" s="1">
        <v>693.84502357038821</v>
      </c>
      <c r="AJ137" s="1">
        <v>1101.487463012216</v>
      </c>
      <c r="AK137" s="1">
        <v>633.64282064123609</v>
      </c>
      <c r="AL137" s="1">
        <v>615.0805690705223</v>
      </c>
      <c r="AM137" s="1">
        <v>916.59894751716024</v>
      </c>
      <c r="AN137" s="2">
        <v>8598.8146326965489</v>
      </c>
      <c r="AP137" s="1" t="s">
        <v>228</v>
      </c>
      <c r="AQ137" s="1">
        <v>6.8596479746579888</v>
      </c>
      <c r="AR137" s="1">
        <v>10.184439245485947</v>
      </c>
      <c r="AS137" s="1">
        <v>5.8994806982091603</v>
      </c>
      <c r="AT137" s="1">
        <v>10.065445637255664</v>
      </c>
      <c r="AU137" s="1">
        <v>5.5031834137043774</v>
      </c>
      <c r="AV137" s="1">
        <v>5.3108201799999364</v>
      </c>
      <c r="AW137" s="1">
        <v>4.5997102658266442</v>
      </c>
      <c r="AX137" s="1">
        <v>2.6155956867455643</v>
      </c>
      <c r="AY137" s="1">
        <v>6.9861461502939619</v>
      </c>
      <c r="BA137" s="1">
        <v>1929</v>
      </c>
      <c r="BB137" s="1">
        <v>6690.3769623187291</v>
      </c>
      <c r="BC137" s="1">
        <v>866.95065287408818</v>
      </c>
      <c r="BD137" s="1">
        <v>945.72608629529577</v>
      </c>
      <c r="BE137" s="1">
        <v>302.39601359212537</v>
      </c>
      <c r="BF137" s="1">
        <v>17.529</v>
      </c>
      <c r="BG137" s="1">
        <v>153.09780047771193</v>
      </c>
      <c r="BH137" s="1">
        <v>2252.4270697487073</v>
      </c>
      <c r="BI137" s="1">
        <v>2017.8038480362227</v>
      </c>
      <c r="BJ137" s="1">
        <v>9210.6997372704354</v>
      </c>
      <c r="BL137" s="1" t="s">
        <v>228</v>
      </c>
      <c r="BM137" s="1">
        <v>5.5151419755178068</v>
      </c>
      <c r="BN137" s="1">
        <v>4.9409188110578981</v>
      </c>
      <c r="BO137" s="1">
        <v>4.6674773836299153</v>
      </c>
      <c r="BP137" s="1">
        <v>18.893617021276583</v>
      </c>
      <c r="BQ137" s="1">
        <v>8.8260497000856759</v>
      </c>
      <c r="BR137" s="1">
        <v>7.5800258257052064</v>
      </c>
      <c r="BT137" s="1" t="s">
        <v>228</v>
      </c>
      <c r="BU137" s="1">
        <v>-3.2366579774131168</v>
      </c>
      <c r="BV137" s="1">
        <v>-2.2766774854818976</v>
      </c>
      <c r="BW137" s="1">
        <v>0.4727790685164166</v>
      </c>
      <c r="BX137" s="1">
        <v>-3.5378655433678574</v>
      </c>
      <c r="BY137" s="1">
        <v>-4.1966115087422651</v>
      </c>
      <c r="BZ137" s="1">
        <v>-2.4399953541712165</v>
      </c>
      <c r="CB137" s="1">
        <v>1929</v>
      </c>
      <c r="CC137" s="1">
        <v>113.18504719886315</v>
      </c>
      <c r="CD137" s="1">
        <v>402.43184251411571</v>
      </c>
      <c r="CE137" s="1">
        <v>18.890765685889896</v>
      </c>
      <c r="CF137" s="1">
        <v>176.56159529705192</v>
      </c>
      <c r="CG137" s="1">
        <v>117.31674141038786</v>
      </c>
      <c r="CH137" s="1">
        <v>108.67508564096748</v>
      </c>
      <c r="CI137" s="1">
        <v>481.68782261785702</v>
      </c>
      <c r="CJ137" s="1">
        <v>1418.7489003651331</v>
      </c>
      <c r="CL137" s="1">
        <v>1929</v>
      </c>
      <c r="CM137" s="1">
        <v>92.76973931171085</v>
      </c>
      <c r="CN137" s="1">
        <v>197.82103546856638</v>
      </c>
      <c r="CO137" s="1">
        <v>11.430378373564302</v>
      </c>
      <c r="CP137" s="1">
        <v>180.20655426068754</v>
      </c>
      <c r="CQ137" s="1">
        <v>29.970939502841254</v>
      </c>
      <c r="CR137" s="1">
        <v>54.566845047420777</v>
      </c>
      <c r="CS137" s="1">
        <v>274.15196230175951</v>
      </c>
      <c r="CT137" s="2">
        <v>840.91745426655052</v>
      </c>
      <c r="CV137" s="1">
        <v>1929</v>
      </c>
      <c r="CW137" s="1">
        <v>8711.2699159633539</v>
      </c>
      <c r="CX137" s="1">
        <v>9171.1894198394821</v>
      </c>
      <c r="CY137" s="1">
        <v>1492.3887843612993</v>
      </c>
      <c r="CZ137" s="1">
        <v>535.94799999999998</v>
      </c>
      <c r="DA137" s="1">
        <v>2831.8911484390433</v>
      </c>
      <c r="DB137" s="1">
        <v>22742.687268603178</v>
      </c>
      <c r="DC137" s="1">
        <v>21052.497242978312</v>
      </c>
      <c r="DD137" s="1">
        <v>5468.3996854051557</v>
      </c>
      <c r="DF137" s="1">
        <v>1929</v>
      </c>
      <c r="DG137" s="1">
        <v>1.7315957299446154</v>
      </c>
      <c r="DH137" s="1">
        <v>2.3823835367079056</v>
      </c>
      <c r="DI137" s="1">
        <v>1.1134872195706293</v>
      </c>
      <c r="DJ137" s="1">
        <v>6.5467748378456321</v>
      </c>
      <c r="DK137" s="1">
        <v>3.1926795751138712</v>
      </c>
      <c r="DL137" s="1">
        <v>5.4062035739650867</v>
      </c>
      <c r="DM137" s="1">
        <v>2.5329748628174116</v>
      </c>
      <c r="DN137" s="1">
        <v>2.4792106626305497</v>
      </c>
      <c r="DO137" s="1">
        <v>3.7059455037297084</v>
      </c>
      <c r="DQ137" s="1">
        <v>1929</v>
      </c>
      <c r="DR137" s="1">
        <v>16131.659835022443</v>
      </c>
      <c r="DS137" s="1">
        <v>18421.005585175008</v>
      </c>
      <c r="DT137" s="1">
        <v>2972.929994839852</v>
      </c>
      <c r="DU137" s="1">
        <v>535.94799999999998</v>
      </c>
      <c r="DV137" s="1">
        <v>2831.8911484390433</v>
      </c>
      <c r="DW137" s="1">
        <v>40893.434563476345</v>
      </c>
      <c r="DX137" s="1">
        <v>38176.774456924562</v>
      </c>
      <c r="DY137" s="1">
        <v>8067.9160803477289</v>
      </c>
      <c r="EA137" s="1">
        <v>1929</v>
      </c>
      <c r="EB137" s="1">
        <v>1.8212719480956707</v>
      </c>
      <c r="EC137" s="1">
        <v>2.2421412437395389</v>
      </c>
      <c r="ED137" s="1">
        <v>1.4527285243471937</v>
      </c>
      <c r="EE137" s="1">
        <v>5.0458730215891876</v>
      </c>
      <c r="EF137" s="1">
        <v>3.1926795751138712</v>
      </c>
      <c r="EG137" s="1">
        <v>5.4062035739650867</v>
      </c>
      <c r="EH137" s="1">
        <v>2.3179660969816069</v>
      </c>
      <c r="EI137" s="1">
        <v>2.2465931277256601</v>
      </c>
      <c r="EJ137" s="1">
        <v>3.7033688351512382</v>
      </c>
      <c r="EL137" s="1">
        <v>1929</v>
      </c>
      <c r="EM137" s="1">
        <v>1115254.2409409147</v>
      </c>
      <c r="EN137" s="1">
        <v>753291.75917219534</v>
      </c>
      <c r="EO137" s="1">
        <v>150644.09124565052</v>
      </c>
      <c r="EP137" s="1">
        <v>147078.80183228772</v>
      </c>
      <c r="EQ137" s="1">
        <v>256922.0642890317</v>
      </c>
      <c r="ER137" s="1">
        <v>255096.41913740363</v>
      </c>
      <c r="ES137" s="1">
        <v>161641.98695966837</v>
      </c>
      <c r="ET137" s="1">
        <v>6367.4589188507034</v>
      </c>
      <c r="EU137" s="1">
        <v>2846296.8224960025</v>
      </c>
      <c r="EV137" s="1">
        <v>2684654.8355363347</v>
      </c>
      <c r="EX137" s="1">
        <v>1929</v>
      </c>
      <c r="EY137" s="1">
        <v>747058.81567000737</v>
      </c>
      <c r="EZ137" s="1">
        <v>654468.83214093267</v>
      </c>
      <c r="FA137" s="1">
        <v>136660.27839714999</v>
      </c>
      <c r="FB137" s="1">
        <v>134238.87736652201</v>
      </c>
      <c r="FC137" s="1">
        <v>191756.13520668395</v>
      </c>
      <c r="FD137" s="1">
        <v>228262.62973121789</v>
      </c>
      <c r="FE137" s="1">
        <v>161641.98695966837</v>
      </c>
      <c r="FF137" s="1">
        <v>5420.7502836360236</v>
      </c>
      <c r="FG137" s="1">
        <v>2259508.3057558187</v>
      </c>
      <c r="FH137" s="1">
        <v>2097866.3187961499</v>
      </c>
      <c r="FJ137" s="1">
        <v>1929</v>
      </c>
      <c r="FK137" s="1">
        <v>368195.42527090729</v>
      </c>
      <c r="FL137" s="1">
        <v>98822.927031262676</v>
      </c>
      <c r="FM137" s="1">
        <v>13983.812848500544</v>
      </c>
      <c r="FN137" s="1">
        <v>12839.924465765687</v>
      </c>
      <c r="FO137" s="1">
        <v>65165.929082347742</v>
      </c>
      <c r="FP137" s="1">
        <v>26833.78940618577</v>
      </c>
      <c r="FQ137" s="1">
        <v>946.70863521467959</v>
      </c>
      <c r="FR137" s="1">
        <v>586788.51674018439</v>
      </c>
      <c r="FS137" s="1">
        <v>952804.45628557692</v>
      </c>
      <c r="HC137" s="1">
        <v>1929</v>
      </c>
      <c r="HD137" s="1">
        <v>768.19523382296825</v>
      </c>
      <c r="HE137" s="1">
        <v>1512.8889592015853</v>
      </c>
      <c r="HF137" s="1">
        <v>425.47495214954415</v>
      </c>
      <c r="HG137" s="1">
        <v>533.73940886538742</v>
      </c>
      <c r="HH137" s="1">
        <v>953.70477841404067</v>
      </c>
      <c r="HI137" s="1">
        <v>560.51372402310142</v>
      </c>
      <c r="HJ137" s="1">
        <v>13.249573804004264</v>
      </c>
      <c r="HK137" s="2">
        <v>4767.766630280631</v>
      </c>
      <c r="HL137" s="1">
        <v>4207.2529062575295</v>
      </c>
      <c r="HN137" s="1">
        <v>1929</v>
      </c>
      <c r="HO137" s="1">
        <v>476.77028856632353</v>
      </c>
      <c r="HP137" s="1">
        <v>245.56236783161648</v>
      </c>
      <c r="HQ137" s="1">
        <v>48.775998834492505</v>
      </c>
      <c r="HR137" s="1">
        <v>54.981696241102156</v>
      </c>
      <c r="HS137" s="1">
        <v>320.01681707392356</v>
      </c>
      <c r="HT137" s="1">
        <v>2.6792793193620681</v>
      </c>
      <c r="HU137" s="2">
        <v>1148.78644786682</v>
      </c>
      <c r="HW137" s="1">
        <v>1929</v>
      </c>
      <c r="HX137" s="1">
        <v>437.09245241046847</v>
      </c>
      <c r="HY137" s="1">
        <v>604.35670885858622</v>
      </c>
      <c r="HZ137" s="1">
        <v>198.03484720943982</v>
      </c>
      <c r="IA137" s="1">
        <v>26.131918463898614</v>
      </c>
      <c r="IB137" s="1">
        <v>461.40868816548783</v>
      </c>
      <c r="IC137" s="1">
        <v>54.566845047420856</v>
      </c>
      <c r="ID137" s="1">
        <v>900.67009439379387</v>
      </c>
      <c r="IE137" s="2">
        <v>2682.2615545490958</v>
      </c>
      <c r="IF137" s="1">
        <v>2627.6947095016749</v>
      </c>
      <c r="IH137" s="1">
        <v>1929</v>
      </c>
      <c r="II137" s="1">
        <v>214.96151141984888</v>
      </c>
      <c r="IJ137" s="1">
        <v>33.500346379097287</v>
      </c>
      <c r="IK137" s="1">
        <v>11.673637361687508</v>
      </c>
      <c r="IL137" s="1">
        <v>233.08705694777672</v>
      </c>
      <c r="IM137" s="1">
        <v>23.118960823096121</v>
      </c>
      <c r="IN137" s="1">
        <v>8.0561066973408746</v>
      </c>
      <c r="IO137" s="1">
        <v>8.3457935332339304</v>
      </c>
    </row>
    <row r="138" spans="1:249" x14ac:dyDescent="0.25">
      <c r="A138" s="1" t="s">
        <v>229</v>
      </c>
      <c r="B138" s="1">
        <v>4.1933539533427933</v>
      </c>
      <c r="C138" s="1">
        <v>4.195052760594649</v>
      </c>
      <c r="D138" s="1">
        <v>4.2472019578801081</v>
      </c>
      <c r="E138" s="1">
        <v>4.1395337635337341</v>
      </c>
      <c r="F138" s="1">
        <v>4.1713797853441008</v>
      </c>
      <c r="G138" s="1">
        <v>3.9687570793709028</v>
      </c>
      <c r="H138" s="1">
        <v>4.0287024793229591</v>
      </c>
      <c r="J138" s="1">
        <v>1930</v>
      </c>
      <c r="K138" s="2">
        <v>9271.1142297655642</v>
      </c>
      <c r="L138" s="1">
        <v>8661.5639494645893</v>
      </c>
      <c r="M138" s="1">
        <v>8402.7022907357223</v>
      </c>
      <c r="N138" s="1">
        <v>7793.1520104347474</v>
      </c>
      <c r="O138" s="1">
        <v>868.41193902984196</v>
      </c>
      <c r="P138" s="1">
        <v>609.55028030097401</v>
      </c>
      <c r="Q138" s="1">
        <v>7456.5075358317135</v>
      </c>
      <c r="R138" s="1">
        <v>16727.62176559728</v>
      </c>
      <c r="S138" s="1">
        <v>16118.071485296303</v>
      </c>
      <c r="U138" s="1">
        <v>1930</v>
      </c>
      <c r="V138" s="1">
        <v>1512.1390323228964</v>
      </c>
      <c r="W138" s="1">
        <v>45599.117835861194</v>
      </c>
      <c r="X138" s="1">
        <v>3.6551264001964512</v>
      </c>
      <c r="Y138" s="1">
        <v>1412.720046841388</v>
      </c>
      <c r="Z138" s="1">
        <v>42510.917188772051</v>
      </c>
      <c r="AA138" s="1">
        <v>3.8790457584212561</v>
      </c>
      <c r="AB138" s="1">
        <v>6131125.5325005371</v>
      </c>
      <c r="AC138" s="1">
        <v>0.30257131515480751</v>
      </c>
      <c r="AE138" s="1">
        <v>1930</v>
      </c>
      <c r="AF138" s="1">
        <v>1452.5707749558562</v>
      </c>
      <c r="AG138" s="1">
        <v>2332.9362584779551</v>
      </c>
      <c r="AH138" s="1">
        <v>828.21654676455603</v>
      </c>
      <c r="AI138" s="1">
        <v>686.91455365131094</v>
      </c>
      <c r="AJ138" s="1">
        <v>1105.5898193534124</v>
      </c>
      <c r="AK138" s="1">
        <v>669.35041221873121</v>
      </c>
      <c r="AL138" s="1">
        <v>623.69973437350973</v>
      </c>
      <c r="AM138" s="1">
        <v>962.28584966925655</v>
      </c>
      <c r="AN138" s="2">
        <v>8661.5639494645893</v>
      </c>
      <c r="AP138" s="1" t="s">
        <v>229</v>
      </c>
      <c r="AQ138" s="1">
        <v>3.2614227110062899</v>
      </c>
      <c r="AR138" s="1">
        <v>1.4574356524828005</v>
      </c>
      <c r="AS138" s="1">
        <v>18.072284124009101</v>
      </c>
      <c r="AT138" s="1">
        <v>3.7796640508033903</v>
      </c>
      <c r="AU138" s="1">
        <v>4.3018396559501042</v>
      </c>
      <c r="AV138" s="1">
        <v>5.2949070127767897</v>
      </c>
      <c r="AW138" s="1">
        <v>3.4257809974470348</v>
      </c>
      <c r="AX138" s="1">
        <v>2.2259907855130621</v>
      </c>
      <c r="AY138" s="1">
        <v>4.1933539533427933</v>
      </c>
      <c r="BA138" s="1">
        <v>1930</v>
      </c>
      <c r="BB138" s="1">
        <v>6666.9701643534545</v>
      </c>
      <c r="BC138" s="1">
        <v>881.37032962772275</v>
      </c>
      <c r="BD138" s="1">
        <v>1149.3114386991929</v>
      </c>
      <c r="BE138" s="1">
        <v>324.86668657901464</v>
      </c>
      <c r="BF138" s="1">
        <v>18.367082781520466</v>
      </c>
      <c r="BG138" s="1">
        <v>145.19528963737571</v>
      </c>
      <c r="BH138" s="1">
        <v>1974.1131696847099</v>
      </c>
      <c r="BI138" s="1">
        <v>1889.0799315974261</v>
      </c>
      <c r="BJ138" s="1">
        <v>9271.1142297655642</v>
      </c>
      <c r="BL138" s="1" t="s">
        <v>229</v>
      </c>
      <c r="BM138" s="1">
        <v>5.0160925457487906</v>
      </c>
      <c r="BN138" s="1">
        <v>4.3569872868086037</v>
      </c>
      <c r="BO138" s="1">
        <v>16.375849738228837</v>
      </c>
      <c r="BP138" s="1">
        <v>-7.6592698639942824</v>
      </c>
      <c r="BQ138" s="1">
        <v>3.5433070866141634</v>
      </c>
      <c r="BR138" s="1">
        <v>3.968757079370917</v>
      </c>
      <c r="BT138" s="1" t="s">
        <v>229</v>
      </c>
      <c r="BU138" s="1">
        <v>-5.1096456750357646</v>
      </c>
      <c r="BV138" s="1">
        <v>-2.581258344986523</v>
      </c>
      <c r="BW138" s="1">
        <v>-0.80799125178688769</v>
      </c>
      <c r="BX138" s="1">
        <v>-5.0864967367404574</v>
      </c>
      <c r="BY138" s="1">
        <v>-9.5831533615188675</v>
      </c>
      <c r="BZ138" s="1">
        <v>-3.1863809347843102</v>
      </c>
      <c r="CB138" s="1">
        <v>1930</v>
      </c>
      <c r="CC138" s="1">
        <v>113.83335870498776</v>
      </c>
      <c r="CD138" s="1">
        <v>439.9291928246015</v>
      </c>
      <c r="CE138" s="1">
        <v>21.504584912277391</v>
      </c>
      <c r="CF138" s="1">
        <v>194.12645399475383</v>
      </c>
      <c r="CG138" s="1">
        <v>117.63632458995227</v>
      </c>
      <c r="CH138" s="1">
        <v>126.22917939421876</v>
      </c>
      <c r="CI138" s="1">
        <v>624.48140327631234</v>
      </c>
      <c r="CJ138" s="1">
        <v>1637.7404976971038</v>
      </c>
      <c r="CL138" s="1">
        <v>1930</v>
      </c>
      <c r="CM138" s="1">
        <v>92.749247930029426</v>
      </c>
      <c r="CN138" s="1">
        <v>207.40159643616386</v>
      </c>
      <c r="CO138" s="1">
        <v>14.020633817843992</v>
      </c>
      <c r="CP138" s="1">
        <v>181.9809314159877</v>
      </c>
      <c r="CQ138" s="1">
        <v>32.696457954302971</v>
      </c>
      <c r="CR138" s="1">
        <v>56.524693499032338</v>
      </c>
      <c r="CS138" s="1">
        <v>283.03837797648163</v>
      </c>
      <c r="CT138" s="2">
        <v>868.41193902984196</v>
      </c>
      <c r="CV138" s="1">
        <v>1930</v>
      </c>
      <c r="CW138" s="1">
        <v>8907.8278417274851</v>
      </c>
      <c r="CX138" s="1">
        <v>9263.208997266127</v>
      </c>
      <c r="CY138" s="1">
        <v>1588.7525884842951</v>
      </c>
      <c r="CZ138" s="1">
        <v>532.06600000000003</v>
      </c>
      <c r="DA138" s="1">
        <v>2876.3102483347302</v>
      </c>
      <c r="DB138" s="1">
        <v>23168.165675812634</v>
      </c>
      <c r="DC138" s="1">
        <v>21425.460139258361</v>
      </c>
      <c r="DD138" s="1">
        <v>5592.7839993466205</v>
      </c>
      <c r="DF138" s="1">
        <v>1930</v>
      </c>
      <c r="DG138" s="1">
        <v>2.7450969894070312</v>
      </c>
      <c r="DH138" s="1">
        <v>3.8330671782899515</v>
      </c>
      <c r="DI138" s="1">
        <v>1.6988053391937257</v>
      </c>
      <c r="DJ138" s="1">
        <v>6.7344094397823255</v>
      </c>
      <c r="DK138" s="1">
        <v>3.4520309099849413</v>
      </c>
      <c r="DL138" s="1">
        <v>5.0479703891970047</v>
      </c>
      <c r="DM138" s="1">
        <v>3.3109249948158634</v>
      </c>
      <c r="DN138" s="1">
        <v>3.2544749174929279</v>
      </c>
      <c r="DO138" s="1">
        <v>4.2003013652791736</v>
      </c>
      <c r="DQ138" s="1">
        <v>1930</v>
      </c>
      <c r="DR138" s="1">
        <v>16473.0531767842</v>
      </c>
      <c r="DS138" s="1">
        <v>18667.717298499636</v>
      </c>
      <c r="DT138" s="1">
        <v>3120.2598587675157</v>
      </c>
      <c r="DU138" s="1">
        <v>532.06600000000003</v>
      </c>
      <c r="DV138" s="1">
        <v>2876.3102483347302</v>
      </c>
      <c r="DW138" s="1">
        <v>41669.40658238608</v>
      </c>
      <c r="DX138" s="1">
        <v>38865.392529955927</v>
      </c>
      <c r="DY138" s="1">
        <v>8289.4968792951204</v>
      </c>
      <c r="EA138" s="1">
        <v>1930</v>
      </c>
      <c r="EB138" s="1">
        <v>2.3535068859781489</v>
      </c>
      <c r="EC138" s="1">
        <v>3.0508464853622854</v>
      </c>
      <c r="ED138" s="1">
        <v>1.7381211538404244</v>
      </c>
      <c r="EE138" s="1">
        <v>5.2855067100398827</v>
      </c>
      <c r="EF138" s="1">
        <v>3.4520309099849413</v>
      </c>
      <c r="EG138" s="1">
        <v>5.0479703891970047</v>
      </c>
      <c r="EH138" s="1">
        <v>2.7651472602756115</v>
      </c>
      <c r="EI138" s="1">
        <v>2.6885041344650631</v>
      </c>
      <c r="EJ138" s="1">
        <v>4.0473825117427253</v>
      </c>
      <c r="EL138" s="1">
        <v>1930</v>
      </c>
      <c r="EM138" s="1">
        <v>1112549.801100119</v>
      </c>
      <c r="EN138" s="1">
        <v>761414.09491148463</v>
      </c>
      <c r="EO138" s="1">
        <v>162539.78148056715</v>
      </c>
      <c r="EP138" s="1">
        <v>152146.95828581008</v>
      </c>
      <c r="EQ138" s="1">
        <v>274156.32667804603</v>
      </c>
      <c r="ER138" s="1">
        <v>263249.6878261774</v>
      </c>
      <c r="ES138" s="1">
        <v>167115.19193572938</v>
      </c>
      <c r="ET138" s="1">
        <v>6671.0805217487423</v>
      </c>
      <c r="EU138" s="1">
        <v>2899842.9227396818</v>
      </c>
      <c r="EV138" s="1">
        <v>2732727.730803953</v>
      </c>
      <c r="EX138" s="1">
        <v>1930</v>
      </c>
      <c r="EY138" s="1">
        <v>742958.73500289186</v>
      </c>
      <c r="EZ138" s="1">
        <v>660824.04538860382</v>
      </c>
      <c r="FA138" s="1">
        <v>147181.04329625913</v>
      </c>
      <c r="FB138" s="1">
        <v>136906.07233457599</v>
      </c>
      <c r="FC138" s="1">
        <v>204149.59285502849</v>
      </c>
      <c r="FD138" s="1">
        <v>234646.84843871833</v>
      </c>
      <c r="FE138" s="1">
        <v>167115.19193572938</v>
      </c>
      <c r="FF138" s="1">
        <v>5689.4883377974011</v>
      </c>
      <c r="FG138" s="1">
        <v>2299471.0175896045</v>
      </c>
      <c r="FH138" s="1">
        <v>2132355.8256538752</v>
      </c>
      <c r="FJ138" s="1">
        <v>1930</v>
      </c>
      <c r="FK138" s="1">
        <v>369591.0660972271</v>
      </c>
      <c r="FL138" s="1">
        <v>100590.04952288084</v>
      </c>
      <c r="FM138" s="1">
        <v>15358.738184308022</v>
      </c>
      <c r="FN138" s="1">
        <v>15240.885951234068</v>
      </c>
      <c r="FO138" s="1">
        <v>70006.733823017508</v>
      </c>
      <c r="FP138" s="1">
        <v>28602.839387459062</v>
      </c>
      <c r="FQ138" s="1">
        <v>981.59218395134099</v>
      </c>
      <c r="FR138" s="1">
        <v>600371.905150078</v>
      </c>
      <c r="FS138" s="1">
        <v>957711.20430320618</v>
      </c>
      <c r="HC138" s="1">
        <v>1930</v>
      </c>
      <c r="HD138" s="1">
        <v>756.35841056220329</v>
      </c>
      <c r="HE138" s="1">
        <v>1531.2676522752156</v>
      </c>
      <c r="HF138" s="1">
        <v>459.33629229862004</v>
      </c>
      <c r="HG138" s="1">
        <v>531.30224261486046</v>
      </c>
      <c r="HH138" s="1">
        <v>1034.0888906210541</v>
      </c>
      <c r="HI138" s="1">
        <v>567.17504087447708</v>
      </c>
      <c r="HJ138" s="1">
        <v>13.523991340649259</v>
      </c>
      <c r="HK138" s="2">
        <v>4893.0525205870808</v>
      </c>
      <c r="HL138" s="1">
        <v>4325.8774797126034</v>
      </c>
      <c r="HN138" s="1">
        <v>1930</v>
      </c>
      <c r="HO138" s="1">
        <v>473.80364104014518</v>
      </c>
      <c r="HP138" s="1">
        <v>250.55686570091331</v>
      </c>
      <c r="HQ138" s="1">
        <v>53.701113658771689</v>
      </c>
      <c r="HR138" s="1">
        <v>63.699182317704491</v>
      </c>
      <c r="HS138" s="1">
        <v>358.85267582229972</v>
      </c>
      <c r="HT138" s="1">
        <v>2.7016053649321283</v>
      </c>
      <c r="HU138" s="2">
        <v>1203.3150839047667</v>
      </c>
      <c r="HW138" s="1">
        <v>1930</v>
      </c>
      <c r="HX138" s="1">
        <v>294.28772335350754</v>
      </c>
      <c r="HY138" s="1">
        <v>551.11174050182626</v>
      </c>
      <c r="HZ138" s="1">
        <v>315.17914080716434</v>
      </c>
      <c r="IA138" s="1">
        <v>20.034128718746047</v>
      </c>
      <c r="IB138" s="1">
        <v>381.99866512878918</v>
      </c>
      <c r="IC138" s="1">
        <v>56.524693499032701</v>
      </c>
      <c r="ID138" s="1">
        <v>946.06025296367511</v>
      </c>
      <c r="IE138" s="2">
        <v>2565.1963449727409</v>
      </c>
      <c r="IF138" s="1">
        <v>2508.6716514737082</v>
      </c>
      <c r="IH138" s="1">
        <v>1930</v>
      </c>
      <c r="II138" s="1">
        <v>222.83302837167386</v>
      </c>
      <c r="IJ138" s="1">
        <v>30.035237908092384</v>
      </c>
      <c r="IK138" s="1">
        <v>10.365504803567701</v>
      </c>
      <c r="IL138" s="1">
        <v>242.90550536966228</v>
      </c>
      <c r="IM138" s="1">
        <v>19.289786429477516</v>
      </c>
      <c r="IN138" s="1">
        <v>6.6571263562614282</v>
      </c>
      <c r="IO138" s="1">
        <v>5.6392035091666202</v>
      </c>
    </row>
    <row r="139" spans="1:249" x14ac:dyDescent="0.25">
      <c r="A139" s="1" t="s">
        <v>230</v>
      </c>
      <c r="B139" s="1">
        <v>-1.0368013943515422</v>
      </c>
      <c r="C139" s="1">
        <v>-1.2079269818616751</v>
      </c>
      <c r="D139" s="1">
        <v>-0.91066859117553633</v>
      </c>
      <c r="E139" s="1">
        <v>-1.1627736405451685</v>
      </c>
      <c r="F139" s="1">
        <v>-0.96279434218514837</v>
      </c>
      <c r="G139" s="1">
        <v>-0.85082906925036639</v>
      </c>
      <c r="H139" s="1">
        <v>-1.1973039039608864</v>
      </c>
      <c r="J139" s="1">
        <v>1931</v>
      </c>
      <c r="K139" s="2">
        <v>8721.9292654208639</v>
      </c>
      <c r="L139" s="1">
        <v>8148.1783359528436</v>
      </c>
      <c r="M139" s="1">
        <v>7837.4611267808305</v>
      </c>
      <c r="N139" s="1">
        <v>7263.7101973128101</v>
      </c>
      <c r="O139" s="1">
        <v>884.46813864003332</v>
      </c>
      <c r="P139" s="1">
        <v>573.75092946802056</v>
      </c>
      <c r="Q139" s="1">
        <v>6640.8139590137498</v>
      </c>
      <c r="R139" s="1">
        <v>15362.743224434613</v>
      </c>
      <c r="S139" s="1">
        <v>14788.992294966592</v>
      </c>
      <c r="U139" s="1">
        <v>1931</v>
      </c>
      <c r="V139" s="1">
        <v>1417.6673529670263</v>
      </c>
      <c r="W139" s="1">
        <v>45055.468932955693</v>
      </c>
      <c r="X139" s="1">
        <v>-1.192235571009121</v>
      </c>
      <c r="Y139" s="1">
        <v>1324.4095499410294</v>
      </c>
      <c r="Z139" s="1">
        <v>41925.300598555106</v>
      </c>
      <c r="AA139" s="1">
        <v>-1.3775675260462634</v>
      </c>
      <c r="AB139" s="1">
        <v>6152310.1644167779</v>
      </c>
      <c r="AC139" s="1">
        <v>0.34552598546453339</v>
      </c>
      <c r="AE139" s="1">
        <v>1931</v>
      </c>
      <c r="AF139" s="1">
        <v>1341.5457053998573</v>
      </c>
      <c r="AG139" s="1">
        <v>2072.2432480402504</v>
      </c>
      <c r="AH139" s="1">
        <v>752.04469146922474</v>
      </c>
      <c r="AI139" s="1">
        <v>671.36362090838816</v>
      </c>
      <c r="AJ139" s="1">
        <v>1010.4351150263224</v>
      </c>
      <c r="AK139" s="1">
        <v>654.8630011539592</v>
      </c>
      <c r="AL139" s="1">
        <v>647.54366374524761</v>
      </c>
      <c r="AM139" s="1">
        <v>998.13929020959472</v>
      </c>
      <c r="AN139" s="2">
        <v>8148.1783359528445</v>
      </c>
      <c r="AP139" s="1" t="s">
        <v>230</v>
      </c>
      <c r="AQ139" s="1">
        <v>5.4278975558460445</v>
      </c>
      <c r="AR139" s="1">
        <v>-7.0685984290780794</v>
      </c>
      <c r="AS139" s="1">
        <v>-6.9238793884746883</v>
      </c>
      <c r="AT139" s="1">
        <v>3.6255959647839973</v>
      </c>
      <c r="AU139" s="1">
        <v>-4.3775880038521535</v>
      </c>
      <c r="AV139" s="1">
        <v>0.68863726490458532</v>
      </c>
      <c r="AW139" s="1">
        <v>7.6915695177565766</v>
      </c>
      <c r="AX139" s="1">
        <v>2.8783177591931803</v>
      </c>
      <c r="AY139" s="1">
        <v>-1.0368013943515422</v>
      </c>
      <c r="BA139" s="1">
        <v>1931</v>
      </c>
      <c r="BB139" s="1">
        <v>6683.4350912467944</v>
      </c>
      <c r="BC139" s="1">
        <v>901.08110882554888</v>
      </c>
      <c r="BD139" s="1">
        <v>1013.9627870788411</v>
      </c>
      <c r="BE139" s="1">
        <v>284.92167590181759</v>
      </c>
      <c r="BF139" s="1">
        <v>-18.982446699369934</v>
      </c>
      <c r="BG139" s="1">
        <v>28.799791090648384</v>
      </c>
      <c r="BH139" s="1">
        <v>1441.1476849467717</v>
      </c>
      <c r="BI139" s="1">
        <v>1612.436426970188</v>
      </c>
      <c r="BJ139" s="1">
        <v>8721.9292654208657</v>
      </c>
      <c r="BL139" s="1" t="s">
        <v>230</v>
      </c>
      <c r="BM139" s="1">
        <v>6.7399184635134759</v>
      </c>
      <c r="BN139" s="1">
        <v>5.8847419062756217</v>
      </c>
      <c r="BO139" s="1">
        <v>-19.336172508059875</v>
      </c>
      <c r="BP139" s="1">
        <v>-18.527131782945744</v>
      </c>
      <c r="BQ139" s="1">
        <v>-5.3992395437262246</v>
      </c>
      <c r="BR139" s="1">
        <v>-0.85082906925040902</v>
      </c>
      <c r="BT139" s="1" t="s">
        <v>230</v>
      </c>
      <c r="BU139" s="1">
        <v>-6.0829686742006004</v>
      </c>
      <c r="BV139" s="1">
        <v>-3.445598526270544</v>
      </c>
      <c r="BW139" s="1">
        <v>-0.93578818792016705</v>
      </c>
      <c r="BX139" s="1">
        <v>-10.396817121332575</v>
      </c>
      <c r="BY139" s="1">
        <v>-9.7727670222927827</v>
      </c>
      <c r="BZ139" s="1">
        <v>-5.1163154242715478</v>
      </c>
      <c r="CB139" s="1">
        <v>1931</v>
      </c>
      <c r="CC139" s="1">
        <v>60.063795564538125</v>
      </c>
      <c r="CD139" s="1">
        <v>356.12350031794762</v>
      </c>
      <c r="CE139" s="1">
        <v>15.744996824247622</v>
      </c>
      <c r="CF139" s="1">
        <v>176.53650270774318</v>
      </c>
      <c r="CG139" s="1">
        <v>73.99098013771642</v>
      </c>
      <c r="CH139" s="1">
        <v>135.07214006200701</v>
      </c>
      <c r="CI139" s="1">
        <v>491.16989175773728</v>
      </c>
      <c r="CJ139" s="1">
        <v>1308.7018073719373</v>
      </c>
      <c r="CL139" s="1">
        <v>1931</v>
      </c>
      <c r="CM139" s="1">
        <v>91.769849772002928</v>
      </c>
      <c r="CN139" s="1">
        <v>214.37377811997283</v>
      </c>
      <c r="CO139" s="1">
        <v>12.596277801323735</v>
      </c>
      <c r="CP139" s="1">
        <v>183.76601558012013</v>
      </c>
      <c r="CQ139" s="1">
        <v>34.171537624367957</v>
      </c>
      <c r="CR139" s="1">
        <v>58.365891097170405</v>
      </c>
      <c r="CS139" s="1">
        <v>289.4247886450753</v>
      </c>
      <c r="CT139" s="2">
        <v>884.46813864003332</v>
      </c>
      <c r="CV139" s="1">
        <v>1931</v>
      </c>
      <c r="CW139" s="1">
        <v>9268.4179523329894</v>
      </c>
      <c r="CX139" s="1">
        <v>9438.9573715252936</v>
      </c>
      <c r="CY139" s="1">
        <v>1648.4996481598621</v>
      </c>
      <c r="CZ139" s="1">
        <v>461.65355330063011</v>
      </c>
      <c r="DA139" s="1">
        <v>2857.9448125145918</v>
      </c>
      <c r="DB139" s="1">
        <v>23675.473337833369</v>
      </c>
      <c r="DC139" s="1">
        <v>21863.672994332042</v>
      </c>
      <c r="DD139" s="1">
        <v>5703.3776907325291</v>
      </c>
      <c r="DF139" s="1">
        <v>1931</v>
      </c>
      <c r="DG139" s="1">
        <v>1.8755883741837636</v>
      </c>
      <c r="DH139" s="1">
        <v>2.1766940609522294</v>
      </c>
      <c r="DI139" s="1">
        <v>1.5799083233824831</v>
      </c>
      <c r="DJ139" s="1">
        <v>3.847847701314592</v>
      </c>
      <c r="DK139" s="1">
        <v>-4.111838101029079</v>
      </c>
      <c r="DL139" s="1">
        <v>1.0077098397609916</v>
      </c>
      <c r="DM139" s="1">
        <v>1.8033976210347902</v>
      </c>
      <c r="DN139" s="1">
        <v>1.6013020262139577</v>
      </c>
      <c r="DO139" s="1">
        <v>2.9511109829919207</v>
      </c>
      <c r="DQ139" s="1">
        <v>1931</v>
      </c>
      <c r="DR139" s="1">
        <v>17010.762284583932</v>
      </c>
      <c r="DS139" s="1">
        <v>19029.711588834416</v>
      </c>
      <c r="DT139" s="1">
        <v>3195.1226452354417</v>
      </c>
      <c r="DU139" s="1">
        <v>461.65355330063011</v>
      </c>
      <c r="DV139" s="1">
        <v>2857.9448125145918</v>
      </c>
      <c r="DW139" s="1">
        <v>42555.194884469012</v>
      </c>
      <c r="DX139" s="1">
        <v>39646.06907389564</v>
      </c>
      <c r="DY139" s="1">
        <v>8492.9881718818469</v>
      </c>
      <c r="EA139" s="1">
        <v>1931</v>
      </c>
      <c r="EB139" s="1">
        <v>1.9002276035590739</v>
      </c>
      <c r="EC139" s="1">
        <v>2.15579776267478</v>
      </c>
      <c r="ED139" s="1">
        <v>1.6717630867696016</v>
      </c>
      <c r="EE139" s="1">
        <v>3.8090892293302545</v>
      </c>
      <c r="EF139" s="1">
        <v>-4.111838101029079</v>
      </c>
      <c r="EG139" s="1">
        <v>1.0077098397609916</v>
      </c>
      <c r="EH139" s="1">
        <v>1.9246890767962839</v>
      </c>
      <c r="EI139" s="1">
        <v>1.7733506038959632</v>
      </c>
      <c r="EJ139" s="1">
        <v>3.2026306897307677</v>
      </c>
      <c r="EL139" s="1">
        <v>1931</v>
      </c>
      <c r="EM139" s="1">
        <v>1087605.242945801</v>
      </c>
      <c r="EN139" s="1">
        <v>732546.87464887544</v>
      </c>
      <c r="EO139" s="1">
        <v>175615.12745096648</v>
      </c>
      <c r="EP139" s="1">
        <v>152323.16022103114</v>
      </c>
      <c r="EQ139" s="1">
        <v>262293.32408455893</v>
      </c>
      <c r="ER139" s="1">
        <v>264010.40913044015</v>
      </c>
      <c r="ES139" s="1">
        <v>180615.76421001321</v>
      </c>
      <c r="ET139" s="1">
        <v>7390.1303285055501</v>
      </c>
      <c r="EU139" s="1">
        <v>2862400.0330201923</v>
      </c>
      <c r="EV139" s="1">
        <v>2681784.2688101791</v>
      </c>
      <c r="EX139" s="1">
        <v>1931</v>
      </c>
      <c r="EY139" s="1">
        <v>715222.89519593434</v>
      </c>
      <c r="EZ139" s="1">
        <v>632092.7576253498</v>
      </c>
      <c r="FA139" s="1">
        <v>158722.15007985276</v>
      </c>
      <c r="FB139" s="1">
        <v>137186.66389960004</v>
      </c>
      <c r="FC139" s="1">
        <v>196425.36556626504</v>
      </c>
      <c r="FD139" s="1">
        <v>235428.78004655958</v>
      </c>
      <c r="FE139" s="1">
        <v>180615.76421001321</v>
      </c>
      <c r="FF139" s="1">
        <v>6126.9344144351344</v>
      </c>
      <c r="FG139" s="1">
        <v>2261821.3110380098</v>
      </c>
      <c r="FH139" s="1">
        <v>2081205.5468279968</v>
      </c>
      <c r="FJ139" s="1">
        <v>1931</v>
      </c>
      <c r="FK139" s="1">
        <v>372382.3477498666</v>
      </c>
      <c r="FL139" s="1">
        <v>100454.11702352561</v>
      </c>
      <c r="FM139" s="1">
        <v>16892.977371113713</v>
      </c>
      <c r="FN139" s="1">
        <v>15136.496321431094</v>
      </c>
      <c r="FO139" s="1">
        <v>65867.95851829389</v>
      </c>
      <c r="FP139" s="1">
        <v>28581.629083880565</v>
      </c>
      <c r="FQ139" s="1">
        <v>1263.1959140704162</v>
      </c>
      <c r="FR139" s="1">
        <v>600578.72198218189</v>
      </c>
      <c r="FS139" s="1">
        <v>975988.2610403701</v>
      </c>
      <c r="HC139" s="1">
        <v>1931</v>
      </c>
      <c r="HD139" s="1">
        <v>715.28391024197742</v>
      </c>
      <c r="HE139" s="1">
        <v>1406.2538807735241</v>
      </c>
      <c r="HF139" s="1">
        <v>485.71215161175365</v>
      </c>
      <c r="HG139" s="1">
        <v>526.42791011380666</v>
      </c>
      <c r="HH139" s="1">
        <v>1001.2724778069708</v>
      </c>
      <c r="HI139" s="1">
        <v>589.17777264807819</v>
      </c>
      <c r="HJ139" s="1">
        <v>14.474275030157273</v>
      </c>
      <c r="HK139" s="2">
        <v>4738.6023782262691</v>
      </c>
      <c r="HL139" s="1">
        <v>4149.4246055781905</v>
      </c>
      <c r="HN139" s="1">
        <v>1931</v>
      </c>
      <c r="HO139" s="1">
        <v>468.96465831238766</v>
      </c>
      <c r="HP139" s="1">
        <v>240.23521832577643</v>
      </c>
      <c r="HQ139" s="1">
        <v>57.915725750642096</v>
      </c>
      <c r="HR139" s="1">
        <v>62.55428690864774</v>
      </c>
      <c r="HS139" s="1">
        <v>338.4092739184465</v>
      </c>
      <c r="HT139" s="1">
        <v>3.4552815985757994</v>
      </c>
      <c r="HU139" s="2">
        <v>1171.5344448144763</v>
      </c>
      <c r="HW139" s="1">
        <v>1931</v>
      </c>
      <c r="HX139" s="1">
        <v>221.28813684549209</v>
      </c>
      <c r="HY139" s="1">
        <v>425.75414894095002</v>
      </c>
      <c r="HZ139" s="1">
        <v>208.41681410682895</v>
      </c>
      <c r="IA139" s="1">
        <v>18.390423885933728</v>
      </c>
      <c r="IB139" s="1">
        <v>325.61636445486448</v>
      </c>
      <c r="IC139" s="1">
        <v>58.365891097169381</v>
      </c>
      <c r="ID139" s="1">
        <v>980.20973358086167</v>
      </c>
      <c r="IE139" s="2">
        <v>2238.0415129121002</v>
      </c>
      <c r="IF139" s="1">
        <v>2179.6756218149312</v>
      </c>
      <c r="IH139" s="1">
        <v>1931</v>
      </c>
      <c r="II139" s="1">
        <v>255.67009132558286</v>
      </c>
      <c r="IJ139" s="1">
        <v>24.834760956758871</v>
      </c>
      <c r="IK139" s="1">
        <v>7.7811631888411279</v>
      </c>
      <c r="IL139" s="1">
        <v>282.85191420752898</v>
      </c>
      <c r="IM139" s="1">
        <v>12.83824903162804</v>
      </c>
      <c r="IN139" s="1">
        <v>4.022447042998099</v>
      </c>
      <c r="IO139" s="1">
        <v>2.2288069427972061</v>
      </c>
    </row>
    <row r="140" spans="1:249" x14ac:dyDescent="0.25">
      <c r="A140" s="1" t="s">
        <v>231</v>
      </c>
      <c r="B140" s="1">
        <v>-3.0857493184233533</v>
      </c>
      <c r="C140" s="1">
        <v>-3.3233127353529568</v>
      </c>
      <c r="D140" s="1">
        <v>-3.0910732317900909</v>
      </c>
      <c r="E140" s="1">
        <v>-3.0804251125752842</v>
      </c>
      <c r="F140" s="1">
        <v>-3.0082263862834537</v>
      </c>
      <c r="G140" s="1">
        <v>-4.1828238575768495</v>
      </c>
      <c r="H140" s="1">
        <v>-4.7533633710906855</v>
      </c>
      <c r="J140" s="1">
        <v>1932</v>
      </c>
      <c r="K140" s="2">
        <v>8164.5405265042764</v>
      </c>
      <c r="L140" s="1">
        <v>7627.285905495185</v>
      </c>
      <c r="M140" s="1">
        <v>7292.339022427409</v>
      </c>
      <c r="N140" s="1">
        <v>6755.0844014183176</v>
      </c>
      <c r="O140" s="1">
        <v>872.2015040768672</v>
      </c>
      <c r="P140" s="1">
        <v>537.25462100909158</v>
      </c>
      <c r="Q140" s="1">
        <v>6268.5853678263375</v>
      </c>
      <c r="R140" s="1">
        <v>14433.125894330613</v>
      </c>
      <c r="S140" s="1">
        <v>13895.871273321522</v>
      </c>
      <c r="U140" s="1">
        <v>1932</v>
      </c>
      <c r="V140" s="1">
        <v>1321.8954032576876</v>
      </c>
      <c r="W140" s="1">
        <v>43002.573508604895</v>
      </c>
      <c r="X140" s="1">
        <v>-4.5563734502588034</v>
      </c>
      <c r="Y140" s="1">
        <v>1234.9101759095731</v>
      </c>
      <c r="Z140" s="1">
        <v>40473.185978992769</v>
      </c>
      <c r="AA140" s="1">
        <v>-3.4635759286896501</v>
      </c>
      <c r="AB140" s="1">
        <v>6176389.2259429377</v>
      </c>
      <c r="AC140" s="1">
        <v>0.39138243818437957</v>
      </c>
      <c r="AE140" s="1">
        <v>1932</v>
      </c>
      <c r="AF140" s="1">
        <v>1138.2696568890381</v>
      </c>
      <c r="AG140" s="1">
        <v>1910.8938996647569</v>
      </c>
      <c r="AH140" s="1">
        <v>668.90729243938108</v>
      </c>
      <c r="AI140" s="1">
        <v>683.5499864397791</v>
      </c>
      <c r="AJ140" s="1">
        <v>902.8058081937512</v>
      </c>
      <c r="AK140" s="1">
        <v>638.22619945351596</v>
      </c>
      <c r="AL140" s="1">
        <v>653.44805867350999</v>
      </c>
      <c r="AM140" s="1">
        <v>1031.185003741452</v>
      </c>
      <c r="AN140" s="2">
        <v>7627.2859054951841</v>
      </c>
      <c r="AP140" s="1" t="s">
        <v>231</v>
      </c>
      <c r="AQ140" s="1">
        <v>-8.1535581552611376</v>
      </c>
      <c r="AR140" s="1">
        <v>-5.7254508188839566</v>
      </c>
      <c r="AS140" s="1">
        <v>-6.6548894205941309</v>
      </c>
      <c r="AT140" s="1">
        <v>1.9129005435084565</v>
      </c>
      <c r="AU140" s="1">
        <v>-4.2589302971960166</v>
      </c>
      <c r="AV140" s="1">
        <v>1.5412074469907111E-2</v>
      </c>
      <c r="AW140" s="1">
        <v>3.3308234225792859</v>
      </c>
      <c r="AX140" s="1">
        <v>3.1721869476514684</v>
      </c>
      <c r="AY140" s="1">
        <v>-3.0857493184233533</v>
      </c>
      <c r="BA140" s="1">
        <v>1932</v>
      </c>
      <c r="BB140" s="1">
        <v>6334.0746902158262</v>
      </c>
      <c r="BC140" s="1">
        <v>889.03269144179751</v>
      </c>
      <c r="BD140" s="1">
        <v>906.24353072402778</v>
      </c>
      <c r="BE140" s="1">
        <v>180.3000436107545</v>
      </c>
      <c r="BF140" s="1">
        <v>-19.763172399019059</v>
      </c>
      <c r="BG140" s="1">
        <v>-36.963035554555056</v>
      </c>
      <c r="BH140" s="1">
        <v>1215.7923002795674</v>
      </c>
      <c r="BI140" s="1">
        <v>1304.1765218141227</v>
      </c>
      <c r="BJ140" s="1">
        <v>8164.5405265042755</v>
      </c>
      <c r="BL140" s="1" t="s">
        <v>231</v>
      </c>
      <c r="BM140" s="1">
        <v>-2.6509804934830896</v>
      </c>
      <c r="BN140" s="1">
        <v>0.28349607566340751</v>
      </c>
      <c r="BO140" s="1">
        <v>-19.953828842572321</v>
      </c>
      <c r="BP140" s="1">
        <v>-16.270218839200751</v>
      </c>
      <c r="BQ140" s="1">
        <v>-18.971061093247584</v>
      </c>
      <c r="BR140" s="1">
        <v>-4.1828238575768495</v>
      </c>
      <c r="BT140" s="1" t="s">
        <v>231</v>
      </c>
      <c r="BU140" s="1">
        <v>-2.6464340397080832</v>
      </c>
      <c r="BV140" s="1">
        <v>-1.6160215849332076</v>
      </c>
      <c r="BW140" s="1">
        <v>-1.6942443304560584</v>
      </c>
      <c r="BX140" s="1">
        <v>0.75600611273010543</v>
      </c>
      <c r="BY140" s="1">
        <v>-0.1809056956115711</v>
      </c>
      <c r="BZ140" s="1">
        <v>-2.3042162349104274</v>
      </c>
      <c r="CB140" s="1">
        <v>1932</v>
      </c>
      <c r="CC140" s="1">
        <v>45.960582666847941</v>
      </c>
      <c r="CD140" s="1">
        <v>205.70878843390477</v>
      </c>
      <c r="CE140" s="1">
        <v>15.041477293323766</v>
      </c>
      <c r="CF140" s="1">
        <v>128.05092864919285</v>
      </c>
      <c r="CG140" s="1">
        <v>45.866565262891186</v>
      </c>
      <c r="CH140" s="1">
        <v>149.63463773188712</v>
      </c>
      <c r="CI140" s="1">
        <v>439.5543863431605</v>
      </c>
      <c r="CJ140" s="1">
        <v>1029.8173663812081</v>
      </c>
      <c r="CL140" s="1">
        <v>1932</v>
      </c>
      <c r="CM140" s="1">
        <v>87.869594447697636</v>
      </c>
      <c r="CN140" s="1">
        <v>212.98343666915986</v>
      </c>
      <c r="CO140" s="1">
        <v>12.811542606148588</v>
      </c>
      <c r="CP140" s="1">
        <v>176.32077738822358</v>
      </c>
      <c r="CQ140" s="1">
        <v>33.862787729455754</v>
      </c>
      <c r="CR140" s="1">
        <v>59.55171551135529</v>
      </c>
      <c r="CS140" s="1">
        <v>288.80164972482663</v>
      </c>
      <c r="CT140" s="2">
        <v>872.2015040768672</v>
      </c>
      <c r="CV140" s="1">
        <v>1932</v>
      </c>
      <c r="CW140" s="1">
        <v>9304.1087576312348</v>
      </c>
      <c r="CX140" s="1">
        <v>9419.0184460814198</v>
      </c>
      <c r="CY140" s="1">
        <v>1648.6097898152339</v>
      </c>
      <c r="CZ140" s="1">
        <v>340.51623584712326</v>
      </c>
      <c r="DA140" s="1">
        <v>2786.5810109835993</v>
      </c>
      <c r="DB140" s="1">
        <v>23498.83424035861</v>
      </c>
      <c r="DC140" s="1">
        <v>21646.209705103916</v>
      </c>
      <c r="DD140" s="1">
        <v>5734.4709816948889</v>
      </c>
      <c r="DF140" s="1">
        <v>1932</v>
      </c>
      <c r="DG140" s="1">
        <v>1.3175331206152237</v>
      </c>
      <c r="DH140" s="1">
        <v>1.6202813245781016</v>
      </c>
      <c r="DI140" s="1">
        <v>1.0184373465072838</v>
      </c>
      <c r="DJ140" s="1">
        <v>-1.9396377146405399</v>
      </c>
      <c r="DK140" s="1">
        <v>-5.8038854887060012</v>
      </c>
      <c r="DL140" s="1">
        <v>-1.3264654933361442</v>
      </c>
      <c r="DM140" s="1">
        <v>0.67335535375943323</v>
      </c>
      <c r="DN140" s="1">
        <v>0.31508295263071773</v>
      </c>
      <c r="DO140" s="1">
        <v>-0.44811984317243514</v>
      </c>
      <c r="DQ140" s="1">
        <v>1932</v>
      </c>
      <c r="DR140" s="1">
        <v>17072.775002686834</v>
      </c>
      <c r="DS140" s="1">
        <v>19007.080275461729</v>
      </c>
      <c r="DT140" s="1">
        <v>3195.7538225763815</v>
      </c>
      <c r="DU140" s="1">
        <v>340.51623584712326</v>
      </c>
      <c r="DV140" s="1">
        <v>2786.5810109835993</v>
      </c>
      <c r="DW140" s="1">
        <v>42402.706347555664</v>
      </c>
      <c r="DX140" s="1">
        <v>39435.808669429061</v>
      </c>
      <c r="DY140" s="1">
        <v>8579.2111408052006</v>
      </c>
      <c r="EA140" s="1">
        <v>1932</v>
      </c>
      <c r="EB140" s="1">
        <v>1.5977694122462509</v>
      </c>
      <c r="EC140" s="1">
        <v>1.8452179101023916</v>
      </c>
      <c r="ED140" s="1">
        <v>1.375479049499134</v>
      </c>
      <c r="EE140" s="1">
        <v>0.55004568916841379</v>
      </c>
      <c r="EF140" s="1">
        <v>-5.8038854887060012</v>
      </c>
      <c r="EG140" s="1">
        <v>-1.3264654933361442</v>
      </c>
      <c r="EH140" s="1">
        <v>1.267284754407541</v>
      </c>
      <c r="EI140" s="1">
        <v>1.0318869181440817</v>
      </c>
      <c r="EJ140" s="1">
        <v>0.85650581258714453</v>
      </c>
      <c r="EL140" s="1">
        <v>1932</v>
      </c>
      <c r="EM140" s="1">
        <v>1069926.390596607</v>
      </c>
      <c r="EN140" s="1">
        <v>700167.29298549239</v>
      </c>
      <c r="EO140" s="1">
        <v>180754.84916526102</v>
      </c>
      <c r="EP140" s="1">
        <v>149283.04810309722</v>
      </c>
      <c r="EQ140" s="1">
        <v>255708.22459939934</v>
      </c>
      <c r="ER140" s="1">
        <v>263992.02125758224</v>
      </c>
      <c r="ES140" s="1">
        <v>186453.84951781161</v>
      </c>
      <c r="ET140" s="1">
        <v>8234.131776345208</v>
      </c>
      <c r="EU140" s="1">
        <v>2814519.8080015965</v>
      </c>
      <c r="EV140" s="1">
        <v>2628065.9584837845</v>
      </c>
      <c r="EX140" s="1">
        <v>1932</v>
      </c>
      <c r="EY140" s="1">
        <v>691707.72666394862</v>
      </c>
      <c r="EZ140" s="1">
        <v>600800.63595680869</v>
      </c>
      <c r="FA140" s="1">
        <v>163006.95681769625</v>
      </c>
      <c r="FB140" s="1">
        <v>134042.16215186313</v>
      </c>
      <c r="FC140" s="1">
        <v>192625.12407895178</v>
      </c>
      <c r="FD140" s="1">
        <v>235371.77991282672</v>
      </c>
      <c r="FE140" s="1">
        <v>186453.84951781161</v>
      </c>
      <c r="FF140" s="1">
        <v>6606.4628314780002</v>
      </c>
      <c r="FG140" s="1">
        <v>2210614.6979313851</v>
      </c>
      <c r="FH140" s="1">
        <v>2024160.8484135736</v>
      </c>
      <c r="FJ140" s="1">
        <v>1932</v>
      </c>
      <c r="FK140" s="1">
        <v>378218.66393265844</v>
      </c>
      <c r="FL140" s="1">
        <v>99366.65702868365</v>
      </c>
      <c r="FM140" s="1">
        <v>17747.892347564783</v>
      </c>
      <c r="FN140" s="1">
        <v>15240.885951234068</v>
      </c>
      <c r="FO140" s="1">
        <v>63083.100520447559</v>
      </c>
      <c r="FP140" s="1">
        <v>28620.241344755526</v>
      </c>
      <c r="FQ140" s="1">
        <v>1627.6689448672073</v>
      </c>
      <c r="FR140" s="1">
        <v>603905.11007021123</v>
      </c>
      <c r="FS140" s="1">
        <v>994614.11896255985</v>
      </c>
      <c r="HC140" s="1">
        <v>1932</v>
      </c>
      <c r="HD140" s="1">
        <v>676.98539514595052</v>
      </c>
      <c r="HE140" s="1">
        <v>1278.5276034296389</v>
      </c>
      <c r="HF140" s="1">
        <v>499.46316814272222</v>
      </c>
      <c r="HG140" s="1">
        <v>522.77216073801628</v>
      </c>
      <c r="HH140" s="1">
        <v>974.6569000984382</v>
      </c>
      <c r="HI140" s="1">
        <v>593.89634316215438</v>
      </c>
      <c r="HJ140" s="1">
        <v>15.072931755018413</v>
      </c>
      <c r="HK140" s="2">
        <v>4561.3745024719392</v>
      </c>
      <c r="HL140" s="1">
        <v>3967.4781593097846</v>
      </c>
      <c r="HN140" s="1">
        <v>1932</v>
      </c>
      <c r="HO140" s="1">
        <v>433.74866729538996</v>
      </c>
      <c r="HP140" s="1">
        <v>227.30365498065112</v>
      </c>
      <c r="HQ140" s="1">
        <v>60.924641930669978</v>
      </c>
      <c r="HR140" s="1">
        <v>64.015618684383753</v>
      </c>
      <c r="HS140" s="1">
        <v>322.53328182288465</v>
      </c>
      <c r="HT140" s="1">
        <v>4.2998564828140475</v>
      </c>
      <c r="HU140" s="2">
        <v>1112.8257211967934</v>
      </c>
      <c r="HW140" s="1">
        <v>1932</v>
      </c>
      <c r="HX140" s="1">
        <v>87.869594447697636</v>
      </c>
      <c r="HY140" s="1">
        <v>405.0626412544666</v>
      </c>
      <c r="HZ140" s="1">
        <v>108.51948236598889</v>
      </c>
      <c r="IA140" s="1">
        <v>36.428207017379009</v>
      </c>
      <c r="IB140" s="1">
        <v>243.84182572594423</v>
      </c>
      <c r="IC140" s="1">
        <v>59.551715511355653</v>
      </c>
      <c r="ID140" s="1">
        <v>1011.8122155036195</v>
      </c>
      <c r="IE140" s="2">
        <v>1953.0856818264515</v>
      </c>
      <c r="IF140" s="1">
        <v>1893.5339663150958</v>
      </c>
      <c r="IH140" s="1">
        <v>1932</v>
      </c>
      <c r="II140" s="1">
        <v>278.62849040840206</v>
      </c>
      <c r="IJ140" s="1">
        <v>25.771136157738443</v>
      </c>
      <c r="IK140" s="1">
        <v>7.3540581457630667</v>
      </c>
      <c r="IL140" s="1">
        <v>310.79071072978326</v>
      </c>
      <c r="IM140" s="1">
        <v>12.75569247965308</v>
      </c>
      <c r="IN140" s="1">
        <v>3.6399677379638424</v>
      </c>
      <c r="IO140" s="1">
        <v>-1.7471986611517281</v>
      </c>
    </row>
    <row r="141" spans="1:249" x14ac:dyDescent="0.25">
      <c r="A141" s="1" t="s">
        <v>232</v>
      </c>
      <c r="B141" s="1">
        <v>3.0284235599121558</v>
      </c>
      <c r="C141" s="1">
        <v>3.0397339866914024</v>
      </c>
      <c r="D141" s="1">
        <v>3.0509051498379165</v>
      </c>
      <c r="E141" s="1">
        <v>3.0059468745710092</v>
      </c>
      <c r="F141" s="1">
        <v>2.8783212029245533</v>
      </c>
      <c r="G141" s="1">
        <v>3.6797808726815049</v>
      </c>
      <c r="H141" s="1">
        <v>4.0607064212471187</v>
      </c>
      <c r="J141" s="1">
        <v>1933</v>
      </c>
      <c r="K141" s="2">
        <v>8345.7009368670551</v>
      </c>
      <c r="L141" s="1">
        <v>7785.1310001750589</v>
      </c>
      <c r="M141" s="1">
        <v>7516.036960370644</v>
      </c>
      <c r="N141" s="1">
        <v>6955.4670236786478</v>
      </c>
      <c r="O141" s="1">
        <v>829.66397649641112</v>
      </c>
      <c r="P141" s="1">
        <v>560.56993669199562</v>
      </c>
      <c r="Q141" s="1">
        <v>6291.3464239415616</v>
      </c>
      <c r="R141" s="1">
        <v>14637.047360808618</v>
      </c>
      <c r="S141" s="1">
        <v>14076.47742411662</v>
      </c>
      <c r="U141" s="1">
        <v>1933</v>
      </c>
      <c r="V141" s="1">
        <v>1345.8732846625394</v>
      </c>
      <c r="W141" s="1">
        <v>44408.338921451526</v>
      </c>
      <c r="X141" s="1">
        <v>3.2690262422674152</v>
      </c>
      <c r="Y141" s="1">
        <v>1255.4727170306553</v>
      </c>
      <c r="Z141" s="1">
        <v>41533.684412910829</v>
      </c>
      <c r="AA141" s="1">
        <v>2.620249452238582</v>
      </c>
      <c r="AB141" s="1">
        <v>6200955.9384036912</v>
      </c>
      <c r="AC141" s="1">
        <v>0.3977520127385219</v>
      </c>
      <c r="AE141" s="1">
        <v>1933</v>
      </c>
      <c r="AF141" s="1">
        <v>1311.470167906604</v>
      </c>
      <c r="AG141" s="1">
        <v>1910.8336008124634</v>
      </c>
      <c r="AH141" s="1">
        <v>666.50004530258184</v>
      </c>
      <c r="AI141" s="1">
        <v>675.71226798184716</v>
      </c>
      <c r="AJ141" s="1">
        <v>888.30062789483361</v>
      </c>
      <c r="AK141" s="1">
        <v>638.65344673416246</v>
      </c>
      <c r="AL141" s="1">
        <v>645.27467574082834</v>
      </c>
      <c r="AM141" s="1">
        <v>1048.3861678017377</v>
      </c>
      <c r="AN141" s="2">
        <v>7785.131000175058</v>
      </c>
      <c r="AP141" s="1" t="s">
        <v>232</v>
      </c>
      <c r="AQ141" s="1">
        <v>8.3203685592641534</v>
      </c>
      <c r="AR141" s="1">
        <v>4.5033024552549819</v>
      </c>
      <c r="AS141" s="1">
        <v>-2.6124095004935413</v>
      </c>
      <c r="AT141" s="1">
        <v>-0.52708761633199686</v>
      </c>
      <c r="AU141" s="1">
        <v>3.4528343433956081</v>
      </c>
      <c r="AV141" s="1">
        <v>1.7438866471516121</v>
      </c>
      <c r="AW141" s="1">
        <v>0.69529398429261846</v>
      </c>
      <c r="AX141" s="1">
        <v>2.2668522652355279</v>
      </c>
      <c r="AY141" s="1">
        <v>3.0284235599121558</v>
      </c>
      <c r="BA141" s="1">
        <v>1933</v>
      </c>
      <c r="BB141" s="1">
        <v>6372.1285211030554</v>
      </c>
      <c r="BC141" s="1">
        <v>860.97593308674379</v>
      </c>
      <c r="BD141" s="1">
        <v>787.73083761003682</v>
      </c>
      <c r="BE141" s="1">
        <v>182.92510921933416</v>
      </c>
      <c r="BF141" s="1">
        <v>0.81583972445576214</v>
      </c>
      <c r="BG141" s="1">
        <v>20.914752774759513</v>
      </c>
      <c r="BH141" s="1">
        <v>1357.7661926199062</v>
      </c>
      <c r="BI141" s="1">
        <v>1237.5562492712368</v>
      </c>
      <c r="BJ141" s="1">
        <v>8345.7009368670533</v>
      </c>
      <c r="BL141" s="1" t="s">
        <v>232</v>
      </c>
      <c r="BM141" s="1">
        <v>1.3502064546873953</v>
      </c>
      <c r="BN141" s="1">
        <v>-0.94105313719357753</v>
      </c>
      <c r="BO141" s="1">
        <v>1.5851604404409443</v>
      </c>
      <c r="BP141" s="1">
        <v>12.5</v>
      </c>
      <c r="BQ141" s="1">
        <v>-4.1666666666666572</v>
      </c>
      <c r="BR141" s="1">
        <v>3.6797808726815049</v>
      </c>
      <c r="BT141" s="1" t="s">
        <v>232</v>
      </c>
      <c r="BU141" s="1">
        <v>-0.73944281378099674</v>
      </c>
      <c r="BV141" s="1">
        <v>-2.2358622791676765</v>
      </c>
      <c r="BW141" s="1">
        <v>-5.1384137029000527</v>
      </c>
      <c r="BX141" s="1">
        <v>-0.73112964679231141</v>
      </c>
      <c r="BY141" s="1">
        <v>-0.98249576510445991</v>
      </c>
      <c r="BZ141" s="1">
        <v>-1.4090620686623083</v>
      </c>
      <c r="CB141" s="1">
        <v>1933</v>
      </c>
      <c r="CC141" s="1">
        <v>72.350199761415439</v>
      </c>
      <c r="CD141" s="1">
        <v>216.18539923324252</v>
      </c>
      <c r="CE141" s="1">
        <v>12.445212225979285</v>
      </c>
      <c r="CF141" s="1">
        <v>117.42204222781305</v>
      </c>
      <c r="CG141" s="1">
        <v>46.8333082713145</v>
      </c>
      <c r="CH141" s="1">
        <v>156.69072841167429</v>
      </c>
      <c r="CI141" s="1">
        <v>370.45964919714709</v>
      </c>
      <c r="CJ141" s="1">
        <v>992.38653932858608</v>
      </c>
      <c r="CL141" s="1">
        <v>1933</v>
      </c>
      <c r="CM141" s="1">
        <v>84.039778968776659</v>
      </c>
      <c r="CN141" s="1">
        <v>202.76777899059616</v>
      </c>
      <c r="CO141" s="1">
        <v>13.962947195866589</v>
      </c>
      <c r="CP141" s="1">
        <v>159.64180652759742</v>
      </c>
      <c r="CQ141" s="1">
        <v>32.894654750783388</v>
      </c>
      <c r="CR141" s="1">
        <v>59.417092947703509</v>
      </c>
      <c r="CS141" s="1">
        <v>276.93991711508738</v>
      </c>
      <c r="CT141" s="2">
        <v>829.66397649641112</v>
      </c>
      <c r="CV141" s="1">
        <v>1933</v>
      </c>
      <c r="CW141" s="1">
        <v>8982.1830442180526</v>
      </c>
      <c r="CX141" s="1">
        <v>9036.7378279839668</v>
      </c>
      <c r="CY141" s="1">
        <v>1516.8089562279188</v>
      </c>
      <c r="CZ141" s="1">
        <v>296.69658368949638</v>
      </c>
      <c r="DA141" s="1">
        <v>2640.36061005703</v>
      </c>
      <c r="DB141" s="1">
        <v>22472.787022176464</v>
      </c>
      <c r="DC141" s="1">
        <v>20629.540095570352</v>
      </c>
      <c r="DD141" s="1">
        <v>5440.8061822151703</v>
      </c>
      <c r="DF141" s="1">
        <v>1933</v>
      </c>
      <c r="DG141" s="1">
        <v>0.86481337510177525</v>
      </c>
      <c r="DH141" s="1">
        <v>1.0411692972819111</v>
      </c>
      <c r="DI141" s="1">
        <v>0.68947440889168377</v>
      </c>
      <c r="DJ141" s="1">
        <v>-0.95410292497474813</v>
      </c>
      <c r="DK141" s="1">
        <v>0.27497442481832479</v>
      </c>
      <c r="DL141" s="1">
        <v>0.79211728485479682</v>
      </c>
      <c r="DM141" s="1">
        <v>0.72548829160975004</v>
      </c>
      <c r="DN141" s="1">
        <v>0.32019074714597195</v>
      </c>
      <c r="DO141" s="1">
        <v>0.22740174907282551</v>
      </c>
      <c r="DQ141" s="1">
        <v>1933</v>
      </c>
      <c r="DR141" s="1">
        <v>16518.53350648722</v>
      </c>
      <c r="DS141" s="1">
        <v>18301.196721415054</v>
      </c>
      <c r="DT141" s="1">
        <v>3021.0716663892567</v>
      </c>
      <c r="DU141" s="1">
        <v>296.69658368949638</v>
      </c>
      <c r="DV141" s="1">
        <v>2640.36061005703</v>
      </c>
      <c r="DW141" s="1">
        <v>40777.859088038058</v>
      </c>
      <c r="DX141" s="1">
        <v>37838.951439217599</v>
      </c>
      <c r="DY141" s="1">
        <v>8234.3865750833993</v>
      </c>
      <c r="EA141" s="1">
        <v>1933</v>
      </c>
      <c r="EB141" s="1">
        <v>1.3442986373424048</v>
      </c>
      <c r="EC141" s="1">
        <v>1.5167402762205455</v>
      </c>
      <c r="ED141" s="1">
        <v>1.1886208247096022</v>
      </c>
      <c r="EE141" s="1">
        <v>0.89821870631772072</v>
      </c>
      <c r="EF141" s="1">
        <v>0.27497442481832479</v>
      </c>
      <c r="EG141" s="1">
        <v>0.79211728485479682</v>
      </c>
      <c r="EH141" s="1">
        <v>1.2666808974897634</v>
      </c>
      <c r="EI141" s="1">
        <v>1.0007955383811122</v>
      </c>
      <c r="EJ141" s="1">
        <v>1.2557322931666874</v>
      </c>
      <c r="EL141" s="1">
        <v>1933</v>
      </c>
      <c r="EM141" s="1">
        <v>1058441.6600643862</v>
      </c>
      <c r="EN141" s="1">
        <v>689959.49266449362</v>
      </c>
      <c r="EO141" s="1">
        <v>182833.36830930374</v>
      </c>
      <c r="EP141" s="1">
        <v>145960.05313903425</v>
      </c>
      <c r="EQ141" s="1">
        <v>262967.63483765098</v>
      </c>
      <c r="ER141" s="1">
        <v>265954.26398968295</v>
      </c>
      <c r="ES141" s="1">
        <v>186940.35662679479</v>
      </c>
      <c r="ET141" s="1">
        <v>8841.13416973331</v>
      </c>
      <c r="EU141" s="1">
        <v>2801897.9638010799</v>
      </c>
      <c r="EV141" s="1">
        <v>2614957.6071742848</v>
      </c>
      <c r="EX141" s="1">
        <v>1933</v>
      </c>
      <c r="EY141" s="1">
        <v>673498.54487764172</v>
      </c>
      <c r="EZ141" s="1">
        <v>591136.56563323096</v>
      </c>
      <c r="FA141" s="1">
        <v>163762.97439075506</v>
      </c>
      <c r="FB141" s="1">
        <v>131449.89459642099</v>
      </c>
      <c r="FC141" s="1">
        <v>199096.61143129162</v>
      </c>
      <c r="FD141" s="1">
        <v>237026.38033178591</v>
      </c>
      <c r="FE141" s="1">
        <v>186940.35662679479</v>
      </c>
      <c r="FF141" s="1">
        <v>6883.1888890696437</v>
      </c>
      <c r="FG141" s="1">
        <v>2189794.5167769901</v>
      </c>
      <c r="FH141" s="1">
        <v>2002854.1601501957</v>
      </c>
      <c r="FJ141" s="1">
        <v>1933</v>
      </c>
      <c r="FK141" s="1">
        <v>384943.11518674454</v>
      </c>
      <c r="FL141" s="1">
        <v>98822.92703126269</v>
      </c>
      <c r="FM141" s="1">
        <v>19070.393918548685</v>
      </c>
      <c r="FN141" s="1">
        <v>14510.158542613257</v>
      </c>
      <c r="FO141" s="1">
        <v>63871.023406359367</v>
      </c>
      <c r="FP141" s="1">
        <v>28927.883657897022</v>
      </c>
      <c r="FQ141" s="1">
        <v>1957.9452806636664</v>
      </c>
      <c r="FR141" s="1">
        <v>612103.44702408928</v>
      </c>
      <c r="FS141" s="1">
        <v>1013595.4346265957</v>
      </c>
      <c r="HC141" s="1">
        <v>1933</v>
      </c>
      <c r="HD141" s="1">
        <v>643.62017821301288</v>
      </c>
      <c r="HE141" s="1">
        <v>1261.7092054958437</v>
      </c>
      <c r="HF141" s="1">
        <v>486.3748398616296</v>
      </c>
      <c r="HG141" s="1">
        <v>502.05624760853777</v>
      </c>
      <c r="HH141" s="1">
        <v>984.00117479089124</v>
      </c>
      <c r="HI141" s="1">
        <v>585.85758279312449</v>
      </c>
      <c r="HJ141" s="1">
        <v>15.315374940259186</v>
      </c>
      <c r="HK141" s="2">
        <v>4478.9346037032992</v>
      </c>
      <c r="HL141" s="1">
        <v>3893.0770209101743</v>
      </c>
      <c r="HN141" s="1">
        <v>1933</v>
      </c>
      <c r="HO141" s="1">
        <v>463.2373064754928</v>
      </c>
      <c r="HP141" s="1">
        <v>226.73323025103034</v>
      </c>
      <c r="HQ141" s="1">
        <v>63.454718043366057</v>
      </c>
      <c r="HR141" s="1">
        <v>59.685522179762792</v>
      </c>
      <c r="HS141" s="1">
        <v>321.22170691953653</v>
      </c>
      <c r="HT141" s="1">
        <v>5.0442620711439776</v>
      </c>
      <c r="HU141" s="2">
        <v>1139.3767459403325</v>
      </c>
      <c r="HW141" s="1">
        <v>1933</v>
      </c>
      <c r="HX141" s="1">
        <v>261.53468321809828</v>
      </c>
      <c r="HY141" s="1">
        <v>422.39116506558958</v>
      </c>
      <c r="HZ141" s="1">
        <v>116.67048739758616</v>
      </c>
      <c r="IA141" s="1">
        <v>57.048498193546607</v>
      </c>
      <c r="IB141" s="1">
        <v>221.73119291856796</v>
      </c>
      <c r="IC141" s="1">
        <v>59.41709294770385</v>
      </c>
      <c r="ID141" s="1">
        <v>1028.0265307903344</v>
      </c>
      <c r="IE141" s="2">
        <v>2166.8196505314268</v>
      </c>
      <c r="IF141" s="1">
        <v>2107.4025575837231</v>
      </c>
      <c r="IH141" s="1">
        <v>1933</v>
      </c>
      <c r="II141" s="1">
        <v>264.00678714003925</v>
      </c>
      <c r="IJ141" s="1">
        <v>27.278139896983944</v>
      </c>
      <c r="IK141" s="1">
        <v>8.1179400672451862</v>
      </c>
      <c r="IL141" s="1">
        <v>292.81704419186309</v>
      </c>
      <c r="IM141" s="1">
        <v>14.755248896460701</v>
      </c>
      <c r="IN141" s="1">
        <v>4.3911434823309756</v>
      </c>
      <c r="IO141" s="1">
        <v>1.0450431489101248</v>
      </c>
    </row>
    <row r="142" spans="1:249" x14ac:dyDescent="0.25">
      <c r="A142" s="1" t="s">
        <v>233</v>
      </c>
      <c r="B142" s="1">
        <v>8.1108080246164178</v>
      </c>
      <c r="C142" s="1">
        <v>8.1808119671494808</v>
      </c>
      <c r="D142" s="1">
        <v>8.2892150702453193</v>
      </c>
      <c r="E142" s="1">
        <v>7.9326949055240448</v>
      </c>
      <c r="F142" s="1">
        <v>8.3594395931384753</v>
      </c>
      <c r="G142" s="1">
        <v>6.3871053732280814</v>
      </c>
      <c r="H142" s="1">
        <v>6.8785936900647187</v>
      </c>
      <c r="J142" s="1">
        <v>1934</v>
      </c>
      <c r="K142" s="2">
        <v>9028.9203779089003</v>
      </c>
      <c r="L142" s="1">
        <v>8398.6368566583151</v>
      </c>
      <c r="M142" s="1">
        <v>8183.6571902754822</v>
      </c>
      <c r="N142" s="1">
        <v>7553.373669024897</v>
      </c>
      <c r="O142" s="1">
        <v>845.26318763341817</v>
      </c>
      <c r="P142" s="1">
        <v>630.28352125058495</v>
      </c>
      <c r="Q142" s="1">
        <v>7371.7973986757552</v>
      </c>
      <c r="R142" s="1">
        <v>16400.717776584657</v>
      </c>
      <c r="S142" s="1">
        <v>15770.43425533407</v>
      </c>
      <c r="U142" s="1">
        <v>1934</v>
      </c>
      <c r="V142" s="1">
        <v>1451.0539917973128</v>
      </c>
      <c r="W142" s="1">
        <v>47082.543456405772</v>
      </c>
      <c r="X142" s="1">
        <v>6.021852201417218</v>
      </c>
      <c r="Y142" s="1">
        <v>1349.759996369861</v>
      </c>
      <c r="Z142" s="1">
        <v>44748.240801117499</v>
      </c>
      <c r="AA142" s="1">
        <v>7.739636956473376</v>
      </c>
      <c r="AB142" s="1">
        <v>6222318.6931352206</v>
      </c>
      <c r="AC142" s="1">
        <v>0.34450744278356638</v>
      </c>
      <c r="AE142" s="1">
        <v>1934</v>
      </c>
      <c r="AF142" s="1">
        <v>1331.1406678629255</v>
      </c>
      <c r="AG142" s="1">
        <v>2311.3612154406142</v>
      </c>
      <c r="AH142" s="1">
        <v>664.19510502625474</v>
      </c>
      <c r="AI142" s="1">
        <v>712.2863764716933</v>
      </c>
      <c r="AJ142" s="1">
        <v>1004.4197616453596</v>
      </c>
      <c r="AK142" s="1">
        <v>648.67408266266989</v>
      </c>
      <c r="AL142" s="1">
        <v>649.04824403185398</v>
      </c>
      <c r="AM142" s="1">
        <v>1077.5114035169427</v>
      </c>
      <c r="AN142" s="2">
        <v>8398.6368566583133</v>
      </c>
      <c r="AP142" s="1" t="s">
        <v>233</v>
      </c>
      <c r="AQ142" s="1">
        <v>-4.4221471742069696</v>
      </c>
      <c r="AR142" s="1">
        <v>21.045560786319456</v>
      </c>
      <c r="AS142" s="1">
        <v>12.117357992827536</v>
      </c>
      <c r="AT142" s="1">
        <v>7.3562745069912836</v>
      </c>
      <c r="AU142" s="1">
        <v>13.676769693453991</v>
      </c>
      <c r="AV142" s="1">
        <v>1.5740918845728658</v>
      </c>
      <c r="AW142" s="1">
        <v>0.69762188527442959</v>
      </c>
      <c r="AX142" s="1">
        <v>2.6185848853295397</v>
      </c>
      <c r="AY142" s="1">
        <v>8.1108080246164178</v>
      </c>
      <c r="BA142" s="1">
        <v>1934</v>
      </c>
      <c r="BB142" s="1">
        <v>6585.6105862545728</v>
      </c>
      <c r="BC142" s="1">
        <v>868.66298418788153</v>
      </c>
      <c r="BD142" s="1">
        <v>965.41393335513783</v>
      </c>
      <c r="BE142" s="1">
        <v>264.94353913903819</v>
      </c>
      <c r="BF142" s="1">
        <v>-2.8711765113789873</v>
      </c>
      <c r="BG142" s="1">
        <v>204.91249949549095</v>
      </c>
      <c r="BH142" s="1">
        <v>1615.7981080638551</v>
      </c>
      <c r="BI142" s="1">
        <v>1473.5500960756972</v>
      </c>
      <c r="BJ142" s="1">
        <v>9028.9203779089003</v>
      </c>
      <c r="BL142" s="1" t="s">
        <v>233</v>
      </c>
      <c r="BM142" s="1">
        <v>0.82983032893002928</v>
      </c>
      <c r="BN142" s="1">
        <v>0.62898093595858029</v>
      </c>
      <c r="BO142" s="1">
        <v>44.111716574202546</v>
      </c>
      <c r="BP142" s="1">
        <v>16.767676767676761</v>
      </c>
      <c r="BQ142" s="1">
        <v>15.010351966873699</v>
      </c>
      <c r="BR142" s="1">
        <v>6.3871053732281098</v>
      </c>
      <c r="BT142" s="1" t="s">
        <v>233</v>
      </c>
      <c r="BU142" s="1">
        <v>2.4996739408802426</v>
      </c>
      <c r="BV142" s="1">
        <v>0.26219983960879745</v>
      </c>
      <c r="BW142" s="1">
        <v>0.15757270516310484</v>
      </c>
      <c r="BX142" s="1">
        <v>1.9153182385963845</v>
      </c>
      <c r="BY142" s="1">
        <v>3.529239785292404</v>
      </c>
      <c r="BZ142" s="1">
        <v>1.6913499534518337</v>
      </c>
      <c r="CB142" s="1">
        <v>1934</v>
      </c>
      <c r="CC142" s="1">
        <v>86.500495253612385</v>
      </c>
      <c r="CD142" s="1">
        <v>416.81979441627863</v>
      </c>
      <c r="CE142" s="1">
        <v>17.510059295948917</v>
      </c>
      <c r="CF142" s="1">
        <v>175.35045042877394</v>
      </c>
      <c r="CG142" s="1">
        <v>99.917755626968528</v>
      </c>
      <c r="CH142" s="1">
        <v>171.63043097408652</v>
      </c>
      <c r="CI142" s="1">
        <v>464.66980948261909</v>
      </c>
      <c r="CJ142" s="1">
        <v>1432.3987954782879</v>
      </c>
      <c r="CL142" s="1">
        <v>1934</v>
      </c>
      <c r="CM142" s="1">
        <v>84.241364158928988</v>
      </c>
      <c r="CN142" s="1">
        <v>209.15026410199488</v>
      </c>
      <c r="CO142" s="1">
        <v>14.792313798291246</v>
      </c>
      <c r="CP142" s="1">
        <v>156.38223849535956</v>
      </c>
      <c r="CQ142" s="1">
        <v>34.934821225142585</v>
      </c>
      <c r="CR142" s="1">
        <v>63.146583046164196</v>
      </c>
      <c r="CS142" s="1">
        <v>282.61560280753667</v>
      </c>
      <c r="CT142" s="2">
        <v>845.26318763341817</v>
      </c>
      <c r="CV142" s="1">
        <v>1934</v>
      </c>
      <c r="CW142" s="1">
        <v>9103.4210385050046</v>
      </c>
      <c r="CX142" s="1">
        <v>9121.7761186910993</v>
      </c>
      <c r="CY142" s="1">
        <v>1487.5413502469835</v>
      </c>
      <c r="CZ142" s="1">
        <v>394.0029391157745</v>
      </c>
      <c r="DA142" s="1">
        <v>2675.3372985961596</v>
      </c>
      <c r="DB142" s="1">
        <v>22782.07874515502</v>
      </c>
      <c r="DC142" s="1">
        <v>20841.087147343776</v>
      </c>
      <c r="DD142" s="1">
        <v>5479.9177715504602</v>
      </c>
      <c r="DF142" s="1">
        <v>1934</v>
      </c>
      <c r="DG142" s="1">
        <v>1.7662120297123636</v>
      </c>
      <c r="DH142" s="1">
        <v>1.9998438598527173</v>
      </c>
      <c r="DI142" s="1">
        <v>1.5330409729485979</v>
      </c>
      <c r="DJ142" s="1">
        <v>4.2254239473276982</v>
      </c>
      <c r="DK142" s="1">
        <v>-0.72871956686987005</v>
      </c>
      <c r="DL142" s="1">
        <v>7.6593145695316593</v>
      </c>
      <c r="DM142" s="1">
        <v>2.574569894915868</v>
      </c>
      <c r="DN142" s="1">
        <v>2.2950578972440923</v>
      </c>
      <c r="DO142" s="1">
        <v>3.9007517915368339</v>
      </c>
      <c r="DQ142" s="1">
        <v>1934</v>
      </c>
      <c r="DR142" s="1">
        <v>16820.291487137598</v>
      </c>
      <c r="DS142" s="1">
        <v>18567.253804861633</v>
      </c>
      <c r="DT142" s="1">
        <v>3020.3668440949195</v>
      </c>
      <c r="DU142" s="1">
        <v>394.0029391157745</v>
      </c>
      <c r="DV142" s="1">
        <v>2675.3372985961596</v>
      </c>
      <c r="DW142" s="1">
        <v>41477.252373806085</v>
      </c>
      <c r="DX142" s="1">
        <v>38399.588398686552</v>
      </c>
      <c r="DY142" s="1">
        <v>8379.3224109998537</v>
      </c>
      <c r="EA142" s="1">
        <v>1934</v>
      </c>
      <c r="EB142" s="1">
        <v>1.8057227426907758</v>
      </c>
      <c r="EC142" s="1">
        <v>2.0378535550735819</v>
      </c>
      <c r="ED142" s="1">
        <v>1.5954261902540168</v>
      </c>
      <c r="EE142" s="1">
        <v>3.5113969550919109</v>
      </c>
      <c r="EF142" s="1">
        <v>-0.72871956686987005</v>
      </c>
      <c r="EG142" s="1">
        <v>7.6593145695316593</v>
      </c>
      <c r="EH142" s="1">
        <v>2.2831547441408446</v>
      </c>
      <c r="EI142" s="1">
        <v>2.0700244561841856</v>
      </c>
      <c r="EJ142" s="1">
        <v>3.6545124798664119</v>
      </c>
      <c r="EL142" s="1">
        <v>1934</v>
      </c>
      <c r="EM142" s="1">
        <v>1071812.8129602461</v>
      </c>
      <c r="EN142" s="1">
        <v>751096.53329671174</v>
      </c>
      <c r="EO142" s="1">
        <v>234218.29750132511</v>
      </c>
      <c r="EP142" s="1">
        <v>143709.06693291097</v>
      </c>
      <c r="EQ142" s="1">
        <v>274634.47365131613</v>
      </c>
      <c r="ER142" s="1">
        <v>267734.94412235782</v>
      </c>
      <c r="ES142" s="1">
        <v>187183.61018128641</v>
      </c>
      <c r="ET142" s="1">
        <v>10491.640256272192</v>
      </c>
      <c r="EU142" s="1">
        <v>2940881.3789024265</v>
      </c>
      <c r="EV142" s="1">
        <v>2753697.76872114</v>
      </c>
      <c r="EX142" s="1">
        <v>1934</v>
      </c>
      <c r="EY142" s="1">
        <v>670122.00785766426</v>
      </c>
      <c r="EZ142" s="1">
        <v>650914.28127189656</v>
      </c>
      <c r="FA142" s="1">
        <v>207573.89284467674</v>
      </c>
      <c r="FB142" s="1">
        <v>129407.68764990367</v>
      </c>
      <c r="FC142" s="1">
        <v>209029.80067918773</v>
      </c>
      <c r="FD142" s="1">
        <v>238002.17178544647</v>
      </c>
      <c r="FE142" s="1">
        <v>187183.61018128641</v>
      </c>
      <c r="FF142" s="1">
        <v>7806.3471351018106</v>
      </c>
      <c r="FG142" s="1">
        <v>2300039.7994051636</v>
      </c>
      <c r="FH142" s="1">
        <v>2112856.1892238772</v>
      </c>
      <c r="FJ142" s="1">
        <v>1934</v>
      </c>
      <c r="FK142" s="1">
        <v>401690.80510258191</v>
      </c>
      <c r="FL142" s="1">
        <v>100182.25202481514</v>
      </c>
      <c r="FM142" s="1">
        <v>26644.404656648374</v>
      </c>
      <c r="FN142" s="1">
        <v>14301.379283007311</v>
      </c>
      <c r="FO142" s="1">
        <v>65604.672972128392</v>
      </c>
      <c r="FP142" s="1">
        <v>29732.772336911381</v>
      </c>
      <c r="FQ142" s="1">
        <v>2685.2931211703817</v>
      </c>
      <c r="FR142" s="1">
        <v>640841.57949726295</v>
      </c>
      <c r="FS142" s="1">
        <v>1032938.9916236959</v>
      </c>
      <c r="HC142" s="1">
        <v>1934</v>
      </c>
      <c r="HD142" s="1">
        <v>634.0926044037252</v>
      </c>
      <c r="HE142" s="1">
        <v>1449.8578886389314</v>
      </c>
      <c r="HF142" s="1">
        <v>631.13745243593712</v>
      </c>
      <c r="HG142" s="1">
        <v>492.30758260643023</v>
      </c>
      <c r="HH142" s="1">
        <v>1014.7560706594172</v>
      </c>
      <c r="HI142" s="1">
        <v>585.90166098568943</v>
      </c>
      <c r="HJ142" s="1">
        <v>17.650818382115329</v>
      </c>
      <c r="HK142" s="2">
        <v>4825.704078112245</v>
      </c>
      <c r="HL142" s="1">
        <v>4239.8024171265561</v>
      </c>
      <c r="HN142" s="1">
        <v>1934</v>
      </c>
      <c r="HO142" s="1">
        <v>478.63524914347647</v>
      </c>
      <c r="HP142" s="1">
        <v>239.87138377826298</v>
      </c>
      <c r="HQ142" s="1">
        <v>90.762429989782916</v>
      </c>
      <c r="HR142" s="1">
        <v>58.594800372287466</v>
      </c>
      <c r="HS142" s="1">
        <v>325.86877669436478</v>
      </c>
      <c r="HT142" s="1">
        <v>7.0302024539936898</v>
      </c>
      <c r="HU142" s="2">
        <v>1200.7628424321683</v>
      </c>
      <c r="HW142" s="1">
        <v>1934</v>
      </c>
      <c r="HX142" s="1">
        <v>272.16481431572379</v>
      </c>
      <c r="HY142" s="1">
        <v>621.63194302341981</v>
      </c>
      <c r="HZ142" s="1">
        <v>-57.704777399465229</v>
      </c>
      <c r="IA142" s="1">
        <v>107.63199349297565</v>
      </c>
      <c r="IB142" s="1">
        <v>312.46899695424764</v>
      </c>
      <c r="IC142" s="1">
        <v>63.146583046164537</v>
      </c>
      <c r="ID142" s="1">
        <v>1052.8303826808337</v>
      </c>
      <c r="IE142" s="2">
        <v>2372.1699361138999</v>
      </c>
      <c r="IF142" s="1">
        <v>2309.0233530677351</v>
      </c>
      <c r="IH142" s="1">
        <v>1934</v>
      </c>
      <c r="II142" s="1">
        <v>219.25397558238978</v>
      </c>
      <c r="IJ142" s="1">
        <v>35.772848774321766</v>
      </c>
      <c r="IK142" s="1">
        <v>12.016918598408081</v>
      </c>
      <c r="IL142" s="1">
        <v>239.27715750863658</v>
      </c>
      <c r="IM142" s="1">
        <v>24.411110445601793</v>
      </c>
      <c r="IN142" s="1">
        <v>8.2002506697793098</v>
      </c>
      <c r="IO142" s="1">
        <v>1.814047862867568</v>
      </c>
    </row>
    <row r="143" spans="1:249" x14ac:dyDescent="0.25">
      <c r="A143" s="1" t="s">
        <v>234</v>
      </c>
      <c r="B143" s="1">
        <v>5.5273485848628638</v>
      </c>
      <c r="C143" s="1">
        <v>5.6165930915686175</v>
      </c>
      <c r="D143" s="1">
        <v>5.6183675603446659</v>
      </c>
      <c r="E143" s="1">
        <v>5.4364080470059406</v>
      </c>
      <c r="F143" s="1">
        <v>5.5240839643854684</v>
      </c>
      <c r="G143" s="1">
        <v>6.4724940611034185</v>
      </c>
      <c r="H143" s="1">
        <v>6.7626475207865724</v>
      </c>
      <c r="J143" s="1">
        <v>1935</v>
      </c>
      <c r="K143" s="2">
        <v>9724.8243262212472</v>
      </c>
      <c r="L143" s="1">
        <v>9042.4576049672542</v>
      </c>
      <c r="M143" s="1">
        <v>8849.4910272935649</v>
      </c>
      <c r="N143" s="1">
        <v>8167.1243060395718</v>
      </c>
      <c r="O143" s="1">
        <v>875.33329892768234</v>
      </c>
      <c r="P143" s="1">
        <v>682.36672125399332</v>
      </c>
      <c r="Q143" s="1">
        <v>7915.1412695079343</v>
      </c>
      <c r="R143" s="1">
        <v>17639.965595729183</v>
      </c>
      <c r="S143" s="1">
        <v>16957.598874475188</v>
      </c>
      <c r="U143" s="1">
        <v>1935</v>
      </c>
      <c r="V143" s="1">
        <v>1558.018024632375</v>
      </c>
      <c r="W143" s="1">
        <v>49973.562117959278</v>
      </c>
      <c r="X143" s="1">
        <v>6.1403196372140201</v>
      </c>
      <c r="Y143" s="1">
        <v>1448.6957772107485</v>
      </c>
      <c r="Z143" s="1">
        <v>47074.309326462899</v>
      </c>
      <c r="AA143" s="1">
        <v>5.1981228394732995</v>
      </c>
      <c r="AB143" s="1">
        <v>6241791.9256844828</v>
      </c>
      <c r="AC143" s="1">
        <v>0.31295781379287746</v>
      </c>
      <c r="AE143" s="1">
        <v>1935</v>
      </c>
      <c r="AF143" s="1">
        <v>1456.0391632053477</v>
      </c>
      <c r="AG143" s="1">
        <v>2570.0415903524413</v>
      </c>
      <c r="AH143" s="1">
        <v>744.03171827363758</v>
      </c>
      <c r="AI143" s="1">
        <v>738.42883912169418</v>
      </c>
      <c r="AJ143" s="1">
        <v>1076.911322006255</v>
      </c>
      <c r="AK143" s="1">
        <v>658.44635429122422</v>
      </c>
      <c r="AL143" s="1">
        <v>693.55233041930649</v>
      </c>
      <c r="AM143" s="1">
        <v>1105.0062872973488</v>
      </c>
      <c r="AN143" s="2">
        <v>9042.457604967256</v>
      </c>
      <c r="AP143" s="1" t="s">
        <v>234</v>
      </c>
      <c r="AQ143" s="1">
        <v>-1.5190263723563646</v>
      </c>
      <c r="AR143" s="1">
        <v>9.8804359718397166</v>
      </c>
      <c r="AS143" s="1">
        <v>14.972869458695072</v>
      </c>
      <c r="AT143" s="1">
        <v>5.4767631069614993</v>
      </c>
      <c r="AU143" s="1">
        <v>4.9884526758473982</v>
      </c>
      <c r="AV143" s="1">
        <v>3.0789179258523092</v>
      </c>
      <c r="AW143" s="1">
        <v>3.9136733611141068</v>
      </c>
      <c r="AX143" s="1">
        <v>2.5542157028744583</v>
      </c>
      <c r="AY143" s="1">
        <v>5.5273485848628638</v>
      </c>
      <c r="BA143" s="1">
        <v>1935</v>
      </c>
      <c r="BB143" s="1">
        <v>6998.3541216648737</v>
      </c>
      <c r="BC143" s="1">
        <v>923.70953248554542</v>
      </c>
      <c r="BD143" s="1">
        <v>1192.7661004278075</v>
      </c>
      <c r="BE143" s="1">
        <v>356.8504404710132</v>
      </c>
      <c r="BF143" s="1">
        <v>11.000402691794003</v>
      </c>
      <c r="BG143" s="1">
        <v>295.23514499692192</v>
      </c>
      <c r="BH143" s="1">
        <v>1613.5445542171831</v>
      </c>
      <c r="BI143" s="1">
        <v>1666.6359707338918</v>
      </c>
      <c r="BJ143" s="1">
        <v>9724.8243262212454</v>
      </c>
      <c r="BL143" s="1" t="s">
        <v>234</v>
      </c>
      <c r="BM143" s="1">
        <v>3.8593150125384028</v>
      </c>
      <c r="BN143" s="1">
        <v>3.8292094437880166</v>
      </c>
      <c r="BO143" s="1">
        <v>28.87952375317613</v>
      </c>
      <c r="BP143" s="1">
        <v>1.9896193771626258</v>
      </c>
      <c r="BQ143" s="1">
        <v>9.9909990999099705</v>
      </c>
      <c r="BR143" s="1">
        <v>6.4724940611033759</v>
      </c>
      <c r="BT143" s="1" t="s">
        <v>234</v>
      </c>
      <c r="BU143" s="1">
        <v>2.318558611781782</v>
      </c>
      <c r="BV143" s="1">
        <v>2.4152342282146293</v>
      </c>
      <c r="BW143" s="1">
        <v>0.52995549330626091</v>
      </c>
      <c r="BX143" s="1">
        <v>-2.0875549924705012</v>
      </c>
      <c r="BY143" s="1">
        <v>2.8297307974490593</v>
      </c>
      <c r="BZ143" s="1">
        <v>1.159928632309601</v>
      </c>
      <c r="CB143" s="1">
        <v>1935</v>
      </c>
      <c r="CC143" s="1">
        <v>116.74849594857744</v>
      </c>
      <c r="CD143" s="1">
        <v>545.8180108277993</v>
      </c>
      <c r="CE143" s="1">
        <v>17.918968500568159</v>
      </c>
      <c r="CF143" s="1">
        <v>208.3762603485516</v>
      </c>
      <c r="CG143" s="1">
        <v>126.69059241490791</v>
      </c>
      <c r="CH143" s="1">
        <v>180.73704680652509</v>
      </c>
      <c r="CI143" s="1">
        <v>659.56271374060736</v>
      </c>
      <c r="CJ143" s="1">
        <v>1855.8520885875369</v>
      </c>
      <c r="CL143" s="1">
        <v>1935</v>
      </c>
      <c r="CM143" s="1">
        <v>84.861424083884387</v>
      </c>
      <c r="CN143" s="1">
        <v>216.89848611757918</v>
      </c>
      <c r="CO143" s="1">
        <v>15.058504639233256</v>
      </c>
      <c r="CP143" s="1">
        <v>162.50870153324638</v>
      </c>
      <c r="CQ143" s="1">
        <v>36.155058854280895</v>
      </c>
      <c r="CR143" s="1">
        <v>67.225457077501886</v>
      </c>
      <c r="CS143" s="1">
        <v>292.62566662195633</v>
      </c>
      <c r="CT143" s="2">
        <v>875.33329892768234</v>
      </c>
      <c r="CV143" s="1">
        <v>1935</v>
      </c>
      <c r="CW143" s="1">
        <v>9298.1034383277074</v>
      </c>
      <c r="CX143" s="1">
        <v>9273.455768916232</v>
      </c>
      <c r="CY143" s="1">
        <v>1538.9041574847961</v>
      </c>
      <c r="CZ143" s="1">
        <v>478.93685216864753</v>
      </c>
      <c r="DA143" s="1">
        <v>2939.1917922197435</v>
      </c>
      <c r="DB143" s="1">
        <v>23528.592009117125</v>
      </c>
      <c r="DC143" s="1">
        <v>21477.784858684317</v>
      </c>
      <c r="DD143" s="1">
        <v>5724.3073805898948</v>
      </c>
      <c r="DF143" s="1">
        <v>1935</v>
      </c>
      <c r="DG143" s="1">
        <v>2.8694489483544601</v>
      </c>
      <c r="DH143" s="1">
        <v>3.9463644339135016</v>
      </c>
      <c r="DI143" s="1">
        <v>1.789700873565053</v>
      </c>
      <c r="DJ143" s="1">
        <v>9.2251675740951953</v>
      </c>
      <c r="DK143" s="1">
        <v>2.2968378069016211</v>
      </c>
      <c r="DL143" s="1">
        <v>10.044773048782687</v>
      </c>
      <c r="DM143" s="1">
        <v>4.1833964851411025</v>
      </c>
      <c r="DN143" s="1">
        <v>4.0542331067148041</v>
      </c>
      <c r="DO143" s="1">
        <v>5.9506363235437334</v>
      </c>
      <c r="DQ143" s="1">
        <v>1935</v>
      </c>
      <c r="DR143" s="1">
        <v>17186.40606445193</v>
      </c>
      <c r="DS143" s="1">
        <v>18887.941442414587</v>
      </c>
      <c r="DT143" s="1">
        <v>3102.6862850757893</v>
      </c>
      <c r="DU143" s="1">
        <v>478.93685216864753</v>
      </c>
      <c r="DV143" s="1">
        <v>2939.1917922197435</v>
      </c>
      <c r="DW143" s="1">
        <v>42595.162436330698</v>
      </c>
      <c r="DX143" s="1">
        <v>39363.175795117008</v>
      </c>
      <c r="DY143" s="1">
        <v>8703.2922251874534</v>
      </c>
      <c r="EA143" s="1">
        <v>1935</v>
      </c>
      <c r="EB143" s="1">
        <v>2.384054896336508</v>
      </c>
      <c r="EC143" s="1">
        <v>3.117690419318663</v>
      </c>
      <c r="ED143" s="1">
        <v>1.7165237059440415</v>
      </c>
      <c r="EE143" s="1">
        <v>6.2517689564840282</v>
      </c>
      <c r="EF143" s="1">
        <v>2.2968378069016211</v>
      </c>
      <c r="EG143" s="1">
        <v>10.044773048782687</v>
      </c>
      <c r="EH143" s="1">
        <v>3.2027838671025535</v>
      </c>
      <c r="EI143" s="1">
        <v>3.0578261929516515</v>
      </c>
      <c r="EJ143" s="1">
        <v>5.0227346497432137</v>
      </c>
      <c r="EL143" s="1">
        <v>1935</v>
      </c>
      <c r="EM143" s="1">
        <v>1072600.8614642592</v>
      </c>
      <c r="EN143" s="1">
        <v>793025.34751844837</v>
      </c>
      <c r="EO143" s="1">
        <v>233340.70408916156</v>
      </c>
      <c r="EP143" s="1">
        <v>147760.19004163958</v>
      </c>
      <c r="EQ143" s="1">
        <v>280838.87196671666</v>
      </c>
      <c r="ER143" s="1">
        <v>271344.92025499803</v>
      </c>
      <c r="ES143" s="1">
        <v>193994.7097070512</v>
      </c>
      <c r="ET143" s="1">
        <v>12497.750020435233</v>
      </c>
      <c r="EU143" s="1">
        <v>3005403.3550627097</v>
      </c>
      <c r="EV143" s="1">
        <v>2811408.6453556581</v>
      </c>
      <c r="EX143" s="1">
        <v>1935</v>
      </c>
      <c r="EY143" s="1">
        <v>659871.80618987558</v>
      </c>
      <c r="EZ143" s="1">
        <v>691891.56799814652</v>
      </c>
      <c r="FA143" s="1">
        <v>205659.97744539296</v>
      </c>
      <c r="FB143" s="1">
        <v>132519.30409040549</v>
      </c>
      <c r="FC143" s="1">
        <v>214979.42321715984</v>
      </c>
      <c r="FD143" s="1">
        <v>240799.66904682151</v>
      </c>
      <c r="FE143" s="1">
        <v>193994.7097070512</v>
      </c>
      <c r="FF143" s="1">
        <v>9196.6196124811922</v>
      </c>
      <c r="FG143" s="1">
        <v>2348913.0773073342</v>
      </c>
      <c r="FH143" s="1">
        <v>2154918.3676002831</v>
      </c>
      <c r="FJ143" s="1">
        <v>1935</v>
      </c>
      <c r="FK143" s="1">
        <v>412729.05527438375</v>
      </c>
      <c r="FL143" s="1">
        <v>101133.77952030185</v>
      </c>
      <c r="FM143" s="1">
        <v>27680.726643768612</v>
      </c>
      <c r="FN143" s="1">
        <v>15240.88595123407</v>
      </c>
      <c r="FO143" s="1">
        <v>65859.448749556846</v>
      </c>
      <c r="FP143" s="1">
        <v>30545.251208176531</v>
      </c>
      <c r="FQ143" s="1">
        <v>3301.13040795404</v>
      </c>
      <c r="FR143" s="1">
        <v>656490.27775537549</v>
      </c>
      <c r="FS143" s="1">
        <v>1052651.7030038149</v>
      </c>
      <c r="HC143" s="1">
        <v>1935</v>
      </c>
      <c r="HD143" s="1">
        <v>634.54624931003013</v>
      </c>
      <c r="HE143" s="1">
        <v>1583.1704366770898</v>
      </c>
      <c r="HF143" s="1">
        <v>668.8465372460181</v>
      </c>
      <c r="HG143" s="1">
        <v>502.05624760853777</v>
      </c>
      <c r="HH143" s="1">
        <v>1048.4649775543542</v>
      </c>
      <c r="HI143" s="1">
        <v>626.3268733418048</v>
      </c>
      <c r="HJ143" s="1">
        <v>20.749547247236205</v>
      </c>
      <c r="HK143" s="2">
        <v>5084.1608689850709</v>
      </c>
      <c r="HL143" s="1">
        <v>4457.8339956432665</v>
      </c>
      <c r="HN143" s="1">
        <v>1935</v>
      </c>
      <c r="HO143" s="1">
        <v>499.78444289418076</v>
      </c>
      <c r="HP143" s="1">
        <v>248.75503848718438</v>
      </c>
      <c r="HQ143" s="1">
        <v>100.85630596825035</v>
      </c>
      <c r="HR143" s="1">
        <v>62.18535944081448</v>
      </c>
      <c r="HS143" s="1">
        <v>331.98816426645465</v>
      </c>
      <c r="HT143" s="1">
        <v>8.6238705376512161</v>
      </c>
      <c r="HU143" s="2">
        <v>1252.1931815945359</v>
      </c>
      <c r="HW143" s="1">
        <v>1935</v>
      </c>
      <c r="HX143" s="1">
        <v>372.41347100113671</v>
      </c>
      <c r="HY143" s="1">
        <v>738.11611518816699</v>
      </c>
      <c r="HZ143" s="1">
        <v>-25.671124940630875</v>
      </c>
      <c r="IA143" s="1">
        <v>123.48223207234196</v>
      </c>
      <c r="IB143" s="1">
        <v>354.90453447667028</v>
      </c>
      <c r="IC143" s="1">
        <v>67.225457077501716</v>
      </c>
      <c r="ID143" s="1">
        <v>1075.6328695124614</v>
      </c>
      <c r="IE143" s="2">
        <v>2706.1035543876483</v>
      </c>
      <c r="IF143" s="1">
        <v>2638.8780973101466</v>
      </c>
      <c r="IH143" s="1">
        <v>1935</v>
      </c>
      <c r="II143" s="1">
        <v>205.903346997364</v>
      </c>
      <c r="IJ143" s="1">
        <v>39.321543817025585</v>
      </c>
      <c r="IK143" s="1">
        <v>13.707203992574232</v>
      </c>
      <c r="IL143" s="1">
        <v>223.32695645922334</v>
      </c>
      <c r="IM143" s="1">
        <v>28.4519013538937</v>
      </c>
      <c r="IN143" s="1">
        <v>9.9181257391414537</v>
      </c>
      <c r="IO143" s="1">
        <v>0.39997030693892555</v>
      </c>
    </row>
    <row r="144" spans="1:249" x14ac:dyDescent="0.25">
      <c r="A144" s="1" t="s">
        <v>235</v>
      </c>
      <c r="B144" s="1">
        <v>4.9442772649367299</v>
      </c>
      <c r="C144" s="1">
        <v>5.0563663381722819</v>
      </c>
      <c r="D144" s="1">
        <v>5.0088480438058554</v>
      </c>
      <c r="E144" s="1">
        <v>4.8797461911549362</v>
      </c>
      <c r="F144" s="1">
        <v>4.9471133661210303</v>
      </c>
      <c r="G144" s="1">
        <v>6.0356254106017388</v>
      </c>
      <c r="H144" s="1">
        <v>6.1894489294345192</v>
      </c>
      <c r="J144" s="1">
        <v>1936</v>
      </c>
      <c r="K144" s="2">
        <v>10366.04827840287</v>
      </c>
      <c r="L144" s="1">
        <v>9638.8762021244056</v>
      </c>
      <c r="M144" s="1">
        <v>9462.6088177566053</v>
      </c>
      <c r="N144" s="1">
        <v>8735.4367414781409</v>
      </c>
      <c r="O144" s="1">
        <v>903.43946064626425</v>
      </c>
      <c r="P144" s="1">
        <v>727.1720762784646</v>
      </c>
      <c r="Q144" s="1">
        <v>8528.5365686423102</v>
      </c>
      <c r="R144" s="1">
        <v>18894.584847045182</v>
      </c>
      <c r="S144" s="1">
        <v>18167.412770766714</v>
      </c>
      <c r="U144" s="1">
        <v>1936</v>
      </c>
      <c r="V144" s="1">
        <v>1656.2644198759922</v>
      </c>
      <c r="W144" s="1">
        <v>52846.696170704883</v>
      </c>
      <c r="X144" s="1">
        <v>5.7493080960764047</v>
      </c>
      <c r="Y144" s="1">
        <v>1540.0784631139873</v>
      </c>
      <c r="Z144" s="1">
        <v>49268.399014602976</v>
      </c>
      <c r="AA144" s="1">
        <v>4.6609068078385292</v>
      </c>
      <c r="AB144" s="1">
        <v>6258691.6400576886</v>
      </c>
      <c r="AC144" s="1">
        <v>0.27075100507059346</v>
      </c>
      <c r="AE144" s="1">
        <v>1936</v>
      </c>
      <c r="AF144" s="1">
        <v>1585.1989355688395</v>
      </c>
      <c r="AG144" s="1">
        <v>2787.3999396217641</v>
      </c>
      <c r="AH144" s="1">
        <v>839.95530432210683</v>
      </c>
      <c r="AI144" s="1">
        <v>769.61340319879878</v>
      </c>
      <c r="AJ144" s="1">
        <v>1104.0660033554775</v>
      </c>
      <c r="AK144" s="1">
        <v>679.92618939230101</v>
      </c>
      <c r="AL144" s="1">
        <v>712.80162006059231</v>
      </c>
      <c r="AM144" s="1">
        <v>1159.9148066045259</v>
      </c>
      <c r="AN144" s="2">
        <v>9638.8762021244056</v>
      </c>
      <c r="AP144" s="1" t="s">
        <v>235</v>
      </c>
      <c r="AQ144" s="1">
        <v>-0.5293204760948953</v>
      </c>
      <c r="AR144" s="1">
        <v>7.9477483380482283</v>
      </c>
      <c r="AS144" s="1">
        <v>12.121682048203468</v>
      </c>
      <c r="AT144" s="1">
        <v>5.4599733528678343</v>
      </c>
      <c r="AU144" s="1">
        <v>3.2748680339296641</v>
      </c>
      <c r="AV144" s="1">
        <v>2.4843816978866045</v>
      </c>
      <c r="AW144" s="1">
        <v>4.1609947088551991</v>
      </c>
      <c r="AX144" s="1">
        <v>3.8790319642179014</v>
      </c>
      <c r="AY144" s="1">
        <v>4.9442772649367299</v>
      </c>
      <c r="BA144" s="1">
        <v>1936</v>
      </c>
      <c r="BB144" s="1">
        <v>7427.0756767855928</v>
      </c>
      <c r="BC144" s="1">
        <v>968.34751941406557</v>
      </c>
      <c r="BD144" s="1">
        <v>1335.41774509221</v>
      </c>
      <c r="BE144" s="1">
        <v>394.88861993576035</v>
      </c>
      <c r="BF144" s="1">
        <v>15.61493895541596</v>
      </c>
      <c r="BG144" s="1">
        <v>197.04095368636695</v>
      </c>
      <c r="BH144" s="1">
        <v>1871.576469661132</v>
      </c>
      <c r="BI144" s="1">
        <v>1843.9136451276731</v>
      </c>
      <c r="BJ144" s="1">
        <v>10366.04827840287</v>
      </c>
      <c r="BL144" s="1" t="s">
        <v>235</v>
      </c>
      <c r="BM144" s="1">
        <v>4.6068921533026383</v>
      </c>
      <c r="BN144" s="1">
        <v>5.4055309842267576</v>
      </c>
      <c r="BO144" s="1">
        <v>5.422452117380189</v>
      </c>
      <c r="BP144" s="1">
        <v>14.334181509754032</v>
      </c>
      <c r="BQ144" s="1">
        <v>7.0376432078560072</v>
      </c>
      <c r="BR144" s="1">
        <v>6.0356254106017673</v>
      </c>
      <c r="BT144" s="1" t="s">
        <v>235</v>
      </c>
      <c r="BU144" s="1">
        <v>1.4522388025093704</v>
      </c>
      <c r="BV144" s="1">
        <v>-0.54367250292560243</v>
      </c>
      <c r="BW144" s="1">
        <v>-0.69116417018952347</v>
      </c>
      <c r="BX144" s="1">
        <v>1.4496439998010828</v>
      </c>
      <c r="BY144" s="1">
        <v>3.362567647083182</v>
      </c>
      <c r="BZ144" s="1">
        <v>0.52629122215854807</v>
      </c>
      <c r="CB144" s="1">
        <v>1936</v>
      </c>
      <c r="CC144" s="1">
        <v>122.34372893349375</v>
      </c>
      <c r="CD144" s="1">
        <v>575.86434375659871</v>
      </c>
      <c r="CE144" s="1">
        <v>21.047992174099541</v>
      </c>
      <c r="CF144" s="1">
        <v>225.65139153561</v>
      </c>
      <c r="CG144" s="1">
        <v>118.97302264439918</v>
      </c>
      <c r="CH144" s="1">
        <v>171.70548369247084</v>
      </c>
      <c r="CI144" s="1">
        <v>707.37629493308111</v>
      </c>
      <c r="CJ144" s="1">
        <v>1942.9622576697529</v>
      </c>
      <c r="CL144" s="1">
        <v>1936</v>
      </c>
      <c r="CM144" s="1">
        <v>85.670570794304325</v>
      </c>
      <c r="CN144" s="1">
        <v>228.35076510078045</v>
      </c>
      <c r="CO144" s="1">
        <v>14.391748863240306</v>
      </c>
      <c r="CP144" s="1">
        <v>169.0106594151091</v>
      </c>
      <c r="CQ144" s="1">
        <v>38.551408622870696</v>
      </c>
      <c r="CR144" s="1">
        <v>69.806578200357464</v>
      </c>
      <c r="CS144" s="1">
        <v>297.657729649602</v>
      </c>
      <c r="CT144" s="2">
        <v>903.43946064626425</v>
      </c>
      <c r="CV144" s="1">
        <v>1936</v>
      </c>
      <c r="CW144" s="1">
        <v>9481.2330928420924</v>
      </c>
      <c r="CX144" s="1">
        <v>9260.4243252527667</v>
      </c>
      <c r="CY144" s="1">
        <v>1695.3117243289744</v>
      </c>
      <c r="CZ144" s="1">
        <v>514.43411760346362</v>
      </c>
      <c r="DA144" s="1">
        <v>3262.7540461048047</v>
      </c>
      <c r="DB144" s="1">
        <v>24214.157306132103</v>
      </c>
      <c r="DC144" s="1">
        <v>22089.072804524327</v>
      </c>
      <c r="DD144" s="1">
        <v>6024.3230189282513</v>
      </c>
      <c r="DF144" s="1">
        <v>1936</v>
      </c>
      <c r="DG144" s="1">
        <v>3.5676779781327497</v>
      </c>
      <c r="DH144" s="1">
        <v>4.3213637010232304</v>
      </c>
      <c r="DI144" s="1">
        <v>2.7959257465777654</v>
      </c>
      <c r="DJ144" s="1">
        <v>9.3361329950667056</v>
      </c>
      <c r="DK144" s="1">
        <v>3.0353622400006515</v>
      </c>
      <c r="DL144" s="1">
        <v>6.0390992058258774</v>
      </c>
      <c r="DM144" s="1">
        <v>4.2978140062269574</v>
      </c>
      <c r="DN144" s="1">
        <v>4.2485858925270179</v>
      </c>
      <c r="DO144" s="1">
        <v>6.0504442377148138</v>
      </c>
      <c r="DQ144" s="1">
        <v>1936</v>
      </c>
      <c r="DR144" s="1">
        <v>17385.188028899327</v>
      </c>
      <c r="DS144" s="1">
        <v>18847.598062914185</v>
      </c>
      <c r="DT144" s="1">
        <v>3323.6221138239407</v>
      </c>
      <c r="DU144" s="1">
        <v>514.43411760346362</v>
      </c>
      <c r="DV144" s="1">
        <v>3262.7540461048047</v>
      </c>
      <c r="DW144" s="1">
        <v>43333.596369345723</v>
      </c>
      <c r="DX144" s="1">
        <v>40002.45622140279</v>
      </c>
      <c r="DY144" s="1">
        <v>9051.0163070597282</v>
      </c>
      <c r="EA144" s="1">
        <v>1936</v>
      </c>
      <c r="EB144" s="1">
        <v>2.7709391300946322</v>
      </c>
      <c r="EC144" s="1">
        <v>3.362353523482156</v>
      </c>
      <c r="ED144" s="1">
        <v>2.2253614914151711</v>
      </c>
      <c r="EE144" s="1">
        <v>6.6554467231873673</v>
      </c>
      <c r="EF144" s="1">
        <v>3.0353622400006515</v>
      </c>
      <c r="EG144" s="1">
        <v>6.0390992058258774</v>
      </c>
      <c r="EH144" s="1">
        <v>3.3198527334991752</v>
      </c>
      <c r="EI144" s="1">
        <v>3.2184820599767221</v>
      </c>
      <c r="EJ144" s="1">
        <v>5.1685697700961271</v>
      </c>
      <c r="EL144" s="1">
        <v>1936</v>
      </c>
      <c r="EM144" s="1">
        <v>1069276.2576393569</v>
      </c>
      <c r="EN144" s="1">
        <v>827929.43893863761</v>
      </c>
      <c r="EO144" s="1">
        <v>228562.84616536388</v>
      </c>
      <c r="EP144" s="1">
        <v>155183.48606905228</v>
      </c>
      <c r="EQ144" s="1">
        <v>287418.5552982951</v>
      </c>
      <c r="ER144" s="1">
        <v>274351.89120234078</v>
      </c>
      <c r="ES144" s="1">
        <v>201778.82345078242</v>
      </c>
      <c r="ET144" s="1">
        <v>13866.733404061082</v>
      </c>
      <c r="EU144" s="1">
        <v>3058368.0321678896</v>
      </c>
      <c r="EV144" s="1">
        <v>2856589.2087171082</v>
      </c>
      <c r="EX144" s="1">
        <v>1936</v>
      </c>
      <c r="EY144" s="1">
        <v>645762.70507068408</v>
      </c>
      <c r="EZ144" s="1">
        <v>726115.99692155956</v>
      </c>
      <c r="FA144" s="1">
        <v>199614.67536075172</v>
      </c>
      <c r="FB144" s="1">
        <v>138689.92456018252</v>
      </c>
      <c r="FC144" s="1">
        <v>221270.69315689584</v>
      </c>
      <c r="FD144" s="1">
        <v>243322.06318579198</v>
      </c>
      <c r="FE144" s="1">
        <v>201778.82345078242</v>
      </c>
      <c r="FF144" s="1">
        <v>9972.6221035684212</v>
      </c>
      <c r="FG144" s="1">
        <v>2386527.5038102167</v>
      </c>
      <c r="FH144" s="1">
        <v>2184748.6803594343</v>
      </c>
      <c r="FJ144" s="1">
        <v>1936</v>
      </c>
      <c r="FK144" s="1">
        <v>423513.55256867287</v>
      </c>
      <c r="FL144" s="1">
        <v>101813.44201707806</v>
      </c>
      <c r="FM144" s="1">
        <v>28948.170804612164</v>
      </c>
      <c r="FN144" s="1">
        <v>16493.561508869749</v>
      </c>
      <c r="FO144" s="1">
        <v>66147.862141399251</v>
      </c>
      <c r="FP144" s="1">
        <v>31029.828016548803</v>
      </c>
      <c r="FQ144" s="1">
        <v>3894.1113004926606</v>
      </c>
      <c r="FR144" s="1">
        <v>671840.52835767367</v>
      </c>
      <c r="FS144" s="1">
        <v>1072740.6137462456</v>
      </c>
      <c r="HC144" s="1">
        <v>1936</v>
      </c>
      <c r="HD144" s="1">
        <v>666.35480039402864</v>
      </c>
      <c r="HE144" s="1">
        <v>1684.8830315040414</v>
      </c>
      <c r="HF144" s="1">
        <v>649.83521656959681</v>
      </c>
      <c r="HG144" s="1">
        <v>535.49294998264133</v>
      </c>
      <c r="HH144" s="1">
        <v>1080.8911619217465</v>
      </c>
      <c r="HI144" s="1">
        <v>642.99504186023455</v>
      </c>
      <c r="HJ144" s="1">
        <v>23.986799143185191</v>
      </c>
      <c r="HK144" s="2">
        <v>5284.4390013754746</v>
      </c>
      <c r="HL144" s="1">
        <v>4641.4439595152398</v>
      </c>
      <c r="HN144" s="1">
        <v>1936</v>
      </c>
      <c r="HO144" s="1">
        <v>550.31818657007034</v>
      </c>
      <c r="HP144" s="1">
        <v>253.95389985313915</v>
      </c>
      <c r="HQ144" s="1">
        <v>105.57978535295911</v>
      </c>
      <c r="HR144" s="1">
        <v>68.584818940046958</v>
      </c>
      <c r="HS144" s="1">
        <v>333.24280929060762</v>
      </c>
      <c r="HT144" s="1">
        <v>10.845022123615571</v>
      </c>
      <c r="HU144" s="2">
        <v>1322.5245221304388</v>
      </c>
      <c r="HW144" s="1">
        <v>1936</v>
      </c>
      <c r="HX144" s="1">
        <v>417.4439486047404</v>
      </c>
      <c r="HY144" s="1">
        <v>848.56300826458346</v>
      </c>
      <c r="HZ144" s="1">
        <v>84.540302399550797</v>
      </c>
      <c r="IA144" s="1">
        <v>116.61763427611049</v>
      </c>
      <c r="IB144" s="1">
        <v>369.85822153542392</v>
      </c>
      <c r="IC144" s="1">
        <v>69.806578200357805</v>
      </c>
      <c r="ID144" s="1">
        <v>1125.0829853377252</v>
      </c>
      <c r="IE144" s="2">
        <v>3031.9126786184925</v>
      </c>
      <c r="IF144" s="1">
        <v>2962.1061004181347</v>
      </c>
      <c r="IH144" s="1">
        <v>1936</v>
      </c>
      <c r="II144" s="1">
        <v>199.84628153999037</v>
      </c>
      <c r="IJ144" s="1">
        <v>42.806677756179546</v>
      </c>
      <c r="IK144" s="1">
        <v>14.999159919906377</v>
      </c>
      <c r="IL144" s="1">
        <v>216.22566433829914</v>
      </c>
      <c r="IM144" s="1">
        <v>31.988881227347786</v>
      </c>
      <c r="IN144" s="1">
        <v>11.208679821423797</v>
      </c>
      <c r="IO144" s="1">
        <v>-4.3168071554234189E-2</v>
      </c>
    </row>
    <row r="145" spans="1:249" x14ac:dyDescent="0.25">
      <c r="A145" s="1" t="s">
        <v>236</v>
      </c>
      <c r="B145" s="1">
        <v>4.400759198472997</v>
      </c>
      <c r="C145" s="1">
        <v>4.3504911273838189</v>
      </c>
      <c r="D145" s="1">
        <v>4.5388414494706097</v>
      </c>
      <c r="E145" s="1">
        <v>4.2628593362198757</v>
      </c>
      <c r="F145" s="1">
        <v>4.9214790623869078</v>
      </c>
      <c r="G145" s="1">
        <v>2.508573805212805</v>
      </c>
      <c r="H145" s="1">
        <v>2.2883461032611478</v>
      </c>
      <c r="J145" s="1">
        <v>1937</v>
      </c>
      <c r="K145" s="2">
        <v>11352.028024732761</v>
      </c>
      <c r="L145" s="1">
        <v>10544.110351050289</v>
      </c>
      <c r="M145" s="1">
        <v>10311.10798998165</v>
      </c>
      <c r="N145" s="1">
        <v>9503.1903162991784</v>
      </c>
      <c r="O145" s="1">
        <v>1040.9200347511103</v>
      </c>
      <c r="P145" s="1">
        <v>807.91767368247247</v>
      </c>
      <c r="Q145" s="1">
        <v>10091.65761880086</v>
      </c>
      <c r="R145" s="1">
        <v>21443.685643533623</v>
      </c>
      <c r="S145" s="1">
        <v>20635.767969851149</v>
      </c>
      <c r="U145" s="1">
        <v>1937</v>
      </c>
      <c r="V145" s="1">
        <v>1808.8579048629624</v>
      </c>
      <c r="W145" s="1">
        <v>54024.727523895366</v>
      </c>
      <c r="X145" s="1">
        <v>2.2291485344423876</v>
      </c>
      <c r="Y145" s="1">
        <v>1680.1224694557336</v>
      </c>
      <c r="Z145" s="1">
        <v>51296.37306597695</v>
      </c>
      <c r="AA145" s="1">
        <v>4.1161760721571028</v>
      </c>
      <c r="AB145" s="1">
        <v>6275798.6651211176</v>
      </c>
      <c r="AC145" s="1">
        <v>0.27333228807660248</v>
      </c>
      <c r="AE145" s="1">
        <v>1937</v>
      </c>
      <c r="AF145" s="1">
        <v>1726.8138438102164</v>
      </c>
      <c r="AG145" s="1">
        <v>3249.2941199713841</v>
      </c>
      <c r="AH145" s="1">
        <v>804.15512862749051</v>
      </c>
      <c r="AI145" s="1">
        <v>837.15969803468886</v>
      </c>
      <c r="AJ145" s="1">
        <v>1215.5583208838523</v>
      </c>
      <c r="AK145" s="1">
        <v>713.35436894323175</v>
      </c>
      <c r="AL145" s="1">
        <v>765.36352688312866</v>
      </c>
      <c r="AM145" s="1">
        <v>1232.4113438962952</v>
      </c>
      <c r="AN145" s="2">
        <v>10544.110351050289</v>
      </c>
      <c r="AP145" s="1" t="s">
        <v>236</v>
      </c>
      <c r="AQ145" s="1">
        <v>4.6558521263864208</v>
      </c>
      <c r="AR145" s="1">
        <v>7.3206426867113947</v>
      </c>
      <c r="AS145" s="1">
        <v>-5.1539547429742072</v>
      </c>
      <c r="AT145" s="1">
        <v>5.6537364942947903</v>
      </c>
      <c r="AU145" s="1">
        <v>3.5192084781747752</v>
      </c>
      <c r="AV145" s="1">
        <v>2.2984630686639207</v>
      </c>
      <c r="AW145" s="1">
        <v>3.9287161919612856</v>
      </c>
      <c r="AX145" s="1">
        <v>5.2443503015160502</v>
      </c>
      <c r="AY145" s="1">
        <v>4.400759198472997</v>
      </c>
      <c r="BA145" s="1">
        <v>1937</v>
      </c>
      <c r="BB145" s="1">
        <v>8040.5995567997252</v>
      </c>
      <c r="BC145" s="1">
        <v>1070.5882231147079</v>
      </c>
      <c r="BD145" s="1">
        <v>1422.8617610027236</v>
      </c>
      <c r="BE145" s="1">
        <v>526.3626477435464</v>
      </c>
      <c r="BF145" s="1">
        <v>14.623514259833994</v>
      </c>
      <c r="BG145" s="1">
        <v>213.31217562850196</v>
      </c>
      <c r="BH145" s="1">
        <v>2460.8808005658711</v>
      </c>
      <c r="BI145" s="1">
        <v>2397.2006543821494</v>
      </c>
      <c r="BJ145" s="1">
        <v>11352.028024732759</v>
      </c>
      <c r="BL145" s="1" t="s">
        <v>236</v>
      </c>
      <c r="BM145" s="1">
        <v>2.6998699441780332</v>
      </c>
      <c r="BN145" s="1">
        <v>6.2602432794779901</v>
      </c>
      <c r="BO145" s="1">
        <v>2.4773524105594902</v>
      </c>
      <c r="BP145" s="1">
        <v>4.9703264094955273</v>
      </c>
      <c r="BQ145" s="1">
        <v>7.5688073394495348</v>
      </c>
      <c r="BR145" s="1">
        <v>2.5085738052128335</v>
      </c>
      <c r="BT145" s="1" t="s">
        <v>236</v>
      </c>
      <c r="BU145" s="1">
        <v>5.4145819816884</v>
      </c>
      <c r="BV145" s="1">
        <v>4.0448075941222186</v>
      </c>
      <c r="BW145" s="1">
        <v>9.3447926404918462</v>
      </c>
      <c r="BX145" s="1">
        <v>25.261167120151981</v>
      </c>
      <c r="BY145" s="1">
        <v>20.858571284945242</v>
      </c>
      <c r="BZ145" s="1">
        <v>6.8316746246848794</v>
      </c>
      <c r="CB145" s="1">
        <v>1937</v>
      </c>
      <c r="CC145" s="1">
        <v>149.86700516807517</v>
      </c>
      <c r="CD145" s="1">
        <v>617.39795091788619</v>
      </c>
      <c r="CE145" s="1">
        <v>31.004617916583637</v>
      </c>
      <c r="CF145" s="1">
        <v>295.63246527553548</v>
      </c>
      <c r="CG145" s="1">
        <v>138.89807000552074</v>
      </c>
      <c r="CH145" s="1">
        <v>164.83799545894973</v>
      </c>
      <c r="CI145" s="1">
        <v>779.52199389205498</v>
      </c>
      <c r="CJ145" s="1">
        <v>2177.1600986346057</v>
      </c>
      <c r="CL145" s="1">
        <v>1937</v>
      </c>
      <c r="CM145" s="1">
        <v>97.269037696724169</v>
      </c>
      <c r="CN145" s="1">
        <v>267.36752682308656</v>
      </c>
      <c r="CO145" s="1">
        <v>16.835319924335355</v>
      </c>
      <c r="CP145" s="1">
        <v>195.86937321006531</v>
      </c>
      <c r="CQ145" s="1">
        <v>46.158025776866083</v>
      </c>
      <c r="CR145" s="1">
        <v>80.602193657991009</v>
      </c>
      <c r="CS145" s="1">
        <v>336.81855766204177</v>
      </c>
      <c r="CT145" s="2">
        <v>1040.9200347511103</v>
      </c>
      <c r="CV145" s="1">
        <v>1937</v>
      </c>
      <c r="CW145" s="1">
        <v>10806.462036852456</v>
      </c>
      <c r="CX145" s="1">
        <v>10397.859783397769</v>
      </c>
      <c r="CY145" s="1">
        <v>2074.9358259827659</v>
      </c>
      <c r="CZ145" s="1">
        <v>496.39514820593496</v>
      </c>
      <c r="DA145" s="1">
        <v>3724.3960223674489</v>
      </c>
      <c r="DB145" s="1">
        <v>27500.048816806371</v>
      </c>
      <c r="DC145" s="1">
        <v>25059.204691360286</v>
      </c>
      <c r="DD145" s="1">
        <v>6953.0906220200795</v>
      </c>
      <c r="DF145" s="1">
        <v>1937</v>
      </c>
      <c r="DG145" s="1">
        <v>3.1797997160698941</v>
      </c>
      <c r="DH145" s="1">
        <v>4.0966547119704444</v>
      </c>
      <c r="DI145" s="1">
        <v>2.226813822039901</v>
      </c>
      <c r="DJ145" s="1">
        <v>11.287279179658995</v>
      </c>
      <c r="DK145" s="1">
        <v>2.9459422221764555</v>
      </c>
      <c r="DL145" s="1">
        <v>5.7274300140860817</v>
      </c>
      <c r="DM145" s="1">
        <v>4.1157536664856025</v>
      </c>
      <c r="DN145" s="1">
        <v>4.1805999309279827</v>
      </c>
      <c r="DO145" s="1">
        <v>5.1726251374143146</v>
      </c>
      <c r="DQ145" s="1">
        <v>1937</v>
      </c>
      <c r="DR145" s="1">
        <v>19633.02567350768</v>
      </c>
      <c r="DS145" s="1">
        <v>21046.345054362617</v>
      </c>
      <c r="DT145" s="1">
        <v>3964.0958731520145</v>
      </c>
      <c r="DU145" s="1">
        <v>496.39514820593496</v>
      </c>
      <c r="DV145" s="1">
        <v>3724.3960223674489</v>
      </c>
      <c r="DW145" s="1">
        <v>48864.257771595694</v>
      </c>
      <c r="DX145" s="1">
        <v>45047.465400861111</v>
      </c>
      <c r="DY145" s="1">
        <v>10385.714014870273</v>
      </c>
      <c r="EA145" s="1">
        <v>1937</v>
      </c>
      <c r="EB145" s="1">
        <v>2.5916601241517299</v>
      </c>
      <c r="EC145" s="1">
        <v>3.2778620955216269</v>
      </c>
      <c r="ED145" s="1">
        <v>1.9514858919868203</v>
      </c>
      <c r="EE145" s="1">
        <v>8.1018881725956078</v>
      </c>
      <c r="EF145" s="1">
        <v>2.9459422221764555</v>
      </c>
      <c r="EG145" s="1">
        <v>5.7274300140860817</v>
      </c>
      <c r="EH145" s="1">
        <v>3.2689838458484672</v>
      </c>
      <c r="EI145" s="1">
        <v>3.2362160171995669</v>
      </c>
      <c r="EJ145" s="1">
        <v>4.6447913518710777</v>
      </c>
      <c r="EL145" s="1">
        <v>1937</v>
      </c>
      <c r="EM145" s="1">
        <v>1056655.9249892291</v>
      </c>
      <c r="EN145" s="1">
        <v>877322.02113701846</v>
      </c>
      <c r="EO145" s="1">
        <v>218319.96193607428</v>
      </c>
      <c r="EP145" s="1">
        <v>161858.117428564</v>
      </c>
      <c r="EQ145" s="1">
        <v>290421.90812186105</v>
      </c>
      <c r="ER145" s="1">
        <v>277244.0490120938</v>
      </c>
      <c r="ES145" s="1">
        <v>209684.56397175943</v>
      </c>
      <c r="ET145" s="1">
        <v>14989.025748374754</v>
      </c>
      <c r="EU145" s="1">
        <v>3106495.5723449746</v>
      </c>
      <c r="EV145" s="1">
        <v>2896811.0083732153</v>
      </c>
      <c r="EX145" s="1">
        <v>1937</v>
      </c>
      <c r="EY145" s="1">
        <v>627432.93267652078</v>
      </c>
      <c r="EZ145" s="1">
        <v>774828.9166231642</v>
      </c>
      <c r="FA145" s="1">
        <v>188839.08916579088</v>
      </c>
      <c r="FB145" s="1">
        <v>144216.26999186154</v>
      </c>
      <c r="FC145" s="1">
        <v>224940.0327138252</v>
      </c>
      <c r="FD145" s="1">
        <v>245653.61375250222</v>
      </c>
      <c r="FE145" s="1">
        <v>209684.56397175943</v>
      </c>
      <c r="FF145" s="1">
        <v>10096.607167283124</v>
      </c>
      <c r="FG145" s="1">
        <v>2425692.0260627074</v>
      </c>
      <c r="FH145" s="1">
        <v>2216007.4620909481</v>
      </c>
      <c r="FJ145" s="1">
        <v>1937</v>
      </c>
      <c r="FK145" s="1">
        <v>429222.99231270829</v>
      </c>
      <c r="FL145" s="1">
        <v>102493.10451385428</v>
      </c>
      <c r="FM145" s="1">
        <v>29480.872770283393</v>
      </c>
      <c r="FN145" s="1">
        <v>17641.84743670245</v>
      </c>
      <c r="FO145" s="1">
        <v>65481.87540803587</v>
      </c>
      <c r="FP145" s="1">
        <v>31590.435259591581</v>
      </c>
      <c r="FQ145" s="1">
        <v>4892.4185810916288</v>
      </c>
      <c r="FR145" s="1">
        <v>680803.54628226743</v>
      </c>
      <c r="FS145" s="1">
        <v>1093212.9032773734</v>
      </c>
      <c r="HC145" s="1">
        <v>1937</v>
      </c>
      <c r="HD145" s="1">
        <v>732.45762923006794</v>
      </c>
      <c r="HE145" s="1">
        <v>1882.816502689622</v>
      </c>
      <c r="HF145" s="1">
        <v>655.60424214530167</v>
      </c>
      <c r="HG145" s="1">
        <v>588.53236786679895</v>
      </c>
      <c r="HH145" s="1">
        <v>1099.2792282211522</v>
      </c>
      <c r="HI145" s="1">
        <v>684.76133322513806</v>
      </c>
      <c r="HJ145" s="1">
        <v>24.875174429899172</v>
      </c>
      <c r="HK145" s="2">
        <v>5668.3264778079792</v>
      </c>
      <c r="HL145" s="1">
        <v>4983.5651445828416</v>
      </c>
      <c r="HN145" s="1">
        <v>1937</v>
      </c>
      <c r="HO145" s="1">
        <v>630.97500579276243</v>
      </c>
      <c r="HP145" s="1">
        <v>267.72124676115789</v>
      </c>
      <c r="HQ145" s="1">
        <v>114.66716260546926</v>
      </c>
      <c r="HR145" s="1">
        <v>77.53626249480746</v>
      </c>
      <c r="HS145" s="1">
        <v>329.37335489673762</v>
      </c>
      <c r="HT145" s="1">
        <v>13.95640065085189</v>
      </c>
      <c r="HU145" s="2">
        <v>1434.2294332017866</v>
      </c>
      <c r="HW145" s="1">
        <v>1937</v>
      </c>
      <c r="HX145" s="1">
        <v>410.91720878738624</v>
      </c>
      <c r="HY145" s="1">
        <v>1098.7563705206044</v>
      </c>
      <c r="HZ145" s="1">
        <v>33.883723876719614</v>
      </c>
      <c r="IA145" s="1">
        <v>123.55506767308248</v>
      </c>
      <c r="IB145" s="1">
        <v>500.26010670919396</v>
      </c>
      <c r="IC145" s="1">
        <v>80.602193657990554</v>
      </c>
      <c r="ID145" s="1">
        <v>1193.5797688155442</v>
      </c>
      <c r="IE145" s="2">
        <v>3441.5544400405215</v>
      </c>
      <c r="IF145" s="1">
        <v>3360.9522463825306</v>
      </c>
      <c r="IH145" s="1">
        <v>1937</v>
      </c>
      <c r="II145" s="1">
        <v>197.65732668426642</v>
      </c>
      <c r="IJ145" s="1">
        <v>50.065334943272177</v>
      </c>
      <c r="IK145" s="1">
        <v>16.878887822272102</v>
      </c>
      <c r="IL145" s="1">
        <v>213.91607497823796</v>
      </c>
      <c r="IM145" s="1">
        <v>38.659579163855376</v>
      </c>
      <c r="IN145" s="1">
        <v>13.033583031099846</v>
      </c>
      <c r="IO145" s="1">
        <v>-0.656894228204294</v>
      </c>
    </row>
    <row r="146" spans="1:249" x14ac:dyDescent="0.25">
      <c r="A146" s="1" t="s">
        <v>237</v>
      </c>
      <c r="B146" s="1">
        <v>3.7215431020766374</v>
      </c>
      <c r="C146" s="1">
        <v>3.6922547350545045</v>
      </c>
      <c r="D146" s="1">
        <v>3.7449672286957565</v>
      </c>
      <c r="E146" s="1">
        <v>3.6981242642895751</v>
      </c>
      <c r="F146" s="1">
        <v>3.6678938844348892</v>
      </c>
      <c r="G146" s="1">
        <v>3.9673040687983985</v>
      </c>
      <c r="H146" s="1">
        <v>3.8159472747442749</v>
      </c>
      <c r="J146" s="1">
        <v>1938</v>
      </c>
      <c r="K146" s="2">
        <v>11930.208347729656</v>
      </c>
      <c r="L146" s="1">
        <v>11076.095974721948</v>
      </c>
      <c r="M146" s="1">
        <v>10821.142649702146</v>
      </c>
      <c r="N146" s="1">
        <v>9967.0302766944369</v>
      </c>
      <c r="O146" s="1">
        <v>1109.0656980275101</v>
      </c>
      <c r="P146" s="1">
        <v>854.11237300770949</v>
      </c>
      <c r="Q146" s="1">
        <v>10259.255431512553</v>
      </c>
      <c r="R146" s="1">
        <v>22189.463779242207</v>
      </c>
      <c r="S146" s="1">
        <v>21335.351406234498</v>
      </c>
      <c r="U146" s="1">
        <v>1938</v>
      </c>
      <c r="V146" s="1">
        <v>1894.4491316222434</v>
      </c>
      <c r="W146" s="1">
        <v>55974.895371276529</v>
      </c>
      <c r="X146" s="1">
        <v>3.6097689646256867</v>
      </c>
      <c r="Y146" s="1">
        <v>1758.8209517790815</v>
      </c>
      <c r="Z146" s="1">
        <v>53022.420690863437</v>
      </c>
      <c r="AA146" s="1">
        <v>3.3648531498834444</v>
      </c>
      <c r="AB146" s="1">
        <v>6297455.101110924</v>
      </c>
      <c r="AC146" s="1">
        <v>0.34507856522176894</v>
      </c>
      <c r="AE146" s="1">
        <v>1938</v>
      </c>
      <c r="AF146" s="1">
        <v>1666.674805641743</v>
      </c>
      <c r="AG146" s="1">
        <v>3398.9628999759866</v>
      </c>
      <c r="AH146" s="1">
        <v>970.89816036782656</v>
      </c>
      <c r="AI146" s="1">
        <v>853.905585372735</v>
      </c>
      <c r="AJ146" s="1">
        <v>1262.4193939667216</v>
      </c>
      <c r="AK146" s="1">
        <v>741.20636838256405</v>
      </c>
      <c r="AL146" s="1">
        <v>859.20726367734437</v>
      </c>
      <c r="AM146" s="1">
        <v>1322.8214973370264</v>
      </c>
      <c r="AN146" s="2">
        <v>11076.095974721948</v>
      </c>
      <c r="AP146" s="1" t="s">
        <v>237</v>
      </c>
      <c r="AQ146" s="1">
        <v>-2.4472459545392979</v>
      </c>
      <c r="AR146" s="1">
        <v>4.2445487071316705</v>
      </c>
      <c r="AS146" s="1">
        <v>9.9534213872686195</v>
      </c>
      <c r="AT146" s="1">
        <v>5.8749721682672487</v>
      </c>
      <c r="AU146" s="1">
        <v>2.8373067007084813</v>
      </c>
      <c r="AV146" s="1">
        <v>0.4293150981076792</v>
      </c>
      <c r="AW146" s="1">
        <v>9.2021826353525995</v>
      </c>
      <c r="AX146" s="1">
        <v>4.5739264996718987</v>
      </c>
      <c r="AY146" s="1">
        <v>3.7215431020766374</v>
      </c>
      <c r="BA146" s="1">
        <v>1938</v>
      </c>
      <c r="BB146" s="1">
        <v>8366.9429447372968</v>
      </c>
      <c r="BC146" s="1">
        <v>1195.7687485693295</v>
      </c>
      <c r="BD146" s="1">
        <v>1627.9865085097849</v>
      </c>
      <c r="BE146" s="1">
        <v>583.29421901598073</v>
      </c>
      <c r="BF146" s="1">
        <v>7.1294349498585161</v>
      </c>
      <c r="BG146" s="1">
        <v>197.98644832256613</v>
      </c>
      <c r="BH146" s="1">
        <v>2302.0052543754923</v>
      </c>
      <c r="BI146" s="1">
        <v>2350.9052107506523</v>
      </c>
      <c r="BJ146" s="1">
        <v>11930.208347729656</v>
      </c>
      <c r="BL146" s="1" t="s">
        <v>237</v>
      </c>
      <c r="BM146" s="1">
        <v>3.7015532776336215</v>
      </c>
      <c r="BN146" s="1">
        <v>8.6618300928141423</v>
      </c>
      <c r="BO146" s="1">
        <v>9.9450374276401448</v>
      </c>
      <c r="BP146" s="1">
        <v>0.9893992932862119</v>
      </c>
      <c r="BQ146" s="1">
        <v>7.8891257995735771</v>
      </c>
      <c r="BR146" s="1">
        <v>3.9673040687983701</v>
      </c>
      <c r="BT146" s="1" t="s">
        <v>237</v>
      </c>
      <c r="BU146" s="1">
        <v>0.34439351152913389</v>
      </c>
      <c r="BV146" s="1">
        <v>2.7892558787027184</v>
      </c>
      <c r="BW146" s="1">
        <v>0.94904625427936651</v>
      </c>
      <c r="BX146" s="1">
        <v>-7.3724997885249621</v>
      </c>
      <c r="BY146" s="1">
        <v>-9.1022659783027677</v>
      </c>
      <c r="BZ146" s="1">
        <v>1.0829227988690633</v>
      </c>
      <c r="CB146" s="1">
        <v>1938</v>
      </c>
      <c r="CC146" s="1">
        <v>144.53831843456189</v>
      </c>
      <c r="CD146" s="1">
        <v>694.46113121205008</v>
      </c>
      <c r="CE146" s="1">
        <v>32.346058549456707</v>
      </c>
      <c r="CF146" s="1">
        <v>291.63287472944052</v>
      </c>
      <c r="CG146" s="1">
        <v>150.43744898573635</v>
      </c>
      <c r="CH146" s="1">
        <v>222.45100868250896</v>
      </c>
      <c r="CI146" s="1">
        <v>880.52977020443564</v>
      </c>
      <c r="CJ146" s="1">
        <v>2416.3966107981905</v>
      </c>
      <c r="CL146" s="1">
        <v>1938</v>
      </c>
      <c r="CM146" s="1">
        <v>101.90443393870805</v>
      </c>
      <c r="CN146" s="1">
        <v>289.16781262243165</v>
      </c>
      <c r="CO146" s="1">
        <v>18.427227167983595</v>
      </c>
      <c r="CP146" s="1">
        <v>201.64480070691292</v>
      </c>
      <c r="CQ146" s="1">
        <v>51.386923369775985</v>
      </c>
      <c r="CR146" s="1">
        <v>86.755672208712568</v>
      </c>
      <c r="CS146" s="1">
        <v>359.77882801298523</v>
      </c>
      <c r="CT146" s="2">
        <v>1109.0656980275101</v>
      </c>
      <c r="CV146" s="1">
        <v>1938</v>
      </c>
      <c r="CW146" s="1">
        <v>11541.044391223526</v>
      </c>
      <c r="CX146" s="1">
        <v>10902.863102818739</v>
      </c>
      <c r="CY146" s="1">
        <v>2244.4077717769514</v>
      </c>
      <c r="CZ146" s="1">
        <v>519.67999572790063</v>
      </c>
      <c r="DA146" s="1">
        <v>3951.5381782426734</v>
      </c>
      <c r="DB146" s="1">
        <v>29159.53343978979</v>
      </c>
      <c r="DC146" s="1">
        <v>26580.13224242437</v>
      </c>
      <c r="DD146" s="1">
        <v>7405.1876597296232</v>
      </c>
      <c r="DF146" s="1">
        <v>1938</v>
      </c>
      <c r="DG146" s="1">
        <v>3.7209734564858792</v>
      </c>
      <c r="DH146" s="1">
        <v>4.5121647966925877</v>
      </c>
      <c r="DI146" s="1">
        <v>2.8831770429552392</v>
      </c>
      <c r="DJ146" s="1">
        <v>11.90705828205256</v>
      </c>
      <c r="DK146" s="1">
        <v>1.3718894335874126</v>
      </c>
      <c r="DL146" s="1">
        <v>5.0103640504522389</v>
      </c>
      <c r="DM146" s="1">
        <v>4.4868814594022552</v>
      </c>
      <c r="DN146" s="1">
        <v>4.4105348555778079</v>
      </c>
      <c r="DO146" s="1">
        <v>5.2078403508964328</v>
      </c>
      <c r="DQ146" s="1">
        <v>1938</v>
      </c>
      <c r="DR146" s="1">
        <v>20802.679591752298</v>
      </c>
      <c r="DS146" s="1">
        <v>22010.156190717524</v>
      </c>
      <c r="DT146" s="1">
        <v>4166.6567327030143</v>
      </c>
      <c r="DU146" s="1">
        <v>519.67999572790063</v>
      </c>
      <c r="DV146" s="1">
        <v>3951.5381782426734</v>
      </c>
      <c r="DW146" s="1">
        <v>51450.710689143401</v>
      </c>
      <c r="DX146" s="1">
        <v>47409.980661931717</v>
      </c>
      <c r="DY146" s="1">
        <v>11025.1457938075</v>
      </c>
      <c r="EA146" s="1">
        <v>1938</v>
      </c>
      <c r="EB146" s="1">
        <v>2.9030726676960228</v>
      </c>
      <c r="EC146" s="1">
        <v>3.5490779832172024</v>
      </c>
      <c r="ED146" s="1">
        <v>2.292341149563228</v>
      </c>
      <c r="EE146" s="1">
        <v>8.9018288741988982</v>
      </c>
      <c r="EF146" s="1">
        <v>1.3718894335874126</v>
      </c>
      <c r="EG146" s="1">
        <v>5.0103640504522389</v>
      </c>
      <c r="EH146" s="1">
        <v>3.5379136869314181</v>
      </c>
      <c r="EI146" s="1">
        <v>3.4250991116540916</v>
      </c>
      <c r="EJ146" s="1">
        <v>4.7357757816247812</v>
      </c>
      <c r="EL146" s="1">
        <v>1938</v>
      </c>
      <c r="EM146" s="1">
        <v>1054169.169588421</v>
      </c>
      <c r="EN146" s="1">
        <v>891920.27320898429</v>
      </c>
      <c r="EO146" s="1">
        <v>234676.45331158963</v>
      </c>
      <c r="EP146" s="1">
        <v>166302.10565164441</v>
      </c>
      <c r="EQ146" s="1">
        <v>294276.27744278591</v>
      </c>
      <c r="ER146" s="1">
        <v>277780.91679375351</v>
      </c>
      <c r="ES146" s="1">
        <v>229631.35544007065</v>
      </c>
      <c r="ET146" s="1">
        <v>16664.276961882537</v>
      </c>
      <c r="EU146" s="1">
        <v>3165420.8283991325</v>
      </c>
      <c r="EV146" s="1">
        <v>2935789.4729590612</v>
      </c>
      <c r="EX146" s="1">
        <v>1938</v>
      </c>
      <c r="EY146" s="1">
        <v>614288.55642018002</v>
      </c>
      <c r="EZ146" s="1">
        <v>790514.62868997199</v>
      </c>
      <c r="FA146" s="1">
        <v>202389.22056054368</v>
      </c>
      <c r="FB146" s="1">
        <v>148033.92043612411</v>
      </c>
      <c r="FC146" s="1">
        <v>229223.50474492906</v>
      </c>
      <c r="FD146" s="1">
        <v>245621.69817197637</v>
      </c>
      <c r="FE146" s="1">
        <v>229631.35544007065</v>
      </c>
      <c r="FF146" s="1">
        <v>10782.015113394467</v>
      </c>
      <c r="FG146" s="1">
        <v>2470484.8995771902</v>
      </c>
      <c r="FH146" s="1">
        <v>2240853.5441371193</v>
      </c>
      <c r="FJ146" s="1">
        <v>1938</v>
      </c>
      <c r="FK146" s="1">
        <v>439880.61316824111</v>
      </c>
      <c r="FL146" s="1">
        <v>101405.6445190123</v>
      </c>
      <c r="FM146" s="1">
        <v>32287.232751045947</v>
      </c>
      <c r="FN146" s="1">
        <v>18268.185215520291</v>
      </c>
      <c r="FO146" s="1">
        <v>65052.772697856824</v>
      </c>
      <c r="FP146" s="1">
        <v>32159.218621777167</v>
      </c>
      <c r="FQ146" s="1">
        <v>5882.2618484880695</v>
      </c>
      <c r="FR146" s="1">
        <v>694935.92882194184</v>
      </c>
      <c r="FS146" s="1">
        <v>1114075.8880364767</v>
      </c>
      <c r="HC146" s="1">
        <v>1938</v>
      </c>
      <c r="HD146" s="1">
        <v>752.58935667048354</v>
      </c>
      <c r="HE146" s="1">
        <v>2002.387334293436</v>
      </c>
      <c r="HF146" s="1">
        <v>731.99291192952535</v>
      </c>
      <c r="HG146" s="1">
        <v>623.34369111966703</v>
      </c>
      <c r="HH146" s="1">
        <v>1132.7612703730911</v>
      </c>
      <c r="HI146" s="1">
        <v>772.45159146863227</v>
      </c>
      <c r="HJ146" s="1">
        <v>28.139378164594302</v>
      </c>
      <c r="HK146" s="2">
        <v>6043.6655340194302</v>
      </c>
      <c r="HL146" s="1">
        <v>5271.2139425507976</v>
      </c>
      <c r="HN146" s="1">
        <v>1938</v>
      </c>
      <c r="HO146" s="1">
        <v>678.63218160793519</v>
      </c>
      <c r="HP146" s="1">
        <v>276.11266194893449</v>
      </c>
      <c r="HQ146" s="1">
        <v>130.82754562535621</v>
      </c>
      <c r="HR146" s="1">
        <v>82.845026283348744</v>
      </c>
      <c r="HS146" s="1">
        <v>332.32147304064358</v>
      </c>
      <c r="HT146" s="1">
        <v>17.775345828827167</v>
      </c>
      <c r="HU146" s="2">
        <v>1518.5142343350453</v>
      </c>
      <c r="HW146" s="1">
        <v>1938</v>
      </c>
      <c r="HX146" s="1">
        <v>280.5752673633242</v>
      </c>
      <c r="HY146" s="1">
        <v>1120.4629037336163</v>
      </c>
      <c r="HZ146" s="1">
        <v>108.07770281294495</v>
      </c>
      <c r="IA146" s="1">
        <v>102.5948679697193</v>
      </c>
      <c r="IB146" s="1">
        <v>538.54301893555134</v>
      </c>
      <c r="IC146" s="1">
        <v>86.755672208712099</v>
      </c>
      <c r="ID146" s="1">
        <v>1276.906773343605</v>
      </c>
      <c r="IE146" s="2">
        <v>3513.916206367473</v>
      </c>
      <c r="IF146" s="1">
        <v>3427.160534158761</v>
      </c>
      <c r="IH146" s="1">
        <v>1938</v>
      </c>
      <c r="II146" s="1">
        <v>201.05802585455504</v>
      </c>
      <c r="IJ146" s="1">
        <v>48.112936846855426</v>
      </c>
      <c r="IK146" s="1">
        <v>16.156506510396543</v>
      </c>
      <c r="IL146" s="1">
        <v>218.18840445779307</v>
      </c>
      <c r="IM146" s="1">
        <v>36.48431391187755</v>
      </c>
      <c r="IN146" s="1">
        <v>12.251570863796202</v>
      </c>
      <c r="IO146" s="1">
        <v>3.8826189891420597</v>
      </c>
    </row>
    <row r="147" spans="1:249" x14ac:dyDescent="0.25">
      <c r="A147" s="1" t="s">
        <v>238</v>
      </c>
      <c r="B147" s="1">
        <v>7.2848715460658013</v>
      </c>
      <c r="C147" s="1">
        <v>7.3611403369986874</v>
      </c>
      <c r="D147" s="1">
        <v>7.4464702569766672</v>
      </c>
      <c r="E147" s="1">
        <v>7.1235158784425039</v>
      </c>
      <c r="F147" s="1">
        <v>7.839484182227622</v>
      </c>
      <c r="G147" s="1">
        <v>9.3312440722891807</v>
      </c>
      <c r="H147" s="1">
        <v>9.6679832094886962</v>
      </c>
      <c r="J147" s="1">
        <v>1939</v>
      </c>
      <c r="K147" s="2">
        <v>13102.401611957837</v>
      </c>
      <c r="L147" s="1">
        <v>12141.704940064003</v>
      </c>
      <c r="M147" s="1">
        <v>11914.008541914054</v>
      </c>
      <c r="N147" s="1">
        <v>10953.311870020219</v>
      </c>
      <c r="O147" s="1">
        <v>1188.3930700437836</v>
      </c>
      <c r="P147" s="1">
        <v>960.69667189383404</v>
      </c>
      <c r="Q147" s="1">
        <v>11800.55737761441</v>
      </c>
      <c r="R147" s="1">
        <v>24902.958989572246</v>
      </c>
      <c r="S147" s="1">
        <v>23942.262317678411</v>
      </c>
      <c r="U147" s="1">
        <v>1939</v>
      </c>
      <c r="V147" s="1">
        <v>2071.2838107070911</v>
      </c>
      <c r="W147" s="1">
        <v>60924.414433229118</v>
      </c>
      <c r="X147" s="1">
        <v>8.842390913145735</v>
      </c>
      <c r="Y147" s="1">
        <v>1919.4127627552539</v>
      </c>
      <c r="Z147" s="1">
        <v>56630.685676436791</v>
      </c>
      <c r="AA147" s="1">
        <v>6.8051683392778699</v>
      </c>
      <c r="AB147" s="1">
        <v>6325739.4009587532</v>
      </c>
      <c r="AC147" s="1">
        <v>0.44913857095765763</v>
      </c>
      <c r="AE147" s="1">
        <v>1939</v>
      </c>
      <c r="AF147" s="1">
        <v>1713.2872734689529</v>
      </c>
      <c r="AG147" s="1">
        <v>3659.6766287252331</v>
      </c>
      <c r="AH147" s="1">
        <v>1033.9359058506875</v>
      </c>
      <c r="AI147" s="1">
        <v>1011.9240125824867</v>
      </c>
      <c r="AJ147" s="1">
        <v>1450.2378592124307</v>
      </c>
      <c r="AK147" s="1">
        <v>773.51985967976702</v>
      </c>
      <c r="AL147" s="1">
        <v>1073.1313969379009</v>
      </c>
      <c r="AM147" s="1">
        <v>1425.9920036065444</v>
      </c>
      <c r="AN147" s="2">
        <v>12141.704940064004</v>
      </c>
      <c r="AP147" s="1" t="s">
        <v>238</v>
      </c>
      <c r="AQ147" s="1">
        <v>-0.41990472121258904</v>
      </c>
      <c r="AR147" s="1">
        <v>8.0486780495599533</v>
      </c>
      <c r="AS147" s="1">
        <v>9.4356897535142963</v>
      </c>
      <c r="AT147" s="1">
        <v>4.6873788004584611</v>
      </c>
      <c r="AU147" s="1">
        <v>11.909780308623041</v>
      </c>
      <c r="AV147" s="1">
        <v>1.0567508667727026</v>
      </c>
      <c r="AW147" s="1">
        <v>20.779586904854369</v>
      </c>
      <c r="AX147" s="1">
        <v>5.6127546405245283</v>
      </c>
      <c r="AY147" s="1">
        <v>7.2848715460658013</v>
      </c>
      <c r="BA147" s="1">
        <v>1939</v>
      </c>
      <c r="BB147" s="1">
        <v>9157.4332448058485</v>
      </c>
      <c r="BC147" s="1">
        <v>1587.0314154767054</v>
      </c>
      <c r="BD147" s="1">
        <v>1855.6046385779657</v>
      </c>
      <c r="BE147" s="1">
        <v>669.78807600036623</v>
      </c>
      <c r="BF147" s="1">
        <v>7.961202360675343</v>
      </c>
      <c r="BG147" s="1">
        <v>223.77639676165791</v>
      </c>
      <c r="BH147" s="1">
        <v>2422.5703851724465</v>
      </c>
      <c r="BI147" s="1">
        <v>2821.7637471978292</v>
      </c>
      <c r="BJ147" s="1">
        <v>13102.401611957837</v>
      </c>
      <c r="BL147" s="1" t="s">
        <v>238</v>
      </c>
      <c r="BM147" s="1">
        <v>7.1246506363448674</v>
      </c>
      <c r="BN147" s="1">
        <v>29.052478478981101</v>
      </c>
      <c r="BO147" s="1">
        <v>13.495878206415739</v>
      </c>
      <c r="BP147" s="1">
        <v>10.286913925822262</v>
      </c>
      <c r="BQ147" s="1">
        <v>16.666666666666671</v>
      </c>
      <c r="BR147" s="1">
        <v>9.3312440722891949</v>
      </c>
      <c r="BT147" s="1" t="s">
        <v>238</v>
      </c>
      <c r="BU147" s="1">
        <v>2.1686218885555064</v>
      </c>
      <c r="BV147" s="1">
        <v>2.8423460223676358</v>
      </c>
      <c r="BW147" s="1">
        <v>0.53307941885105947</v>
      </c>
      <c r="BX147" s="1">
        <v>-4.5785286393305427</v>
      </c>
      <c r="BY147" s="1">
        <v>2.8818443804034644</v>
      </c>
      <c r="BZ147" s="1">
        <v>0.45200025018938561</v>
      </c>
      <c r="CB147" s="1">
        <v>1939</v>
      </c>
      <c r="CC147" s="1">
        <v>166.00543122576914</v>
      </c>
      <c r="CD147" s="1">
        <v>802.19736416121896</v>
      </c>
      <c r="CE147" s="1">
        <v>37.52194725478553</v>
      </c>
      <c r="CF147" s="1">
        <v>305.05007697328188</v>
      </c>
      <c r="CG147" s="1">
        <v>188.26053877955113</v>
      </c>
      <c r="CH147" s="1">
        <v>255.00157986211332</v>
      </c>
      <c r="CI147" s="1">
        <v>1003.0933754439453</v>
      </c>
      <c r="CJ147" s="1">
        <v>2757.1303137006653</v>
      </c>
      <c r="CL147" s="1">
        <v>1939</v>
      </c>
      <c r="CM147" s="1">
        <v>107.34955992883484</v>
      </c>
      <c r="CN147" s="1">
        <v>316.04008746691233</v>
      </c>
      <c r="CO147" s="1">
        <v>20.573002909036294</v>
      </c>
      <c r="CP147" s="1">
        <v>215.21689223758062</v>
      </c>
      <c r="CQ147" s="1">
        <v>57.089231001890781</v>
      </c>
      <c r="CR147" s="1">
        <v>93.903494373092002</v>
      </c>
      <c r="CS147" s="1">
        <v>378.22080212643669</v>
      </c>
      <c r="CT147" s="2">
        <v>1188.3930700437836</v>
      </c>
      <c r="CV147" s="1">
        <v>1939</v>
      </c>
      <c r="CW147" s="1">
        <v>12104.351585329672</v>
      </c>
      <c r="CX147" s="1">
        <v>11248.824517686973</v>
      </c>
      <c r="CY147" s="1">
        <v>2580.7121043296843</v>
      </c>
      <c r="CZ147" s="1">
        <v>588.27053092349774</v>
      </c>
      <c r="DA147" s="1">
        <v>4068.351129696563</v>
      </c>
      <c r="DB147" s="1">
        <v>30590.50986796639</v>
      </c>
      <c r="DC147" s="1">
        <v>27870.03302596409</v>
      </c>
      <c r="DD147" s="1">
        <v>7774.4266020770801</v>
      </c>
      <c r="DF147" s="1">
        <v>1939</v>
      </c>
      <c r="DG147" s="1">
        <v>4.4081125003738748</v>
      </c>
      <c r="DH147" s="1">
        <v>5.1623795699626669</v>
      </c>
      <c r="DI147" s="1">
        <v>3.5955120970713352</v>
      </c>
      <c r="DJ147" s="1">
        <v>11.917656888148869</v>
      </c>
      <c r="DK147" s="1">
        <v>1.3533233337691399</v>
      </c>
      <c r="DL147" s="1">
        <v>5.5004199398675837</v>
      </c>
      <c r="DM147" s="1">
        <v>5.1297073636304162</v>
      </c>
      <c r="DN147" s="1">
        <v>5.0512401158435267</v>
      </c>
      <c r="DO147" s="1">
        <v>5.8126121364970231</v>
      </c>
      <c r="DQ147" s="1">
        <v>1939</v>
      </c>
      <c r="DR147" s="1">
        <v>21616.983497552406</v>
      </c>
      <c r="DS147" s="1">
        <v>22581.736618993124</v>
      </c>
      <c r="DT147" s="1">
        <v>4661.1692682522535</v>
      </c>
      <c r="DU147" s="1">
        <v>588.27053092349774</v>
      </c>
      <c r="DV147" s="1">
        <v>4068.351129696563</v>
      </c>
      <c r="DW147" s="1">
        <v>53516.51104541785</v>
      </c>
      <c r="DX147" s="1">
        <v>49271.22404083141</v>
      </c>
      <c r="DY147" s="1">
        <v>11566.307732959762</v>
      </c>
      <c r="EA147" s="1">
        <v>1939</v>
      </c>
      <c r="EB147" s="1">
        <v>3.3073614527740176</v>
      </c>
      <c r="EC147" s="1">
        <v>3.9654791554548581</v>
      </c>
      <c r="ED147" s="1">
        <v>2.6767767184162636</v>
      </c>
      <c r="EE147" s="1">
        <v>9.3620440641843032</v>
      </c>
      <c r="EF147" s="1">
        <v>1.3533233337691399</v>
      </c>
      <c r="EG147" s="1">
        <v>5.5004199398675837</v>
      </c>
      <c r="EH147" s="1">
        <v>3.9797449893877967</v>
      </c>
      <c r="EI147" s="1">
        <v>3.8617721474107043</v>
      </c>
      <c r="EJ147" s="1">
        <v>5.2268215153711708</v>
      </c>
      <c r="EL147" s="1">
        <v>1939</v>
      </c>
      <c r="EM147" s="1">
        <v>1042761.0288477568</v>
      </c>
      <c r="EN147" s="1">
        <v>921885.10640933539</v>
      </c>
      <c r="EO147" s="1">
        <v>238797.52920838192</v>
      </c>
      <c r="EP147" s="1">
        <v>172427.69381000861</v>
      </c>
      <c r="EQ147" s="1">
        <v>304907.80445732438</v>
      </c>
      <c r="ER147" s="1">
        <v>276895.4203309858</v>
      </c>
      <c r="ES147" s="1">
        <v>280714.60188330669</v>
      </c>
      <c r="ET147" s="1">
        <v>19613.108644584729</v>
      </c>
      <c r="EU147" s="1">
        <v>3258002.2935916847</v>
      </c>
      <c r="EV147" s="1">
        <v>2977287.691708378</v>
      </c>
      <c r="EX147" s="1">
        <v>1939</v>
      </c>
      <c r="EY147" s="1">
        <v>597044.09949672385</v>
      </c>
      <c r="EZ147" s="1">
        <v>819799.79939354688</v>
      </c>
      <c r="FA147" s="1">
        <v>205423.07756497385</v>
      </c>
      <c r="FB147" s="1">
        <v>152906.83303685268</v>
      </c>
      <c r="FC147" s="1">
        <v>238433.21910392438</v>
      </c>
      <c r="FD147" s="1">
        <v>243107.37192293664</v>
      </c>
      <c r="FE147" s="1">
        <v>280714.60188330669</v>
      </c>
      <c r="FF147" s="1">
        <v>12356.787644232583</v>
      </c>
      <c r="FG147" s="1">
        <v>2549785.7900464977</v>
      </c>
      <c r="FH147" s="1">
        <v>2269071.1881631911</v>
      </c>
      <c r="FJ147" s="1">
        <v>1939</v>
      </c>
      <c r="FK147" s="1">
        <v>445716.92935103289</v>
      </c>
      <c r="FL147" s="1">
        <v>102085.30701578852</v>
      </c>
      <c r="FM147" s="1">
        <v>33374.451643408058</v>
      </c>
      <c r="FN147" s="1">
        <v>19520.860773155968</v>
      </c>
      <c r="FO147" s="1">
        <v>66474.58535340002</v>
      </c>
      <c r="FP147" s="1">
        <v>33788.048408049195</v>
      </c>
      <c r="FQ147" s="1">
        <v>7256.3210003521444</v>
      </c>
      <c r="FR147" s="1">
        <v>708216.50354518672</v>
      </c>
      <c r="FS147" s="1">
        <v>1135337.0240904959</v>
      </c>
      <c r="HC147" s="1">
        <v>1939</v>
      </c>
      <c r="HD147" s="1">
        <v>782.91977161958562</v>
      </c>
      <c r="HE147" s="1">
        <v>2171.8093575613907</v>
      </c>
      <c r="HF147" s="1">
        <v>787.56316169849651</v>
      </c>
      <c r="HG147" s="1">
        <v>661.89444280908924</v>
      </c>
      <c r="HH147" s="1">
        <v>1161.9250962916335</v>
      </c>
      <c r="HI147" s="1">
        <v>979.22790256480948</v>
      </c>
      <c r="HJ147" s="1">
        <v>34.825379923767095</v>
      </c>
      <c r="HK147" s="2">
        <v>6580.1651124687714</v>
      </c>
      <c r="HL147" s="1">
        <v>5600.937209903962</v>
      </c>
      <c r="HN147" s="1">
        <v>1939</v>
      </c>
      <c r="HO147" s="1">
        <v>736.01041796088646</v>
      </c>
      <c r="HP147" s="1">
        <v>290.71212541452252</v>
      </c>
      <c r="HQ147" s="1">
        <v>143.35048706100909</v>
      </c>
      <c r="HR147" s="1">
        <v>91.005054032695341</v>
      </c>
      <c r="HS147" s="1">
        <v>340.18452699248951</v>
      </c>
      <c r="HT147" s="1">
        <v>23.679139292763658</v>
      </c>
      <c r="HU147" s="2">
        <v>1624.9417507543667</v>
      </c>
      <c r="HW147" s="1">
        <v>1939</v>
      </c>
      <c r="HX147" s="1">
        <v>236.27508388848082</v>
      </c>
      <c r="HY147" s="1">
        <v>1197.1551457493197</v>
      </c>
      <c r="HZ147" s="1">
        <v>103.02225709118193</v>
      </c>
      <c r="IA147" s="1">
        <v>217.10651574070209</v>
      </c>
      <c r="IB147" s="1">
        <v>721.64809560807475</v>
      </c>
      <c r="IC147" s="1">
        <v>93.903494373091533</v>
      </c>
      <c r="ID147" s="1">
        <v>1367.4874843900136</v>
      </c>
      <c r="IE147" s="2">
        <v>3936.5980768408645</v>
      </c>
      <c r="IF147" s="1">
        <v>3842.6945824677723</v>
      </c>
      <c r="IH147" s="1">
        <v>1939</v>
      </c>
      <c r="II147" s="1">
        <v>195.46906230748371</v>
      </c>
      <c r="IJ147" s="1">
        <v>47.501573399420259</v>
      </c>
      <c r="IK147" s="1">
        <v>16.475299281045906</v>
      </c>
      <c r="IL147" s="1">
        <v>212.34187490195612</v>
      </c>
      <c r="IM147" s="1">
        <v>35.781010008391696</v>
      </c>
      <c r="IN147" s="1">
        <v>12.410175206397406</v>
      </c>
      <c r="IO147" s="1">
        <v>2.3665763212254376</v>
      </c>
    </row>
    <row r="148" spans="1:249" x14ac:dyDescent="0.25">
      <c r="A148" s="1" t="s">
        <v>239</v>
      </c>
      <c r="B148" s="1">
        <v>-9.2644025326597443</v>
      </c>
      <c r="C148" s="1">
        <v>-9.4730956167893652</v>
      </c>
      <c r="D148" s="1">
        <v>-8.738617971350422</v>
      </c>
      <c r="E148" s="1">
        <v>-9.7871578892960116</v>
      </c>
      <c r="F148" s="1">
        <v>-8.5622853952043982</v>
      </c>
      <c r="G148" s="1">
        <v>-8.7415794421923323</v>
      </c>
      <c r="H148" s="1">
        <v>-10.015858913572146</v>
      </c>
      <c r="J148" s="1">
        <v>1940</v>
      </c>
      <c r="K148" s="2">
        <v>13978.553294892745</v>
      </c>
      <c r="L148" s="1">
        <v>12868.717884100175</v>
      </c>
      <c r="M148" s="1">
        <v>12522.13061973287</v>
      </c>
      <c r="N148" s="1">
        <v>11412.295208940301</v>
      </c>
      <c r="O148" s="1">
        <v>1456.422675159874</v>
      </c>
      <c r="P148" s="1">
        <v>1109.8354107925693</v>
      </c>
      <c r="Q148" s="1">
        <v>13241.89169717016</v>
      </c>
      <c r="R148" s="1">
        <v>27220.444992062905</v>
      </c>
      <c r="S148" s="1">
        <v>26110.609581270335</v>
      </c>
      <c r="U148" s="1">
        <v>1940</v>
      </c>
      <c r="V148" s="1">
        <v>2199.1479493046882</v>
      </c>
      <c r="W148" s="1">
        <v>55330.912108260309</v>
      </c>
      <c r="X148" s="1">
        <v>-9.1810522546738298</v>
      </c>
      <c r="Y148" s="1">
        <v>2024.5453122348026</v>
      </c>
      <c r="Z148" s="1">
        <v>51136.740354391753</v>
      </c>
      <c r="AA148" s="1">
        <v>-9.7013575880664007</v>
      </c>
      <c r="AB148" s="1">
        <v>6356349.6486502374</v>
      </c>
      <c r="AC148" s="1">
        <v>0.48389991669344568</v>
      </c>
      <c r="AE148" s="1">
        <v>1940</v>
      </c>
      <c r="AF148" s="1">
        <v>1800.4397165851844</v>
      </c>
      <c r="AG148" s="1">
        <v>3791.5828715918715</v>
      </c>
      <c r="AH148" s="1">
        <v>757.7639418550508</v>
      </c>
      <c r="AI148" s="1">
        <v>1098.9985471507048</v>
      </c>
      <c r="AJ148" s="1">
        <v>1492.8246316585903</v>
      </c>
      <c r="AK148" s="1">
        <v>876.690214121076</v>
      </c>
      <c r="AL148" s="1">
        <v>1495.2320971982656</v>
      </c>
      <c r="AM148" s="1">
        <v>1555.1858639394309</v>
      </c>
      <c r="AN148" s="2">
        <v>12868.717884100173</v>
      </c>
      <c r="AP148" s="1" t="s">
        <v>239</v>
      </c>
      <c r="AQ148" s="1">
        <v>-11.266880678548404</v>
      </c>
      <c r="AR148" s="1">
        <v>-11.734041596256077</v>
      </c>
      <c r="AS148" s="1">
        <v>-34.009535484492986</v>
      </c>
      <c r="AT148" s="1">
        <v>-3.5318814437425488</v>
      </c>
      <c r="AU148" s="1">
        <v>-7.9772984516847316</v>
      </c>
      <c r="AV148" s="1">
        <v>6.4075373798583115</v>
      </c>
      <c r="AW148" s="1">
        <v>-10.78875765128241</v>
      </c>
      <c r="AX148" s="1">
        <v>5.8208539895756388</v>
      </c>
      <c r="AY148" s="1">
        <v>-9.2644025326597443</v>
      </c>
      <c r="BA148" s="1">
        <v>1940</v>
      </c>
      <c r="BB148" s="1">
        <v>9792.3716577657342</v>
      </c>
      <c r="BC148" s="1">
        <v>2328.1105223233326</v>
      </c>
      <c r="BD148" s="1">
        <v>1307.8589033846654</v>
      </c>
      <c r="BE148" s="1">
        <v>805.72791799872857</v>
      </c>
      <c r="BF148" s="1">
        <v>-42.529610873669128</v>
      </c>
      <c r="BG148" s="1">
        <v>123.05631752399003</v>
      </c>
      <c r="BH148" s="1">
        <v>1926.7885389045971</v>
      </c>
      <c r="BI148" s="1">
        <v>2262.8309521346337</v>
      </c>
      <c r="BJ148" s="1">
        <v>13978.553294892747</v>
      </c>
      <c r="BL148" s="1" t="s">
        <v>239</v>
      </c>
      <c r="BM148" s="1">
        <v>-7.1368451886308293</v>
      </c>
      <c r="BN148" s="1">
        <v>7.281546562008316</v>
      </c>
      <c r="BO148" s="1">
        <v>-32.410482871857852</v>
      </c>
      <c r="BP148" s="1">
        <v>-32.423857868020292</v>
      </c>
      <c r="BQ148" s="1">
        <v>-36.307171089779786</v>
      </c>
      <c r="BR148" s="1">
        <v>-8.7415794421923323</v>
      </c>
      <c r="BT148" s="1" t="s">
        <v>239</v>
      </c>
      <c r="BU148" s="1">
        <v>15.151789925558148</v>
      </c>
      <c r="BV148" s="1">
        <v>36.739203027205036</v>
      </c>
      <c r="BW148" s="1">
        <v>17.739573463945675</v>
      </c>
      <c r="BX148" s="1">
        <v>17.696691778578426</v>
      </c>
      <c r="BY148" s="1">
        <v>25.904404314917471</v>
      </c>
      <c r="BZ148" s="1">
        <v>16.906422683900857</v>
      </c>
      <c r="CB148" s="1">
        <v>1940</v>
      </c>
      <c r="CC148" s="1">
        <v>77.832973094025903</v>
      </c>
      <c r="CD148" s="1">
        <v>803.02365799888264</v>
      </c>
      <c r="CE148" s="1">
        <v>61.194550901289382</v>
      </c>
      <c r="CF148" s="1">
        <v>313.90397142252539</v>
      </c>
      <c r="CG148" s="1">
        <v>169.15568494892034</v>
      </c>
      <c r="CH148" s="1">
        <v>327.73044414173887</v>
      </c>
      <c r="CI148" s="1">
        <v>441.27224552633214</v>
      </c>
      <c r="CJ148" s="1">
        <v>2194.1135280337148</v>
      </c>
      <c r="CL148" s="1">
        <v>1940</v>
      </c>
      <c r="CM148" s="1">
        <v>130.11244684127735</v>
      </c>
      <c r="CN148" s="1">
        <v>396.96185304216954</v>
      </c>
      <c r="CO148" s="1">
        <v>27.27465923429995</v>
      </c>
      <c r="CP148" s="1">
        <v>259.89909289263329</v>
      </c>
      <c r="CQ148" s="1">
        <v>71.493169773444464</v>
      </c>
      <c r="CR148" s="1">
        <v>122.86418341792223</v>
      </c>
      <c r="CS148" s="1">
        <v>447.81726995812704</v>
      </c>
      <c r="CT148" s="2">
        <v>1456.422675159874</v>
      </c>
      <c r="CV148" s="1">
        <v>1940</v>
      </c>
      <c r="CW148" s="1">
        <v>15023.855306973381</v>
      </c>
      <c r="CX148" s="1">
        <v>13720.994761295706</v>
      </c>
      <c r="CY148" s="1">
        <v>3399.75428310708</v>
      </c>
      <c r="CZ148" s="1">
        <v>658.52460094072853</v>
      </c>
      <c r="DA148" s="1">
        <v>4998.4353623239722</v>
      </c>
      <c r="DB148" s="1">
        <v>37801.564314640869</v>
      </c>
      <c r="DC148" s="1">
        <v>34429.462866183363</v>
      </c>
      <c r="DD148" s="1">
        <v>9675.1104250686021</v>
      </c>
      <c r="DF148" s="1">
        <v>1940</v>
      </c>
      <c r="DG148" s="1">
        <v>1.1152065825437631</v>
      </c>
      <c r="DH148" s="1">
        <v>-4.356421369924135E-2</v>
      </c>
      <c r="DI148" s="1">
        <v>2.3856885044243938</v>
      </c>
      <c r="DJ148" s="1">
        <v>9.9034664361174407</v>
      </c>
      <c r="DK148" s="1">
        <v>-6.4583177018616738</v>
      </c>
      <c r="DL148" s="1">
        <v>2.4618967457603844</v>
      </c>
      <c r="DM148" s="1">
        <v>1.9259064061440512</v>
      </c>
      <c r="DN148" s="1">
        <v>1.5250360715791658</v>
      </c>
      <c r="DO148" s="1">
        <v>4.8380268499971208</v>
      </c>
      <c r="DQ148" s="1">
        <v>1940</v>
      </c>
      <c r="DR148" s="1">
        <v>26525.507904161143</v>
      </c>
      <c r="DS148" s="1">
        <v>27314.783713574245</v>
      </c>
      <c r="DT148" s="1">
        <v>6000.5219477015935</v>
      </c>
      <c r="DU148" s="1">
        <v>658.52460094072853</v>
      </c>
      <c r="DV148" s="1">
        <v>4998.4353623239722</v>
      </c>
      <c r="DW148" s="1">
        <v>65497.773528701684</v>
      </c>
      <c r="DX148" s="1">
        <v>60264.581421061361</v>
      </c>
      <c r="DY148" s="1">
        <v>14342.767530892628</v>
      </c>
      <c r="EA148" s="1">
        <v>1940</v>
      </c>
      <c r="EB148" s="1">
        <v>1.5489897770399494</v>
      </c>
      <c r="EC148" s="1">
        <v>0.99917798415287962</v>
      </c>
      <c r="ED148" s="1">
        <v>2.0834657306982933</v>
      </c>
      <c r="EE148" s="1">
        <v>8.5370183547117193</v>
      </c>
      <c r="EF148" s="1">
        <v>-6.4583177018616738</v>
      </c>
      <c r="EG148" s="1">
        <v>2.4618967457603844</v>
      </c>
      <c r="EH148" s="1">
        <v>2.1592965030947653</v>
      </c>
      <c r="EI148" s="1">
        <v>1.8647978337880176</v>
      </c>
      <c r="EJ148" s="1">
        <v>4.611741320422837</v>
      </c>
      <c r="EL148" s="1">
        <v>1940</v>
      </c>
      <c r="EM148" s="1">
        <v>1020539.7680269345</v>
      </c>
      <c r="EN148" s="1">
        <v>915738.47395798133</v>
      </c>
      <c r="EO148" s="1">
        <v>192327.41435772067</v>
      </c>
      <c r="EP148" s="1">
        <v>168055.62838665905</v>
      </c>
      <c r="EQ148" s="1">
        <v>315806.04960871814</v>
      </c>
      <c r="ER148" s="1">
        <v>287210.41103324096</v>
      </c>
      <c r="ES148" s="1">
        <v>245321.20970477886</v>
      </c>
      <c r="ET148" s="1">
        <v>21385.875409853197</v>
      </c>
      <c r="EU148" s="1">
        <v>3166384.8304858869</v>
      </c>
      <c r="EV148" s="1">
        <v>2921063.6207811083</v>
      </c>
      <c r="EX148" s="1">
        <v>1940</v>
      </c>
      <c r="EY148" s="1">
        <v>573046.56853331276</v>
      </c>
      <c r="EZ148" s="1">
        <v>815692.15443252143</v>
      </c>
      <c r="FA148" s="1">
        <v>162477.14285452676</v>
      </c>
      <c r="FB148" s="1">
        <v>149161.10539232093</v>
      </c>
      <c r="FC148" s="1">
        <v>248098.39183328027</v>
      </c>
      <c r="FD148" s="1">
        <v>251543.10024884861</v>
      </c>
      <c r="FE148" s="1">
        <v>245321.20970477886</v>
      </c>
      <c r="FF148" s="1">
        <v>12870.594246711091</v>
      </c>
      <c r="FG148" s="1">
        <v>2458210.2672463008</v>
      </c>
      <c r="FH148" s="1">
        <v>2212889.0575415217</v>
      </c>
      <c r="FJ148" s="1">
        <v>1940</v>
      </c>
      <c r="FK148" s="1">
        <v>447493.19949362171</v>
      </c>
      <c r="FL148" s="1">
        <v>100046.31952545987</v>
      </c>
      <c r="FM148" s="1">
        <v>29850.271503193904</v>
      </c>
      <c r="FN148" s="1">
        <v>18894.522994338131</v>
      </c>
      <c r="FO148" s="1">
        <v>67707.657775437867</v>
      </c>
      <c r="FP148" s="1">
        <v>35667.310784392335</v>
      </c>
      <c r="FQ148" s="1">
        <v>8515.2811631421064</v>
      </c>
      <c r="FR148" s="1">
        <v>708174.56323958584</v>
      </c>
      <c r="FS148" s="1">
        <v>1157003.9097987015</v>
      </c>
      <c r="HC148" s="1">
        <v>1940</v>
      </c>
      <c r="HD148" s="1">
        <v>837.36692588997869</v>
      </c>
      <c r="HE148" s="1">
        <v>2304.06091926096</v>
      </c>
      <c r="HF148" s="1">
        <v>600.33676034841824</v>
      </c>
      <c r="HG148" s="1">
        <v>701.74636089711225</v>
      </c>
      <c r="HH148" s="1">
        <v>1286.403917204249</v>
      </c>
      <c r="HI148" s="1">
        <v>1372.3679137803426</v>
      </c>
      <c r="HJ148" s="1">
        <v>38.05389720333676</v>
      </c>
      <c r="HK148" s="2">
        <v>7140.3366945843964</v>
      </c>
      <c r="HL148" s="1">
        <v>5767.9687808040535</v>
      </c>
      <c r="HN148" s="1">
        <v>1940</v>
      </c>
      <c r="HO148" s="1">
        <v>823.42928482719071</v>
      </c>
      <c r="HP148" s="1">
        <v>303.77694050435815</v>
      </c>
      <c r="HQ148" s="1">
        <v>123.5662369787573</v>
      </c>
      <c r="HR148" s="1">
        <v>95.733781687408083</v>
      </c>
      <c r="HS148" s="1">
        <v>376.19889817495084</v>
      </c>
      <c r="HT148" s="1">
        <v>29.151350545689365</v>
      </c>
      <c r="HU148" s="2">
        <v>1751.8564927183545</v>
      </c>
      <c r="HW148" s="1">
        <v>1940</v>
      </c>
      <c r="HX148" s="1">
        <v>204.09050586801504</v>
      </c>
      <c r="HY148" s="1">
        <v>1183.7450118265533</v>
      </c>
      <c r="HZ148" s="1">
        <v>33.86094452787529</v>
      </c>
      <c r="IA148" s="1">
        <v>237.07140456618458</v>
      </c>
      <c r="IB148" s="1">
        <v>706.91203040046651</v>
      </c>
      <c r="IC148" s="1">
        <v>122.864183417923</v>
      </c>
      <c r="ID148" s="1">
        <v>1487.9806161904048</v>
      </c>
      <c r="IE148" s="2">
        <v>3976.5246967974226</v>
      </c>
      <c r="IF148" s="1">
        <v>3853.6605133794997</v>
      </c>
      <c r="IH148" s="1">
        <v>1940</v>
      </c>
      <c r="II148" s="1">
        <v>232.48707947939064</v>
      </c>
      <c r="IJ148" s="1">
        <v>43.895809390843901</v>
      </c>
      <c r="IK148" s="1">
        <v>13.121276674487859</v>
      </c>
      <c r="IL148" s="1">
        <v>257.00185517958784</v>
      </c>
      <c r="IM148" s="1">
        <v>30.16994157969572</v>
      </c>
      <c r="IN148" s="1">
        <v>9.0183586135877452</v>
      </c>
      <c r="IO148" s="1">
        <v>-7.4059485374235834</v>
      </c>
    </row>
    <row r="149" spans="1:249" x14ac:dyDescent="0.25">
      <c r="A149" s="1" t="s">
        <v>240</v>
      </c>
      <c r="B149" s="1">
        <v>-1.5436964438777352</v>
      </c>
      <c r="C149" s="1">
        <v>-1.5382279937631438</v>
      </c>
      <c r="D149" s="1">
        <v>-1.0978070561736644</v>
      </c>
      <c r="E149" s="1">
        <v>-1.9875755895421747</v>
      </c>
      <c r="F149" s="1">
        <v>-1.389089629648609</v>
      </c>
      <c r="G149" s="1">
        <v>0.19228715030241972</v>
      </c>
      <c r="H149" s="1">
        <v>-0.17686423170330556</v>
      </c>
      <c r="J149" s="1">
        <v>1941</v>
      </c>
      <c r="K149" s="2">
        <v>15709.914387115952</v>
      </c>
      <c r="L149" s="1">
        <v>14338.706973153821</v>
      </c>
      <c r="M149" s="1">
        <v>14111.478229421198</v>
      </c>
      <c r="N149" s="1">
        <v>12740.270815459067</v>
      </c>
      <c r="O149" s="1">
        <v>1598.436157694754</v>
      </c>
      <c r="P149" s="1">
        <v>1371.2074139621316</v>
      </c>
      <c r="Q149" s="1">
        <v>13982.04472758952</v>
      </c>
      <c r="R149" s="1">
        <v>29691.959114705474</v>
      </c>
      <c r="S149" s="1">
        <v>28320.751700743342</v>
      </c>
      <c r="U149" s="1">
        <v>1941</v>
      </c>
      <c r="V149" s="1">
        <v>2458.927693198415</v>
      </c>
      <c r="W149" s="1">
        <v>55154.612620789994</v>
      </c>
      <c r="X149" s="1">
        <v>-0.31862747378059453</v>
      </c>
      <c r="Y149" s="1">
        <v>2244.3052706805893</v>
      </c>
      <c r="Z149" s="1">
        <v>50090.606041801992</v>
      </c>
      <c r="AA149" s="1">
        <v>-2.0457586958804228</v>
      </c>
      <c r="AB149" s="1">
        <v>6388928.9752483554</v>
      </c>
      <c r="AC149" s="1">
        <v>0.51254774200528175</v>
      </c>
      <c r="AE149" s="1">
        <v>1941</v>
      </c>
      <c r="AF149" s="1">
        <v>2037.6814592518474</v>
      </c>
      <c r="AG149" s="1">
        <v>4311.4935202159431</v>
      </c>
      <c r="AH149" s="1">
        <v>860.25293195120867</v>
      </c>
      <c r="AI149" s="1">
        <v>1200.1795889710349</v>
      </c>
      <c r="AJ149" s="1">
        <v>1528.1809315640173</v>
      </c>
      <c r="AK149" s="1">
        <v>925.39271518753799</v>
      </c>
      <c r="AL149" s="1">
        <v>1831.060991692274</v>
      </c>
      <c r="AM149" s="1">
        <v>1644.4648343199588</v>
      </c>
      <c r="AN149" s="2">
        <v>14338.706973153821</v>
      </c>
      <c r="AP149" s="1" t="s">
        <v>240</v>
      </c>
      <c r="AQ149" s="1">
        <v>-9.559077540054588</v>
      </c>
      <c r="AR149" s="1">
        <v>-2.5713107693007942</v>
      </c>
      <c r="AS149" s="1">
        <v>-3.8881982557038128</v>
      </c>
      <c r="AT149" s="1">
        <v>3.6899183383119123</v>
      </c>
      <c r="AU149" s="1">
        <v>-12.117691351480289</v>
      </c>
      <c r="AV149" s="1">
        <v>-2.1596056063853126</v>
      </c>
      <c r="AW149" s="1">
        <v>16.952805010601764</v>
      </c>
      <c r="AX149" s="1">
        <v>2.085092847607612</v>
      </c>
      <c r="AY149" s="1">
        <v>-1.5436964438777352</v>
      </c>
      <c r="BA149" s="1">
        <v>1941</v>
      </c>
      <c r="BB149" s="1">
        <v>10811.95872164769</v>
      </c>
      <c r="BC149" s="1">
        <v>2834.1606866631068</v>
      </c>
      <c r="BD149" s="1">
        <v>1324.0450221905014</v>
      </c>
      <c r="BE149" s="1">
        <v>871.21937094742771</v>
      </c>
      <c r="BF149" s="1">
        <v>-34.19396592598379</v>
      </c>
      <c r="BG149" s="1">
        <v>-141.74233701556915</v>
      </c>
      <c r="BH149" s="1">
        <v>1934.6759773679491</v>
      </c>
      <c r="BI149" s="1">
        <v>1890.2090887591701</v>
      </c>
      <c r="BJ149" s="1">
        <v>15709.914387115954</v>
      </c>
      <c r="BL149" s="1" t="s">
        <v>240</v>
      </c>
      <c r="BM149" s="1">
        <v>-4.0436690498489867</v>
      </c>
      <c r="BN149" s="1">
        <v>10.819858388644008</v>
      </c>
      <c r="BO149" s="1">
        <v>-12.575010569023803</v>
      </c>
      <c r="BP149" s="1">
        <v>-7.6995305164319348</v>
      </c>
      <c r="BQ149" s="1">
        <v>-26.152482269503537</v>
      </c>
      <c r="BR149" s="1">
        <v>0.1922871503023913</v>
      </c>
      <c r="BT149" s="1" t="s">
        <v>240</v>
      </c>
      <c r="BU149" s="1">
        <v>15.064898068657584</v>
      </c>
      <c r="BV149" s="1">
        <v>9.850815403124642</v>
      </c>
      <c r="BW149" s="1">
        <v>5.2718373809449872</v>
      </c>
      <c r="BX149" s="1">
        <v>8.7853152719030447</v>
      </c>
      <c r="BY149" s="1">
        <v>13.115425811042968</v>
      </c>
      <c r="BZ149" s="1">
        <v>12.17015011890372</v>
      </c>
      <c r="CB149" s="1">
        <v>1941</v>
      </c>
      <c r="CC149" s="1">
        <v>88.893743090196239</v>
      </c>
      <c r="CD149" s="1">
        <v>659.2122640611467</v>
      </c>
      <c r="CE149" s="1">
        <v>61.762024733728033</v>
      </c>
      <c r="CF149" s="1">
        <v>324.52492874230069</v>
      </c>
      <c r="CG149" s="1">
        <v>83.911754071231798</v>
      </c>
      <c r="CH149" s="1">
        <v>374.44997154485839</v>
      </c>
      <c r="CI149" s="1">
        <v>426.57340395291425</v>
      </c>
      <c r="CJ149" s="1">
        <v>2019.3280901963763</v>
      </c>
      <c r="CL149" s="1">
        <v>1941</v>
      </c>
      <c r="CM149" s="1">
        <v>139.14614405683545</v>
      </c>
      <c r="CN149" s="1">
        <v>441.21986325498347</v>
      </c>
      <c r="CO149" s="1">
        <v>31.41379570674129</v>
      </c>
      <c r="CP149" s="1">
        <v>281.0058576811731</v>
      </c>
      <c r="CQ149" s="1">
        <v>78.929182013808088</v>
      </c>
      <c r="CR149" s="1">
        <v>145.96601534742194</v>
      </c>
      <c r="CS149" s="1">
        <v>480.75529963379063</v>
      </c>
      <c r="CT149" s="2">
        <v>1598.436157694754</v>
      </c>
      <c r="CV149" s="1">
        <v>1941</v>
      </c>
      <c r="CW149" s="1">
        <v>16124.345209642772</v>
      </c>
      <c r="CX149" s="1">
        <v>15043.786279647193</v>
      </c>
      <c r="CY149" s="1">
        <v>3871.2903674247132</v>
      </c>
      <c r="CZ149" s="1">
        <v>815.77714900772742</v>
      </c>
      <c r="DA149" s="1">
        <v>6014.6773740774597</v>
      </c>
      <c r="DB149" s="1">
        <v>41869.876379799862</v>
      </c>
      <c r="DC149" s="1">
        <v>38072.96543158852</v>
      </c>
      <c r="DD149" s="1">
        <v>11218.999942543778</v>
      </c>
      <c r="DF149" s="1">
        <v>1941</v>
      </c>
      <c r="DG149" s="1">
        <v>0.81951302425299843</v>
      </c>
      <c r="DH149" s="1">
        <v>-0.33602540119566982</v>
      </c>
      <c r="DI149" s="1">
        <v>2.058571524951418</v>
      </c>
      <c r="DJ149" s="1">
        <v>8.8237707776739285</v>
      </c>
      <c r="DK149" s="1">
        <v>-4.1915817288551978</v>
      </c>
      <c r="DL149" s="1">
        <v>-2.35660748199831</v>
      </c>
      <c r="DM149" s="1">
        <v>1.0138969382145007</v>
      </c>
      <c r="DN149" s="1">
        <v>0.51300184104836433</v>
      </c>
      <c r="DO149" s="1">
        <v>2.2308860936714154</v>
      </c>
      <c r="DQ149" s="1">
        <v>1941</v>
      </c>
      <c r="DR149" s="1">
        <v>28765.470435695257</v>
      </c>
      <c r="DS149" s="1">
        <v>29877.090195857887</v>
      </c>
      <c r="DT149" s="1">
        <v>6746.4655254171676</v>
      </c>
      <c r="DU149" s="1">
        <v>815.77714900772742</v>
      </c>
      <c r="DV149" s="1">
        <v>6014.6773740774597</v>
      </c>
      <c r="DW149" s="1">
        <v>72219.480680055509</v>
      </c>
      <c r="DX149" s="1">
        <v>66354.216754521942</v>
      </c>
      <c r="DY149" s="1">
        <v>16396.021230715611</v>
      </c>
      <c r="EA149" s="1">
        <v>1941</v>
      </c>
      <c r="EB149" s="1">
        <v>1.3771103067538917</v>
      </c>
      <c r="EC149" s="1">
        <v>0.81104697833758621</v>
      </c>
      <c r="ED149" s="1">
        <v>1.9222917309602821</v>
      </c>
      <c r="EE149" s="1">
        <v>8.0927510326248324</v>
      </c>
      <c r="EF149" s="1">
        <v>-4.1915817288551978</v>
      </c>
      <c r="EG149" s="1">
        <v>-2.35660748199831</v>
      </c>
      <c r="EH149" s="1">
        <v>1.6359277047131258</v>
      </c>
      <c r="EI149" s="1">
        <v>1.2790596887048764</v>
      </c>
      <c r="EJ149" s="1">
        <v>2.8553855265626993</v>
      </c>
      <c r="EL149" s="1">
        <v>1941</v>
      </c>
      <c r="EM149" s="1">
        <v>980431.73571009934</v>
      </c>
      <c r="EN149" s="1">
        <v>920019.1644151744</v>
      </c>
      <c r="EO149" s="1">
        <v>186562.33329593891</v>
      </c>
      <c r="EP149" s="1">
        <v>159332.03406319543</v>
      </c>
      <c r="EQ149" s="1">
        <v>316264.68831443391</v>
      </c>
      <c r="ER149" s="1">
        <v>280824.53513915662</v>
      </c>
      <c r="ES149" s="1">
        <v>288012.20851805469</v>
      </c>
      <c r="ET149" s="1">
        <v>20592.029452286017</v>
      </c>
      <c r="EU149" s="1">
        <v>3152038.728908339</v>
      </c>
      <c r="EV149" s="1">
        <v>2864026.5203902847</v>
      </c>
      <c r="EX149" s="1">
        <v>1941</v>
      </c>
      <c r="EY149" s="1">
        <v>541693.01049066521</v>
      </c>
      <c r="EZ149" s="1">
        <v>819700.97989100404</v>
      </c>
      <c r="FA149" s="1">
        <v>159162.40808892302</v>
      </c>
      <c r="FB149" s="1">
        <v>143569.1999629465</v>
      </c>
      <c r="FC149" s="1">
        <v>249778.1379422493</v>
      </c>
      <c r="FD149" s="1">
        <v>246911.90559392449</v>
      </c>
      <c r="FE149" s="1">
        <v>288012.20851805469</v>
      </c>
      <c r="FF149" s="1">
        <v>12349.597704571341</v>
      </c>
      <c r="FG149" s="1">
        <v>2461177.4481923389</v>
      </c>
      <c r="FH149" s="1">
        <v>2173165.2396742841</v>
      </c>
      <c r="FJ149" s="1">
        <v>1941</v>
      </c>
      <c r="FK149" s="1">
        <v>438738.72521943413</v>
      </c>
      <c r="FL149" s="1">
        <v>100318.18452417036</v>
      </c>
      <c r="FM149" s="1">
        <v>27399.92520701588</v>
      </c>
      <c r="FN149" s="1">
        <v>15762.834100248938</v>
      </c>
      <c r="FO149" s="1">
        <v>66486.550372184603</v>
      </c>
      <c r="FP149" s="1">
        <v>33912.629545232106</v>
      </c>
      <c r="FQ149" s="1">
        <v>8242.431747714676</v>
      </c>
      <c r="FR149" s="1">
        <v>690861.28071600071</v>
      </c>
      <c r="FS149" s="1">
        <v>1173189.1383694091</v>
      </c>
      <c r="HC149" s="1">
        <v>1941</v>
      </c>
      <c r="HD149" s="1">
        <v>913.91937782331274</v>
      </c>
      <c r="HE149" s="1">
        <v>2489.6800934776134</v>
      </c>
      <c r="HF149" s="1">
        <v>656.61360225855424</v>
      </c>
      <c r="HG149" s="1">
        <v>713.48132360237582</v>
      </c>
      <c r="HH149" s="1">
        <v>1392.144910221004</v>
      </c>
      <c r="HI149" s="1">
        <v>1685.0949763448518</v>
      </c>
      <c r="HJ149" s="1">
        <v>40.15882421593431</v>
      </c>
      <c r="HK149" s="2">
        <v>7891.093107943645</v>
      </c>
      <c r="HL149" s="1">
        <v>6205.9981315987934</v>
      </c>
      <c r="HN149" s="1">
        <v>1941</v>
      </c>
      <c r="HO149" s="1">
        <v>932.1259625550141</v>
      </c>
      <c r="HP149" s="1">
        <v>327.53202585271964</v>
      </c>
      <c r="HQ149" s="1">
        <v>126.63904387171468</v>
      </c>
      <c r="HR149" s="1">
        <v>84.364617194875265</v>
      </c>
      <c r="HS149" s="1">
        <v>400.15319296216558</v>
      </c>
      <c r="HT149" s="1">
        <v>31.034352168689864</v>
      </c>
      <c r="HU149" s="2">
        <v>1901.849194605179</v>
      </c>
      <c r="HW149" s="1">
        <v>1941</v>
      </c>
      <c r="HX149" s="1">
        <v>263.62211887352078</v>
      </c>
      <c r="HY149" s="1">
        <v>1494.2814008856103</v>
      </c>
      <c r="HZ149" s="1">
        <v>77.000285820939666</v>
      </c>
      <c r="IA149" s="1">
        <v>330.3476481737838</v>
      </c>
      <c r="IB149" s="1">
        <v>661.27554356838618</v>
      </c>
      <c r="IC149" s="1">
        <v>145.96601534742206</v>
      </c>
      <c r="ID149" s="1">
        <v>1573.2716579353346</v>
      </c>
      <c r="IE149" s="2">
        <v>4545.7646706049973</v>
      </c>
      <c r="IF149" s="1">
        <v>4399.7986552575749</v>
      </c>
      <c r="IH149" s="1">
        <v>1941</v>
      </c>
      <c r="II149" s="1">
        <v>234.502998476838</v>
      </c>
      <c r="IJ149" s="1">
        <v>51.33660025760188</v>
      </c>
      <c r="IK149" s="1">
        <v>14.465542670710791</v>
      </c>
      <c r="IL149" s="1">
        <v>258.32726603545586</v>
      </c>
      <c r="IM149" s="1">
        <v>37.379561531949726</v>
      </c>
      <c r="IN149" s="1">
        <v>10.532751285430312</v>
      </c>
      <c r="IO149" s="1">
        <v>-6.5503749767027841</v>
      </c>
    </row>
    <row r="150" spans="1:249" x14ac:dyDescent="0.25">
      <c r="A150" s="1" t="s">
        <v>241</v>
      </c>
      <c r="B150" s="1">
        <v>2.3228844613229853</v>
      </c>
      <c r="C150" s="1">
        <v>2.2215791904668407</v>
      </c>
      <c r="D150" s="1">
        <v>2.4754983073042638</v>
      </c>
      <c r="E150" s="1">
        <v>2.1704978988033048</v>
      </c>
      <c r="F150" s="1">
        <v>3.0949156401254925</v>
      </c>
      <c r="G150" s="1">
        <v>1.2768989814336891</v>
      </c>
      <c r="H150" s="1">
        <v>0.97796118718372327</v>
      </c>
      <c r="J150" s="1">
        <v>1942</v>
      </c>
      <c r="K150" s="2">
        <v>17270.786871927896</v>
      </c>
      <c r="L150" s="1">
        <v>15720.368933681557</v>
      </c>
      <c r="M150" s="1">
        <v>15482.738472990226</v>
      </c>
      <c r="N150" s="1">
        <v>13932.320534743885</v>
      </c>
      <c r="O150" s="1">
        <v>1788.0483989376708</v>
      </c>
      <c r="P150" s="1">
        <v>1550.417938246339</v>
      </c>
      <c r="Q150" s="1">
        <v>15678.340706162526</v>
      </c>
      <c r="R150" s="1">
        <v>32949.127578090425</v>
      </c>
      <c r="S150" s="1">
        <v>31398.709639844084</v>
      </c>
      <c r="U150" s="1">
        <v>1942</v>
      </c>
      <c r="V150" s="1">
        <v>2685.0158004879254</v>
      </c>
      <c r="W150" s="1">
        <v>55482.371354504263</v>
      </c>
      <c r="X150" s="1">
        <v>0.59425443882226148</v>
      </c>
      <c r="Y150" s="1">
        <v>2443.9789159254888</v>
      </c>
      <c r="Z150" s="1">
        <v>50908.680601036685</v>
      </c>
      <c r="AA150" s="1">
        <v>1.6331895815993676</v>
      </c>
      <c r="AB150" s="1">
        <v>6432285.0050973333</v>
      </c>
      <c r="AC150" s="1">
        <v>0.67861186150206265</v>
      </c>
      <c r="AE150" s="1">
        <v>1942</v>
      </c>
      <c r="AF150" s="1">
        <v>2182.2808667119275</v>
      </c>
      <c r="AG150" s="1">
        <v>4702.486975045791</v>
      </c>
      <c r="AH150" s="1">
        <v>1139.2047773102545</v>
      </c>
      <c r="AI150" s="1">
        <v>1341.7969145020572</v>
      </c>
      <c r="AJ150" s="1">
        <v>1624.7090708338505</v>
      </c>
      <c r="AK150" s="1">
        <v>988.15006238359229</v>
      </c>
      <c r="AL150" s="1">
        <v>2055.2034707599232</v>
      </c>
      <c r="AM150" s="1">
        <v>1686.5367961341606</v>
      </c>
      <c r="AN150" s="2">
        <v>15720.368933681559</v>
      </c>
      <c r="AP150" s="1" t="s">
        <v>241</v>
      </c>
      <c r="AQ150" s="1">
        <v>-5.3374872036381333</v>
      </c>
      <c r="AR150" s="1">
        <v>2.0582485420354288</v>
      </c>
      <c r="AS150" s="1">
        <v>20.82181508208572</v>
      </c>
      <c r="AT150" s="1">
        <v>5.9422016816991032</v>
      </c>
      <c r="AU150" s="1">
        <v>-3.7327142806624636</v>
      </c>
      <c r="AV150" s="1">
        <v>-0.99764995279359425</v>
      </c>
      <c r="AW150" s="1">
        <v>9.2249223735434214</v>
      </c>
      <c r="AX150" s="1">
        <v>0.38056366907528627</v>
      </c>
      <c r="AY150" s="1">
        <v>2.3228844613229853</v>
      </c>
      <c r="BA150" s="1">
        <v>1942</v>
      </c>
      <c r="BB150" s="1">
        <v>11398.598111978095</v>
      </c>
      <c r="BC150" s="1">
        <v>3045.0743490386149</v>
      </c>
      <c r="BD150" s="1">
        <v>1939.5129362645864</v>
      </c>
      <c r="BE150" s="1">
        <v>941.54643665928279</v>
      </c>
      <c r="BF150" s="1">
        <v>31.536128177838147</v>
      </c>
      <c r="BG150" s="1">
        <v>34.81375727898471</v>
      </c>
      <c r="BH150" s="1">
        <v>1889.6049004345082</v>
      </c>
      <c r="BI150" s="1">
        <v>2009.8997479040158</v>
      </c>
      <c r="BJ150" s="1">
        <v>17270.786871927896</v>
      </c>
      <c r="BL150" s="1" t="s">
        <v>241</v>
      </c>
      <c r="BM150" s="1">
        <v>-3.5736301139457396</v>
      </c>
      <c r="BN150" s="1">
        <v>1.4008824931079289</v>
      </c>
      <c r="BO150" s="1">
        <v>35.431707473627796</v>
      </c>
      <c r="BP150" s="1">
        <v>-8.4435401831129155</v>
      </c>
      <c r="BQ150" s="1">
        <v>0.12004801920768671</v>
      </c>
      <c r="BR150" s="1">
        <v>1.2768989814337033</v>
      </c>
      <c r="BT150" s="1" t="s">
        <v>241</v>
      </c>
      <c r="BU150" s="1">
        <v>9.3329950719127908</v>
      </c>
      <c r="BV150" s="1">
        <v>5.9574984972934715</v>
      </c>
      <c r="BW150" s="1">
        <v>7.7738017093538616</v>
      </c>
      <c r="BX150" s="1">
        <v>6.6777324791302561</v>
      </c>
      <c r="BY150" s="1">
        <v>6.204642021150093</v>
      </c>
      <c r="BZ150" s="1">
        <v>8.5495210112326561</v>
      </c>
      <c r="CB150" s="1">
        <v>1942</v>
      </c>
      <c r="CC150" s="1">
        <v>179.02069747016955</v>
      </c>
      <c r="CD150" s="1">
        <v>980.15217809430646</v>
      </c>
      <c r="CE150" s="1">
        <v>68.228140570556036</v>
      </c>
      <c r="CF150" s="1">
        <v>331.44474948632546</v>
      </c>
      <c r="CG150" s="1">
        <v>133.14023336156853</v>
      </c>
      <c r="CH150" s="1">
        <v>349.78301224787913</v>
      </c>
      <c r="CI150" s="1">
        <v>905.64024714988682</v>
      </c>
      <c r="CJ150" s="1">
        <v>2947.4092583806919</v>
      </c>
      <c r="CL150" s="1">
        <v>1942</v>
      </c>
      <c r="CM150" s="1">
        <v>153.02334291160756</v>
      </c>
      <c r="CN150" s="1">
        <v>500.00128942839422</v>
      </c>
      <c r="CO150" s="1">
        <v>37.551143880047618</v>
      </c>
      <c r="CP150" s="1">
        <v>309.95420885126435</v>
      </c>
      <c r="CQ150" s="1">
        <v>88.02999002333155</v>
      </c>
      <c r="CR150" s="1">
        <v>170.57643426694128</v>
      </c>
      <c r="CS150" s="1">
        <v>528.91198957608424</v>
      </c>
      <c r="CT150" s="2">
        <v>1788.0483989376708</v>
      </c>
      <c r="CV150" s="1">
        <v>1942</v>
      </c>
      <c r="CW150" s="1">
        <v>17310.532330684888</v>
      </c>
      <c r="CX150" s="1">
        <v>16524.514390576936</v>
      </c>
      <c r="CY150" s="1">
        <v>4529.8907936723426</v>
      </c>
      <c r="CZ150" s="1">
        <v>765.63250587599373</v>
      </c>
      <c r="DA150" s="1">
        <v>6215.4975003783084</v>
      </c>
      <c r="DB150" s="1">
        <v>45346.067521188466</v>
      </c>
      <c r="DC150" s="1">
        <v>41020.870222712569</v>
      </c>
      <c r="DD150" s="1">
        <v>12243.803636404362</v>
      </c>
      <c r="DF150" s="1">
        <v>1942</v>
      </c>
      <c r="DG150" s="1">
        <v>2.2597367027165092</v>
      </c>
      <c r="DH150" s="1">
        <v>2.1762950461437214</v>
      </c>
      <c r="DI150" s="1">
        <v>2.3471940332017169</v>
      </c>
      <c r="DJ150" s="1">
        <v>7.2031003504433215</v>
      </c>
      <c r="DK150" s="1">
        <v>4.1189641160489003</v>
      </c>
      <c r="DL150" s="1">
        <v>0.56011215959568972</v>
      </c>
      <c r="DM150" s="1">
        <v>2.5542249932682779</v>
      </c>
      <c r="DN150" s="1">
        <v>2.3878433453212011</v>
      </c>
      <c r="DO150" s="1">
        <v>3.8033107968643378</v>
      </c>
      <c r="DQ150" s="1">
        <v>1942</v>
      </c>
      <c r="DR150" s="1">
        <v>31237.030325599531</v>
      </c>
      <c r="DS150" s="1">
        <v>32780.013041276747</v>
      </c>
      <c r="DT150" s="1">
        <v>7839.9764282290835</v>
      </c>
      <c r="DU150" s="1">
        <v>765.63250587599373</v>
      </c>
      <c r="DV150" s="1">
        <v>6215.4975003783084</v>
      </c>
      <c r="DW150" s="1">
        <v>78838.149801359657</v>
      </c>
      <c r="DX150" s="1">
        <v>72180.054052013817</v>
      </c>
      <c r="DY150" s="1">
        <v>18034.377218338686</v>
      </c>
      <c r="EA150" s="1">
        <v>1942</v>
      </c>
      <c r="EB150" s="1">
        <v>2.1459484596586123</v>
      </c>
      <c r="EC150" s="1">
        <v>2.2187484357106371</v>
      </c>
      <c r="ED150" s="1">
        <v>2.0765461069639457</v>
      </c>
      <c r="EE150" s="1">
        <v>7.2080531954133846</v>
      </c>
      <c r="EF150" s="1">
        <v>4.1189641160489003</v>
      </c>
      <c r="EG150" s="1">
        <v>0.56011215959568972</v>
      </c>
      <c r="EH150" s="1">
        <v>2.5459587703195155</v>
      </c>
      <c r="EI150" s="1">
        <v>2.3680684834265264</v>
      </c>
      <c r="EJ150" s="1">
        <v>3.9686127681099634</v>
      </c>
      <c r="EL150" s="1">
        <v>1942</v>
      </c>
      <c r="EM150" s="1">
        <v>940412.86484662036</v>
      </c>
      <c r="EN150" s="1">
        <v>965899.38521278149</v>
      </c>
      <c r="EO150" s="1">
        <v>199351.32663189413</v>
      </c>
      <c r="EP150" s="1">
        <v>167203.04004842401</v>
      </c>
      <c r="EQ150" s="1">
        <v>324288.48356333072</v>
      </c>
      <c r="ER150" s="1">
        <v>278174.51706468657</v>
      </c>
      <c r="ES150" s="1">
        <v>314770.09951213072</v>
      </c>
      <c r="ET150" s="1">
        <v>21646.26690708211</v>
      </c>
      <c r="EU150" s="1">
        <v>3211745.9837869508</v>
      </c>
      <c r="EV150" s="1">
        <v>2896975.8842748194</v>
      </c>
      <c r="EX150" s="1">
        <v>1942</v>
      </c>
      <c r="EY150" s="1">
        <v>511062.99609515566</v>
      </c>
      <c r="EZ150" s="1">
        <v>864357.8081944139</v>
      </c>
      <c r="FA150" s="1">
        <v>172847.13492692303</v>
      </c>
      <c r="FB150" s="1">
        <v>150813.86816935721</v>
      </c>
      <c r="FC150" s="1">
        <v>257488.2639701009</v>
      </c>
      <c r="FD150" s="1">
        <v>245607.99642150372</v>
      </c>
      <c r="FE150" s="1">
        <v>314770.09951213072</v>
      </c>
      <c r="FF150" s="1">
        <v>13788.095996801943</v>
      </c>
      <c r="FG150" s="1">
        <v>2530736.2632863875</v>
      </c>
      <c r="FH150" s="1">
        <v>2215966.1637742566</v>
      </c>
      <c r="FJ150" s="1">
        <v>1942</v>
      </c>
      <c r="FK150" s="1">
        <v>429349.8687514647</v>
      </c>
      <c r="FL150" s="1">
        <v>101541.57701836756</v>
      </c>
      <c r="FM150" s="1">
        <v>26504.191704971097</v>
      </c>
      <c r="FN150" s="1">
        <v>16389.171879066776</v>
      </c>
      <c r="FO150" s="1">
        <v>66800.21959322982</v>
      </c>
      <c r="FP150" s="1">
        <v>32566.520643182856</v>
      </c>
      <c r="FQ150" s="1">
        <v>7858.1709102801669</v>
      </c>
      <c r="FR150" s="1">
        <v>681009.72050056304</v>
      </c>
      <c r="FS150" s="1">
        <v>1189600.7807159626</v>
      </c>
      <c r="HC150" s="1">
        <v>1942</v>
      </c>
      <c r="HD150" s="1">
        <v>977.48076397709133</v>
      </c>
      <c r="HE150" s="1">
        <v>2884.3190313873952</v>
      </c>
      <c r="HF150" s="1">
        <v>750.79299593125177</v>
      </c>
      <c r="HG150" s="1">
        <v>801.32166257158713</v>
      </c>
      <c r="HH150" s="1">
        <v>1531.1151391392789</v>
      </c>
      <c r="HI150" s="1">
        <v>1884.6270364929824</v>
      </c>
      <c r="HJ150" s="1">
        <v>49.081145211551316</v>
      </c>
      <c r="HK150" s="2">
        <v>8878.7377747111386</v>
      </c>
      <c r="HL150" s="1">
        <v>6994.1107382181544</v>
      </c>
      <c r="HN150" s="1">
        <v>1942</v>
      </c>
      <c r="HO150" s="1">
        <v>1034.0918112102108</v>
      </c>
      <c r="HP150" s="1">
        <v>364.23330517045406</v>
      </c>
      <c r="HQ150" s="1">
        <v>128.97972989003571</v>
      </c>
      <c r="HR150" s="1">
        <v>93.783690900878412</v>
      </c>
      <c r="HS150" s="1">
        <v>432.05770224624166</v>
      </c>
      <c r="HT150" s="1">
        <v>32.388512695429213</v>
      </c>
      <c r="HU150" s="2">
        <v>2085.5347521132499</v>
      </c>
      <c r="HW150" s="1">
        <v>1942</v>
      </c>
      <c r="HX150" s="1">
        <v>249.30029152462544</v>
      </c>
      <c r="HY150" s="1">
        <v>1453.9346384879418</v>
      </c>
      <c r="HZ150" s="1">
        <v>259.43205148896698</v>
      </c>
      <c r="IA150" s="1">
        <v>368.09956102959154</v>
      </c>
      <c r="IB150" s="1">
        <v>649.6862918319224</v>
      </c>
      <c r="IC150" s="1">
        <v>170.57643426694065</v>
      </c>
      <c r="ID150" s="1">
        <v>1605.0671382271801</v>
      </c>
      <c r="IE150" s="2">
        <v>4756.0964068571693</v>
      </c>
      <c r="IF150" s="1">
        <v>4585.5199725902285</v>
      </c>
      <c r="IH150" s="1">
        <v>1942</v>
      </c>
      <c r="II150" s="1">
        <v>233.83797439402451</v>
      </c>
      <c r="IJ150" s="1">
        <v>43.022465428794412</v>
      </c>
      <c r="IK150" s="1">
        <v>12.863998886066522</v>
      </c>
      <c r="IL150" s="1">
        <v>258.52522549436219</v>
      </c>
      <c r="IM150" s="1">
        <v>29.364875496213514</v>
      </c>
      <c r="IN150" s="1">
        <v>8.7802900625948208</v>
      </c>
      <c r="IO150" s="1">
        <v>0.48711969201092131</v>
      </c>
    </row>
    <row r="151" spans="1:249" x14ac:dyDescent="0.25">
      <c r="A151" s="1" t="s">
        <v>242</v>
      </c>
      <c r="B151" s="1">
        <v>4.5607882999334777</v>
      </c>
      <c r="C151" s="1">
        <v>4.3851728170513269</v>
      </c>
      <c r="D151" s="1">
        <v>4.6988949607946324</v>
      </c>
      <c r="E151" s="1">
        <v>4.4228638133902081</v>
      </c>
      <c r="F151" s="1">
        <v>5.0332054734916198</v>
      </c>
      <c r="G151" s="1">
        <v>5.4923729727507293</v>
      </c>
      <c r="H151" s="1">
        <v>5.6548317476559475</v>
      </c>
      <c r="J151" s="1">
        <v>1943</v>
      </c>
      <c r="K151" s="2">
        <v>18750.522620856402</v>
      </c>
      <c r="L151" s="1">
        <v>16998.641556390357</v>
      </c>
      <c r="M151" s="1">
        <v>16795.205790675045</v>
      </c>
      <c r="N151" s="1">
        <v>15043.324726209003</v>
      </c>
      <c r="O151" s="1">
        <v>1955.3168301813553</v>
      </c>
      <c r="P151" s="1">
        <v>1751.8810644660439</v>
      </c>
      <c r="Q151" s="1">
        <v>16930.818391176519</v>
      </c>
      <c r="R151" s="1">
        <v>35681.341012032921</v>
      </c>
      <c r="S151" s="1">
        <v>33929.45994756688</v>
      </c>
      <c r="U151" s="1">
        <v>1943</v>
      </c>
      <c r="V151" s="1">
        <v>2888.9478470762324</v>
      </c>
      <c r="W151" s="1">
        <v>58005.300400739761</v>
      </c>
      <c r="X151" s="1">
        <v>4.5472624630898792</v>
      </c>
      <c r="Y151" s="1">
        <v>2619.0304089407596</v>
      </c>
      <c r="Z151" s="1">
        <v>52753.623350995651</v>
      </c>
      <c r="AA151" s="1">
        <v>3.624023895683905</v>
      </c>
      <c r="AB151" s="1">
        <v>6490433.0619304599</v>
      </c>
      <c r="AC151" s="1">
        <v>0.9040031153322019</v>
      </c>
      <c r="AE151" s="1">
        <v>1943</v>
      </c>
      <c r="AF151" s="1">
        <v>2406.882647450941</v>
      </c>
      <c r="AG151" s="1">
        <v>5153.769059459767</v>
      </c>
      <c r="AH151" s="1">
        <v>1227.2257868352142</v>
      </c>
      <c r="AI151" s="1">
        <v>1416.3746940717058</v>
      </c>
      <c r="AJ151" s="1">
        <v>1793.3186820956107</v>
      </c>
      <c r="AK151" s="1">
        <v>1073.4265755847582</v>
      </c>
      <c r="AL151" s="1">
        <v>2186.571876876088</v>
      </c>
      <c r="AM151" s="1">
        <v>1741.0722340162718</v>
      </c>
      <c r="AN151" s="2">
        <v>16998.641556390357</v>
      </c>
      <c r="AP151" s="1" t="s">
        <v>242</v>
      </c>
      <c r="AQ151" s="1">
        <v>7.4375682639263658</v>
      </c>
      <c r="AR151" s="1">
        <v>3.15674815621405</v>
      </c>
      <c r="AS151" s="1">
        <v>6.1605801143036985</v>
      </c>
      <c r="AT151" s="1">
        <v>2.9751050328812596</v>
      </c>
      <c r="AU151" s="1">
        <v>8.0855483092988436</v>
      </c>
      <c r="AV151" s="1">
        <v>2.9776440138136451</v>
      </c>
      <c r="AW151" s="1">
        <v>5.9036669704969853</v>
      </c>
      <c r="AX151" s="1">
        <v>0.94039412743424577</v>
      </c>
      <c r="AY151" s="1">
        <v>4.5607882999334777</v>
      </c>
      <c r="BA151" s="1">
        <v>1943</v>
      </c>
      <c r="BB151" s="1">
        <v>12304.710087556437</v>
      </c>
      <c r="BC151" s="1">
        <v>3198.478533966485</v>
      </c>
      <c r="BD151" s="1">
        <v>2229.7531330113188</v>
      </c>
      <c r="BE151" s="1">
        <v>1060.5640568413492</v>
      </c>
      <c r="BF151" s="1">
        <v>44.380758545282035</v>
      </c>
      <c r="BG151" s="1">
        <v>213.29613424466481</v>
      </c>
      <c r="BH151" s="1">
        <v>1747.6310080941696</v>
      </c>
      <c r="BI151" s="1">
        <v>2048.2910914033059</v>
      </c>
      <c r="BJ151" s="1">
        <v>18750.522620856398</v>
      </c>
      <c r="BL151" s="1" t="s">
        <v>242</v>
      </c>
      <c r="BM151" s="1">
        <v>4.6036800800555682</v>
      </c>
      <c r="BN151" s="1">
        <v>3.4833946989976141</v>
      </c>
      <c r="BO151" s="1">
        <v>14.834369091445623</v>
      </c>
      <c r="BP151" s="1">
        <v>-6.6666666666666572</v>
      </c>
      <c r="BQ151" s="1">
        <v>0</v>
      </c>
      <c r="BR151" s="1">
        <v>5.4923729727507293</v>
      </c>
      <c r="BT151" s="1" t="s">
        <v>242</v>
      </c>
      <c r="BU151" s="1">
        <v>3.1984038517351792</v>
      </c>
      <c r="BV151" s="1">
        <v>1.5020637524942799</v>
      </c>
      <c r="BW151" s="1">
        <v>4.8263718705795071</v>
      </c>
      <c r="BX151" s="1">
        <v>-0.90723230258114995</v>
      </c>
      <c r="BY151" s="1">
        <v>1.9101123595505669</v>
      </c>
      <c r="BZ151" s="1">
        <v>2.9153583549696123</v>
      </c>
      <c r="CB151" s="1">
        <v>1943</v>
      </c>
      <c r="CC151" s="1">
        <v>227.5966166480294</v>
      </c>
      <c r="CD151" s="1">
        <v>1162.0602099247862</v>
      </c>
      <c r="CE151" s="1">
        <v>68.520442992831178</v>
      </c>
      <c r="CF151" s="1">
        <v>377.06764945009064</v>
      </c>
      <c r="CG151" s="1">
        <v>190.3283714502719</v>
      </c>
      <c r="CH151" s="1">
        <v>402.69261211845043</v>
      </c>
      <c r="CI151" s="1">
        <v>1119.7281800581552</v>
      </c>
      <c r="CJ151" s="1">
        <v>3547.9940826426155</v>
      </c>
      <c r="CL151" s="1">
        <v>1943</v>
      </c>
      <c r="CM151" s="1">
        <v>161.21320732573463</v>
      </c>
      <c r="CN151" s="1">
        <v>546.63081913557039</v>
      </c>
      <c r="CO151" s="1">
        <v>42.557735396359561</v>
      </c>
      <c r="CP151" s="1">
        <v>347.55907073179333</v>
      </c>
      <c r="CQ151" s="1">
        <v>96.411930498948664</v>
      </c>
      <c r="CR151" s="1">
        <v>191.26449885255465</v>
      </c>
      <c r="CS151" s="1">
        <v>569.67956824039413</v>
      </c>
      <c r="CT151" s="2">
        <v>1955.3168301813553</v>
      </c>
      <c r="CV151" s="1">
        <v>1943</v>
      </c>
      <c r="CW151" s="1">
        <v>18513.901483082067</v>
      </c>
      <c r="CX151" s="1">
        <v>17683.893907154255</v>
      </c>
      <c r="CY151" s="1">
        <v>5142.6832822633987</v>
      </c>
      <c r="CZ151" s="1">
        <v>805.4724739918928</v>
      </c>
      <c r="DA151" s="1">
        <v>6549.8542330429782</v>
      </c>
      <c r="DB151" s="1">
        <v>48695.805379534591</v>
      </c>
      <c r="DC151" s="1">
        <v>44005.94054651184</v>
      </c>
      <c r="DD151" s="1">
        <v>13257.717288792792</v>
      </c>
      <c r="DF151" s="1">
        <v>1943</v>
      </c>
      <c r="DG151" s="1">
        <v>2.6790466524721381</v>
      </c>
      <c r="DH151" s="1">
        <v>2.9710032340854298</v>
      </c>
      <c r="DI151" s="1">
        <v>2.3732457192331395</v>
      </c>
      <c r="DJ151" s="1">
        <v>7.0754291411816865</v>
      </c>
      <c r="DK151" s="1">
        <v>5.5099038115272521</v>
      </c>
      <c r="DL151" s="1">
        <v>3.2565020022677658</v>
      </c>
      <c r="DM151" s="1">
        <v>3.2665838473707254</v>
      </c>
      <c r="DN151" s="1">
        <v>3.1363255123993667</v>
      </c>
      <c r="DO151" s="1">
        <v>4.3527051540158226</v>
      </c>
      <c r="DQ151" s="1">
        <v>1943</v>
      </c>
      <c r="DR151" s="1">
        <v>33422.403067480045</v>
      </c>
      <c r="DS151" s="1">
        <v>34995.08811907631</v>
      </c>
      <c r="DT151" s="1">
        <v>8901.198532978482</v>
      </c>
      <c r="DU151" s="1">
        <v>805.4724739918928</v>
      </c>
      <c r="DV151" s="1">
        <v>6549.8542330429782</v>
      </c>
      <c r="DW151" s="1">
        <v>84674.016426569695</v>
      </c>
      <c r="DX151" s="1">
        <v>77430.083614366958</v>
      </c>
      <c r="DY151" s="1">
        <v>19541.385025919353</v>
      </c>
      <c r="EA151" s="1">
        <v>1943</v>
      </c>
      <c r="EB151" s="1">
        <v>2.3770544140063521</v>
      </c>
      <c r="EC151" s="1">
        <v>2.6688180507968156</v>
      </c>
      <c r="ED151" s="1">
        <v>2.0983010292853805</v>
      </c>
      <c r="EE151" s="1">
        <v>7.1595117827530856</v>
      </c>
      <c r="EF151" s="1">
        <v>5.5099038115272521</v>
      </c>
      <c r="EG151" s="1">
        <v>3.2565020022677658</v>
      </c>
      <c r="EH151" s="1">
        <v>2.9760690096579197</v>
      </c>
      <c r="EI151" s="1">
        <v>2.8114896225296775</v>
      </c>
      <c r="EJ151" s="1">
        <v>4.3694443191338479</v>
      </c>
      <c r="EL151" s="1">
        <v>1943</v>
      </c>
      <c r="EM151" s="1">
        <v>900254.54588258499</v>
      </c>
      <c r="EN151" s="1">
        <v>996852.07005710015</v>
      </c>
      <c r="EO151" s="1">
        <v>201708.82640591715</v>
      </c>
      <c r="EP151" s="1">
        <v>170089.31297111849</v>
      </c>
      <c r="EQ151" s="1">
        <v>347637.69216411852</v>
      </c>
      <c r="ER151" s="1">
        <v>282184.03607992124</v>
      </c>
      <c r="ES151" s="1">
        <v>332770.86254450917</v>
      </c>
      <c r="ET151" s="1">
        <v>22273.542637691426</v>
      </c>
      <c r="EU151" s="1">
        <v>3253770.8887429605</v>
      </c>
      <c r="EV151" s="1">
        <v>2921000.0261984519</v>
      </c>
      <c r="EX151" s="1">
        <v>1943</v>
      </c>
      <c r="EY151" s="1">
        <v>480674.16291535873</v>
      </c>
      <c r="EZ151" s="1">
        <v>896533.88553292979</v>
      </c>
      <c r="FA151" s="1">
        <v>175797.0748290151</v>
      </c>
      <c r="FB151" s="1">
        <v>154535.2581304755</v>
      </c>
      <c r="FC151" s="1">
        <v>277851.27032477211</v>
      </c>
      <c r="FD151" s="1">
        <v>249067.54867811641</v>
      </c>
      <c r="FE151" s="1">
        <v>332770.86254450917</v>
      </c>
      <c r="FF151" s="1">
        <v>14514.780086452298</v>
      </c>
      <c r="FG151" s="1">
        <v>2581744.8430416291</v>
      </c>
      <c r="FH151" s="1">
        <v>2248973.9804971199</v>
      </c>
      <c r="FJ151" s="1">
        <v>1943</v>
      </c>
      <c r="FK151" s="1">
        <v>419580.38296722632</v>
      </c>
      <c r="FL151" s="1">
        <v>100318.18452417036</v>
      </c>
      <c r="FM151" s="1">
        <v>25911.75157690205</v>
      </c>
      <c r="FN151" s="1">
        <v>15554.054840642993</v>
      </c>
      <c r="FO151" s="1">
        <v>69786.421839346411</v>
      </c>
      <c r="FP151" s="1">
        <v>33116.487401804807</v>
      </c>
      <c r="FQ151" s="1">
        <v>7758.7625512391278</v>
      </c>
      <c r="FR151" s="1">
        <v>672026.04570133192</v>
      </c>
      <c r="FS151" s="1">
        <v>1206242.0041212749</v>
      </c>
      <c r="HC151" s="1">
        <v>1943</v>
      </c>
      <c r="HD151" s="1">
        <v>979.08874150548979</v>
      </c>
      <c r="HE151" s="1">
        <v>3186.1649105167753</v>
      </c>
      <c r="HF151" s="1">
        <v>839.55700453105419</v>
      </c>
      <c r="HG151" s="1">
        <v>827.91866979145925</v>
      </c>
      <c r="HH151" s="1">
        <v>1729.2517003975233</v>
      </c>
      <c r="HI151" s="1">
        <v>1995.3073780235325</v>
      </c>
      <c r="HJ151" s="1">
        <v>55.372609352003181</v>
      </c>
      <c r="HK151" s="2">
        <v>9612.6610141178371</v>
      </c>
      <c r="HL151" s="1">
        <v>7617.3536360943053</v>
      </c>
      <c r="HN151" s="1">
        <v>1943</v>
      </c>
      <c r="HO151" s="1">
        <v>1076.2184540387429</v>
      </c>
      <c r="HP151" s="1">
        <v>383.23681336393128</v>
      </c>
      <c r="HQ151" s="1">
        <v>138.63860760616541</v>
      </c>
      <c r="HR151" s="1">
        <v>89.744620740652095</v>
      </c>
      <c r="HS151" s="1">
        <v>478.7571697552919</v>
      </c>
      <c r="HT151" s="1">
        <v>34.271738561493287</v>
      </c>
      <c r="HU151" s="2">
        <v>2200.8674040662772</v>
      </c>
      <c r="HW151" s="1">
        <v>1943</v>
      </c>
      <c r="HX151" s="1">
        <v>432.83145190670803</v>
      </c>
      <c r="HY151" s="1">
        <v>1584.3673355790606</v>
      </c>
      <c r="HZ151" s="1">
        <v>249.03017469799465</v>
      </c>
      <c r="IA151" s="1">
        <v>417.45540353959439</v>
      </c>
      <c r="IB151" s="1">
        <v>658.73638752755346</v>
      </c>
      <c r="IC151" s="1">
        <v>191.26449885255559</v>
      </c>
      <c r="ID151" s="1">
        <v>1651.4278861027753</v>
      </c>
      <c r="IE151" s="2">
        <v>5185.1131382062431</v>
      </c>
      <c r="IF151" s="1">
        <v>4993.8486393536868</v>
      </c>
      <c r="IH151" s="1">
        <v>1943</v>
      </c>
      <c r="II151" s="1">
        <v>230.03589865580824</v>
      </c>
      <c r="IJ151" s="1">
        <v>42.598036215429843</v>
      </c>
      <c r="IK151" s="1">
        <v>12.986150085422377</v>
      </c>
      <c r="IL151" s="1">
        <v>254.1401874312163</v>
      </c>
      <c r="IM151" s="1">
        <v>29.073121960484954</v>
      </c>
      <c r="IN151" s="1">
        <v>8.8630359230947775</v>
      </c>
      <c r="IO151" s="1">
        <v>3.1997928012838628</v>
      </c>
    </row>
    <row r="152" spans="1:249" x14ac:dyDescent="0.25">
      <c r="A152" s="1" t="s">
        <v>243</v>
      </c>
      <c r="B152" s="1">
        <v>2.9078717966515484</v>
      </c>
      <c r="C152" s="1">
        <v>2.674240998724045</v>
      </c>
      <c r="D152" s="1">
        <v>3.0795196699020693</v>
      </c>
      <c r="E152" s="1">
        <v>2.736509751201595</v>
      </c>
      <c r="F152" s="1">
        <v>3.4022351672150677</v>
      </c>
      <c r="G152" s="1">
        <v>3.0906088890080099</v>
      </c>
      <c r="H152" s="1">
        <v>2.954307330803303</v>
      </c>
      <c r="J152" s="1">
        <v>1944</v>
      </c>
      <c r="K152" s="2">
        <v>19590.588113375998</v>
      </c>
      <c r="L152" s="1">
        <v>17691.431600582535</v>
      </c>
      <c r="M152" s="1">
        <v>17535.163318485134</v>
      </c>
      <c r="N152" s="1">
        <v>15636.006805691672</v>
      </c>
      <c r="O152" s="1">
        <v>2055.4247948908642</v>
      </c>
      <c r="P152" s="1">
        <v>1899.1565127934639</v>
      </c>
      <c r="Q152" s="1">
        <v>18095.774416087192</v>
      </c>
      <c r="R152" s="1">
        <v>37686.362529463193</v>
      </c>
      <c r="S152" s="1">
        <v>35787.206016669727</v>
      </c>
      <c r="U152" s="1">
        <v>1944</v>
      </c>
      <c r="V152" s="1">
        <v>2986.3784785185162</v>
      </c>
      <c r="W152" s="1">
        <v>59164.041581393009</v>
      </c>
      <c r="X152" s="1">
        <v>1.9976470644025284</v>
      </c>
      <c r="Y152" s="1">
        <v>2696.8721041145627</v>
      </c>
      <c r="Z152" s="1">
        <v>53712.076154747432</v>
      </c>
      <c r="AA152" s="1">
        <v>1.8168473421715987</v>
      </c>
      <c r="AB152" s="1">
        <v>6559981.6815899722</v>
      </c>
      <c r="AC152" s="1">
        <v>1.0715559192413338</v>
      </c>
      <c r="AE152" s="1">
        <v>1944</v>
      </c>
      <c r="AF152" s="1">
        <v>2591.5535449807458</v>
      </c>
      <c r="AG152" s="1">
        <v>5327.473261912095</v>
      </c>
      <c r="AH152" s="1">
        <v>1256.8950511484736</v>
      </c>
      <c r="AI152" s="1">
        <v>1476.6133315743139</v>
      </c>
      <c r="AJ152" s="1">
        <v>1899.0202587044303</v>
      </c>
      <c r="AK152" s="1">
        <v>1122.0744609805208</v>
      </c>
      <c r="AL152" s="1">
        <v>2182.8117244436808</v>
      </c>
      <c r="AM152" s="1">
        <v>1834.9899668382759</v>
      </c>
      <c r="AN152" s="2">
        <v>17691.431600582535</v>
      </c>
      <c r="AP152" s="1" t="s">
        <v>243</v>
      </c>
      <c r="AQ152" s="1">
        <v>4.1160513721053604</v>
      </c>
      <c r="AR152" s="1">
        <v>5.1017524906276321</v>
      </c>
      <c r="AS152" s="1">
        <v>2.5916502331565567</v>
      </c>
      <c r="AT152" s="1">
        <v>1.705715931347541</v>
      </c>
      <c r="AU152" s="1">
        <v>8.1700022291404792</v>
      </c>
      <c r="AV152" s="1">
        <v>1.3007844399369475</v>
      </c>
      <c r="AW152" s="1">
        <v>-4.9515380960967263</v>
      </c>
      <c r="AX152" s="1">
        <v>1.733594655909215</v>
      </c>
      <c r="AY152" s="1">
        <v>2.9078717966515484</v>
      </c>
      <c r="BA152" s="1">
        <v>1944</v>
      </c>
      <c r="BB152" s="1">
        <v>12842.840915588995</v>
      </c>
      <c r="BC152" s="1">
        <v>3411.0821504218979</v>
      </c>
      <c r="BD152" s="1">
        <v>2386.3867460528081</v>
      </c>
      <c r="BE152" s="1">
        <v>1158.7757043774552</v>
      </c>
      <c r="BF152" s="1">
        <v>23.794192693967183</v>
      </c>
      <c r="BG152" s="1">
        <v>305.79232571204153</v>
      </c>
      <c r="BH152" s="1">
        <v>1355.5126387732341</v>
      </c>
      <c r="BI152" s="1">
        <v>1893.5965602444016</v>
      </c>
      <c r="BJ152" s="1">
        <v>19590.588113375998</v>
      </c>
      <c r="BL152" s="1" t="s">
        <v>243</v>
      </c>
      <c r="BM152" s="1">
        <v>3.4250577917697598</v>
      </c>
      <c r="BN152" s="1">
        <v>3.6679476449177315</v>
      </c>
      <c r="BO152" s="1">
        <v>8.9371420202879932</v>
      </c>
      <c r="BP152" s="1">
        <v>-25.476190476190467</v>
      </c>
      <c r="BQ152" s="1">
        <v>-8.6330935251798593</v>
      </c>
      <c r="BR152" s="1">
        <v>3.0906088890079815</v>
      </c>
      <c r="BT152" s="1" t="s">
        <v>243</v>
      </c>
      <c r="BU152" s="1">
        <v>0.9169101743767385</v>
      </c>
      <c r="BV152" s="1">
        <v>2.8736710027943388</v>
      </c>
      <c r="BW152" s="1">
        <v>0.25007523187751701</v>
      </c>
      <c r="BX152" s="1">
        <v>4.077962687166675</v>
      </c>
      <c r="BY152" s="1">
        <v>1.1828386391061798</v>
      </c>
      <c r="BZ152" s="1">
        <v>1.3479554943045713</v>
      </c>
      <c r="CB152" s="1">
        <v>1944</v>
      </c>
      <c r="CC152" s="1">
        <v>245.54163945537863</v>
      </c>
      <c r="CD152" s="1">
        <v>1120.1539890393146</v>
      </c>
      <c r="CE152" s="1">
        <v>67.362060256008732</v>
      </c>
      <c r="CF152" s="1">
        <v>483.20419770869421</v>
      </c>
      <c r="CG152" s="1">
        <v>209.23899116344541</v>
      </c>
      <c r="CH152" s="1">
        <v>424.3112004681177</v>
      </c>
      <c r="CI152" s="1">
        <v>1324.9368907453122</v>
      </c>
      <c r="CJ152" s="1">
        <v>3874.7489688362716</v>
      </c>
      <c r="CL152" s="1">
        <v>1944</v>
      </c>
      <c r="CM152" s="1">
        <v>166.40234814595163</v>
      </c>
      <c r="CN152" s="1">
        <v>574.64139362715605</v>
      </c>
      <c r="CO152" s="1">
        <v>43.891279348106131</v>
      </c>
      <c r="CP152" s="1">
        <v>368.16115295185284</v>
      </c>
      <c r="CQ152" s="1">
        <v>101.33455467500036</v>
      </c>
      <c r="CR152" s="1">
        <v>204.69484152047511</v>
      </c>
      <c r="CS152" s="1">
        <v>596.29922462232173</v>
      </c>
      <c r="CT152" s="2">
        <v>2055.4247948908642</v>
      </c>
      <c r="CV152" s="1">
        <v>1944</v>
      </c>
      <c r="CW152" s="1">
        <v>19262.074271248708</v>
      </c>
      <c r="CX152" s="1">
        <v>18274.793635002763</v>
      </c>
      <c r="CY152" s="1">
        <v>5534.9701304040545</v>
      </c>
      <c r="CZ152" s="1">
        <v>841.09185900586385</v>
      </c>
      <c r="DA152" s="1">
        <v>6561.4377450498059</v>
      </c>
      <c r="DB152" s="1">
        <v>50474.3676407112</v>
      </c>
      <c r="DC152" s="1">
        <v>45556.847839174428</v>
      </c>
      <c r="DD152" s="1">
        <v>13753.310347669598</v>
      </c>
      <c r="DF152" s="1">
        <v>1944</v>
      </c>
      <c r="DG152" s="1">
        <v>2.8795258921967957</v>
      </c>
      <c r="DH152" s="1">
        <v>3.782758055349106</v>
      </c>
      <c r="DI152" s="1">
        <v>1.9276396765844908</v>
      </c>
      <c r="DJ152" s="1">
        <v>7.3849002198572862</v>
      </c>
      <c r="DK152" s="1">
        <v>2.8289648079689016</v>
      </c>
      <c r="DL152" s="1">
        <v>4.6604469568082436</v>
      </c>
      <c r="DM152" s="1">
        <v>3.6051134427995919</v>
      </c>
      <c r="DN152" s="1">
        <v>3.5115838503331673</v>
      </c>
      <c r="DO152" s="1">
        <v>4.5091518753956876</v>
      </c>
      <c r="DQ152" s="1">
        <v>1944</v>
      </c>
      <c r="DR152" s="1">
        <v>34671.00218697048</v>
      </c>
      <c r="DS152" s="1">
        <v>36074.250012350443</v>
      </c>
      <c r="DT152" s="1">
        <v>9593.2943752799638</v>
      </c>
      <c r="DU152" s="1">
        <v>841.09185900586385</v>
      </c>
      <c r="DV152" s="1">
        <v>6561.4377450498059</v>
      </c>
      <c r="DW152" s="1">
        <v>87741.076178656542</v>
      </c>
      <c r="DX152" s="1">
        <v>80125.015112704219</v>
      </c>
      <c r="DY152" s="1">
        <v>20364.581800230702</v>
      </c>
      <c r="EA152" s="1">
        <v>1944</v>
      </c>
      <c r="EB152" s="1">
        <v>2.4954832246411485</v>
      </c>
      <c r="EC152" s="1">
        <v>3.1421772076934928</v>
      </c>
      <c r="ED152" s="1">
        <v>1.8740187040550182</v>
      </c>
      <c r="EE152" s="1">
        <v>7.3679961435210544</v>
      </c>
      <c r="EF152" s="1">
        <v>2.8289648079689016</v>
      </c>
      <c r="EG152" s="1">
        <v>4.6604469568082436</v>
      </c>
      <c r="EH152" s="1">
        <v>3.1943649654382824</v>
      </c>
      <c r="EI152" s="1">
        <v>3.0469940448707007</v>
      </c>
      <c r="EJ152" s="1">
        <v>4.4718303823355825</v>
      </c>
      <c r="EL152" s="1">
        <v>1944</v>
      </c>
      <c r="EM152" s="1">
        <v>894554.19833808101</v>
      </c>
      <c r="EN152" s="1">
        <v>1014304.1157671948</v>
      </c>
      <c r="EO152" s="1">
        <v>208971.93118941027</v>
      </c>
      <c r="EP152" s="1">
        <v>179069.87450796863</v>
      </c>
      <c r="EQ152" s="1">
        <v>347875.12777787127</v>
      </c>
      <c r="ER152" s="1">
        <v>286120.74557500891</v>
      </c>
      <c r="ES152" s="1">
        <v>312459.1907444605</v>
      </c>
      <c r="ET152" s="1">
        <v>21778.931672125673</v>
      </c>
      <c r="EU152" s="1">
        <v>3265134.1155721215</v>
      </c>
      <c r="EV152" s="1">
        <v>2952674.9248276604</v>
      </c>
      <c r="EX152" s="1">
        <v>1944</v>
      </c>
      <c r="EY152" s="1">
        <v>473197.54522826581</v>
      </c>
      <c r="EZ152" s="1">
        <v>913849.99874366913</v>
      </c>
      <c r="FA152" s="1">
        <v>184178.83308887001</v>
      </c>
      <c r="FB152" s="1">
        <v>161741.1959606751</v>
      </c>
      <c r="FC152" s="1">
        <v>280031.71118618455</v>
      </c>
      <c r="FD152" s="1">
        <v>253330.74791999749</v>
      </c>
      <c r="FE152" s="1">
        <v>312459.1907444605</v>
      </c>
      <c r="FF152" s="1">
        <v>14280.038590557782</v>
      </c>
      <c r="FG152" s="1">
        <v>2593069.2614626805</v>
      </c>
      <c r="FH152" s="1">
        <v>2280610.07071822</v>
      </c>
      <c r="FJ152" s="1">
        <v>1944</v>
      </c>
      <c r="FK152" s="1">
        <v>421356.6531098152</v>
      </c>
      <c r="FL152" s="1">
        <v>100454.11702352561</v>
      </c>
      <c r="FM152" s="1">
        <v>24793.09810054025</v>
      </c>
      <c r="FN152" s="1">
        <v>17328.678547293537</v>
      </c>
      <c r="FO152" s="1">
        <v>67843.41659168672</v>
      </c>
      <c r="FP152" s="1">
        <v>32789.997655011488</v>
      </c>
      <c r="FQ152" s="1">
        <v>7498.8930815678905</v>
      </c>
      <c r="FR152" s="1">
        <v>672064.8541094407</v>
      </c>
      <c r="FS152" s="1">
        <v>1223116.0201751082</v>
      </c>
      <c r="HC152" s="1">
        <v>1944</v>
      </c>
      <c r="HD152" s="1">
        <v>1003.5959383563247</v>
      </c>
      <c r="HE152" s="1">
        <v>3396.6457783256787</v>
      </c>
      <c r="HF152" s="1">
        <v>854.06063266215608</v>
      </c>
      <c r="HG152" s="1">
        <v>887.76711701635463</v>
      </c>
      <c r="HH152" s="1">
        <v>1853.8612824854649</v>
      </c>
      <c r="HI152" s="1">
        <v>1978.1168829232076</v>
      </c>
      <c r="HJ152" s="1">
        <v>58.970477416840609</v>
      </c>
      <c r="HK152" s="2">
        <v>10033.018109186029</v>
      </c>
      <c r="HL152" s="1">
        <v>8054.9012262628203</v>
      </c>
      <c r="HN152" s="1">
        <v>1944</v>
      </c>
      <c r="HO152" s="1">
        <v>1125.3309135149957</v>
      </c>
      <c r="HP152" s="1">
        <v>401.35538870885631</v>
      </c>
      <c r="HQ152" s="1">
        <v>128.80379447041102</v>
      </c>
      <c r="HR152" s="1">
        <v>102.43504358239761</v>
      </c>
      <c r="HS152" s="1">
        <v>497.32493085173792</v>
      </c>
      <c r="HT152" s="1">
        <v>35.855977791937391</v>
      </c>
      <c r="HU152" s="2">
        <v>2291.1060489203355</v>
      </c>
      <c r="HW152" s="1">
        <v>1944</v>
      </c>
      <c r="HX152" s="1">
        <v>542.15869310942526</v>
      </c>
      <c r="HY152" s="1">
        <v>1529.4720948775598</v>
      </c>
      <c r="HZ152" s="1">
        <v>274.03062401590648</v>
      </c>
      <c r="IA152" s="1">
        <v>406.87917097556169</v>
      </c>
      <c r="IB152" s="1">
        <v>669.9085063477487</v>
      </c>
      <c r="IC152" s="1">
        <v>204.69484152047289</v>
      </c>
      <c r="ID152" s="1">
        <v>1740.1635116294979</v>
      </c>
      <c r="IE152" s="2">
        <v>5367.3074424761726</v>
      </c>
      <c r="IF152" s="1">
        <v>5162.6126009556992</v>
      </c>
      <c r="IH152" s="1">
        <v>1944</v>
      </c>
      <c r="II152" s="1">
        <v>229.9936345538402</v>
      </c>
      <c r="IJ152" s="1">
        <v>38.444296019422929</v>
      </c>
      <c r="IK152" s="1">
        <v>12.073718026401682</v>
      </c>
      <c r="IL152" s="1">
        <v>254.44476857533436</v>
      </c>
      <c r="IM152" s="1">
        <v>25.140347758132258</v>
      </c>
      <c r="IN152" s="1">
        <v>7.8955138042848958</v>
      </c>
      <c r="IO152" s="1">
        <v>3.6358124481565426</v>
      </c>
    </row>
    <row r="153" spans="1:249" x14ac:dyDescent="0.25">
      <c r="A153" s="1" t="s">
        <v>244</v>
      </c>
      <c r="B153" s="1">
        <v>1.4035802203161438</v>
      </c>
      <c r="C153" s="1">
        <v>1.1504329394780797</v>
      </c>
      <c r="D153" s="1">
        <v>1.388593682637179</v>
      </c>
      <c r="E153" s="1">
        <v>1.4185689731980489</v>
      </c>
      <c r="F153" s="1">
        <v>1.6981686704184114</v>
      </c>
      <c r="G153" s="1">
        <v>2.0762833989634828</v>
      </c>
      <c r="H153" s="1">
        <v>1.9817413616419373</v>
      </c>
      <c r="J153" s="1">
        <v>1945</v>
      </c>
      <c r="K153" s="2">
        <v>20239.698880823824</v>
      </c>
      <c r="L153" s="1">
        <v>18274.372593750839</v>
      </c>
      <c r="M153" s="1">
        <v>18096.0636464321</v>
      </c>
      <c r="N153" s="1">
        <v>16130.737359359113</v>
      </c>
      <c r="O153" s="1">
        <v>2143.635234391726</v>
      </c>
      <c r="P153" s="1">
        <v>1965.3262870729859</v>
      </c>
      <c r="Q153" s="1">
        <v>18873.574646311536</v>
      </c>
      <c r="R153" s="1">
        <v>39113.273527135359</v>
      </c>
      <c r="S153" s="1">
        <v>37147.947240062378</v>
      </c>
      <c r="U153" s="1">
        <v>1945</v>
      </c>
      <c r="V153" s="1">
        <v>3050.242837594089</v>
      </c>
      <c r="W153" s="1">
        <v>59705.684034639642</v>
      </c>
      <c r="X153" s="1">
        <v>0.91549265190325002</v>
      </c>
      <c r="Y153" s="1">
        <v>2754.0564928278891</v>
      </c>
      <c r="Z153" s="1">
        <v>53846.592311454377</v>
      </c>
      <c r="AA153" s="1">
        <v>0.25043931707162415</v>
      </c>
      <c r="AB153" s="1">
        <v>6635438.5399649357</v>
      </c>
      <c r="AC153" s="1">
        <v>1.1502601994564543</v>
      </c>
      <c r="AE153" s="1">
        <v>1945</v>
      </c>
      <c r="AF153" s="1">
        <v>2599.2276357611413</v>
      </c>
      <c r="AG153" s="1">
        <v>5440.7874333608079</v>
      </c>
      <c r="AH153" s="1">
        <v>1636.7281939818897</v>
      </c>
      <c r="AI153" s="1">
        <v>1543.1918954906348</v>
      </c>
      <c r="AJ153" s="1">
        <v>1897.8523608821195</v>
      </c>
      <c r="AK153" s="1">
        <v>1178.2914347547633</v>
      </c>
      <c r="AL153" s="1">
        <v>2046.4539065943372</v>
      </c>
      <c r="AM153" s="1">
        <v>1931.8397329251457</v>
      </c>
      <c r="AN153" s="2">
        <v>18274.372593750839</v>
      </c>
      <c r="AP153" s="1" t="s">
        <v>244</v>
      </c>
      <c r="AQ153" s="1">
        <v>1.4384465250820426</v>
      </c>
      <c r="AR153" s="1">
        <v>1.7313037898050396</v>
      </c>
      <c r="AS153" s="1">
        <v>13.740799948565936</v>
      </c>
      <c r="AT153" s="1">
        <v>4.7951457409124458</v>
      </c>
      <c r="AU153" s="1">
        <v>-3.3118411832064822</v>
      </c>
      <c r="AV153" s="1">
        <v>0.89289585834096385</v>
      </c>
      <c r="AW153" s="1">
        <v>-6.021390634190098</v>
      </c>
      <c r="AX153" s="1">
        <v>2.6967287266377582</v>
      </c>
      <c r="AY153" s="1">
        <v>1.4035802203161438</v>
      </c>
      <c r="BA153" s="1">
        <v>1945</v>
      </c>
      <c r="BB153" s="1">
        <v>11937.079458409849</v>
      </c>
      <c r="BC153" s="1">
        <v>3345.975921384595</v>
      </c>
      <c r="BD153" s="1">
        <v>2788.804741287845</v>
      </c>
      <c r="BE153" s="1">
        <v>785.11206697154034</v>
      </c>
      <c r="BF153" s="1">
        <v>17.050624172280706</v>
      </c>
      <c r="BG153" s="1">
        <v>274.15585447249947</v>
      </c>
      <c r="BH153" s="1">
        <v>2315.5265774555246</v>
      </c>
      <c r="BI153" s="1">
        <v>1224.0063633303109</v>
      </c>
      <c r="BJ153" s="1">
        <v>20239.698880823827</v>
      </c>
      <c r="BL153" s="1" t="s">
        <v>244</v>
      </c>
      <c r="BM153" s="1">
        <v>-7.5570271445389068</v>
      </c>
      <c r="BN153" s="1">
        <v>-1.6839163143818325</v>
      </c>
      <c r="BO153" s="1">
        <v>-1.276969162993808</v>
      </c>
      <c r="BP153" s="1">
        <v>54.952076677316285</v>
      </c>
      <c r="BQ153" s="1">
        <v>-36.876640419947513</v>
      </c>
      <c r="BR153" s="1">
        <v>2.0762833989634828</v>
      </c>
      <c r="BT153" s="1" t="s">
        <v>244</v>
      </c>
      <c r="BU153" s="1">
        <v>0.54560190895730898</v>
      </c>
      <c r="BV153" s="1">
        <v>-0.22860100562475338</v>
      </c>
      <c r="BW153" s="1">
        <v>1.0418525099941149</v>
      </c>
      <c r="BX153" s="1">
        <v>10.242435149240308</v>
      </c>
      <c r="BY153" s="1">
        <v>2.4014519542247683</v>
      </c>
      <c r="BZ153" s="1">
        <v>1.2119341236315648</v>
      </c>
      <c r="CB153" s="1">
        <v>1945</v>
      </c>
      <c r="CC153" s="1">
        <v>225.25487151590465</v>
      </c>
      <c r="CD153" s="1">
        <v>1031.6047635430057</v>
      </c>
      <c r="CE153" s="1">
        <v>68.226184269106369</v>
      </c>
      <c r="CF153" s="1">
        <v>356.03531129294799</v>
      </c>
      <c r="CG153" s="1">
        <v>205.13267012107249</v>
      </c>
      <c r="CH153" s="1">
        <v>363.88742840501135</v>
      </c>
      <c r="CI153" s="1">
        <v>1614.9820577571168</v>
      </c>
      <c r="CJ153" s="1">
        <v>3865.1232869041655</v>
      </c>
      <c r="CL153" s="1">
        <v>1945</v>
      </c>
      <c r="CM153" s="1">
        <v>174.16820357540806</v>
      </c>
      <c r="CN153" s="1">
        <v>600.57741777754723</v>
      </c>
      <c r="CO153" s="1">
        <v>49.657881041646597</v>
      </c>
      <c r="CP153" s="1">
        <v>366.99614360284363</v>
      </c>
      <c r="CQ153" s="1">
        <v>106.57916624675619</v>
      </c>
      <c r="CR153" s="1">
        <v>214.70527381187657</v>
      </c>
      <c r="CS153" s="1">
        <v>630.95114833564764</v>
      </c>
      <c r="CT153" s="2">
        <v>2143.635234391726</v>
      </c>
      <c r="CV153" s="1">
        <v>1945</v>
      </c>
      <c r="CW153" s="1">
        <v>20201.479843872989</v>
      </c>
      <c r="CX153" s="1">
        <v>18829.122021433341</v>
      </c>
      <c r="CY153" s="1">
        <v>6055.7963374263709</v>
      </c>
      <c r="CZ153" s="1">
        <v>837.85836258421136</v>
      </c>
      <c r="DA153" s="1">
        <v>6831.0783466626435</v>
      </c>
      <c r="DB153" s="1">
        <v>52755.33491197956</v>
      </c>
      <c r="DC153" s="1">
        <v>47553.343556616594</v>
      </c>
      <c r="DD153" s="1">
        <v>14488.722195440629</v>
      </c>
      <c r="DF153" s="1">
        <v>1945</v>
      </c>
      <c r="DG153" s="1">
        <v>3.6519633549284265</v>
      </c>
      <c r="DH153" s="1">
        <v>4.8710832920486098</v>
      </c>
      <c r="DI153" s="1">
        <v>2.3428793027223662</v>
      </c>
      <c r="DJ153" s="1">
        <v>5.7678033725466094E-2</v>
      </c>
      <c r="DK153" s="1">
        <v>2.0350246454175647</v>
      </c>
      <c r="DL153" s="1">
        <v>4.0133612961186458</v>
      </c>
      <c r="DM153" s="1">
        <v>3.2611547825447644</v>
      </c>
      <c r="DN153" s="1">
        <v>3.3032210608260755</v>
      </c>
      <c r="DO153" s="1">
        <v>2.3643603743246331</v>
      </c>
      <c r="DQ153" s="1">
        <v>1945</v>
      </c>
      <c r="DR153" s="1">
        <v>36137.459122103464</v>
      </c>
      <c r="DS153" s="1">
        <v>37146.646543397961</v>
      </c>
      <c r="DT153" s="1">
        <v>10493.489313107066</v>
      </c>
      <c r="DU153" s="1">
        <v>837.85836258421136</v>
      </c>
      <c r="DV153" s="1">
        <v>6831.0783466626435</v>
      </c>
      <c r="DW153" s="1">
        <v>91446.531687855357</v>
      </c>
      <c r="DX153" s="1">
        <v>83369.442572733853</v>
      </c>
      <c r="DY153" s="1">
        <v>21497.000122786885</v>
      </c>
      <c r="EA153" s="1">
        <v>1945</v>
      </c>
      <c r="EB153" s="1">
        <v>2.9295176185981688</v>
      </c>
      <c r="EC153" s="1">
        <v>3.790782416855464</v>
      </c>
      <c r="ED153" s="1">
        <v>2.0910857822673989</v>
      </c>
      <c r="EE153" s="1">
        <v>2.7835976406309015</v>
      </c>
      <c r="EF153" s="1">
        <v>2.0350246454175647</v>
      </c>
      <c r="EG153" s="1">
        <v>4.0133612961186458</v>
      </c>
      <c r="EH153" s="1">
        <v>2.984914439616233</v>
      </c>
      <c r="EI153" s="1">
        <v>2.9225844074392171</v>
      </c>
      <c r="EJ153" s="1">
        <v>2.9656075603448926</v>
      </c>
      <c r="EL153" s="1">
        <v>1945</v>
      </c>
      <c r="EM153" s="1">
        <v>886195.73141059373</v>
      </c>
      <c r="EN153" s="1">
        <v>1060952.6656212211</v>
      </c>
      <c r="EO153" s="1">
        <v>225396.46613053873</v>
      </c>
      <c r="EP153" s="1">
        <v>185071.29025209916</v>
      </c>
      <c r="EQ153" s="1">
        <v>352483.10591756518</v>
      </c>
      <c r="ER153" s="1">
        <v>285438.88783579727</v>
      </c>
      <c r="ES153" s="1">
        <v>290566.37084021652</v>
      </c>
      <c r="ET153" s="1">
        <v>22438.921533359455</v>
      </c>
      <c r="EU153" s="1">
        <v>3308543.439541392</v>
      </c>
      <c r="EV153" s="1">
        <v>3017977.068701175</v>
      </c>
      <c r="EX153" s="1">
        <v>1945</v>
      </c>
      <c r="EY153" s="1">
        <v>465600.33693331666</v>
      </c>
      <c r="EZ153" s="1">
        <v>959411.08860285347</v>
      </c>
      <c r="FA153" s="1">
        <v>200311.05652526871</v>
      </c>
      <c r="FB153" s="1">
        <v>168682.1183730324</v>
      </c>
      <c r="FC153" s="1">
        <v>285448.854057291</v>
      </c>
      <c r="FD153" s="1">
        <v>253357.31586827096</v>
      </c>
      <c r="FE153" s="1">
        <v>290566.37084021652</v>
      </c>
      <c r="FF153" s="1">
        <v>14949.286244834946</v>
      </c>
      <c r="FG153" s="1">
        <v>2638326.4274450843</v>
      </c>
      <c r="FH153" s="1">
        <v>2347760.0566048678</v>
      </c>
      <c r="FJ153" s="1">
        <v>1945</v>
      </c>
      <c r="FK153" s="1">
        <v>420595.39447727712</v>
      </c>
      <c r="FL153" s="1">
        <v>101541.57701836756</v>
      </c>
      <c r="FM153" s="1">
        <v>25085.409605270012</v>
      </c>
      <c r="FN153" s="1">
        <v>16389.171879066776</v>
      </c>
      <c r="FO153" s="1">
        <v>67034.251860274162</v>
      </c>
      <c r="FP153" s="1">
        <v>32081.571967526346</v>
      </c>
      <c r="FQ153" s="1">
        <v>7489.6352885245087</v>
      </c>
      <c r="FR153" s="1">
        <v>670217.01209630643</v>
      </c>
      <c r="FS153" s="1">
        <v>1240226.0853938789</v>
      </c>
      <c r="HC153" s="1">
        <v>1945</v>
      </c>
      <c r="HD153" s="1">
        <v>1111.0747687647361</v>
      </c>
      <c r="HE153" s="1">
        <v>3754.3768293772878</v>
      </c>
      <c r="HF153" s="1">
        <v>987.09117558748881</v>
      </c>
      <c r="HG153" s="1">
        <v>980.96667957658804</v>
      </c>
      <c r="HH153" s="1">
        <v>1996.199449800582</v>
      </c>
      <c r="HI153" s="1">
        <v>1831.7486327824588</v>
      </c>
      <c r="HJ153" s="1">
        <v>66.088637037382071</v>
      </c>
      <c r="HK153" s="2">
        <v>10727.546172926524</v>
      </c>
      <c r="HL153" s="1">
        <v>8895.7975401440654</v>
      </c>
      <c r="HN153" s="1">
        <v>1945</v>
      </c>
      <c r="HO153" s="1">
        <v>1263.8877191573035</v>
      </c>
      <c r="HP153" s="1">
        <v>427.13292139110416</v>
      </c>
      <c r="HQ153" s="1">
        <v>138.49127585147014</v>
      </c>
      <c r="HR153" s="1">
        <v>102.64715714276727</v>
      </c>
      <c r="HS153" s="1">
        <v>520.00161474589152</v>
      </c>
      <c r="HT153" s="1">
        <v>38.337708745729671</v>
      </c>
      <c r="HU153" s="2">
        <v>2490.4983970342664</v>
      </c>
      <c r="HW153" s="1">
        <v>1945</v>
      </c>
      <c r="HX153" s="1">
        <v>306.81814783910158</v>
      </c>
      <c r="HY153" s="1">
        <v>1259.2776825924157</v>
      </c>
      <c r="HZ153" s="1">
        <v>511.14574254293075</v>
      </c>
      <c r="IA153" s="1">
        <v>377.02505877127942</v>
      </c>
      <c r="IB153" s="1">
        <v>559.94273109040796</v>
      </c>
      <c r="IC153" s="1">
        <v>214.70527381187833</v>
      </c>
      <c r="ID153" s="1">
        <v>1827.413387142034</v>
      </c>
      <c r="IE153" s="2">
        <v>5056.3280237900472</v>
      </c>
      <c r="IF153" s="1">
        <v>4841.6227499781689</v>
      </c>
      <c r="IH153" s="1">
        <v>1945</v>
      </c>
      <c r="II153" s="1">
        <v>237.53137469893574</v>
      </c>
      <c r="IJ153" s="1">
        <v>28.394404873059298</v>
      </c>
      <c r="IK153" s="1">
        <v>9.3103431881599263</v>
      </c>
      <c r="IL153" s="1">
        <v>263.47292244764628</v>
      </c>
      <c r="IM153" s="1">
        <v>15.752689915259102</v>
      </c>
      <c r="IN153" s="1">
        <v>5.1652059588289676</v>
      </c>
      <c r="IO153" s="1">
        <v>4.711578381644614</v>
      </c>
    </row>
    <row r="154" spans="1:249" x14ac:dyDescent="0.25">
      <c r="A154" s="1" t="s">
        <v>245</v>
      </c>
      <c r="B154" s="1">
        <v>11.263673068672574</v>
      </c>
      <c r="C154" s="1">
        <v>11.184083117407013</v>
      </c>
      <c r="D154" s="1">
        <v>11.495751578443077</v>
      </c>
      <c r="E154" s="1">
        <v>11.03207763053426</v>
      </c>
      <c r="F154" s="1">
        <v>12.002961771617976</v>
      </c>
      <c r="G154" s="1">
        <v>10.801212344483616</v>
      </c>
      <c r="H154" s="1">
        <v>11.467994587072155</v>
      </c>
      <c r="J154" s="1">
        <v>1946</v>
      </c>
      <c r="K154" s="2">
        <v>23048.005266255113</v>
      </c>
      <c r="L154" s="1">
        <v>20646.750258427677</v>
      </c>
      <c r="M154" s="1">
        <v>20763.278383761124</v>
      </c>
      <c r="N154" s="1">
        <v>18362.023375933688</v>
      </c>
      <c r="O154" s="1">
        <v>2284.7268824939906</v>
      </c>
      <c r="P154" s="1">
        <v>2401.2550078274348</v>
      </c>
      <c r="Q154" s="1">
        <v>21802.505425113904</v>
      </c>
      <c r="R154" s="1">
        <v>44850.510691369018</v>
      </c>
      <c r="S154" s="1">
        <v>42449.255683541582</v>
      </c>
      <c r="U154" s="1">
        <v>1946</v>
      </c>
      <c r="V154" s="1">
        <v>3430.4944689781291</v>
      </c>
      <c r="W154" s="1">
        <v>65336.098976653353</v>
      </c>
      <c r="X154" s="1">
        <v>9.4302829505262764</v>
      </c>
      <c r="Y154" s="1">
        <v>3073.0886142068844</v>
      </c>
      <c r="Z154" s="1">
        <v>59170.416581570862</v>
      </c>
      <c r="AA154" s="1">
        <v>9.8870217066345134</v>
      </c>
      <c r="AB154" s="1">
        <v>6718566.514150545</v>
      </c>
      <c r="AC154" s="1">
        <v>1.2527879458898354</v>
      </c>
      <c r="AE154" s="1">
        <v>1946</v>
      </c>
      <c r="AF154" s="1">
        <v>2889.5722216259796</v>
      </c>
      <c r="AG154" s="1">
        <v>6490.4129561477275</v>
      </c>
      <c r="AH154" s="1">
        <v>1636.7431421661327</v>
      </c>
      <c r="AI154" s="1">
        <v>1767.3576560102949</v>
      </c>
      <c r="AJ154" s="1">
        <v>2496.5418069590069</v>
      </c>
      <c r="AK154" s="1">
        <v>1265.281093650176</v>
      </c>
      <c r="AL154" s="1">
        <v>1988.9487650509323</v>
      </c>
      <c r="AM154" s="1">
        <v>2111.8926168174253</v>
      </c>
      <c r="AN154" s="2">
        <v>20646.750258427677</v>
      </c>
      <c r="AP154" s="1" t="s">
        <v>245</v>
      </c>
      <c r="AQ154" s="1">
        <v>7.336407227947177</v>
      </c>
      <c r="AR154" s="1">
        <v>17.544061927086602</v>
      </c>
      <c r="AS154" s="1">
        <v>11.95478203692528</v>
      </c>
      <c r="AT154" s="1">
        <v>18.444777989612476</v>
      </c>
      <c r="AU154" s="1">
        <v>26.585597504264527</v>
      </c>
      <c r="AV154" s="1">
        <v>3.8467299476441639</v>
      </c>
      <c r="AW154" s="1">
        <v>-9.50988216314326</v>
      </c>
      <c r="AX154" s="1">
        <v>4.7775887297101036</v>
      </c>
      <c r="AY154" s="1">
        <v>11.263673068672574</v>
      </c>
      <c r="BA154" s="1">
        <v>1946</v>
      </c>
      <c r="BB154" s="1">
        <v>15118.359542363243</v>
      </c>
      <c r="BC154" s="1">
        <v>2974.6287001983783</v>
      </c>
      <c r="BD154" s="1">
        <v>3316.8634516629254</v>
      </c>
      <c r="BE154" s="1">
        <v>1416.6143349539586</v>
      </c>
      <c r="BF154" s="1">
        <v>-7.0241002989851031</v>
      </c>
      <c r="BG154" s="1">
        <v>491.2744092983703</v>
      </c>
      <c r="BH154" s="1">
        <v>3560.6150777418284</v>
      </c>
      <c r="BI154" s="1">
        <v>3823.3261496646055</v>
      </c>
      <c r="BJ154" s="1">
        <v>23048.005266255117</v>
      </c>
      <c r="BL154" s="1" t="s">
        <v>245</v>
      </c>
      <c r="BM154" s="1">
        <v>23.035816582780029</v>
      </c>
      <c r="BN154" s="1">
        <v>-15.89763326839568</v>
      </c>
      <c r="BO154" s="1">
        <v>33.435716632694323</v>
      </c>
      <c r="BP154" s="1">
        <v>60.721649484536101</v>
      </c>
      <c r="BQ154" s="1">
        <v>225.57172557172555</v>
      </c>
      <c r="BR154" s="1">
        <v>10.801212344483659</v>
      </c>
      <c r="BT154" s="1" t="s">
        <v>245</v>
      </c>
      <c r="BU154" s="1">
        <v>2.9378347267860363</v>
      </c>
      <c r="BV154" s="1">
        <v>5.7065101467618717</v>
      </c>
      <c r="BW154" s="1">
        <v>1.1686605022348999</v>
      </c>
      <c r="BX154" s="1">
        <v>-4.3244702683890353</v>
      </c>
      <c r="BY154" s="1">
        <v>-4.0575089658942574</v>
      </c>
      <c r="BZ154" s="1">
        <v>2.7743610082618915</v>
      </c>
      <c r="CB154" s="1">
        <v>1946</v>
      </c>
      <c r="CC154" s="1">
        <v>293.27666401815151</v>
      </c>
      <c r="CD154" s="1">
        <v>1598.2554961710439</v>
      </c>
      <c r="CE154" s="1">
        <v>92.61341063963998</v>
      </c>
      <c r="CF154" s="1">
        <v>611.82497498332054</v>
      </c>
      <c r="CG154" s="1">
        <v>315.65468695379229</v>
      </c>
      <c r="CH154" s="1">
        <v>390.37975469948913</v>
      </c>
      <c r="CI154" s="1">
        <v>1915.7231081508321</v>
      </c>
      <c r="CJ154" s="1">
        <v>5217.7280956162704</v>
      </c>
      <c r="CL154" s="1">
        <v>1946</v>
      </c>
      <c r="CM154" s="1">
        <v>183.35576668197322</v>
      </c>
      <c r="CN154" s="1">
        <v>644.38187059274503</v>
      </c>
      <c r="CO154" s="1">
        <v>52.438703193884798</v>
      </c>
      <c r="CP154" s="1">
        <v>392.40737857816032</v>
      </c>
      <c r="CQ154" s="1">
        <v>115.96469788034773</v>
      </c>
      <c r="CR154" s="1">
        <v>219.95425502317002</v>
      </c>
      <c r="CS154" s="1">
        <v>676.22421054370966</v>
      </c>
      <c r="CT154" s="2">
        <v>2284.7268824939906</v>
      </c>
      <c r="CV154" s="1">
        <v>1946</v>
      </c>
      <c r="CW154" s="1">
        <v>21562.412203509026</v>
      </c>
      <c r="CX154" s="1">
        <v>19579.736475117155</v>
      </c>
      <c r="CY154" s="1">
        <v>6109.0132723373272</v>
      </c>
      <c r="CZ154" s="1">
        <v>864.10155650656191</v>
      </c>
      <c r="DA154" s="1">
        <v>7085.9627507335163</v>
      </c>
      <c r="DB154" s="1">
        <v>55201.226258203584</v>
      </c>
      <c r="DC154" s="1">
        <v>49815.349771364126</v>
      </c>
      <c r="DD154" s="1">
        <v>14949.698077508143</v>
      </c>
      <c r="DF154" s="1">
        <v>1946</v>
      </c>
      <c r="DG154" s="1">
        <v>4.5534404477775894</v>
      </c>
      <c r="DH154" s="1">
        <v>5.7484240905357069</v>
      </c>
      <c r="DI154" s="1">
        <v>3.2401180713645772</v>
      </c>
      <c r="DJ154" s="1">
        <v>9.396444019028479</v>
      </c>
      <c r="DK154" s="1">
        <v>-0.81287902400993062</v>
      </c>
      <c r="DL154" s="1">
        <v>6.9330650834639869</v>
      </c>
      <c r="DM154" s="1">
        <v>5.3081379382584828</v>
      </c>
      <c r="DN154" s="1">
        <v>5.5415602669027635</v>
      </c>
      <c r="DO154" s="1">
        <v>5.6882079611274321</v>
      </c>
      <c r="DQ154" s="1">
        <v>1946</v>
      </c>
      <c r="DR154" s="1">
        <v>38174.627206193771</v>
      </c>
      <c r="DS154" s="1">
        <v>38545.706153657309</v>
      </c>
      <c r="DT154" s="1">
        <v>10883.10927930837</v>
      </c>
      <c r="DU154" s="1">
        <v>864.10155650656191</v>
      </c>
      <c r="DV154" s="1">
        <v>7085.9627507335163</v>
      </c>
      <c r="DW154" s="1">
        <v>95553.506946399517</v>
      </c>
      <c r="DX154" s="1">
        <v>87127.023354708042</v>
      </c>
      <c r="DY154" s="1">
        <v>22352.32425675885</v>
      </c>
      <c r="EA154" s="1">
        <v>1946</v>
      </c>
      <c r="EB154" s="1">
        <v>3.4550891341446714</v>
      </c>
      <c r="EC154" s="1">
        <v>4.3493963214532414</v>
      </c>
      <c r="ED154" s="1">
        <v>2.5708261222405753</v>
      </c>
      <c r="EE154" s="1">
        <v>8.3016621235577617</v>
      </c>
      <c r="EF154" s="1">
        <v>-0.81287902400993062</v>
      </c>
      <c r="EG154" s="1">
        <v>6.9330650834639869</v>
      </c>
      <c r="EH154" s="1">
        <v>4.2231251995187762</v>
      </c>
      <c r="EI154" s="1">
        <v>4.2685069367651067</v>
      </c>
      <c r="EJ154" s="1">
        <v>5.2643102260250743</v>
      </c>
      <c r="EL154" s="1">
        <v>1946</v>
      </c>
      <c r="EM154" s="1">
        <v>851338.75990921236</v>
      </c>
      <c r="EN154" s="1">
        <v>1081038.9823818959</v>
      </c>
      <c r="EO154" s="1">
        <v>240379.28445456567</v>
      </c>
      <c r="EP154" s="1">
        <v>198796.85760597649</v>
      </c>
      <c r="EQ154" s="1">
        <v>397169.68209950335</v>
      </c>
      <c r="ER154" s="1">
        <v>292305.39962123148</v>
      </c>
      <c r="ES154" s="1">
        <v>258943.40875630849</v>
      </c>
      <c r="ET154" s="1">
        <v>23945.70034012766</v>
      </c>
      <c r="EU154" s="1">
        <v>3343918.075168821</v>
      </c>
      <c r="EV154" s="1">
        <v>3084974.6664125128</v>
      </c>
      <c r="EX154" s="1">
        <v>1946</v>
      </c>
      <c r="EY154" s="1">
        <v>430870.24187069159</v>
      </c>
      <c r="EZ154" s="1">
        <v>983303.51534547517</v>
      </c>
      <c r="FA154" s="1">
        <v>213840.94902726423</v>
      </c>
      <c r="FB154" s="1">
        <v>180946.23090966808</v>
      </c>
      <c r="FC154" s="1">
        <v>322174.77138782514</v>
      </c>
      <c r="FD154" s="1">
        <v>258446.80969069662</v>
      </c>
      <c r="FE154" s="1">
        <v>258943.40875630849</v>
      </c>
      <c r="FF154" s="1">
        <v>16424.628660845352</v>
      </c>
      <c r="FG154" s="1">
        <v>2664950.5556487748</v>
      </c>
      <c r="FH154" s="1">
        <v>2406007.1468924666</v>
      </c>
      <c r="FJ154" s="1">
        <v>1946</v>
      </c>
      <c r="FK154" s="1">
        <v>420468.51803852076</v>
      </c>
      <c r="FL154" s="1">
        <v>97735.467036420727</v>
      </c>
      <c r="FM154" s="1">
        <v>26538.335427301445</v>
      </c>
      <c r="FN154" s="1">
        <v>17850.626696308402</v>
      </c>
      <c r="FO154" s="1">
        <v>74994.910711678167</v>
      </c>
      <c r="FP154" s="1">
        <v>33858.589930534858</v>
      </c>
      <c r="FQ154" s="1">
        <v>7521.0716792823087</v>
      </c>
      <c r="FR154" s="1">
        <v>678967.51952004666</v>
      </c>
      <c r="FS154" s="1">
        <v>1257575.5018491319</v>
      </c>
      <c r="HC154" s="1">
        <v>1946</v>
      </c>
      <c r="HD154" s="1">
        <v>1139.074201320916</v>
      </c>
      <c r="HE154" s="1">
        <v>4205.4233703898599</v>
      </c>
      <c r="HF154" s="1">
        <v>1207.7754932237299</v>
      </c>
      <c r="HG154" s="1">
        <v>1160.5955869175746</v>
      </c>
      <c r="HH154" s="1">
        <v>2339.2070013560956</v>
      </c>
      <c r="HI154" s="1">
        <v>1768.9945100277621</v>
      </c>
      <c r="HJ154" s="1">
        <v>79.491188956904438</v>
      </c>
      <c r="HK154" s="2">
        <v>11900.561352192841</v>
      </c>
      <c r="HL154" s="1">
        <v>10131.566842165079</v>
      </c>
      <c r="HN154" s="1">
        <v>1946</v>
      </c>
      <c r="HO154" s="1">
        <v>1399.758073381736</v>
      </c>
      <c r="HP154" s="1">
        <v>449.32474800003661</v>
      </c>
      <c r="HQ154" s="1">
        <v>167.92597968042134</v>
      </c>
      <c r="HR154" s="1">
        <v>123.30751567430637</v>
      </c>
      <c r="HS154" s="1">
        <v>616.41908634112644</v>
      </c>
      <c r="HT154" s="1">
        <v>42.146576856302161</v>
      </c>
      <c r="HU154" s="2">
        <v>2798.8819799339285</v>
      </c>
      <c r="HW154" s="1">
        <v>1946</v>
      </c>
      <c r="HX154" s="1">
        <v>422.65094692332741</v>
      </c>
      <c r="HY154" s="1">
        <v>1835.6648377578313</v>
      </c>
      <c r="HZ154" s="1">
        <v>261.04166926198127</v>
      </c>
      <c r="IA154" s="1">
        <v>411.54355341841392</v>
      </c>
      <c r="IB154" s="1">
        <v>806.19681291196184</v>
      </c>
      <c r="IC154" s="1">
        <v>219.95425502317022</v>
      </c>
      <c r="ID154" s="1">
        <v>1990.2548510042186</v>
      </c>
      <c r="IE154" s="2">
        <v>5947.3069263009047</v>
      </c>
      <c r="IF154" s="1">
        <v>5727.3526712777348</v>
      </c>
      <c r="IH154" s="1">
        <v>1946</v>
      </c>
      <c r="II154" s="1">
        <v>204.07116803196678</v>
      </c>
      <c r="IJ154" s="1">
        <v>37.705648703806695</v>
      </c>
      <c r="IK154" s="1">
        <v>13.417543479677823</v>
      </c>
      <c r="IL154" s="1">
        <v>223.75279571789557</v>
      </c>
      <c r="IM154" s="1">
        <v>25.59285565761521</v>
      </c>
      <c r="IN154" s="1">
        <v>9.1072098043628742</v>
      </c>
      <c r="IO154" s="1">
        <v>6.172972416985445</v>
      </c>
    </row>
    <row r="155" spans="1:249" x14ac:dyDescent="0.25">
      <c r="A155" s="1" t="s">
        <v>246</v>
      </c>
      <c r="B155" s="1">
        <v>7.2810695347311736</v>
      </c>
      <c r="C155" s="1">
        <v>7.2035874557760451</v>
      </c>
      <c r="D155" s="1">
        <v>7.6280310069478645</v>
      </c>
      <c r="E155" s="1">
        <v>6.9352265653996454</v>
      </c>
      <c r="F155" s="1">
        <v>7.7328610344669073</v>
      </c>
      <c r="G155" s="1">
        <v>6.7379639551066788</v>
      </c>
      <c r="H155" s="1">
        <v>6.7093942043961761</v>
      </c>
      <c r="J155" s="1">
        <v>1947</v>
      </c>
      <c r="K155" s="2">
        <v>25490.491755079049</v>
      </c>
      <c r="L155" s="1">
        <v>23174.626096691351</v>
      </c>
      <c r="M155" s="1">
        <v>22986.317440015253</v>
      </c>
      <c r="N155" s="1">
        <v>20670.451781627555</v>
      </c>
      <c r="O155" s="1">
        <v>2504.1743150637972</v>
      </c>
      <c r="P155" s="1">
        <v>2315.8656583876964</v>
      </c>
      <c r="Q155" s="1">
        <v>24299.045666661121</v>
      </c>
      <c r="R155" s="1">
        <v>49789.53742174017</v>
      </c>
      <c r="S155" s="1">
        <v>47473.671763352468</v>
      </c>
      <c r="U155" s="1">
        <v>1947</v>
      </c>
      <c r="V155" s="1">
        <v>3747.0848917747599</v>
      </c>
      <c r="W155" s="1">
        <v>68875.387356614927</v>
      </c>
      <c r="X155" s="1">
        <v>5.417048822009221</v>
      </c>
      <c r="Y155" s="1">
        <v>3406.6542204757066</v>
      </c>
      <c r="Z155" s="1">
        <v>62693.08786788804</v>
      </c>
      <c r="AA155" s="1">
        <v>5.9534333030441218</v>
      </c>
      <c r="AB155" s="1">
        <v>6802752.6707583601</v>
      </c>
      <c r="AC155" s="1">
        <v>1.2530374809939531</v>
      </c>
      <c r="AE155" s="1">
        <v>1947</v>
      </c>
      <c r="AF155" s="1">
        <v>3118.0438061686305</v>
      </c>
      <c r="AG155" s="1">
        <v>7298.9543884185059</v>
      </c>
      <c r="AH155" s="1">
        <v>2022.8028440357293</v>
      </c>
      <c r="AI155" s="1">
        <v>1844.0549351873567</v>
      </c>
      <c r="AJ155" s="1">
        <v>2950.4968278233996</v>
      </c>
      <c r="AK155" s="1">
        <v>1417.1743926787926</v>
      </c>
      <c r="AL155" s="1">
        <v>2280.0966665861492</v>
      </c>
      <c r="AM155" s="1">
        <v>2243.0022357927855</v>
      </c>
      <c r="AN155" s="2">
        <v>23174.626096691351</v>
      </c>
      <c r="AP155" s="1" t="s">
        <v>246</v>
      </c>
      <c r="AQ155" s="1">
        <v>-1.2631896022639211</v>
      </c>
      <c r="AR155" s="1">
        <v>7.6461263027238147</v>
      </c>
      <c r="AS155" s="1">
        <v>13.250419180696255</v>
      </c>
      <c r="AT155" s="1">
        <v>15.749834529663715</v>
      </c>
      <c r="AU155" s="1">
        <v>13.214275820288336</v>
      </c>
      <c r="AV155" s="1">
        <v>-0.16267067348341868</v>
      </c>
      <c r="AW155" s="1">
        <v>7.0178684624415837</v>
      </c>
      <c r="AX155" s="1">
        <v>4.4668213754919464</v>
      </c>
      <c r="AY155" s="1">
        <v>7.2810695347311736</v>
      </c>
      <c r="BA155" s="1">
        <v>1947</v>
      </c>
      <c r="BB155" s="1">
        <v>17387.607814358398</v>
      </c>
      <c r="BC155" s="1">
        <v>3186.5344375361587</v>
      </c>
      <c r="BD155" s="1">
        <v>3896.2150184479524</v>
      </c>
      <c r="BE155" s="1">
        <v>1747.2194553694299</v>
      </c>
      <c r="BF155" s="1">
        <v>-46.937534447670281</v>
      </c>
      <c r="BG155" s="1">
        <v>914.2722086673092</v>
      </c>
      <c r="BH155" s="1">
        <v>4299.7807394502588</v>
      </c>
      <c r="BI155" s="1">
        <v>5894.2003843027887</v>
      </c>
      <c r="BJ155" s="1">
        <v>25490.491755079045</v>
      </c>
      <c r="BL155" s="1" t="s">
        <v>246</v>
      </c>
      <c r="BM155" s="1">
        <v>10.515624121583784</v>
      </c>
      <c r="BN155" s="1">
        <v>1.5504549556819285</v>
      </c>
      <c r="BO155" s="1">
        <v>21.500455450533934</v>
      </c>
      <c r="BP155" s="1">
        <v>15.137908915971778</v>
      </c>
      <c r="BQ155" s="1">
        <v>45.083014048531311</v>
      </c>
      <c r="BR155" s="1">
        <v>6.7379639551066788</v>
      </c>
      <c r="BT155" s="1" t="s">
        <v>246</v>
      </c>
      <c r="BU155" s="1">
        <v>4.0666287611701364</v>
      </c>
      <c r="BV155" s="1">
        <v>5.4882236304209897</v>
      </c>
      <c r="BW155" s="1">
        <v>2.7005920894092981</v>
      </c>
      <c r="BX155" s="1">
        <v>4.8824794612319664</v>
      </c>
      <c r="BY155" s="1">
        <v>6.259307172033985</v>
      </c>
      <c r="BZ155" s="1">
        <v>3.6157929766283559</v>
      </c>
      <c r="CB155" s="1">
        <v>1947</v>
      </c>
      <c r="CC155" s="1">
        <v>312.84382898105321</v>
      </c>
      <c r="CD155" s="1">
        <v>2282.9000198287308</v>
      </c>
      <c r="CE155" s="1">
        <v>100.65318987828422</v>
      </c>
      <c r="CF155" s="1">
        <v>750.08940814047128</v>
      </c>
      <c r="CG155" s="1">
        <v>466.10745305604667</v>
      </c>
      <c r="CH155" s="1">
        <v>447.40674142919619</v>
      </c>
      <c r="CI155" s="1">
        <v>2150.7685067232392</v>
      </c>
      <c r="CJ155" s="1">
        <v>6510.7691480370213</v>
      </c>
      <c r="CL155" s="1">
        <v>1947</v>
      </c>
      <c r="CM155" s="1">
        <v>195.80494297414089</v>
      </c>
      <c r="CN155" s="1">
        <v>718.33931820972293</v>
      </c>
      <c r="CO155" s="1">
        <v>58.291113021606463</v>
      </c>
      <c r="CP155" s="1">
        <v>432.20837484435731</v>
      </c>
      <c r="CQ155" s="1">
        <v>129.53857207080034</v>
      </c>
      <c r="CR155" s="1">
        <v>235.48121844985241</v>
      </c>
      <c r="CS155" s="1">
        <v>734.51077549331683</v>
      </c>
      <c r="CT155" s="2">
        <v>2504.1743150637972</v>
      </c>
      <c r="CV155" s="1">
        <v>1947</v>
      </c>
      <c r="CW155" s="1">
        <v>23472.215254251725</v>
      </c>
      <c r="CX155" s="1">
        <v>20893.062840143251</v>
      </c>
      <c r="CY155" s="1">
        <v>6772.3416249685833</v>
      </c>
      <c r="CZ155" s="1">
        <v>866.19530148638091</v>
      </c>
      <c r="DA155" s="1">
        <v>7831.785372367096</v>
      </c>
      <c r="DB155" s="1">
        <v>59835.600393217042</v>
      </c>
      <c r="DC155" s="1">
        <v>54032.546417953556</v>
      </c>
      <c r="DD155" s="1">
        <v>16213.940051936625</v>
      </c>
      <c r="DF155" s="1">
        <v>1947</v>
      </c>
      <c r="DG155" s="1">
        <v>5.2709885729458108</v>
      </c>
      <c r="DH155" s="1">
        <v>6.0337625396196017</v>
      </c>
      <c r="DI155" s="1">
        <v>4.4141408662408281</v>
      </c>
      <c r="DJ155" s="1">
        <v>11.826601273827023</v>
      </c>
      <c r="DK155" s="1">
        <v>-5.4188165610141255</v>
      </c>
      <c r="DL155" s="1">
        <v>11.673867007300004</v>
      </c>
      <c r="DM155" s="1">
        <v>6.6866246359826675</v>
      </c>
      <c r="DN155" s="1">
        <v>7.0110400141183362</v>
      </c>
      <c r="DO155" s="1">
        <v>10.142773472178362</v>
      </c>
      <c r="DQ155" s="1">
        <v>1947</v>
      </c>
      <c r="DR155" s="1">
        <v>41006.01599069759</v>
      </c>
      <c r="DS155" s="1">
        <v>40831.831734255313</v>
      </c>
      <c r="DT155" s="1">
        <v>11943.522775357467</v>
      </c>
      <c r="DU155" s="1">
        <v>866.19530148638091</v>
      </c>
      <c r="DV155" s="1">
        <v>7831.785372367096</v>
      </c>
      <c r="DW155" s="1">
        <v>102479.35117416386</v>
      </c>
      <c r="DX155" s="1">
        <v>93347.591245537056</v>
      </c>
      <c r="DY155" s="1">
        <v>24111.984837195538</v>
      </c>
      <c r="EA155" s="1">
        <v>1947</v>
      </c>
      <c r="EB155" s="1">
        <v>3.9067888572485288</v>
      </c>
      <c r="EC155" s="1">
        <v>4.5897988080597685</v>
      </c>
      <c r="ED155" s="1">
        <v>3.2209215304754792</v>
      </c>
      <c r="EE155" s="1">
        <v>9.9875009229514831</v>
      </c>
      <c r="EF155" s="1">
        <v>-5.4188165610141255</v>
      </c>
      <c r="EG155" s="1">
        <v>11.673867007300004</v>
      </c>
      <c r="EH155" s="1">
        <v>5.1196232885474018</v>
      </c>
      <c r="EI155" s="1">
        <v>5.2275333848315455</v>
      </c>
      <c r="EJ155" s="1">
        <v>8.3957537252171903</v>
      </c>
      <c r="EL155" s="1">
        <v>1947</v>
      </c>
      <c r="EM155" s="1">
        <v>831925.9916858545</v>
      </c>
      <c r="EN155" s="1">
        <v>1096405.563510281</v>
      </c>
      <c r="EO155" s="1">
        <v>246350.07246280991</v>
      </c>
      <c r="EP155" s="1">
        <v>213125.54399225023</v>
      </c>
      <c r="EQ155" s="1">
        <v>403980.70609769883</v>
      </c>
      <c r="ER155" s="1">
        <v>286437.46711834043</v>
      </c>
      <c r="ES155" s="1">
        <v>278403.69311563647</v>
      </c>
      <c r="ET155" s="1">
        <v>23151.396480754287</v>
      </c>
      <c r="EU155" s="1">
        <v>3379780.4344636258</v>
      </c>
      <c r="EV155" s="1">
        <v>3101376.7413479895</v>
      </c>
      <c r="EX155" s="1">
        <v>1947</v>
      </c>
      <c r="EY155" s="1">
        <v>416278.77832007478</v>
      </c>
      <c r="EZ155" s="1">
        <v>999213.82647128124</v>
      </c>
      <c r="FA155" s="1">
        <v>218394.59555649332</v>
      </c>
      <c r="FB155" s="1">
        <v>193395.90395948832</v>
      </c>
      <c r="FC155" s="1">
        <v>328304.61625766347</v>
      </c>
      <c r="FD155" s="1">
        <v>252086.20959650842</v>
      </c>
      <c r="FE155" s="1">
        <v>278403.69311563647</v>
      </c>
      <c r="FF155" s="1">
        <v>15658.933732848203</v>
      </c>
      <c r="FG155" s="1">
        <v>2701736.5570099945</v>
      </c>
      <c r="FH155" s="1">
        <v>2423332.8638943578</v>
      </c>
      <c r="FJ155" s="1">
        <v>1947</v>
      </c>
      <c r="FK155" s="1">
        <v>415647.21336577972</v>
      </c>
      <c r="FL155" s="1">
        <v>97191.737038999738</v>
      </c>
      <c r="FM155" s="1">
        <v>27955.476906316573</v>
      </c>
      <c r="FN155" s="1">
        <v>19729.640032761916</v>
      </c>
      <c r="FO155" s="1">
        <v>75676.08984003542</v>
      </c>
      <c r="FP155" s="1">
        <v>34351.257521831983</v>
      </c>
      <c r="FQ155" s="1">
        <v>7492.4627479060828</v>
      </c>
      <c r="FR155" s="1">
        <v>678043.87745363149</v>
      </c>
      <c r="FS155" s="1">
        <v>1275167.617804809</v>
      </c>
      <c r="HC155" s="1">
        <v>1947</v>
      </c>
      <c r="HD155" s="1">
        <v>1213.9565411871779</v>
      </c>
      <c r="HE155" s="1">
        <v>4855.0001973928593</v>
      </c>
      <c r="HF155" s="1">
        <v>1344.1014040115633</v>
      </c>
      <c r="HG155" s="1">
        <v>1384.9810965525951</v>
      </c>
      <c r="HH155" s="1">
        <v>2547.2504821495445</v>
      </c>
      <c r="HI155" s="1">
        <v>2044.6154481362958</v>
      </c>
      <c r="HJ155" s="1">
        <v>80.087241599090561</v>
      </c>
      <c r="HK155" s="2">
        <v>13469.992411029127</v>
      </c>
      <c r="HL155" s="1">
        <v>11425.376962892831</v>
      </c>
      <c r="HN155" s="1">
        <v>1947</v>
      </c>
      <c r="HO155" s="1">
        <v>1526.362624496363</v>
      </c>
      <c r="HP155" s="1">
        <v>507.62870911037606</v>
      </c>
      <c r="HQ155" s="1">
        <v>192.75512097545237</v>
      </c>
      <c r="HR155" s="1">
        <v>152.16698728605735</v>
      </c>
      <c r="HS155" s="1">
        <v>671.49652467499311</v>
      </c>
      <c r="HT155" s="1">
        <v>44.369536082368676</v>
      </c>
      <c r="HU155" s="2">
        <v>3094.7795026256103</v>
      </c>
      <c r="HW155" s="1">
        <v>1947</v>
      </c>
      <c r="HX155" s="1">
        <v>436.56764048508967</v>
      </c>
      <c r="HY155" s="1">
        <v>1936.3254819152708</v>
      </c>
      <c r="HZ155" s="1">
        <v>485.94631904871358</v>
      </c>
      <c r="IA155" s="1">
        <v>248.06385134870425</v>
      </c>
      <c r="IB155" s="1">
        <v>1148.9242136776545</v>
      </c>
      <c r="IC155" s="1">
        <v>235.48121844985349</v>
      </c>
      <c r="ID155" s="1">
        <v>2118.5454581113263</v>
      </c>
      <c r="IE155" s="2">
        <v>6609.8541830366121</v>
      </c>
      <c r="IF155" s="1">
        <v>6374.3729645867588</v>
      </c>
      <c r="IH155" s="1">
        <v>1947</v>
      </c>
      <c r="II155" s="1">
        <v>199.97604498192595</v>
      </c>
      <c r="IJ155" s="1">
        <v>34.64129879322175</v>
      </c>
      <c r="IK155" s="1">
        <v>12.865832684869167</v>
      </c>
      <c r="IL155" s="1">
        <v>219.41561141276475</v>
      </c>
      <c r="IM155" s="1">
        <v>22.712482719594892</v>
      </c>
      <c r="IN155" s="1">
        <v>8.4354516922866551</v>
      </c>
      <c r="IO155" s="1">
        <v>9.1684638268459366</v>
      </c>
    </row>
    <row r="156" spans="1:249" x14ac:dyDescent="0.25">
      <c r="A156" s="1" t="s">
        <v>247</v>
      </c>
      <c r="B156" s="1">
        <v>1.9468135323795508</v>
      </c>
      <c r="C156" s="1">
        <v>1.8984829164028412</v>
      </c>
      <c r="D156" s="1">
        <v>2.0928494621527847</v>
      </c>
      <c r="E156" s="1">
        <v>1.8009864957158754</v>
      </c>
      <c r="F156" s="1">
        <v>2.2774074210096131</v>
      </c>
      <c r="G156" s="1">
        <v>1.527116603065906</v>
      </c>
      <c r="H156" s="1">
        <v>1.0027483235488575</v>
      </c>
      <c r="J156" s="1">
        <v>1948</v>
      </c>
      <c r="K156" s="2">
        <v>27733.774065717487</v>
      </c>
      <c r="L156" s="1">
        <v>25240.831840941741</v>
      </c>
      <c r="M156" s="1">
        <v>25015.171607800265</v>
      </c>
      <c r="N156" s="1">
        <v>22522.229383024518</v>
      </c>
      <c r="O156" s="1">
        <v>2718.6024579172217</v>
      </c>
      <c r="P156" s="1">
        <v>2492.9422247757448</v>
      </c>
      <c r="Q156" s="1">
        <v>27001.816486613261</v>
      </c>
      <c r="R156" s="1">
        <v>54735.590552330745</v>
      </c>
      <c r="S156" s="1">
        <v>52242.648327554998</v>
      </c>
      <c r="U156" s="1">
        <v>1948</v>
      </c>
      <c r="V156" s="1">
        <v>4029.114426961281</v>
      </c>
      <c r="W156" s="1">
        <v>69108.492000273065</v>
      </c>
      <c r="X156" s="1">
        <v>0.33844404017824559</v>
      </c>
      <c r="Y156" s="1">
        <v>3666.9441193924667</v>
      </c>
      <c r="Z156" s="1">
        <v>63165.309249729347</v>
      </c>
      <c r="AA156" s="1">
        <v>0.75322718644264341</v>
      </c>
      <c r="AB156" s="1">
        <v>6883342.3742283806</v>
      </c>
      <c r="AC156" s="1">
        <v>1.1846631410904536</v>
      </c>
      <c r="AE156" s="1">
        <v>1948</v>
      </c>
      <c r="AF156" s="1">
        <v>3005.7034498097446</v>
      </c>
      <c r="AG156" s="1">
        <v>8454.6020049414765</v>
      </c>
      <c r="AH156" s="1">
        <v>1987.3733601240178</v>
      </c>
      <c r="AI156" s="1">
        <v>2106.0008095429084</v>
      </c>
      <c r="AJ156" s="1">
        <v>3215.2556698619742</v>
      </c>
      <c r="AK156" s="1">
        <v>1552.2251102319829</v>
      </c>
      <c r="AL156" s="1">
        <v>2568.479693201944</v>
      </c>
      <c r="AM156" s="1">
        <v>2351.1917432276887</v>
      </c>
      <c r="AN156" s="2">
        <v>25240.831840941741</v>
      </c>
      <c r="AP156" s="1" t="s">
        <v>247</v>
      </c>
      <c r="AQ156" s="1">
        <v>-8.203627151121168</v>
      </c>
      <c r="AR156" s="1">
        <v>5.8228749434011746</v>
      </c>
      <c r="AS156" s="1">
        <v>-5.7505195520269581</v>
      </c>
      <c r="AT156" s="1">
        <v>8.3208503979006281</v>
      </c>
      <c r="AU156" s="1">
        <v>1.0671872339902251</v>
      </c>
      <c r="AV156" s="1">
        <v>1.5878930378371052</v>
      </c>
      <c r="AW156" s="1">
        <v>4.0031157864839173</v>
      </c>
      <c r="AX156" s="1">
        <v>4.1461433117630122</v>
      </c>
      <c r="AY156" s="1">
        <v>1.9468135323795508</v>
      </c>
      <c r="BA156" s="1">
        <v>1948</v>
      </c>
      <c r="BB156" s="1">
        <v>18497.465221649236</v>
      </c>
      <c r="BC156" s="1">
        <v>3689.0227113854312</v>
      </c>
      <c r="BD156" s="1">
        <v>3466.5214942375192</v>
      </c>
      <c r="BE156" s="1">
        <v>1917.7808916455074</v>
      </c>
      <c r="BF156" s="1">
        <v>-60.857910862957972</v>
      </c>
      <c r="BG156" s="1">
        <v>628.85708283363454</v>
      </c>
      <c r="BH156" s="1">
        <v>5178.6667396523553</v>
      </c>
      <c r="BI156" s="1">
        <v>5583.6821648232353</v>
      </c>
      <c r="BJ156" s="1">
        <v>27733.774065717495</v>
      </c>
      <c r="BL156" s="1" t="s">
        <v>247</v>
      </c>
      <c r="BM156" s="1">
        <v>-0.50716912794644031</v>
      </c>
      <c r="BN156" s="1">
        <v>7.4504647865678351</v>
      </c>
      <c r="BO156" s="1">
        <v>-11.776982994784504</v>
      </c>
      <c r="BP156" s="1">
        <v>10.473537604456794</v>
      </c>
      <c r="BQ156" s="1">
        <v>-9.2869718309859195</v>
      </c>
      <c r="BR156" s="1">
        <v>1.5271166030659202</v>
      </c>
      <c r="BT156" s="1" t="s">
        <v>247</v>
      </c>
      <c r="BU156" s="1">
        <v>6.9253290696977388</v>
      </c>
      <c r="BV156" s="1">
        <v>7.741846475848007</v>
      </c>
      <c r="BW156" s="1">
        <v>3.6264744950732108</v>
      </c>
      <c r="BX156" s="1">
        <v>9.0218111812037733</v>
      </c>
      <c r="BY156" s="1">
        <v>4.4302044352237431</v>
      </c>
      <c r="BZ156" s="1">
        <v>7.1639485321830136</v>
      </c>
      <c r="CB156" s="1">
        <v>1948</v>
      </c>
      <c r="CC156" s="1">
        <v>356.62632717371281</v>
      </c>
      <c r="CD156" s="1">
        <v>2255.8664387479639</v>
      </c>
      <c r="CE156" s="1">
        <v>114.79415605525743</v>
      </c>
      <c r="CF156" s="1">
        <v>826.64069236174851</v>
      </c>
      <c r="CG156" s="1">
        <v>402.15570799710514</v>
      </c>
      <c r="CH156" s="1">
        <v>499.23761888489111</v>
      </c>
      <c r="CI156" s="1">
        <v>1496.9806166330243</v>
      </c>
      <c r="CJ156" s="1">
        <v>5952.3015578537043</v>
      </c>
      <c r="CL156" s="1">
        <v>1948</v>
      </c>
      <c r="CM156" s="1">
        <v>216.85073766469623</v>
      </c>
      <c r="CN156" s="1">
        <v>801.3490257599658</v>
      </c>
      <c r="CO156" s="1">
        <v>62.719919795293563</v>
      </c>
      <c r="CP156" s="1">
        <v>458.75381429842855</v>
      </c>
      <c r="CQ156" s="1">
        <v>142.6677946842089</v>
      </c>
      <c r="CR156" s="1">
        <v>248.25212259562795</v>
      </c>
      <c r="CS156" s="1">
        <v>788.00904311900069</v>
      </c>
      <c r="CT156" s="2">
        <v>2718.6024579172217</v>
      </c>
      <c r="CV156" s="1">
        <v>1948</v>
      </c>
      <c r="CW156" s="1">
        <v>26023.176545547994</v>
      </c>
      <c r="CX156" s="1">
        <v>22814.541494595233</v>
      </c>
      <c r="CY156" s="1">
        <v>7409.6940888289282</v>
      </c>
      <c r="CZ156" s="1">
        <v>888.24789478933894</v>
      </c>
      <c r="DA156" s="1">
        <v>9490.7185578396675</v>
      </c>
      <c r="DB156" s="1">
        <v>66626.378581601166</v>
      </c>
      <c r="DC156" s="1">
        <v>60362.380600818491</v>
      </c>
      <c r="DD156" s="1">
        <v>18737.723111755011</v>
      </c>
      <c r="DF156" s="1">
        <v>1948</v>
      </c>
      <c r="DG156" s="1">
        <v>3.6484102121309832</v>
      </c>
      <c r="DH156" s="1">
        <v>2.7243852120555516</v>
      </c>
      <c r="DI156" s="1">
        <v>4.7021898647017935</v>
      </c>
      <c r="DJ156" s="1">
        <v>11.935278342460194</v>
      </c>
      <c r="DK156" s="1">
        <v>-6.8514556825818573</v>
      </c>
      <c r="DL156" s="1">
        <v>6.6260218233336445</v>
      </c>
      <c r="DM156" s="1">
        <v>4.8485944717453719</v>
      </c>
      <c r="DN156" s="1">
        <v>4.9358907566455628</v>
      </c>
      <c r="DO156" s="1">
        <v>7.5947849217955223</v>
      </c>
      <c r="DQ156" s="1">
        <v>1948</v>
      </c>
      <c r="DR156" s="1">
        <v>44843.444155769415</v>
      </c>
      <c r="DS156" s="1">
        <v>44075.798224716724</v>
      </c>
      <c r="DT156" s="1">
        <v>12847.157222706173</v>
      </c>
      <c r="DU156" s="1">
        <v>888.24789478933894</v>
      </c>
      <c r="DV156" s="1">
        <v>9490.7185578396675</v>
      </c>
      <c r="DW156" s="1">
        <v>112145.3660558213</v>
      </c>
      <c r="DX156" s="1">
        <v>102254.92051373143</v>
      </c>
      <c r="DY156" s="1">
        <v>27254.840417830914</v>
      </c>
      <c r="EA156" s="1">
        <v>1948</v>
      </c>
      <c r="EB156" s="1">
        <v>3.0627195148166635</v>
      </c>
      <c r="EC156" s="1">
        <v>2.6994115172451956</v>
      </c>
      <c r="ED156" s="1">
        <v>3.4322978627856742</v>
      </c>
      <c r="EE156" s="1">
        <v>10.350450638058973</v>
      </c>
      <c r="EF156" s="1">
        <v>-6.8514556825818573</v>
      </c>
      <c r="EG156" s="1">
        <v>6.6260218233336445</v>
      </c>
      <c r="EH156" s="1">
        <v>4.1202443265644177</v>
      </c>
      <c r="EI156" s="1">
        <v>4.1152623298606841</v>
      </c>
      <c r="EJ156" s="1">
        <v>6.8203257844141802</v>
      </c>
      <c r="EL156" s="1">
        <v>1948</v>
      </c>
      <c r="EM156" s="1">
        <v>814646.13941851072</v>
      </c>
      <c r="EN156" s="1">
        <v>1111881.9059324404</v>
      </c>
      <c r="EO156" s="1">
        <v>248012.09372854832</v>
      </c>
      <c r="EP156" s="1">
        <v>218211.38540264172</v>
      </c>
      <c r="EQ156" s="1">
        <v>410015.22218268679</v>
      </c>
      <c r="ER156" s="1">
        <v>289025.424706041</v>
      </c>
      <c r="ES156" s="1">
        <v>290079.86373123329</v>
      </c>
      <c r="ET156" s="1">
        <v>21408.59515261976</v>
      </c>
      <c r="EU156" s="1">
        <v>3403280.6302547231</v>
      </c>
      <c r="EV156" s="1">
        <v>3113200.7665234888</v>
      </c>
      <c r="EX156" s="1">
        <v>1948</v>
      </c>
      <c r="EY156" s="1">
        <v>404581.48935801006</v>
      </c>
      <c r="EZ156" s="1">
        <v>1017001.0213824798</v>
      </c>
      <c r="FA156" s="1">
        <v>219240.78341080667</v>
      </c>
      <c r="FB156" s="1">
        <v>198168.57648047089</v>
      </c>
      <c r="FC156" s="1">
        <v>333753.5499427169</v>
      </c>
      <c r="FD156" s="1">
        <v>252954.93569070555</v>
      </c>
      <c r="FE156" s="1">
        <v>290079.86373123329</v>
      </c>
      <c r="FF156" s="1">
        <v>14469.404804873218</v>
      </c>
      <c r="FG156" s="1">
        <v>2730249.6248012967</v>
      </c>
      <c r="FH156" s="1">
        <v>2440169.7610700633</v>
      </c>
      <c r="FJ156" s="1">
        <v>1948</v>
      </c>
      <c r="FK156" s="1">
        <v>410064.6500605006</v>
      </c>
      <c r="FL156" s="1">
        <v>94880.884549960581</v>
      </c>
      <c r="FM156" s="1">
        <v>28771.310317741634</v>
      </c>
      <c r="FN156" s="1">
        <v>20042.808922170836</v>
      </c>
      <c r="FO156" s="1">
        <v>76261.672239969848</v>
      </c>
      <c r="FP156" s="1">
        <v>36070.489015335457</v>
      </c>
      <c r="FQ156" s="1">
        <v>6939.1903477465421</v>
      </c>
      <c r="FR156" s="1">
        <v>673031.00545342546</v>
      </c>
      <c r="FS156" s="1">
        <v>1293005.8283634288</v>
      </c>
      <c r="HC156" s="1">
        <v>1948</v>
      </c>
      <c r="HD156" s="1">
        <v>1346.0387497042825</v>
      </c>
      <c r="HE156" s="1">
        <v>5421.5259674711679</v>
      </c>
      <c r="HF156" s="1">
        <v>1491.9053053735609</v>
      </c>
      <c r="HG156" s="1">
        <v>1544.3846510588453</v>
      </c>
      <c r="HH156" s="1">
        <v>2872.3873074669618</v>
      </c>
      <c r="HI156" s="1">
        <v>2320.2275706063165</v>
      </c>
      <c r="HJ156" s="1">
        <v>84.349807905219237</v>
      </c>
      <c r="HK156" s="2">
        <v>15080.819359586352</v>
      </c>
      <c r="HL156" s="1">
        <v>12760.591788980037</v>
      </c>
      <c r="HN156" s="1">
        <v>1948</v>
      </c>
      <c r="HO156" s="1">
        <v>1506.6109624407659</v>
      </c>
      <c r="HP156" s="1">
        <v>543.70696039765608</v>
      </c>
      <c r="HQ156" s="1">
        <v>219.34534692490951</v>
      </c>
      <c r="HR156" s="1">
        <v>168.22246002373481</v>
      </c>
      <c r="HS156" s="1">
        <v>763.00589566011183</v>
      </c>
      <c r="HT156" s="1">
        <v>46.838327366899918</v>
      </c>
      <c r="HU156" s="2">
        <v>3247.7299528140784</v>
      </c>
      <c r="HW156" s="1">
        <v>1948</v>
      </c>
      <c r="HX156" s="1">
        <v>216.85073766469623</v>
      </c>
      <c r="HY156" s="1">
        <v>2489.3690770726525</v>
      </c>
      <c r="HZ156" s="1">
        <v>276.12270782554742</v>
      </c>
      <c r="IA156" s="1">
        <v>329.5966984603283</v>
      </c>
      <c r="IB156" s="1">
        <v>1132.0875769668826</v>
      </c>
      <c r="IC156" s="1">
        <v>248.2521225956273</v>
      </c>
      <c r="ID156" s="1">
        <v>2220.0036079555694</v>
      </c>
      <c r="IE156" s="2">
        <v>6912.2825285413037</v>
      </c>
      <c r="IF156" s="1">
        <v>6664.0304059456766</v>
      </c>
      <c r="IH156" s="1">
        <v>1948</v>
      </c>
      <c r="II156" s="1">
        <v>199.67248010386146</v>
      </c>
      <c r="IJ156" s="1">
        <v>40.276273436386404</v>
      </c>
      <c r="IK156" s="1">
        <v>14.379601425071382</v>
      </c>
      <c r="IL156" s="1">
        <v>218.31509712896175</v>
      </c>
      <c r="IM156" s="1">
        <v>28.297638528521958</v>
      </c>
      <c r="IN156" s="1">
        <v>10.102939735811793</v>
      </c>
      <c r="IO156" s="1">
        <v>2.6097762649927887</v>
      </c>
    </row>
    <row r="157" spans="1:249" x14ac:dyDescent="0.25">
      <c r="A157" s="1" t="s">
        <v>248</v>
      </c>
      <c r="B157" s="1">
        <v>3.7504101258861908</v>
      </c>
      <c r="C157" s="1">
        <v>3.6796123732069503</v>
      </c>
      <c r="D157" s="1">
        <v>3.8430078213736181</v>
      </c>
      <c r="E157" s="1">
        <v>3.6578950005533528</v>
      </c>
      <c r="F157" s="1">
        <v>4.0945327960274227</v>
      </c>
      <c r="G157" s="1">
        <v>2.282584394579402</v>
      </c>
      <c r="H157" s="1">
        <v>1.9047018330786472</v>
      </c>
      <c r="J157" s="1">
        <v>1949</v>
      </c>
      <c r="K157" s="2">
        <v>28941.698006489682</v>
      </c>
      <c r="L157" s="1">
        <v>26376.083107407456</v>
      </c>
      <c r="M157" s="1">
        <v>26015.998252721995</v>
      </c>
      <c r="N157" s="1">
        <v>23450.383353639769</v>
      </c>
      <c r="O157" s="1">
        <v>2925.6997537676871</v>
      </c>
      <c r="P157" s="1">
        <v>2565.6148990822271</v>
      </c>
      <c r="Q157" s="1">
        <v>28644.125708308948</v>
      </c>
      <c r="R157" s="1">
        <v>57585.823714798629</v>
      </c>
      <c r="S157" s="1">
        <v>55020.208815716403</v>
      </c>
      <c r="U157" s="1">
        <v>1949</v>
      </c>
      <c r="V157" s="1">
        <v>4160.9999833092252</v>
      </c>
      <c r="W157" s="1">
        <v>69952.974741395694</v>
      </c>
      <c r="X157" s="1">
        <v>1.2219666739643031</v>
      </c>
      <c r="Y157" s="1">
        <v>3792.1369141878058</v>
      </c>
      <c r="Z157" s="1">
        <v>64854.710803627378</v>
      </c>
      <c r="AA157" s="1">
        <v>2.674571808425469</v>
      </c>
      <c r="AB157" s="1">
        <v>6955466.9845185811</v>
      </c>
      <c r="AC157" s="1">
        <v>1.0478137853528864</v>
      </c>
      <c r="AE157" s="1">
        <v>1949</v>
      </c>
      <c r="AF157" s="1">
        <v>3276.9537684083693</v>
      </c>
      <c r="AG157" s="1">
        <v>8547.3955570094149</v>
      </c>
      <c r="AH157" s="1">
        <v>2166.457295040479</v>
      </c>
      <c r="AI157" s="1">
        <v>2205.6041571349047</v>
      </c>
      <c r="AJ157" s="1">
        <v>3345.1410050658455</v>
      </c>
      <c r="AK157" s="1">
        <v>1599.2322432592232</v>
      </c>
      <c r="AL157" s="1">
        <v>2688.4037103743585</v>
      </c>
      <c r="AM157" s="1">
        <v>2546.8953711148606</v>
      </c>
      <c r="AN157" s="2">
        <v>26376.083107407456</v>
      </c>
      <c r="AP157" s="1" t="s">
        <v>248</v>
      </c>
      <c r="AQ157" s="1">
        <v>12.809579656192554</v>
      </c>
      <c r="AR157" s="1">
        <v>1.545981306740714</v>
      </c>
      <c r="AS157" s="1">
        <v>4.1731243144341903</v>
      </c>
      <c r="AT157" s="1">
        <v>3.2559403605976627</v>
      </c>
      <c r="AU157" s="1">
        <v>2.8433697852994726</v>
      </c>
      <c r="AV157" s="1">
        <v>-0.35937173369731568</v>
      </c>
      <c r="AW157" s="1">
        <v>3.985124713977271</v>
      </c>
      <c r="AX157" s="1">
        <v>4.1043914202206366</v>
      </c>
      <c r="AY157" s="1">
        <v>3.7504101258861908</v>
      </c>
      <c r="BA157" s="1">
        <v>1949</v>
      </c>
      <c r="BB157" s="1">
        <v>18561.043431453465</v>
      </c>
      <c r="BC157" s="1">
        <v>3924.8761411997375</v>
      </c>
      <c r="BD157" s="1">
        <v>3578.0971884000169</v>
      </c>
      <c r="BE157" s="1">
        <v>1941.3380595892365</v>
      </c>
      <c r="BF157" s="1">
        <v>-26.386291390605564</v>
      </c>
      <c r="BG157" s="1">
        <v>417.54202705420374</v>
      </c>
      <c r="BH157" s="1">
        <v>5437.8254320196402</v>
      </c>
      <c r="BI157" s="1">
        <v>4892.6379818360119</v>
      </c>
      <c r="BJ157" s="1">
        <v>28941.698006489689</v>
      </c>
      <c r="BL157" s="1" t="s">
        <v>248</v>
      </c>
      <c r="BM157" s="1">
        <v>-1.8325055776136452</v>
      </c>
      <c r="BN157" s="1">
        <v>5.3248255996221019</v>
      </c>
      <c r="BO157" s="1">
        <v>-1.7289172902864038</v>
      </c>
      <c r="BP157" s="1">
        <v>1.8154311649016535</v>
      </c>
      <c r="BQ157" s="1">
        <v>-14.070839398350316</v>
      </c>
      <c r="BR157" s="1">
        <v>2.282584394579402</v>
      </c>
      <c r="BT157" s="1" t="s">
        <v>248</v>
      </c>
      <c r="BU157" s="1">
        <v>2.2168424316271</v>
      </c>
      <c r="BV157" s="1">
        <v>1.0145372029552391</v>
      </c>
      <c r="BW157" s="1">
        <v>1.0462592540974072</v>
      </c>
      <c r="BX157" s="1">
        <v>3.1320600509261283</v>
      </c>
      <c r="BY157" s="1">
        <v>1.9722081233489348</v>
      </c>
      <c r="BZ157" s="1">
        <v>2.0265829035436553</v>
      </c>
      <c r="CB157" s="1">
        <v>1949</v>
      </c>
      <c r="CC157" s="1">
        <v>386.30816758093079</v>
      </c>
      <c r="CD157" s="1">
        <v>2051.6471873695082</v>
      </c>
      <c r="CE157" s="1">
        <v>109.1843089868146</v>
      </c>
      <c r="CF157" s="1">
        <v>853.43393303063385</v>
      </c>
      <c r="CG157" s="1">
        <v>335.56346333318186</v>
      </c>
      <c r="CH157" s="1">
        <v>547.59391083924311</v>
      </c>
      <c r="CI157" s="1">
        <v>1626.8600125125392</v>
      </c>
      <c r="CJ157" s="1">
        <v>5910.5909836528517</v>
      </c>
      <c r="CL157" s="1">
        <v>1949</v>
      </c>
      <c r="CM157" s="1">
        <v>238.04040684977446</v>
      </c>
      <c r="CN157" s="1">
        <v>877.32123712692078</v>
      </c>
      <c r="CO157" s="1">
        <v>68.520005947001692</v>
      </c>
      <c r="CP157" s="1">
        <v>513.75888666730361</v>
      </c>
      <c r="CQ157" s="1">
        <v>152.99127477150455</v>
      </c>
      <c r="CR157" s="1">
        <v>257.68202860107857</v>
      </c>
      <c r="CS157" s="1">
        <v>817.38591380410367</v>
      </c>
      <c r="CT157" s="2">
        <v>2925.6997537676871</v>
      </c>
      <c r="CV157" s="1">
        <v>1949</v>
      </c>
      <c r="CW157" s="1">
        <v>26950.267468288959</v>
      </c>
      <c r="CX157" s="1">
        <v>24091.392822483849</v>
      </c>
      <c r="CY157" s="1">
        <v>8559.6003837923727</v>
      </c>
      <c r="CZ157" s="1">
        <v>963.94949583656035</v>
      </c>
      <c r="DA157" s="1">
        <v>9985.2779010836875</v>
      </c>
      <c r="DB157" s="1">
        <v>70550.488071485423</v>
      </c>
      <c r="DC157" s="1">
        <v>63972.812843822874</v>
      </c>
      <c r="DD157" s="1">
        <v>20164.108387042186</v>
      </c>
      <c r="DF157" s="1">
        <v>1949</v>
      </c>
      <c r="DG157" s="1">
        <v>3.569400796539469</v>
      </c>
      <c r="DH157" s="1">
        <v>3.0035846570387861</v>
      </c>
      <c r="DI157" s="1">
        <v>4.2021509764116161</v>
      </c>
      <c r="DJ157" s="1">
        <v>8.9993913365842531</v>
      </c>
      <c r="DK157" s="1">
        <v>-2.737310564980092</v>
      </c>
      <c r="DL157" s="1">
        <v>4.1815764287230053</v>
      </c>
      <c r="DM157" s="1">
        <v>4.2294712896704141</v>
      </c>
      <c r="DN157" s="1">
        <v>4.2125573447699338</v>
      </c>
      <c r="DO157" s="1">
        <v>6.1440374525716805</v>
      </c>
      <c r="DQ157" s="1">
        <v>1949</v>
      </c>
      <c r="DR157" s="1">
        <v>46429.727704130935</v>
      </c>
      <c r="DS157" s="1">
        <v>45974.89220605747</v>
      </c>
      <c r="DT157" s="1">
        <v>14640.929850086744</v>
      </c>
      <c r="DU157" s="1">
        <v>963.94949583656035</v>
      </c>
      <c r="DV157" s="1">
        <v>9985.2779010836875</v>
      </c>
      <c r="DW157" s="1">
        <v>117994.77715719538</v>
      </c>
      <c r="DX157" s="1">
        <v>107592.6736471192</v>
      </c>
      <c r="DY157" s="1">
        <v>29189.106746601472</v>
      </c>
      <c r="EA157" s="1">
        <v>1949</v>
      </c>
      <c r="EB157" s="1">
        <v>3.045437460201498</v>
      </c>
      <c r="EC157" s="1">
        <v>2.8681959699186024</v>
      </c>
      <c r="ED157" s="1">
        <v>3.2243835517354853</v>
      </c>
      <c r="EE157" s="1">
        <v>8.7366366801010003</v>
      </c>
      <c r="EF157" s="1">
        <v>-2.737310564980092</v>
      </c>
      <c r="EG157" s="1">
        <v>4.1815764287230053</v>
      </c>
      <c r="EH157" s="1">
        <v>3.8040567208768437</v>
      </c>
      <c r="EI157" s="1">
        <v>3.7477027411395767</v>
      </c>
      <c r="EJ157" s="1">
        <v>5.9006565276356042</v>
      </c>
      <c r="EL157" s="1">
        <v>1949</v>
      </c>
      <c r="EM157" s="1">
        <v>801462.88835601369</v>
      </c>
      <c r="EN157" s="1">
        <v>1113418.5640452791</v>
      </c>
      <c r="EO157" s="1">
        <v>247097.66454376467</v>
      </c>
      <c r="EP157" s="1">
        <v>221750.7557664997</v>
      </c>
      <c r="EQ157" s="1">
        <v>415837.37891397101</v>
      </c>
      <c r="ER157" s="1">
        <v>280424.98078554566</v>
      </c>
      <c r="ES157" s="1">
        <v>301999.28790132172</v>
      </c>
      <c r="ET157" s="1">
        <v>22301.094712897604</v>
      </c>
      <c r="EU157" s="1">
        <v>3404292.6150252922</v>
      </c>
      <c r="EV157" s="1">
        <v>3102293.3271239712</v>
      </c>
      <c r="EX157" s="1">
        <v>1949</v>
      </c>
      <c r="EY157" s="1">
        <v>389748.84459168062</v>
      </c>
      <c r="EZ157" s="1">
        <v>1019353.2744914499</v>
      </c>
      <c r="FA157" s="1">
        <v>217372.09659248532</v>
      </c>
      <c r="FB157" s="1">
        <v>200455.2712866932</v>
      </c>
      <c r="FC157" s="1">
        <v>339106.12846934691</v>
      </c>
      <c r="FD157" s="1">
        <v>244573.85588895308</v>
      </c>
      <c r="FE157" s="1">
        <v>301999.28790132172</v>
      </c>
      <c r="FF157" s="1">
        <v>15647.849947608171</v>
      </c>
      <c r="FG157" s="1">
        <v>2728256.6091695386</v>
      </c>
      <c r="FH157" s="1">
        <v>2426257.3212682167</v>
      </c>
      <c r="FJ157" s="1">
        <v>1949</v>
      </c>
      <c r="FK157" s="1">
        <v>411714.04376433307</v>
      </c>
      <c r="FL157" s="1">
        <v>94065.28955382912</v>
      </c>
      <c r="FM157" s="1">
        <v>29725.567951279329</v>
      </c>
      <c r="FN157" s="1">
        <v>21295.484479806513</v>
      </c>
      <c r="FO157" s="1">
        <v>76731.250444624136</v>
      </c>
      <c r="FP157" s="1">
        <v>35851.124896592613</v>
      </c>
      <c r="FQ157" s="1">
        <v>6653.2447652894334</v>
      </c>
      <c r="FR157" s="1">
        <v>676036.00585575413</v>
      </c>
      <c r="FS157" s="1">
        <v>1311093.5761213081</v>
      </c>
      <c r="HC157" s="1">
        <v>1949</v>
      </c>
      <c r="HD157" s="1">
        <v>1339.2040464384113</v>
      </c>
      <c r="HE157" s="1">
        <v>5978.7412394824651</v>
      </c>
      <c r="HF157" s="1">
        <v>1511.9880742542589</v>
      </c>
      <c r="HG157" s="1">
        <v>1608.9525215781734</v>
      </c>
      <c r="HH157" s="1">
        <v>3010.6976306369825</v>
      </c>
      <c r="HI157" s="1">
        <v>2430.7216817732801</v>
      </c>
      <c r="HJ157" s="1">
        <v>95.304956693011064</v>
      </c>
      <c r="HK157" s="2">
        <v>15975.610150856583</v>
      </c>
      <c r="HL157" s="1">
        <v>13544.888469083302</v>
      </c>
      <c r="HN157" s="1">
        <v>1949</v>
      </c>
      <c r="HO157" s="1">
        <v>1752.3993151201835</v>
      </c>
      <c r="HP157" s="1">
        <v>593.06247626703896</v>
      </c>
      <c r="HQ157" s="1">
        <v>231.64535940664831</v>
      </c>
      <c r="HR157" s="1">
        <v>184.08482071710122</v>
      </c>
      <c r="HS157" s="1">
        <v>797.4091635147131</v>
      </c>
      <c r="HT157" s="1">
        <v>46.919509400685222</v>
      </c>
      <c r="HU157" s="2">
        <v>3605.5206444263699</v>
      </c>
      <c r="HW157" s="1">
        <v>1949</v>
      </c>
      <c r="HX157" s="1">
        <v>238.04040684977463</v>
      </c>
      <c r="HY157" s="1">
        <v>1975.5918412599112</v>
      </c>
      <c r="HZ157" s="1">
        <v>422.82386137957178</v>
      </c>
      <c r="IA157" s="1">
        <v>359.87681483962979</v>
      </c>
      <c r="IB157" s="1">
        <v>1136.266454173372</v>
      </c>
      <c r="IC157" s="1">
        <v>257.68202860107857</v>
      </c>
      <c r="ID157" s="1">
        <v>2404.6709050211643</v>
      </c>
      <c r="IE157" s="2">
        <v>6794.9523121245038</v>
      </c>
      <c r="IF157" s="1">
        <v>6537.270283523425</v>
      </c>
      <c r="IH157" s="1">
        <v>1949</v>
      </c>
      <c r="II157" s="1">
        <v>212.8550360927976</v>
      </c>
      <c r="IJ157" s="1">
        <v>28.623871638078541</v>
      </c>
      <c r="IK157" s="1">
        <v>10.454971850250566</v>
      </c>
      <c r="IL157" s="1">
        <v>234.57975012373899</v>
      </c>
      <c r="IM157" s="1">
        <v>16.711859508234479</v>
      </c>
      <c r="IN157" s="1">
        <v>6.1040666662122609</v>
      </c>
      <c r="IO157" s="1">
        <v>7.6372072157218582</v>
      </c>
    </row>
    <row r="158" spans="1:249" x14ac:dyDescent="0.25">
      <c r="A158" s="1" t="s">
        <v>249</v>
      </c>
      <c r="B158" s="1">
        <v>3.895466180554024</v>
      </c>
      <c r="C158" s="1">
        <v>3.9556579153200175</v>
      </c>
      <c r="D158" s="1">
        <v>4.0148472459773785</v>
      </c>
      <c r="E158" s="1">
        <v>3.7762221324811662</v>
      </c>
      <c r="F158" s="1">
        <v>4.2006161394346293</v>
      </c>
      <c r="G158" s="1">
        <v>6.9969657185568792</v>
      </c>
      <c r="H158" s="1">
        <v>7.1000015906837604</v>
      </c>
      <c r="J158" s="1">
        <v>1950</v>
      </c>
      <c r="K158" s="2">
        <v>31827.345718328448</v>
      </c>
      <c r="L158" s="1">
        <v>29060.882897694599</v>
      </c>
      <c r="M158" s="1">
        <v>28653.243799311895</v>
      </c>
      <c r="N158" s="1">
        <v>25886.780978678049</v>
      </c>
      <c r="O158" s="1">
        <v>3174.1019190165516</v>
      </c>
      <c r="P158" s="1">
        <v>2766.4628206338493</v>
      </c>
      <c r="Q158" s="1">
        <v>30997.787071491555</v>
      </c>
      <c r="R158" s="1">
        <v>62825.132789820003</v>
      </c>
      <c r="S158" s="1">
        <v>60058.669969186158</v>
      </c>
      <c r="U158" s="1">
        <v>1950</v>
      </c>
      <c r="V158" s="1">
        <v>4537.7207666844697</v>
      </c>
      <c r="W158" s="1">
        <v>74223.475960201526</v>
      </c>
      <c r="X158" s="1">
        <v>6.1048171783875489</v>
      </c>
      <c r="Y158" s="1">
        <v>4143.2978103202031</v>
      </c>
      <c r="Z158" s="1">
        <v>66819.275546019402</v>
      </c>
      <c r="AA158" s="1">
        <v>3.0291781707893222</v>
      </c>
      <c r="AB158" s="1">
        <v>7013949.8119853269</v>
      </c>
      <c r="AC158" s="1">
        <v>0.84081813049958498</v>
      </c>
      <c r="AE158" s="1">
        <v>1950</v>
      </c>
      <c r="AF158" s="1">
        <v>3992.4452308582054</v>
      </c>
      <c r="AG158" s="1">
        <v>9544.9064576008877</v>
      </c>
      <c r="AH158" s="1">
        <v>2334.9977370804918</v>
      </c>
      <c r="AI158" s="1">
        <v>2329.6610296912099</v>
      </c>
      <c r="AJ158" s="1">
        <v>3613.1711092339824</v>
      </c>
      <c r="AK158" s="1">
        <v>1710.2663138773846</v>
      </c>
      <c r="AL158" s="1">
        <v>2826.6956322674337</v>
      </c>
      <c r="AM158" s="1">
        <v>2708.7393870850015</v>
      </c>
      <c r="AN158" s="2">
        <v>29060.882897694602</v>
      </c>
      <c r="AP158" s="1" t="s">
        <v>249</v>
      </c>
      <c r="AQ158" s="1">
        <v>1.4327269277523413</v>
      </c>
      <c r="AR158" s="1">
        <v>3.8402470006192715</v>
      </c>
      <c r="AS158" s="1">
        <v>6.1406541870200044</v>
      </c>
      <c r="AT158" s="1">
        <v>3.595633465461475</v>
      </c>
      <c r="AU158" s="1">
        <v>6.6125876228039289</v>
      </c>
      <c r="AV158" s="1">
        <v>2.471565073313613</v>
      </c>
      <c r="AW158" s="1">
        <v>3.5518208326934797</v>
      </c>
      <c r="AX158" s="1">
        <v>3.5820569477335766</v>
      </c>
      <c r="AY158" s="1">
        <v>3.895466180554024</v>
      </c>
      <c r="BA158" s="1">
        <v>1950</v>
      </c>
      <c r="BB158" s="1">
        <v>21505.443470433423</v>
      </c>
      <c r="BC158" s="1">
        <v>4164.6367302553781</v>
      </c>
      <c r="BD158" s="1">
        <v>3851.3541679015225</v>
      </c>
      <c r="BE158" s="1">
        <v>2304.2749044494713</v>
      </c>
      <c r="BF158" s="1">
        <v>-20.800178457409814</v>
      </c>
      <c r="BG158" s="1">
        <v>-176</v>
      </c>
      <c r="BH158" s="1">
        <v>7088.5536247069122</v>
      </c>
      <c r="BI158" s="1">
        <v>6890.1170009608459</v>
      </c>
      <c r="BJ158" s="1">
        <v>31827.345718328448</v>
      </c>
      <c r="BL158" s="1" t="s">
        <v>249</v>
      </c>
      <c r="BM158" s="1">
        <v>12.779105124764612</v>
      </c>
      <c r="BN158" s="1">
        <v>4.2921284594105344</v>
      </c>
      <c r="BO158" s="1">
        <v>-1.3790826331888866</v>
      </c>
      <c r="BP158" s="1">
        <v>22.288261515601789</v>
      </c>
      <c r="BQ158" s="1">
        <v>33.653303218520591</v>
      </c>
      <c r="BR158" s="1">
        <v>6.9969657185568508</v>
      </c>
      <c r="BT158" s="1" t="s">
        <v>249</v>
      </c>
      <c r="BU158" s="1">
        <v>2.7347507264410496</v>
      </c>
      <c r="BV158" s="1">
        <v>1.7418518318510223</v>
      </c>
      <c r="BW158" s="1">
        <v>2.2259064065673186</v>
      </c>
      <c r="BX158" s="1">
        <v>6.5976416726127383</v>
      </c>
      <c r="BY158" s="1">
        <v>5.3668065136335485</v>
      </c>
      <c r="BZ158" s="1">
        <v>2.7791335485801056</v>
      </c>
      <c r="CB158" s="1">
        <v>1950</v>
      </c>
      <c r="CC158" s="1">
        <v>518.09294000391696</v>
      </c>
      <c r="CD158" s="1">
        <v>1725.8510287876713</v>
      </c>
      <c r="CE158" s="1">
        <v>113.92307452107462</v>
      </c>
      <c r="CF158" s="1">
        <v>872.33612150824536</v>
      </c>
      <c r="CG158" s="1">
        <v>276.79173909076883</v>
      </c>
      <c r="CH158" s="1">
        <v>621.76317202139296</v>
      </c>
      <c r="CI158" s="1">
        <v>1830.0708179605138</v>
      </c>
      <c r="CJ158" s="1">
        <v>5958.8288938935839</v>
      </c>
      <c r="CL158" s="1">
        <v>1950</v>
      </c>
      <c r="CM158" s="1">
        <v>262.88232338338435</v>
      </c>
      <c r="CN158" s="1">
        <v>976.02784937882916</v>
      </c>
      <c r="CO158" s="1">
        <v>72.395065866648679</v>
      </c>
      <c r="CP158" s="1">
        <v>561.22709339921539</v>
      </c>
      <c r="CQ158" s="1">
        <v>167.00410711021402</v>
      </c>
      <c r="CR158" s="1">
        <v>275.55012449712751</v>
      </c>
      <c r="CS158" s="1">
        <v>859.01535538113239</v>
      </c>
      <c r="CT158" s="2">
        <v>3174.1019190165516</v>
      </c>
      <c r="CV158" s="1">
        <v>1950</v>
      </c>
      <c r="CW158" s="1">
        <v>28194.829226839433</v>
      </c>
      <c r="CX158" s="1">
        <v>25514.213342325598</v>
      </c>
      <c r="CY158" s="1">
        <v>9636.6608022280143</v>
      </c>
      <c r="CZ158" s="1">
        <v>1031.3195248905495</v>
      </c>
      <c r="DA158" s="1">
        <v>10922.560731873631</v>
      </c>
      <c r="DB158" s="1">
        <v>75299.583628157226</v>
      </c>
      <c r="DC158" s="1">
        <v>68278.0662196263</v>
      </c>
      <c r="DD158" s="1">
        <v>22036.847865790911</v>
      </c>
      <c r="DF158" s="1">
        <v>1950</v>
      </c>
      <c r="DG158" s="1">
        <v>3.7353006839471448</v>
      </c>
      <c r="DH158" s="1">
        <v>3.4440905981973629</v>
      </c>
      <c r="DI158" s="1">
        <v>4.0592193067357556</v>
      </c>
      <c r="DJ158" s="1">
        <v>10.17913820394017</v>
      </c>
      <c r="DK158" s="1">
        <v>-2.0168510297152835</v>
      </c>
      <c r="DL158" s="1">
        <v>-1.6112860012989501</v>
      </c>
      <c r="DM158" s="1">
        <v>3.6958298958576137</v>
      </c>
      <c r="DN158" s="1">
        <v>3.5682576042884477</v>
      </c>
      <c r="DO158" s="1">
        <v>5.6154226846623345</v>
      </c>
      <c r="DQ158" s="1">
        <v>1950</v>
      </c>
      <c r="DR158" s="1">
        <v>48510.003951027822</v>
      </c>
      <c r="DS158" s="1">
        <v>48227.595639906001</v>
      </c>
      <c r="DT158" s="1">
        <v>16448.878038580413</v>
      </c>
      <c r="DU158" s="1">
        <v>1031.3195248905495</v>
      </c>
      <c r="DV158" s="1">
        <v>10922.560731873631</v>
      </c>
      <c r="DW158" s="1">
        <v>125140.35788627842</v>
      </c>
      <c r="DX158" s="1">
        <v>114032.19877411058</v>
      </c>
      <c r="DY158" s="1">
        <v>31717.899726150757</v>
      </c>
      <c r="EA158" s="1">
        <v>1950</v>
      </c>
      <c r="EB158" s="1">
        <v>3.171133374136474</v>
      </c>
      <c r="EC158" s="1">
        <v>3.1360716501439754</v>
      </c>
      <c r="ED158" s="1">
        <v>3.2068090840311214</v>
      </c>
      <c r="EE158" s="1">
        <v>9.56400195547225</v>
      </c>
      <c r="EF158" s="1">
        <v>-2.0168510297152835</v>
      </c>
      <c r="EG158" s="1">
        <v>-1.6112860012989501</v>
      </c>
      <c r="EH158" s="1">
        <v>3.5373421081722682</v>
      </c>
      <c r="EI158" s="1">
        <v>3.4228487140600663</v>
      </c>
      <c r="EJ158" s="1">
        <v>5.6088952584551635</v>
      </c>
      <c r="EL158" s="1">
        <v>1950</v>
      </c>
      <c r="EM158" s="1">
        <v>774965.5436028759</v>
      </c>
      <c r="EN158" s="1">
        <v>1120004.2416717298</v>
      </c>
      <c r="EO158" s="1">
        <v>249373.90773161847</v>
      </c>
      <c r="EP158" s="1">
        <v>223536.34705793791</v>
      </c>
      <c r="EQ158" s="1">
        <v>423405.94480760454</v>
      </c>
      <c r="ER158" s="1">
        <v>277944.78477190412</v>
      </c>
      <c r="ES158" s="1">
        <v>312702.44429895218</v>
      </c>
      <c r="ET158" s="1">
        <v>23993.746319674992</v>
      </c>
      <c r="EU158" s="1">
        <v>3405926.9602622981</v>
      </c>
      <c r="EV158" s="1">
        <v>3093224.5159633458</v>
      </c>
      <c r="EX158" s="1">
        <v>1950</v>
      </c>
      <c r="EY158" s="1">
        <v>365027.7699811316</v>
      </c>
      <c r="EZ158" s="1">
        <v>1026482.6821153216</v>
      </c>
      <c r="FA158" s="1">
        <v>219779.8799127129</v>
      </c>
      <c r="FB158" s="1">
        <v>202240.8625781314</v>
      </c>
      <c r="FC158" s="1">
        <v>346054.1148592899</v>
      </c>
      <c r="FD158" s="1">
        <v>242147.59028275765</v>
      </c>
      <c r="FE158" s="1">
        <v>312702.44429895218</v>
      </c>
      <c r="FF158" s="1">
        <v>17394.525974713422</v>
      </c>
      <c r="FG158" s="1">
        <v>2731829.8700030106</v>
      </c>
      <c r="FH158" s="1">
        <v>2419127.4257040583</v>
      </c>
      <c r="FJ158" s="1">
        <v>1950</v>
      </c>
      <c r="FK158" s="1">
        <v>409937.7736217443</v>
      </c>
      <c r="FL158" s="1">
        <v>93521.559556408145</v>
      </c>
      <c r="FM158" s="1">
        <v>29594.027818905557</v>
      </c>
      <c r="FN158" s="1">
        <v>21295.484479806513</v>
      </c>
      <c r="FO158" s="1">
        <v>77351.829948314713</v>
      </c>
      <c r="FP158" s="1">
        <v>35797.194489146481</v>
      </c>
      <c r="FQ158" s="1">
        <v>6599.2203449615699</v>
      </c>
      <c r="FR158" s="1">
        <v>674097.09025928727</v>
      </c>
      <c r="FS158" s="1">
        <v>1329434.3518329503</v>
      </c>
      <c r="FU158" s="1">
        <v>1950</v>
      </c>
      <c r="FV158" s="1">
        <v>134850.86043065853</v>
      </c>
      <c r="FW158" s="1">
        <v>225031.35939232365</v>
      </c>
      <c r="FX158" s="1">
        <v>48926.931766336136</v>
      </c>
      <c r="FY158" s="1">
        <v>49081.275798514471</v>
      </c>
      <c r="FZ158" s="1">
        <v>85495.897960776958</v>
      </c>
      <c r="GA158" s="1">
        <v>47980.966628839567</v>
      </c>
      <c r="GB158" s="1">
        <v>55024.086585618352</v>
      </c>
      <c r="GC158" s="1">
        <v>4206.1509453874141</v>
      </c>
      <c r="GD158" s="1">
        <v>650597.52950845496</v>
      </c>
      <c r="GE158" s="1">
        <v>595573.44292283687</v>
      </c>
      <c r="GG158" s="1">
        <v>1950</v>
      </c>
      <c r="GH158" s="1">
        <v>55857.732103728049</v>
      </c>
      <c r="GI158" s="1">
        <v>204958.381285604</v>
      </c>
      <c r="GJ158" s="1">
        <v>42513.482041099152</v>
      </c>
      <c r="GK158" s="1">
        <v>44082.232449520627</v>
      </c>
      <c r="GL158" s="1">
        <v>65949.182857237145</v>
      </c>
      <c r="GM158" s="1">
        <v>41462.393572971967</v>
      </c>
      <c r="GN158" s="1">
        <v>55024.086585618352</v>
      </c>
      <c r="GO158" s="1">
        <v>2922.403983996383</v>
      </c>
      <c r="GP158" s="1">
        <v>512769.89487977565</v>
      </c>
      <c r="GQ158" s="1">
        <v>457745.80829415732</v>
      </c>
      <c r="GS158" s="1">
        <v>1950</v>
      </c>
      <c r="GT158" s="1">
        <v>78993.128326930484</v>
      </c>
      <c r="GU158" s="1">
        <v>20072.978106719671</v>
      </c>
      <c r="GV158" s="1">
        <v>6413.4497252369856</v>
      </c>
      <c r="GW158" s="1">
        <v>4999.0433489938468</v>
      </c>
      <c r="GX158" s="1">
        <v>19546.715103539809</v>
      </c>
      <c r="GY158" s="1">
        <v>6518.5730558675896</v>
      </c>
      <c r="GZ158" s="1">
        <v>1283.7469613910307</v>
      </c>
      <c r="HA158" s="1">
        <v>137827.6346286794</v>
      </c>
      <c r="HC158" s="1">
        <v>1950</v>
      </c>
      <c r="HD158" s="1">
        <v>1304.9247534100748</v>
      </c>
      <c r="HE158" s="1">
        <v>6287.6491200498094</v>
      </c>
      <c r="HF158" s="1">
        <v>1577.4843712250945</v>
      </c>
      <c r="HG158" s="1">
        <v>1683.5439064898324</v>
      </c>
      <c r="HH158" s="1">
        <v>3204.3558599335947</v>
      </c>
      <c r="HI158" s="1">
        <v>2551.1455077703081</v>
      </c>
      <c r="HJ158" s="1">
        <v>110.36605583933132</v>
      </c>
      <c r="HK158" s="2">
        <v>16719.469574718045</v>
      </c>
      <c r="HL158" s="1">
        <v>14168.324066947738</v>
      </c>
      <c r="HN158" s="1">
        <v>1950</v>
      </c>
      <c r="HO158" s="1">
        <v>1845.4041118549171</v>
      </c>
      <c r="HP158" s="1">
        <v>615.79254450503402</v>
      </c>
      <c r="HQ158" s="1">
        <v>237.97431359347792</v>
      </c>
      <c r="HR158" s="1">
        <v>190.91839275868247</v>
      </c>
      <c r="HS158" s="1">
        <v>838.20722836852656</v>
      </c>
      <c r="HT158" s="1">
        <v>48.481349464458489</v>
      </c>
      <c r="HU158" s="2">
        <v>3776.7779405450965</v>
      </c>
      <c r="HW158" s="1">
        <v>1950</v>
      </c>
      <c r="HX158" s="1">
        <v>888.70936559321353</v>
      </c>
      <c r="HY158" s="1">
        <v>2641.4647930460442</v>
      </c>
      <c r="HZ158" s="1">
        <v>519.53905226191932</v>
      </c>
      <c r="IA158" s="1">
        <v>408.60573044269518</v>
      </c>
      <c r="IB158" s="1">
        <v>1280.874334809246</v>
      </c>
      <c r="IC158" s="1">
        <v>275.55012449712569</v>
      </c>
      <c r="ID158" s="1">
        <v>2549.8919817812116</v>
      </c>
      <c r="IE158" s="2">
        <v>8564.6353824314556</v>
      </c>
      <c r="IF158" s="1">
        <v>8289.08525793433</v>
      </c>
      <c r="IH158" s="1">
        <v>1950</v>
      </c>
      <c r="II158" s="1">
        <v>208.8515380748774</v>
      </c>
      <c r="IJ158" s="1">
        <v>36.776845165033563</v>
      </c>
      <c r="IK158" s="1">
        <v>12.87431737672552</v>
      </c>
      <c r="IL158" s="1">
        <v>230.13990481744551</v>
      </c>
      <c r="IM158" s="1">
        <v>24.124734076022758</v>
      </c>
      <c r="IN158" s="1">
        <v>8.4452454181448466</v>
      </c>
      <c r="IO158" s="1">
        <v>1.6562920592437393</v>
      </c>
    </row>
    <row r="159" spans="1:249" x14ac:dyDescent="0.25">
      <c r="A159" s="1" t="s">
        <v>250</v>
      </c>
      <c r="B159" s="1">
        <v>3.933782349991418</v>
      </c>
      <c r="C159" s="1">
        <v>3.8855427720320108</v>
      </c>
      <c r="D159" s="1">
        <v>3.8515139224860633</v>
      </c>
      <c r="E159" s="1">
        <v>4.0161159483730273</v>
      </c>
      <c r="F159" s="1">
        <v>4.232057526805761</v>
      </c>
      <c r="G159" s="1">
        <v>3.5367437500144092</v>
      </c>
      <c r="H159" s="1">
        <v>3.2497878729487866</v>
      </c>
      <c r="J159" s="1">
        <v>1951</v>
      </c>
      <c r="K159" s="2">
        <v>39426.043008172695</v>
      </c>
      <c r="L159" s="1">
        <v>36175.87833943039</v>
      </c>
      <c r="M159" s="1">
        <v>35323.824086268331</v>
      </c>
      <c r="N159" s="1">
        <v>32073.659417526025</v>
      </c>
      <c r="O159" s="1">
        <v>4102.2189219043657</v>
      </c>
      <c r="P159" s="1">
        <v>3250.1646687423054</v>
      </c>
      <c r="Q159" s="1">
        <v>39651.946671207537</v>
      </c>
      <c r="R159" s="1">
        <v>79077.989679380233</v>
      </c>
      <c r="S159" s="1">
        <v>75827.825010637927</v>
      </c>
      <c r="U159" s="1">
        <v>1951</v>
      </c>
      <c r="V159" s="1">
        <v>5576.3473621981884</v>
      </c>
      <c r="W159" s="1">
        <v>76236.872694314516</v>
      </c>
      <c r="X159" s="1">
        <v>2.7126144498979841</v>
      </c>
      <c r="Y159" s="1">
        <v>5116.650020177487</v>
      </c>
      <c r="Z159" s="1">
        <v>68895.011470739904</v>
      </c>
      <c r="AA159" s="1">
        <v>3.1064927115094463</v>
      </c>
      <c r="AB159" s="1">
        <v>7070227.2378941262</v>
      </c>
      <c r="AC159" s="1">
        <v>0.80236425148969204</v>
      </c>
      <c r="AE159" s="1">
        <v>1951</v>
      </c>
      <c r="AF159" s="1">
        <v>5059.1166816468613</v>
      </c>
      <c r="AG159" s="1">
        <v>13055.648233661788</v>
      </c>
      <c r="AH159" s="1">
        <v>2793.4052215323677</v>
      </c>
      <c r="AI159" s="1">
        <v>3124.4575337689448</v>
      </c>
      <c r="AJ159" s="1">
        <v>4016.6367944469894</v>
      </c>
      <c r="AK159" s="1">
        <v>1949.0571290839953</v>
      </c>
      <c r="AL159" s="1">
        <v>3455.0015278024684</v>
      </c>
      <c r="AM159" s="1">
        <v>2722.5552174869781</v>
      </c>
      <c r="AN159" s="2">
        <v>36175.878339430397</v>
      </c>
      <c r="AP159" s="1" t="s">
        <v>250</v>
      </c>
      <c r="AQ159" s="1">
        <v>1.7994337086809367</v>
      </c>
      <c r="AR159" s="1">
        <v>7.4922465118538355</v>
      </c>
      <c r="AS159" s="1">
        <v>-2.9755196716393755</v>
      </c>
      <c r="AT159" s="1">
        <v>8.1295872377067866</v>
      </c>
      <c r="AU159" s="1">
        <v>1.7077209898801868</v>
      </c>
      <c r="AV159" s="1">
        <v>2.8132710023236314</v>
      </c>
      <c r="AW159" s="1">
        <v>3.4192103047821405</v>
      </c>
      <c r="AX159" s="1">
        <v>0.32599301904336642</v>
      </c>
      <c r="AY159" s="1">
        <v>3.933782349991418</v>
      </c>
      <c r="BA159" s="1">
        <v>1951</v>
      </c>
      <c r="BB159" s="1">
        <v>23988.853819545831</v>
      </c>
      <c r="BC159" s="1">
        <v>5201.7382915872795</v>
      </c>
      <c r="BD159" s="1">
        <v>4761.7715003693565</v>
      </c>
      <c r="BE159" s="1">
        <v>2969.266990968446</v>
      </c>
      <c r="BF159" s="1">
        <v>-30.054666498167908</v>
      </c>
      <c r="BG159" s="1">
        <v>1605</v>
      </c>
      <c r="BH159" s="1">
        <v>11205.132926151427</v>
      </c>
      <c r="BI159" s="1">
        <v>10275.665853951477</v>
      </c>
      <c r="BJ159" s="1">
        <v>39426.043008172703</v>
      </c>
      <c r="BL159" s="1" t="s">
        <v>250</v>
      </c>
      <c r="BM159" s="1">
        <v>-1.0280818840289925</v>
      </c>
      <c r="BN159" s="1">
        <v>4.8067073776482374</v>
      </c>
      <c r="BO159" s="1">
        <v>27.622447948782479</v>
      </c>
      <c r="BP159" s="1">
        <v>6.7256409313274759</v>
      </c>
      <c r="BQ159" s="1">
        <v>14.72950791045298</v>
      </c>
      <c r="BR159" s="1">
        <v>3.5367437500144092</v>
      </c>
      <c r="BT159" s="1" t="s">
        <v>250</v>
      </c>
      <c r="BU159" s="1">
        <v>12.706537573194112</v>
      </c>
      <c r="BV159" s="1">
        <v>19.174213892419772</v>
      </c>
      <c r="BW159" s="1">
        <v>22.369816200214785</v>
      </c>
      <c r="BX159" s="1">
        <v>48.112124754118668</v>
      </c>
      <c r="BY159" s="1">
        <v>29.989491778835941</v>
      </c>
      <c r="BZ159" s="1">
        <v>19.643268121997437</v>
      </c>
      <c r="CB159" s="1">
        <v>1951</v>
      </c>
      <c r="CC159" s="1">
        <v>521.10253240715156</v>
      </c>
      <c r="CD159" s="1">
        <v>3556.4968573800361</v>
      </c>
      <c r="CE159" s="1">
        <v>143.47904652810288</v>
      </c>
      <c r="CF159" s="1">
        <v>1287.0835558353781</v>
      </c>
      <c r="CG159" s="1">
        <v>783.92993719163314</v>
      </c>
      <c r="CH159" s="1">
        <v>825.58011920535023</v>
      </c>
      <c r="CI159" s="1">
        <v>2188.3117762919828</v>
      </c>
      <c r="CJ159" s="1">
        <v>9305.9838248396354</v>
      </c>
      <c r="CL159" s="1">
        <v>1951</v>
      </c>
      <c r="CM159" s="1">
        <v>338.14422175721802</v>
      </c>
      <c r="CN159" s="1">
        <v>1298.2522567496703</v>
      </c>
      <c r="CO159" s="1">
        <v>91.675210119160383</v>
      </c>
      <c r="CP159" s="1">
        <v>690.55749205550637</v>
      </c>
      <c r="CQ159" s="1">
        <v>220.8266289448861</v>
      </c>
      <c r="CR159" s="1">
        <v>351.45715513691471</v>
      </c>
      <c r="CS159" s="1">
        <v>1111.3059571410097</v>
      </c>
      <c r="CT159" s="2">
        <v>4102.2189219043657</v>
      </c>
      <c r="CV159" s="1">
        <v>1951</v>
      </c>
      <c r="CW159" s="1">
        <v>36604.586061539456</v>
      </c>
      <c r="CX159" s="1">
        <v>32902.187864493077</v>
      </c>
      <c r="CY159" s="1">
        <v>12533.258943747533</v>
      </c>
      <c r="CZ159" s="1">
        <v>1038.5382919478768</v>
      </c>
      <c r="DA159" s="1">
        <v>13204.264539402238</v>
      </c>
      <c r="DB159" s="1">
        <v>96282.83570113017</v>
      </c>
      <c r="DC159" s="1">
        <v>87192.792738790697</v>
      </c>
      <c r="DD159" s="1">
        <v>28981.882716604618</v>
      </c>
      <c r="DF159" s="1">
        <v>1951</v>
      </c>
      <c r="DG159" s="1">
        <v>3.4256279092192585</v>
      </c>
      <c r="DH159" s="1">
        <v>2.9422701771311353</v>
      </c>
      <c r="DI159" s="1">
        <v>3.9546592764790489</v>
      </c>
      <c r="DJ159" s="1">
        <v>9.9962080906472721</v>
      </c>
      <c r="DK159" s="1">
        <v>-2.8939391769366125</v>
      </c>
      <c r="DL159" s="1">
        <v>12.155163926098211</v>
      </c>
      <c r="DM159" s="1">
        <v>5.4083274395704422</v>
      </c>
      <c r="DN159" s="1">
        <v>5.4292838616221957</v>
      </c>
      <c r="DO159" s="1">
        <v>6.6489784886811378</v>
      </c>
      <c r="DQ159" s="1">
        <v>1951</v>
      </c>
      <c r="DR159" s="1">
        <v>62791.700001772522</v>
      </c>
      <c r="DS159" s="1">
        <v>61390.665860095207</v>
      </c>
      <c r="DT159" s="1">
        <v>21259.910905383462</v>
      </c>
      <c r="DU159" s="1">
        <v>1038.5382919478768</v>
      </c>
      <c r="DV159" s="1">
        <v>13204.264539402238</v>
      </c>
      <c r="DW159" s="1">
        <v>159685.07959860133</v>
      </c>
      <c r="DX159" s="1">
        <v>145339.05034730554</v>
      </c>
      <c r="DY159" s="1">
        <v>41812.819971489007</v>
      </c>
      <c r="EA159" s="1">
        <v>1951</v>
      </c>
      <c r="EB159" s="1">
        <v>3.0211554495514008</v>
      </c>
      <c r="EC159" s="1">
        <v>2.8482529638870488</v>
      </c>
      <c r="ED159" s="1">
        <v>3.1950046614982881</v>
      </c>
      <c r="EE159" s="1">
        <v>9.5624277836645462</v>
      </c>
      <c r="EF159" s="1">
        <v>-2.8939391769366125</v>
      </c>
      <c r="EG159" s="1">
        <v>12.155163926098211</v>
      </c>
      <c r="EH159" s="1">
        <v>4.6189847493724159</v>
      </c>
      <c r="EI159" s="1">
        <v>4.5937776181343963</v>
      </c>
      <c r="EJ159" s="1">
        <v>6.3574963012203511</v>
      </c>
      <c r="EL159" s="1">
        <v>1951</v>
      </c>
      <c r="EM159" s="1">
        <v>746021.48513400066</v>
      </c>
      <c r="EN159" s="1">
        <v>1146530.6906398165</v>
      </c>
      <c r="EO159" s="1">
        <v>257102.8194413704</v>
      </c>
      <c r="EP159" s="1">
        <v>227563.28685717098</v>
      </c>
      <c r="EQ159" s="1">
        <v>426697.39245457202</v>
      </c>
      <c r="ER159" s="1">
        <v>284073.32408798498</v>
      </c>
      <c r="ES159" s="1">
        <v>326929.97146768065</v>
      </c>
      <c r="ET159" s="1">
        <v>23138.12500330307</v>
      </c>
      <c r="EU159" s="1">
        <v>3438057.0950858989</v>
      </c>
      <c r="EV159" s="1">
        <v>3111127.1236182181</v>
      </c>
      <c r="EX159" s="1">
        <v>1951</v>
      </c>
      <c r="EY159" s="1">
        <v>373177.70107515261</v>
      </c>
      <c r="EZ159" s="1">
        <v>1055536.4017150181</v>
      </c>
      <c r="FA159" s="1">
        <v>226704.06776685987</v>
      </c>
      <c r="FB159" s="1">
        <v>205555.40130340873</v>
      </c>
      <c r="FC159" s="1">
        <v>350523.1823509672</v>
      </c>
      <c r="FD159" s="1">
        <v>248714.62768291979</v>
      </c>
      <c r="FE159" s="1">
        <v>326929.97146768065</v>
      </c>
      <c r="FF159" s="1">
        <v>17424.766275339563</v>
      </c>
      <c r="FG159" s="1">
        <v>2804566.1196373468</v>
      </c>
      <c r="FH159" s="1">
        <v>2477636.1481696661</v>
      </c>
      <c r="FJ159" s="1">
        <v>1951</v>
      </c>
      <c r="FK159" s="1">
        <v>372843.78405884805</v>
      </c>
      <c r="FL159" s="1">
        <v>90994.288924798384</v>
      </c>
      <c r="FM159" s="1">
        <v>30398.751674510531</v>
      </c>
      <c r="FN159" s="1">
        <v>22007.885553762244</v>
      </c>
      <c r="FO159" s="1">
        <v>76174.210103604797</v>
      </c>
      <c r="FP159" s="1">
        <v>35358.696405065166</v>
      </c>
      <c r="FQ159" s="1">
        <v>5713.3587279635067</v>
      </c>
      <c r="FR159" s="1">
        <v>633490.97544855264</v>
      </c>
      <c r="FS159" s="1">
        <v>1314708.985564806</v>
      </c>
      <c r="FU159" s="1">
        <v>1951</v>
      </c>
      <c r="FV159" s="1">
        <v>127503.0597172049</v>
      </c>
      <c r="FW159" s="1">
        <v>227741.27027963908</v>
      </c>
      <c r="FX159" s="1">
        <v>49874.669179598255</v>
      </c>
      <c r="FY159" s="1">
        <v>49629.689128407757</v>
      </c>
      <c r="FZ159" s="1">
        <v>85191.735779425086</v>
      </c>
      <c r="GA159" s="1">
        <v>48348.497123968344</v>
      </c>
      <c r="GB159" s="1">
        <v>56882.027157268545</v>
      </c>
      <c r="GC159" s="1">
        <v>3993.5799021190319</v>
      </c>
      <c r="GD159" s="1">
        <v>649164.52826763096</v>
      </c>
      <c r="GE159" s="1">
        <v>592282.50111036247</v>
      </c>
      <c r="GG159" s="1">
        <v>1951</v>
      </c>
      <c r="GH159" s="1">
        <v>56464.026052155226</v>
      </c>
      <c r="GI159" s="1">
        <v>208429.90543647661</v>
      </c>
      <c r="GJ159" s="1">
        <v>43360.753544259896</v>
      </c>
      <c r="GK159" s="1">
        <v>44521.388362093508</v>
      </c>
      <c r="GL159" s="1">
        <v>66164.549404885736</v>
      </c>
      <c r="GM159" s="1">
        <v>42003.349200106364</v>
      </c>
      <c r="GN159" s="1">
        <v>56882.027157268545</v>
      </c>
      <c r="GO159" s="1">
        <v>2894.6321240714933</v>
      </c>
      <c r="GP159" s="1">
        <v>520720.63128131733</v>
      </c>
      <c r="GQ159" s="1">
        <v>463838.60412404872</v>
      </c>
      <c r="GS159" s="1">
        <v>1951</v>
      </c>
      <c r="GT159" s="1">
        <v>71039.03366504969</v>
      </c>
      <c r="GU159" s="1">
        <v>19311.36484316249</v>
      </c>
      <c r="GV159" s="1">
        <v>6513.9156353383587</v>
      </c>
      <c r="GW159" s="1">
        <v>5108.3007663142453</v>
      </c>
      <c r="GX159" s="1">
        <v>19027.186374539353</v>
      </c>
      <c r="GY159" s="1">
        <v>6345.1479238619831</v>
      </c>
      <c r="GZ159" s="1">
        <v>1098.9477780475388</v>
      </c>
      <c r="HA159" s="1">
        <v>128443.89698631366</v>
      </c>
      <c r="HC159" s="1">
        <v>1951</v>
      </c>
      <c r="HD159" s="1">
        <v>1571.9324337232133</v>
      </c>
      <c r="HE159" s="1">
        <v>7637.0436038174421</v>
      </c>
      <c r="HF159" s="1">
        <v>1954.66618850432</v>
      </c>
      <c r="HG159" s="1">
        <v>2020.7114190974689</v>
      </c>
      <c r="HH159" s="1">
        <v>3811.0464495441083</v>
      </c>
      <c r="HI159" s="1">
        <v>3103.5443726655494</v>
      </c>
      <c r="HJ159" s="1">
        <v>117.01461342001394</v>
      </c>
      <c r="HK159" s="2">
        <v>20215.959080772118</v>
      </c>
      <c r="HL159" s="1">
        <v>17112.414708106568</v>
      </c>
      <c r="HN159" s="1">
        <v>1951</v>
      </c>
      <c r="HO159" s="1">
        <v>1977.6939209984739</v>
      </c>
      <c r="HP159" s="1">
        <v>707.5843317570725</v>
      </c>
      <c r="HQ159" s="1">
        <v>293.64182138045567</v>
      </c>
      <c r="HR159" s="1">
        <v>231.85264589511917</v>
      </c>
      <c r="HS159" s="1">
        <v>959.06021701718487</v>
      </c>
      <c r="HT159" s="1">
        <v>44.424625964608403</v>
      </c>
      <c r="HU159" s="2">
        <v>4214.2575630129149</v>
      </c>
      <c r="HW159" s="1">
        <v>1951</v>
      </c>
      <c r="HX159" s="1">
        <v>1562.3352237648101</v>
      </c>
      <c r="HY159" s="1">
        <v>4711.0202980872727</v>
      </c>
      <c r="HZ159" s="1">
        <v>545.09721164759185</v>
      </c>
      <c r="IA159" s="1">
        <v>819.04857193672069</v>
      </c>
      <c r="IB159" s="1">
        <v>1195.5872569696919</v>
      </c>
      <c r="IC159" s="1">
        <v>351.45715513691914</v>
      </c>
      <c r="ID159" s="1">
        <v>2561.1159781023557</v>
      </c>
      <c r="IE159" s="2">
        <v>11745.661695645362</v>
      </c>
      <c r="IF159" s="1">
        <v>11394.204540508443</v>
      </c>
      <c r="IH159" s="1">
        <v>1951</v>
      </c>
      <c r="II159" s="1">
        <v>201.92964188645536</v>
      </c>
      <c r="IJ159" s="1">
        <v>54.910186109017886</v>
      </c>
      <c r="IK159" s="1">
        <v>17.55386948094954</v>
      </c>
      <c r="IL159" s="1">
        <v>222.0117106501668</v>
      </c>
      <c r="IM159" s="1">
        <v>40.897785589557728</v>
      </c>
      <c r="IN159" s="1">
        <v>13.07433904655902</v>
      </c>
      <c r="IO159" s="1">
        <v>4.8012048549767457</v>
      </c>
    </row>
    <row r="160" spans="1:249" x14ac:dyDescent="0.25">
      <c r="A160" s="1" t="s">
        <v>251</v>
      </c>
      <c r="B160" s="1">
        <v>0.70067598208285631</v>
      </c>
      <c r="C160" s="1">
        <v>0.5341518333012516</v>
      </c>
      <c r="D160" s="1">
        <v>0.33793588883155223</v>
      </c>
      <c r="E160" s="1">
        <v>1.0647274474895312</v>
      </c>
      <c r="F160" s="1">
        <v>1.244842725711635</v>
      </c>
      <c r="G160" s="1">
        <v>1.5152727467619087</v>
      </c>
      <c r="H160" s="1">
        <v>1.0798323301615085</v>
      </c>
      <c r="J160" s="1">
        <v>1952</v>
      </c>
      <c r="K160" s="2">
        <v>43006.043397701505</v>
      </c>
      <c r="L160" s="1">
        <v>40292.583491873127</v>
      </c>
      <c r="M160" s="1">
        <v>38109.154858153997</v>
      </c>
      <c r="N160" s="1">
        <v>35395.694952325619</v>
      </c>
      <c r="O160" s="1">
        <v>4896.888539547509</v>
      </c>
      <c r="P160" s="1">
        <v>2713.4599058283784</v>
      </c>
      <c r="Q160" s="1">
        <v>43614.673375268561</v>
      </c>
      <c r="R160" s="1">
        <v>86620.716772970074</v>
      </c>
      <c r="S160" s="1">
        <v>83907.256867141696</v>
      </c>
      <c r="U160" s="1">
        <v>1952</v>
      </c>
      <c r="V160" s="1">
        <v>6036.252932475345</v>
      </c>
      <c r="W160" s="1">
        <v>76801.15856088388</v>
      </c>
      <c r="X160" s="1">
        <v>0.74017446758600158</v>
      </c>
      <c r="Y160" s="1">
        <v>5655.3964523233908</v>
      </c>
      <c r="Z160" s="1">
        <v>68848.023270134494</v>
      </c>
      <c r="AA160" s="1">
        <v>-6.8202616709584163E-2</v>
      </c>
      <c r="AB160" s="1">
        <v>7124625.8032573191</v>
      </c>
      <c r="AC160" s="1">
        <v>0.76940335201156529</v>
      </c>
      <c r="AE160" s="1">
        <v>1952</v>
      </c>
      <c r="AF160" s="1">
        <v>6881.3417646469779</v>
      </c>
      <c r="AG160" s="1">
        <v>12618.047592989913</v>
      </c>
      <c r="AH160" s="1">
        <v>3282.7170660801353</v>
      </c>
      <c r="AI160" s="1">
        <v>3520.2129514510566</v>
      </c>
      <c r="AJ160" s="1">
        <v>4626.2062575733407</v>
      </c>
      <c r="AK160" s="1">
        <v>2164.4987653767257</v>
      </c>
      <c r="AL160" s="1">
        <v>4263.3510913228465</v>
      </c>
      <c r="AM160" s="1">
        <v>2936.208002432134</v>
      </c>
      <c r="AN160" s="2">
        <v>40292.583491873127</v>
      </c>
      <c r="AP160" s="1" t="s">
        <v>251</v>
      </c>
      <c r="AQ160" s="1">
        <v>2.6949413874869776</v>
      </c>
      <c r="AR160" s="1">
        <v>-3.5758183329653974</v>
      </c>
      <c r="AS160" s="1">
        <v>7.0069888262257933</v>
      </c>
      <c r="AT160" s="1">
        <v>2.8082639921421304</v>
      </c>
      <c r="AU160" s="1">
        <v>2.0835316351487876</v>
      </c>
      <c r="AV160" s="1">
        <v>0.21364522995102675</v>
      </c>
      <c r="AW160" s="1">
        <v>4.5260953787819744</v>
      </c>
      <c r="AX160" s="1">
        <v>0.65884550521519714</v>
      </c>
      <c r="AY160" s="1">
        <v>0.70067598208285631</v>
      </c>
      <c r="BA160" s="1">
        <v>1952</v>
      </c>
      <c r="BB160" s="1">
        <v>26567.018949445857</v>
      </c>
      <c r="BC160" s="1">
        <v>6325.5741161619162</v>
      </c>
      <c r="BD160" s="1">
        <v>5816.6146141334957</v>
      </c>
      <c r="BE160" s="1">
        <v>3156.9081688699243</v>
      </c>
      <c r="BF160" s="1">
        <v>-35.936030225299056</v>
      </c>
      <c r="BG160" s="1">
        <v>994</v>
      </c>
      <c r="BH160" s="1">
        <v>10184.485168313922</v>
      </c>
      <c r="BI160" s="1">
        <v>10002.621588998318</v>
      </c>
      <c r="BJ160" s="1">
        <v>43006.043397701505</v>
      </c>
      <c r="BL160" s="1" t="s">
        <v>251</v>
      </c>
      <c r="BM160" s="1">
        <v>3.7274255270045416</v>
      </c>
      <c r="BN160" s="1">
        <v>5.5104871927338337</v>
      </c>
      <c r="BO160" s="1">
        <v>-3.6486921699366235</v>
      </c>
      <c r="BP160" s="1">
        <v>-7.7837707432234566</v>
      </c>
      <c r="BQ160" s="1">
        <v>-5.8400937580858709</v>
      </c>
      <c r="BR160" s="1">
        <v>1.5152727467619087</v>
      </c>
      <c r="BT160" s="1" t="s">
        <v>251</v>
      </c>
      <c r="BU160" s="1">
        <v>6.7676609851985461</v>
      </c>
      <c r="BV160" s="1">
        <v>15.253950922016557</v>
      </c>
      <c r="BW160" s="1">
        <v>10.764026089655715</v>
      </c>
      <c r="BX160" s="1">
        <v>-1.4368199212365766</v>
      </c>
      <c r="BY160" s="1">
        <v>3.3803143726122329</v>
      </c>
      <c r="BZ160" s="1">
        <v>7.4521010186869603</v>
      </c>
      <c r="CB160" s="1">
        <v>1952</v>
      </c>
      <c r="CC160" s="1">
        <v>540.78379585722746</v>
      </c>
      <c r="CD160" s="1">
        <v>3816.360083757254</v>
      </c>
      <c r="CE160" s="1">
        <v>180.05848686900035</v>
      </c>
      <c r="CF160" s="1">
        <v>1460.0219768174661</v>
      </c>
      <c r="CG160" s="1">
        <v>197.59848589252638</v>
      </c>
      <c r="CH160" s="1">
        <v>1187.036015968057</v>
      </c>
      <c r="CI160" s="1">
        <v>2549.7279076165887</v>
      </c>
      <c r="CJ160" s="1">
        <v>9931.5867527781193</v>
      </c>
      <c r="CL160" s="1">
        <v>1952</v>
      </c>
      <c r="CM160" s="1">
        <v>422.91449621738525</v>
      </c>
      <c r="CN160" s="1">
        <v>1551.0139830483545</v>
      </c>
      <c r="CO160" s="1">
        <v>116.79476913541573</v>
      </c>
      <c r="CP160" s="1">
        <v>896.00867103541157</v>
      </c>
      <c r="CQ160" s="1">
        <v>257.84012531203763</v>
      </c>
      <c r="CR160" s="1">
        <v>416.97743726307442</v>
      </c>
      <c r="CS160" s="1">
        <v>1235.3390575358292</v>
      </c>
      <c r="CT160" s="2">
        <v>4896.888539547509</v>
      </c>
      <c r="CV160" s="1">
        <v>1952</v>
      </c>
      <c r="CW160" s="1">
        <v>40545.496520504297</v>
      </c>
      <c r="CX160" s="1">
        <v>38030.4599621253</v>
      </c>
      <c r="CY160" s="1">
        <v>16398.882891942583</v>
      </c>
      <c r="CZ160" s="1">
        <v>1307.0857695866227</v>
      </c>
      <c r="DA160" s="1">
        <v>15496.475950880475</v>
      </c>
      <c r="DB160" s="1">
        <v>111778.40109503928</v>
      </c>
      <c r="DC160" s="1">
        <v>101054.29778502214</v>
      </c>
      <c r="DD160" s="1">
        <v>33578.921545896461</v>
      </c>
      <c r="DF160" s="1">
        <v>1952</v>
      </c>
      <c r="DG160" s="1">
        <v>3.9602149868358794</v>
      </c>
      <c r="DH160" s="1">
        <v>3.2417628661078624</v>
      </c>
      <c r="DI160" s="1">
        <v>4.7190733116216421</v>
      </c>
      <c r="DJ160" s="1">
        <v>5.9122258100942275</v>
      </c>
      <c r="DK160" s="1">
        <v>-2.7493245708477048</v>
      </c>
      <c r="DL160" s="1">
        <v>6.414361582276527</v>
      </c>
      <c r="DM160" s="1">
        <v>4.5070696312161687</v>
      </c>
      <c r="DN160" s="1">
        <v>4.2214275585857877</v>
      </c>
      <c r="DO160" s="1">
        <v>5.0376303369559849</v>
      </c>
      <c r="DQ160" s="1">
        <v>1952</v>
      </c>
      <c r="DR160" s="1">
        <v>69488.436760131211</v>
      </c>
      <c r="DS160" s="1">
        <v>70603.797911673013</v>
      </c>
      <c r="DT160" s="1">
        <v>27713.694413068635</v>
      </c>
      <c r="DU160" s="1">
        <v>1307.0857695866227</v>
      </c>
      <c r="DV160" s="1">
        <v>15496.475950880475</v>
      </c>
      <c r="DW160" s="1">
        <v>184609.49080533997</v>
      </c>
      <c r="DX160" s="1">
        <v>167732.65702172637</v>
      </c>
      <c r="DY160" s="1">
        <v>48599.245082938804</v>
      </c>
      <c r="EA160" s="1">
        <v>1952</v>
      </c>
      <c r="EB160" s="1">
        <v>3.3375908172622388</v>
      </c>
      <c r="EC160" s="1">
        <v>3.0310350302756177</v>
      </c>
      <c r="ED160" s="1">
        <v>3.6360956508388398</v>
      </c>
      <c r="EE160" s="1">
        <v>7.0059768354129091</v>
      </c>
      <c r="EF160" s="1">
        <v>-2.7493245708477048</v>
      </c>
      <c r="EG160" s="1">
        <v>6.414361582276527</v>
      </c>
      <c r="EH160" s="1">
        <v>4.1045358454857848</v>
      </c>
      <c r="EI160" s="1">
        <v>3.8967452999394681</v>
      </c>
      <c r="EJ160" s="1">
        <v>5.2417370458863672</v>
      </c>
      <c r="EL160" s="1">
        <v>1952</v>
      </c>
      <c r="EM160" s="1">
        <v>722972.63564895745</v>
      </c>
      <c r="EN160" s="1">
        <v>1123431.5504012348</v>
      </c>
      <c r="EO160" s="1">
        <v>263112.70532340324</v>
      </c>
      <c r="EP160" s="1">
        <v>227271.83404463559</v>
      </c>
      <c r="EQ160" s="1">
        <v>425241.73668560182</v>
      </c>
      <c r="ER160" s="1">
        <v>285728.63657179376</v>
      </c>
      <c r="ES160" s="1">
        <v>341609.35667369846</v>
      </c>
      <c r="ET160" s="1">
        <v>21896.283507357784</v>
      </c>
      <c r="EU160" s="1">
        <v>3411264.7388566821</v>
      </c>
      <c r="EV160" s="1">
        <v>3069655.3821829846</v>
      </c>
      <c r="EX160" s="1">
        <v>1952</v>
      </c>
      <c r="EY160" s="1">
        <v>356141.31316804484</v>
      </c>
      <c r="EZ160" s="1">
        <v>1038586.3905860313</v>
      </c>
      <c r="FA160" s="1">
        <v>232118.0689654098</v>
      </c>
      <c r="FB160" s="1">
        <v>205544.39493998306</v>
      </c>
      <c r="FC160" s="1">
        <v>350373.32929551246</v>
      </c>
      <c r="FD160" s="1">
        <v>250107.3985841902</v>
      </c>
      <c r="FE160" s="1">
        <v>341609.35667369846</v>
      </c>
      <c r="FF160" s="1">
        <v>17037.479306595029</v>
      </c>
      <c r="FG160" s="1">
        <v>2791517.7315194649</v>
      </c>
      <c r="FH160" s="1">
        <v>2449908.3748457665</v>
      </c>
      <c r="FJ160" s="1">
        <v>1952</v>
      </c>
      <c r="FK160" s="1">
        <v>366831.32248091261</v>
      </c>
      <c r="FL160" s="1">
        <v>84845.159815203544</v>
      </c>
      <c r="FM160" s="1">
        <v>30994.636357993433</v>
      </c>
      <c r="FN160" s="1">
        <v>21727.439104652523</v>
      </c>
      <c r="FO160" s="1">
        <v>74868.407390089298</v>
      </c>
      <c r="FP160" s="1">
        <v>35621.23798760357</v>
      </c>
      <c r="FQ160" s="1">
        <v>4858.8042007627546</v>
      </c>
      <c r="FR160" s="1">
        <v>619747.00733721768</v>
      </c>
      <c r="FS160" s="1">
        <v>1300146.7235608415</v>
      </c>
      <c r="FU160" s="1">
        <v>1952</v>
      </c>
      <c r="FV160" s="1">
        <v>123714.78894270149</v>
      </c>
      <c r="FW160" s="1">
        <v>222987.21474367508</v>
      </c>
      <c r="FX160" s="1">
        <v>51011.072905768793</v>
      </c>
      <c r="FY160" s="1">
        <v>49297.253491800904</v>
      </c>
      <c r="FZ160" s="1">
        <v>84839.280671577057</v>
      </c>
      <c r="GA160" s="1">
        <v>48570.514422201602</v>
      </c>
      <c r="GB160" s="1">
        <v>59404.863056118586</v>
      </c>
      <c r="GC160" s="1">
        <v>3762.8953157311025</v>
      </c>
      <c r="GD160" s="1">
        <v>643587.88354957453</v>
      </c>
      <c r="GE160" s="1">
        <v>584183.02049345593</v>
      </c>
      <c r="GG160" s="1">
        <v>1952</v>
      </c>
      <c r="GH160" s="1">
        <v>53858.025167997563</v>
      </c>
      <c r="GI160" s="1">
        <v>204990.30999151114</v>
      </c>
      <c r="GJ160" s="1">
        <v>44372.956895616378</v>
      </c>
      <c r="GK160" s="1">
        <v>44256.695740710413</v>
      </c>
      <c r="GL160" s="1">
        <v>66153.149103635209</v>
      </c>
      <c r="GM160" s="1">
        <v>42212.998811208468</v>
      </c>
      <c r="GN160" s="1">
        <v>59404.863056118586</v>
      </c>
      <c r="GO160" s="1">
        <v>2828.8092938998993</v>
      </c>
      <c r="GP160" s="1">
        <v>518077.80806069769</v>
      </c>
      <c r="GQ160" s="1">
        <v>458672.94500457909</v>
      </c>
      <c r="GS160" s="1">
        <v>1952</v>
      </c>
      <c r="GT160" s="1">
        <v>69856.763774703926</v>
      </c>
      <c r="GU160" s="1">
        <v>17996.90475216394</v>
      </c>
      <c r="GV160" s="1">
        <v>6638.1160101524129</v>
      </c>
      <c r="GW160" s="1">
        <v>5040.5577510904832</v>
      </c>
      <c r="GX160" s="1">
        <v>18686.131567941851</v>
      </c>
      <c r="GY160" s="1">
        <v>6357.5156109931359</v>
      </c>
      <c r="GZ160" s="1">
        <v>934.08602183120308</v>
      </c>
      <c r="HA160" s="1">
        <v>125510.07548887694</v>
      </c>
      <c r="HC160" s="1">
        <v>1952</v>
      </c>
      <c r="HD160" s="1">
        <v>1891.1371041727546</v>
      </c>
      <c r="HE160" s="1">
        <v>8790.6435938619288</v>
      </c>
      <c r="HF160" s="1">
        <v>2419.2677498925327</v>
      </c>
      <c r="HG160" s="1">
        <v>2377.3750123660916</v>
      </c>
      <c r="HH160" s="1">
        <v>4428.6231864916517</v>
      </c>
      <c r="HI160" s="1">
        <v>3846.3736540597788</v>
      </c>
      <c r="HJ160" s="1">
        <v>127.65230554910612</v>
      </c>
      <c r="HK160" s="2">
        <v>23881.072606393845</v>
      </c>
      <c r="HL160" s="1">
        <v>20034.698952334067</v>
      </c>
      <c r="HN160" s="1">
        <v>1952</v>
      </c>
      <c r="HO160" s="1">
        <v>2452.9068330985292</v>
      </c>
      <c r="HP160" s="1">
        <v>771.7651408766817</v>
      </c>
      <c r="HQ160" s="1">
        <v>361.918184113476</v>
      </c>
      <c r="HR160" s="1">
        <v>270.76797861363292</v>
      </c>
      <c r="HS160" s="1">
        <v>1097.0663205867379</v>
      </c>
      <c r="HT160" s="1">
        <v>42.151386636445743</v>
      </c>
      <c r="HU160" s="2">
        <v>4996.5758439255032</v>
      </c>
      <c r="HW160" s="1">
        <v>1952</v>
      </c>
      <c r="HX160" s="1">
        <v>2600.8094068311102</v>
      </c>
      <c r="HY160" s="1">
        <v>3055.6388582513027</v>
      </c>
      <c r="HZ160" s="1">
        <v>501.53113207412662</v>
      </c>
      <c r="IA160" s="1">
        <v>808.55838101591598</v>
      </c>
      <c r="IB160" s="1">
        <v>1265.0155158716775</v>
      </c>
      <c r="IC160" s="1">
        <v>416.97743726306811</v>
      </c>
      <c r="ID160" s="1">
        <v>2766.4043102465821</v>
      </c>
      <c r="IE160" s="2">
        <v>11414.935041553783</v>
      </c>
      <c r="IF160" s="1">
        <v>10997.957604290716</v>
      </c>
      <c r="IH160" s="1">
        <v>1952</v>
      </c>
      <c r="II160" s="1">
        <v>247.47982191994927</v>
      </c>
      <c r="IJ160" s="1">
        <v>30.672069825254404</v>
      </c>
      <c r="IK160" s="1">
        <v>9.4846327416930389</v>
      </c>
      <c r="IL160" s="1">
        <v>279.42074064491146</v>
      </c>
      <c r="IM160" s="1">
        <v>15.734789391891407</v>
      </c>
      <c r="IN160" s="1">
        <v>4.8656220300822079</v>
      </c>
      <c r="IO160" s="1">
        <v>9.5686375857676751</v>
      </c>
    </row>
    <row r="161" spans="1:249" x14ac:dyDescent="0.25">
      <c r="A161" s="1" t="s">
        <v>252</v>
      </c>
      <c r="B161" s="1">
        <v>1.6550731554295481</v>
      </c>
      <c r="C161" s="1">
        <v>1.5145134495758015</v>
      </c>
      <c r="D161" s="1">
        <v>1.4704302829589011</v>
      </c>
      <c r="E161" s="1">
        <v>1.8400520173136528</v>
      </c>
      <c r="F161" s="1">
        <v>1.6401524880760263</v>
      </c>
      <c r="G161" s="1">
        <v>2.3883700975209337</v>
      </c>
      <c r="H161" s="1">
        <v>2.0450476563079718</v>
      </c>
      <c r="J161" s="1">
        <v>1953</v>
      </c>
      <c r="K161" s="2">
        <v>44212.135176483607</v>
      </c>
      <c r="L161" s="1">
        <v>40470.489261494185</v>
      </c>
      <c r="M161" s="1">
        <v>39154.106256156076</v>
      </c>
      <c r="N161" s="1">
        <v>35412.460341166654</v>
      </c>
      <c r="O161" s="1">
        <v>5058.0289203275288</v>
      </c>
      <c r="P161" s="1">
        <v>3741.6459149894217</v>
      </c>
      <c r="Q161" s="1">
        <v>43290.230737758764</v>
      </c>
      <c r="R161" s="1">
        <v>87502.365914242371</v>
      </c>
      <c r="S161" s="1">
        <v>83760.719999252949</v>
      </c>
      <c r="U161" s="1">
        <v>1953</v>
      </c>
      <c r="V161" s="1">
        <v>6165.0369602304636</v>
      </c>
      <c r="W161" s="1">
        <v>78122.234354501343</v>
      </c>
      <c r="X161" s="1">
        <v>1.720124824119921</v>
      </c>
      <c r="Y161" s="1">
        <v>5643.2936590773752</v>
      </c>
      <c r="Z161" s="1">
        <v>69530.729769068057</v>
      </c>
      <c r="AA161" s="1">
        <v>0.99161379877948264</v>
      </c>
      <c r="AB161" s="1">
        <v>7171430.6761967661</v>
      </c>
      <c r="AC161" s="1">
        <v>0.65694499938575746</v>
      </c>
      <c r="AE161" s="1">
        <v>1953</v>
      </c>
      <c r="AF161" s="1">
        <v>5364.9296353627142</v>
      </c>
      <c r="AG161" s="1">
        <v>12815.37720126065</v>
      </c>
      <c r="AH161" s="1">
        <v>3727.9681799683458</v>
      </c>
      <c r="AI161" s="1">
        <v>3529.2751922601497</v>
      </c>
      <c r="AJ161" s="1">
        <v>4930.496973188704</v>
      </c>
      <c r="AK161" s="1">
        <v>2318.4126434441723</v>
      </c>
      <c r="AL161" s="1">
        <v>4526.3315376669971</v>
      </c>
      <c r="AM161" s="1">
        <v>3257.6978983424469</v>
      </c>
      <c r="AN161" s="2">
        <v>40470.489261494178</v>
      </c>
      <c r="AP161" s="1" t="s">
        <v>252</v>
      </c>
      <c r="AQ161" s="1">
        <v>-5.4554175322946605</v>
      </c>
      <c r="AR161" s="1">
        <v>2.163132589429523</v>
      </c>
      <c r="AS161" s="1">
        <v>12.252155445353779</v>
      </c>
      <c r="AT161" s="1">
        <v>-0.89333721825947521</v>
      </c>
      <c r="AU161" s="1">
        <v>2.6133840129959935</v>
      </c>
      <c r="AV161" s="1">
        <v>1.4647826598247917</v>
      </c>
      <c r="AW161" s="1">
        <v>4.1885416003842408</v>
      </c>
      <c r="AX161" s="1">
        <v>0.79911158375729485</v>
      </c>
      <c r="AY161" s="1">
        <v>1.6550731554295481</v>
      </c>
      <c r="BA161" s="1">
        <v>1953</v>
      </c>
      <c r="BB161" s="1">
        <v>27674.161852396384</v>
      </c>
      <c r="BC161" s="1">
        <v>6970.1877342725138</v>
      </c>
      <c r="BD161" s="1">
        <v>6490.6015935162623</v>
      </c>
      <c r="BE161" s="1">
        <v>3281.658622309918</v>
      </c>
      <c r="BF161" s="1">
        <v>-35.69612122907975</v>
      </c>
      <c r="BG161" s="1">
        <v>-516</v>
      </c>
      <c r="BH161" s="1">
        <v>9531.7104514991406</v>
      </c>
      <c r="BI161" s="1">
        <v>9184.4889562815279</v>
      </c>
      <c r="BJ161" s="1">
        <v>44212.135176483607</v>
      </c>
      <c r="BL161" s="1" t="s">
        <v>252</v>
      </c>
      <c r="BM161" s="1">
        <v>2.4703375816404076</v>
      </c>
      <c r="BN161" s="1">
        <v>8.7305181777528134</v>
      </c>
      <c r="BO161" s="1">
        <v>-5.6853378556535006</v>
      </c>
      <c r="BP161" s="1">
        <v>3.8251672459543187</v>
      </c>
      <c r="BQ161" s="1">
        <v>-3.5561877667149133E-2</v>
      </c>
      <c r="BR161" s="1">
        <v>2.3883700975209337</v>
      </c>
      <c r="BT161" s="1" t="s">
        <v>252</v>
      </c>
      <c r="BU161" s="1">
        <v>1.656109353450546</v>
      </c>
      <c r="BV161" s="1">
        <v>1.3428396249266541</v>
      </c>
      <c r="BW161" s="1">
        <v>-1.5627126673595484</v>
      </c>
      <c r="BX161" s="1">
        <v>-9.8575989729684892</v>
      </c>
      <c r="BY161" s="1">
        <v>-8.1465172586263179</v>
      </c>
      <c r="BZ161" s="1">
        <v>0.40639415593277306</v>
      </c>
      <c r="CB161" s="1">
        <v>1953</v>
      </c>
      <c r="CC161" s="1">
        <v>664.43182423875987</v>
      </c>
      <c r="CD161" s="1">
        <v>1902.1945109202302</v>
      </c>
      <c r="CE161" s="1">
        <v>191.86364868341738</v>
      </c>
      <c r="CF161" s="1">
        <v>1801.2307971353243</v>
      </c>
      <c r="CG161" s="1">
        <v>376.6532824404361</v>
      </c>
      <c r="CH161" s="1">
        <v>1474.1997800489714</v>
      </c>
      <c r="CI161" s="1">
        <v>2809.9902511299606</v>
      </c>
      <c r="CJ161" s="1">
        <v>9220.564094597099</v>
      </c>
      <c r="CL161" s="1">
        <v>1953</v>
      </c>
      <c r="CM161" s="1">
        <v>426.2554686244049</v>
      </c>
      <c r="CN161" s="1">
        <v>1572.7096383259948</v>
      </c>
      <c r="CO161" s="1">
        <v>119.29713117408386</v>
      </c>
      <c r="CP161" s="1">
        <v>986.6517818365013</v>
      </c>
      <c r="CQ161" s="1">
        <v>265.18078124937335</v>
      </c>
      <c r="CR161" s="1">
        <v>443.32672507957659</v>
      </c>
      <c r="CS161" s="1">
        <v>1244.6073940375938</v>
      </c>
      <c r="CT161" s="2">
        <v>5058.0289203275288</v>
      </c>
      <c r="CV161" s="1">
        <v>1953</v>
      </c>
      <c r="CW161" s="1">
        <v>40594.18657987973</v>
      </c>
      <c r="CX161" s="1">
        <v>39347.653279992221</v>
      </c>
      <c r="CY161" s="1">
        <v>17131.631119945618</v>
      </c>
      <c r="CZ161" s="1">
        <v>1503.7174904918095</v>
      </c>
      <c r="DA161" s="1">
        <v>16963.278355489943</v>
      </c>
      <c r="DB161" s="1">
        <v>115540.46682579932</v>
      </c>
      <c r="DC161" s="1">
        <v>104069.11134945335</v>
      </c>
      <c r="DD161" s="1">
        <v>34860.679706376111</v>
      </c>
      <c r="DF161" s="1">
        <v>1953</v>
      </c>
      <c r="DG161" s="1">
        <v>4.6610083266712081</v>
      </c>
      <c r="DH161" s="1">
        <v>3.856174957495611</v>
      </c>
      <c r="DI161" s="1">
        <v>5.4801388047753363</v>
      </c>
      <c r="DJ161" s="1">
        <v>5.8097631875264568</v>
      </c>
      <c r="DK161" s="1">
        <v>-2.3738582183682126</v>
      </c>
      <c r="DL161" s="1">
        <v>-3.0418648399588477</v>
      </c>
      <c r="DM161" s="1">
        <v>3.582965013177386</v>
      </c>
      <c r="DN161" s="1">
        <v>2.9791210930812753</v>
      </c>
      <c r="DO161" s="1">
        <v>1.9219350651761715</v>
      </c>
      <c r="DQ161" s="1">
        <v>1953</v>
      </c>
      <c r="DR161" s="1">
        <v>69429.879767799124</v>
      </c>
      <c r="DS161" s="1">
        <v>72513.034891528136</v>
      </c>
      <c r="DT161" s="1">
        <v>29254.988919912466</v>
      </c>
      <c r="DU161" s="1">
        <v>1503.7174904918095</v>
      </c>
      <c r="DV161" s="1">
        <v>16963.278355489943</v>
      </c>
      <c r="DW161" s="1">
        <v>189664.89942522146</v>
      </c>
      <c r="DX161" s="1">
        <v>171790.85519556294</v>
      </c>
      <c r="DY161" s="1">
        <v>50220.417144161649</v>
      </c>
      <c r="EA161" s="1">
        <v>1953</v>
      </c>
      <c r="EB161" s="1">
        <v>3.7634806551524349</v>
      </c>
      <c r="EC161" s="1">
        <v>3.4074420433187811</v>
      </c>
      <c r="ED161" s="1">
        <v>4.0996764513454167</v>
      </c>
      <c r="EE161" s="1">
        <v>6.8393730907852586</v>
      </c>
      <c r="EF161" s="1">
        <v>-2.3738582183682126</v>
      </c>
      <c r="EG161" s="1">
        <v>-3.0418648399588477</v>
      </c>
      <c r="EH161" s="1">
        <v>3.5560789286365662</v>
      </c>
      <c r="EI161" s="1">
        <v>3.1518674656485928</v>
      </c>
      <c r="EJ161" s="1">
        <v>3.020907590221185</v>
      </c>
      <c r="EL161" s="1">
        <v>1953</v>
      </c>
      <c r="EM161" s="1">
        <v>682120.07722070743</v>
      </c>
      <c r="EN161" s="1">
        <v>1117247.8376971239</v>
      </c>
      <c r="EO161" s="1">
        <v>254282.71249805696</v>
      </c>
      <c r="EP161" s="1">
        <v>228424.68304155185</v>
      </c>
      <c r="EQ161" s="1">
        <v>444794.50767080014</v>
      </c>
      <c r="ER161" s="1">
        <v>294119.35201271332</v>
      </c>
      <c r="ES161" s="1">
        <v>358709.94757459412</v>
      </c>
      <c r="ET161" s="1">
        <v>23198.253649572347</v>
      </c>
      <c r="EU161" s="1">
        <v>3402897.3713651202</v>
      </c>
      <c r="EV161" s="1">
        <v>3044187.4237905261</v>
      </c>
      <c r="EX161" s="1">
        <v>1953</v>
      </c>
      <c r="EY161" s="1">
        <v>315758.66748772783</v>
      </c>
      <c r="EZ161" s="1">
        <v>1036945.6247726284</v>
      </c>
      <c r="FA161" s="1">
        <v>224438.69078284327</v>
      </c>
      <c r="FB161" s="1">
        <v>206365.47547014471</v>
      </c>
      <c r="FC161" s="1">
        <v>367381.63063165266</v>
      </c>
      <c r="FD161" s="1">
        <v>257676.21152267946</v>
      </c>
      <c r="FE161" s="1">
        <v>358709.94757459412</v>
      </c>
      <c r="FF161" s="1">
        <v>18568.154987425347</v>
      </c>
      <c r="FG161" s="1">
        <v>2785844.4032296957</v>
      </c>
      <c r="FH161" s="1">
        <v>2427134.4556551017</v>
      </c>
      <c r="FJ161" s="1">
        <v>1953</v>
      </c>
      <c r="FK161" s="1">
        <v>366361.40973297966</v>
      </c>
      <c r="FL161" s="1">
        <v>80302.212924495427</v>
      </c>
      <c r="FM161" s="1">
        <v>29844.02171521369</v>
      </c>
      <c r="FN161" s="1">
        <v>22059.207571407143</v>
      </c>
      <c r="FO161" s="1">
        <v>77412.877039147439</v>
      </c>
      <c r="FP161" s="1">
        <v>36443.140490033853</v>
      </c>
      <c r="FQ161" s="1">
        <v>4630.0986621470011</v>
      </c>
      <c r="FR161" s="1">
        <v>617052.96813542419</v>
      </c>
      <c r="FS161" s="1">
        <v>1285745.7592105786</v>
      </c>
      <c r="FU161" s="1">
        <v>1953</v>
      </c>
      <c r="FV161" s="1">
        <v>116283.22780204353</v>
      </c>
      <c r="FW161" s="1">
        <v>219382.78312498354</v>
      </c>
      <c r="FX161" s="1">
        <v>48778.495109259049</v>
      </c>
      <c r="FY161" s="1">
        <v>49160.866280277231</v>
      </c>
      <c r="FZ161" s="1">
        <v>87741.252287128445</v>
      </c>
      <c r="GA161" s="1">
        <v>49543.128513612173</v>
      </c>
      <c r="GB161" s="1">
        <v>61722.991735916126</v>
      </c>
      <c r="GC161" s="1">
        <v>3931.3146130553869</v>
      </c>
      <c r="GD161" s="1">
        <v>636544.05946627527</v>
      </c>
      <c r="GE161" s="1">
        <v>574821.0677303595</v>
      </c>
      <c r="GG161" s="1">
        <v>1953</v>
      </c>
      <c r="GH161" s="1">
        <v>47249.221378067392</v>
      </c>
      <c r="GI161" s="1">
        <v>202528.52791133424</v>
      </c>
      <c r="GJ161" s="1">
        <v>42453.98419730163</v>
      </c>
      <c r="GK161" s="1">
        <v>44097.127812668325</v>
      </c>
      <c r="GL161" s="1">
        <v>68623.06358322475</v>
      </c>
      <c r="GM161" s="1">
        <v>43129.368690451804</v>
      </c>
      <c r="GN161" s="1">
        <v>61722.991735916126</v>
      </c>
      <c r="GO161" s="1">
        <v>3050.5516851248663</v>
      </c>
      <c r="GP161" s="1">
        <v>512854.83699408913</v>
      </c>
      <c r="GQ161" s="1">
        <v>451131.84525817301</v>
      </c>
      <c r="GS161" s="1">
        <v>1953</v>
      </c>
      <c r="GT161" s="1">
        <v>69034.006423976127</v>
      </c>
      <c r="GU161" s="1">
        <v>16854.255213649314</v>
      </c>
      <c r="GV161" s="1">
        <v>6324.5109119574236</v>
      </c>
      <c r="GW161" s="1">
        <v>5063.738467608905</v>
      </c>
      <c r="GX161" s="1">
        <v>19118.188703903699</v>
      </c>
      <c r="GY161" s="1">
        <v>6413.7598231603733</v>
      </c>
      <c r="GZ161" s="1">
        <v>880.76292793052016</v>
      </c>
      <c r="HA161" s="1">
        <v>123689.22247218636</v>
      </c>
      <c r="HC161" s="1">
        <v>1953</v>
      </c>
      <c r="HD161" s="1">
        <v>1722.5006745012988</v>
      </c>
      <c r="HE161" s="1">
        <v>9004.4300140353098</v>
      </c>
      <c r="HF161" s="1">
        <v>2485.0781190532307</v>
      </c>
      <c r="HG161" s="1">
        <v>2440.4505674457514</v>
      </c>
      <c r="HH161" s="1">
        <v>4735.3712784280533</v>
      </c>
      <c r="HI161" s="1">
        <v>4083.0048125874177</v>
      </c>
      <c r="HJ161" s="1">
        <v>139.6197091943348</v>
      </c>
      <c r="HK161" s="2">
        <v>24610.455175245399</v>
      </c>
      <c r="HL161" s="1">
        <v>20527.450362657983</v>
      </c>
      <c r="HN161" s="1">
        <v>1953</v>
      </c>
      <c r="HO161" s="1">
        <v>2516.6789877308584</v>
      </c>
      <c r="HP161" s="1">
        <v>749.34115739208778</v>
      </c>
      <c r="HQ161" s="1">
        <v>370.21033427571098</v>
      </c>
      <c r="HR161" s="1">
        <v>280.24055147471199</v>
      </c>
      <c r="HS161" s="1">
        <v>1170.2696040241626</v>
      </c>
      <c r="HT161" s="1">
        <v>40.311352358475631</v>
      </c>
      <c r="HU161" s="2">
        <v>5127.0519872560062</v>
      </c>
      <c r="HW161" s="1">
        <v>1953</v>
      </c>
      <c r="HX161" s="1">
        <v>1171.3653529609965</v>
      </c>
      <c r="HY161" s="1">
        <v>3061.6060298332523</v>
      </c>
      <c r="HZ161" s="1">
        <v>872.67972663940418</v>
      </c>
      <c r="IA161" s="1">
        <v>762.9686935092468</v>
      </c>
      <c r="IB161" s="1">
        <v>1343.2687341806607</v>
      </c>
      <c r="IC161" s="1">
        <v>443.32672507957909</v>
      </c>
      <c r="ID161" s="1">
        <v>3077.7668367896367</v>
      </c>
      <c r="IE161" s="2">
        <v>10732.982098992776</v>
      </c>
      <c r="IF161" s="1">
        <v>10289.655373913196</v>
      </c>
      <c r="IH161" s="1">
        <v>1953</v>
      </c>
      <c r="II161" s="1">
        <v>246.37554002378491</v>
      </c>
      <c r="IJ161" s="1">
        <v>29.678635537855229</v>
      </c>
      <c r="IK161" s="1">
        <v>9.2891913499037759</v>
      </c>
      <c r="IL161" s="1">
        <v>277.18467479039901</v>
      </c>
      <c r="IM161" s="1">
        <v>15.264827986418384</v>
      </c>
      <c r="IN161" s="1">
        <v>4.7777771962711322</v>
      </c>
      <c r="IO161" s="1">
        <v>0.92266595744314372</v>
      </c>
    </row>
    <row r="162" spans="1:249" x14ac:dyDescent="0.25">
      <c r="A162" s="1" t="s">
        <v>253</v>
      </c>
      <c r="B162" s="1">
        <v>4.811623696928109</v>
      </c>
      <c r="C162" s="1">
        <v>4.8063954479507629</v>
      </c>
      <c r="D162" s="1">
        <v>4.8179317867000719</v>
      </c>
      <c r="E162" s="1">
        <v>4.8053159867858426</v>
      </c>
      <c r="F162" s="1">
        <v>4.8790222556061309</v>
      </c>
      <c r="G162" s="1">
        <v>6.1919937126954778</v>
      </c>
      <c r="H162" s="1">
        <v>6.2386754955178674</v>
      </c>
      <c r="J162" s="1">
        <v>1954</v>
      </c>
      <c r="K162" s="2">
        <v>47063.756412201714</v>
      </c>
      <c r="L162" s="1">
        <v>42950.979603907479</v>
      </c>
      <c r="M162" s="1">
        <v>41901.149687293575</v>
      </c>
      <c r="N162" s="1">
        <v>37788.37287899934</v>
      </c>
      <c r="O162" s="1">
        <v>5162.6067249081407</v>
      </c>
      <c r="P162" s="1">
        <v>4112.7768082942348</v>
      </c>
      <c r="Q162" s="1">
        <v>45480.338611105122</v>
      </c>
      <c r="R162" s="1">
        <v>92544.095023306843</v>
      </c>
      <c r="S162" s="1">
        <v>88431.318215012609</v>
      </c>
      <c r="U162" s="1">
        <v>1954</v>
      </c>
      <c r="V162" s="1">
        <v>6524.4367384576972</v>
      </c>
      <c r="W162" s="1">
        <v>82476.205495957256</v>
      </c>
      <c r="X162" s="1">
        <v>5.5732803566505282</v>
      </c>
      <c r="Y162" s="1">
        <v>5954.2835218276114</v>
      </c>
      <c r="Z162" s="1">
        <v>72451.682964452702</v>
      </c>
      <c r="AA162" s="1">
        <v>4.2009528809577859</v>
      </c>
      <c r="AB162" s="1">
        <v>7213458.923555606</v>
      </c>
      <c r="AC162" s="1">
        <v>0.5860510859895669</v>
      </c>
      <c r="AE162" s="1">
        <v>1954</v>
      </c>
      <c r="AF162" s="1">
        <v>5673.6908509712575</v>
      </c>
      <c r="AG162" s="1">
        <v>13769.315192943928</v>
      </c>
      <c r="AH162" s="1">
        <v>3943.3495153262816</v>
      </c>
      <c r="AI162" s="1">
        <v>3704.2948841509783</v>
      </c>
      <c r="AJ162" s="1">
        <v>5144.4788236031309</v>
      </c>
      <c r="AK162" s="1">
        <v>2440.4619670893826</v>
      </c>
      <c r="AL162" s="1">
        <v>4724.6691268585273</v>
      </c>
      <c r="AM162" s="1">
        <v>3550.7192429639908</v>
      </c>
      <c r="AN162" s="2">
        <v>42950.979603907479</v>
      </c>
      <c r="AP162" s="1" t="s">
        <v>253</v>
      </c>
      <c r="AQ162" s="1">
        <v>4.1185590693005452</v>
      </c>
      <c r="AR162" s="1">
        <v>5.5125943622206961</v>
      </c>
      <c r="AS162" s="1">
        <v>6.8764629032639988</v>
      </c>
      <c r="AT162" s="1">
        <v>5.3597876985449489</v>
      </c>
      <c r="AU162" s="1">
        <v>6.9493118899897013</v>
      </c>
      <c r="AV162" s="1">
        <v>3.11276779210732</v>
      </c>
      <c r="AW162" s="1">
        <v>2.578072375771427</v>
      </c>
      <c r="AX162" s="1">
        <v>1.5115907095196235</v>
      </c>
      <c r="AY162" s="1">
        <v>4.811623696928109</v>
      </c>
      <c r="BA162" s="1">
        <v>1954</v>
      </c>
      <c r="BB162" s="1">
        <v>29238.069754989672</v>
      </c>
      <c r="BC162" s="1">
        <v>7302.9232568601292</v>
      </c>
      <c r="BD162" s="1">
        <v>6990.2078147412631</v>
      </c>
      <c r="BE162" s="1">
        <v>3545.5934659515574</v>
      </c>
      <c r="BF162" s="1">
        <v>-16.718897596068985</v>
      </c>
      <c r="BG162" s="1">
        <v>166</v>
      </c>
      <c r="BH162" s="1">
        <v>10434.398919008709</v>
      </c>
      <c r="BI162" s="1">
        <v>10596.717901753544</v>
      </c>
      <c r="BJ162" s="1">
        <v>47063.756412201714</v>
      </c>
      <c r="BL162" s="1" t="s">
        <v>253</v>
      </c>
      <c r="BM162" s="1">
        <v>4.0330512620191428</v>
      </c>
      <c r="BN162" s="1">
        <v>4.9571404119356828</v>
      </c>
      <c r="BO162" s="1">
        <v>19.585517304893216</v>
      </c>
      <c r="BP162" s="1">
        <v>10.678353521354907</v>
      </c>
      <c r="BQ162" s="1">
        <v>16.59875165744964</v>
      </c>
      <c r="BR162" s="1">
        <v>6.1919937126954778</v>
      </c>
      <c r="BT162" s="1" t="s">
        <v>253</v>
      </c>
      <c r="BU162" s="1">
        <v>1.555368154580151</v>
      </c>
      <c r="BV162" s="1">
        <v>-0.17478099668429081</v>
      </c>
      <c r="BW162" s="1">
        <v>-3.0959792211423718</v>
      </c>
      <c r="BX162" s="1">
        <v>-1.0914340251628829</v>
      </c>
      <c r="BY162" s="1">
        <v>-1.0484785970024291</v>
      </c>
      <c r="BZ162" s="1">
        <v>0.24283113470772832</v>
      </c>
      <c r="CB162" s="1">
        <v>1954</v>
      </c>
      <c r="CC162" s="1">
        <v>575.46262125596513</v>
      </c>
      <c r="CD162" s="1">
        <v>3180.4800167839403</v>
      </c>
      <c r="CE162" s="1">
        <v>234.4692941215267</v>
      </c>
      <c r="CF162" s="1">
        <v>1571.1084649603961</v>
      </c>
      <c r="CG162" s="1">
        <v>512.33759740239111</v>
      </c>
      <c r="CH162" s="1">
        <v>1517.6378979494593</v>
      </c>
      <c r="CI162" s="1">
        <v>3093.5864906230731</v>
      </c>
      <c r="CJ162" s="1">
        <v>10685.082383096751</v>
      </c>
      <c r="CL162" s="1">
        <v>1954</v>
      </c>
      <c r="CM162" s="1">
        <v>405.19983551632833</v>
      </c>
      <c r="CN162" s="1">
        <v>1616.5170219099853</v>
      </c>
      <c r="CO162" s="1">
        <v>115.13526551722499</v>
      </c>
      <c r="CP162" s="1">
        <v>1019.1921807633128</v>
      </c>
      <c r="CQ162" s="1">
        <v>265.01833829259107</v>
      </c>
      <c r="CR162" s="1">
        <v>471.83035141765276</v>
      </c>
      <c r="CS162" s="1">
        <v>1269.7137314910456</v>
      </c>
      <c r="CT162" s="2">
        <v>5162.6067249081407</v>
      </c>
      <c r="CV162" s="1">
        <v>1954</v>
      </c>
      <c r="CW162" s="1">
        <v>41170.032164962882</v>
      </c>
      <c r="CX162" s="1">
        <v>41645.053028770002</v>
      </c>
      <c r="CY162" s="1">
        <v>16904.64994541751</v>
      </c>
      <c r="CZ162" s="1">
        <v>1375.1465479420262</v>
      </c>
      <c r="DA162" s="1">
        <v>16892.591826811818</v>
      </c>
      <c r="DB162" s="1">
        <v>117987.47351390423</v>
      </c>
      <c r="DC162" s="1">
        <v>105421.44457511372</v>
      </c>
      <c r="DD162" s="1">
        <v>35421.229662687329</v>
      </c>
      <c r="DF162" s="1">
        <v>1954</v>
      </c>
      <c r="DG162" s="1">
        <v>4.966370701954645</v>
      </c>
      <c r="DH162" s="1">
        <v>4.4300979698631551</v>
      </c>
      <c r="DI162" s="1">
        <v>5.4938429298291993</v>
      </c>
      <c r="DJ162" s="1">
        <v>7.455895264618448</v>
      </c>
      <c r="DK162" s="1">
        <v>-1.2157902458534267</v>
      </c>
      <c r="DL162" s="1">
        <v>0.98267928155659945</v>
      </c>
      <c r="DM162" s="1">
        <v>4.6699014126657943</v>
      </c>
      <c r="DN162" s="1">
        <v>4.23552197132733</v>
      </c>
      <c r="DO162" s="1">
        <v>3.7869790975695707</v>
      </c>
      <c r="DQ162" s="1">
        <v>1954</v>
      </c>
      <c r="DR162" s="1">
        <v>70110.529623092269</v>
      </c>
      <c r="DS162" s="1">
        <v>75795.598601365724</v>
      </c>
      <c r="DT162" s="1">
        <v>29149.164331121057</v>
      </c>
      <c r="DU162" s="1">
        <v>1375.1465479420262</v>
      </c>
      <c r="DV162" s="1">
        <v>16892.591826811818</v>
      </c>
      <c r="DW162" s="1">
        <v>193323.03093033287</v>
      </c>
      <c r="DX162" s="1">
        <v>174050.97661446928</v>
      </c>
      <c r="DY162" s="1">
        <v>51318.360316881612</v>
      </c>
      <c r="EA162" s="1">
        <v>1954</v>
      </c>
      <c r="EB162" s="1">
        <v>3.9826365127233032</v>
      </c>
      <c r="EC162" s="1">
        <v>3.771162259363777</v>
      </c>
      <c r="ED162" s="1">
        <v>4.1772492842107738</v>
      </c>
      <c r="EE162" s="1">
        <v>7.7677362901451517</v>
      </c>
      <c r="EF162" s="1">
        <v>-1.2157902458534267</v>
      </c>
      <c r="EG162" s="1">
        <v>0.98267928155659945</v>
      </c>
      <c r="EH162" s="1">
        <v>4.2455087603941735</v>
      </c>
      <c r="EI162" s="1">
        <v>3.9352848031852403</v>
      </c>
      <c r="EJ162" s="1">
        <v>4.3354917820277734</v>
      </c>
      <c r="EL162" s="1">
        <v>1954</v>
      </c>
      <c r="EM162" s="1">
        <v>676037.12269685604</v>
      </c>
      <c r="EN162" s="1">
        <v>1122304.7509379815</v>
      </c>
      <c r="EO162" s="1">
        <v>266118.48428157449</v>
      </c>
      <c r="EP162" s="1">
        <v>224046.89634647526</v>
      </c>
      <c r="EQ162" s="1">
        <v>454196.75122982363</v>
      </c>
      <c r="ER162" s="1">
        <v>299545.04506855225</v>
      </c>
      <c r="ES162" s="1">
        <v>365017.51390543085</v>
      </c>
      <c r="ET162" s="1">
        <v>23816.481641567312</v>
      </c>
      <c r="EU162" s="1">
        <v>3431083.0461082612</v>
      </c>
      <c r="EV162" s="1">
        <v>3066065.5322028305</v>
      </c>
      <c r="EX162" s="1">
        <v>1954</v>
      </c>
      <c r="EY162" s="1">
        <v>321250.11163636751</v>
      </c>
      <c r="EZ162" s="1">
        <v>1045467.6520935014</v>
      </c>
      <c r="FA162" s="1">
        <v>235000.51046331151</v>
      </c>
      <c r="FB162" s="1">
        <v>202138.37339382997</v>
      </c>
      <c r="FC162" s="1">
        <v>376293.58173165726</v>
      </c>
      <c r="FD162" s="1">
        <v>262823.45321659348</v>
      </c>
      <c r="FE162" s="1">
        <v>365017.51390543085</v>
      </c>
      <c r="FF162" s="1">
        <v>19537.623314723282</v>
      </c>
      <c r="FG162" s="1">
        <v>2827528.819755415</v>
      </c>
      <c r="FH162" s="1">
        <v>2462511.3058499843</v>
      </c>
      <c r="FJ162" s="1">
        <v>1954</v>
      </c>
      <c r="FK162" s="1">
        <v>354787.01106048858</v>
      </c>
      <c r="FL162" s="1">
        <v>76837.098844480221</v>
      </c>
      <c r="FM162" s="1">
        <v>31117.973818262988</v>
      </c>
      <c r="FN162" s="1">
        <v>21908.522952645282</v>
      </c>
      <c r="FO162" s="1">
        <v>77903.169498166346</v>
      </c>
      <c r="FP162" s="1">
        <v>36721.591851958743</v>
      </c>
      <c r="FQ162" s="1">
        <v>4278.8583268440289</v>
      </c>
      <c r="FR162" s="1">
        <v>603554.22635284625</v>
      </c>
      <c r="FS162" s="1">
        <v>1271504.3059143063</v>
      </c>
      <c r="FU162" s="1">
        <v>1954</v>
      </c>
      <c r="FV162" s="1">
        <v>115334.89196983201</v>
      </c>
      <c r="FW162" s="1">
        <v>221106.56963412694</v>
      </c>
      <c r="FX162" s="1">
        <v>51228.824482672782</v>
      </c>
      <c r="FY162" s="1">
        <v>48493.489388000729</v>
      </c>
      <c r="FZ162" s="1">
        <v>89895.588239636563</v>
      </c>
      <c r="GA162" s="1">
        <v>50657.519906589485</v>
      </c>
      <c r="GB162" s="1">
        <v>63032.907363368737</v>
      </c>
      <c r="GC162" s="1">
        <v>4038.1604958839894</v>
      </c>
      <c r="GD162" s="1">
        <v>643787.95148011134</v>
      </c>
      <c r="GE162" s="1">
        <v>580755.04411674268</v>
      </c>
      <c r="GG162" s="1">
        <v>1954</v>
      </c>
      <c r="GH162" s="1">
        <v>48242.827226758913</v>
      </c>
      <c r="GI162" s="1">
        <v>204921.92754720923</v>
      </c>
      <c r="GJ162" s="1">
        <v>44610.759936712988</v>
      </c>
      <c r="GK162" s="1">
        <v>43446.358735113332</v>
      </c>
      <c r="GL162" s="1">
        <v>70591.434383561267</v>
      </c>
      <c r="GM162" s="1">
        <v>44204.874062974035</v>
      </c>
      <c r="GN162" s="1">
        <v>63032.907363368737</v>
      </c>
      <c r="GO162" s="1">
        <v>3221.3021006486706</v>
      </c>
      <c r="GP162" s="1">
        <v>522272.39135634725</v>
      </c>
      <c r="GQ162" s="1">
        <v>459239.48399297841</v>
      </c>
      <c r="GS162" s="1">
        <v>1954</v>
      </c>
      <c r="GT162" s="1">
        <v>67092.064743073075</v>
      </c>
      <c r="GU162" s="1">
        <v>16184.642086917705</v>
      </c>
      <c r="GV162" s="1">
        <v>6618.0645459597945</v>
      </c>
      <c r="GW162" s="1">
        <v>5047.1306528873984</v>
      </c>
      <c r="GX162" s="1">
        <v>19304.153856075282</v>
      </c>
      <c r="GY162" s="1">
        <v>6452.645843615448</v>
      </c>
      <c r="GZ162" s="1">
        <v>816.85839523531865</v>
      </c>
      <c r="HA162" s="1">
        <v>121515.56012376402</v>
      </c>
      <c r="HC162" s="1">
        <v>1954</v>
      </c>
      <c r="HD162" s="1">
        <v>1857.0083029297218</v>
      </c>
      <c r="HE162" s="1">
        <v>9626.7389994905006</v>
      </c>
      <c r="HF162" s="1">
        <v>2724.7457321160723</v>
      </c>
      <c r="HG162" s="1">
        <v>2504.6729507995869</v>
      </c>
      <c r="HH162" s="1">
        <v>4948.8335945693098</v>
      </c>
      <c r="HI162" s="1">
        <v>4252.8387754408741</v>
      </c>
      <c r="HJ162" s="1">
        <v>150.25740132342699</v>
      </c>
      <c r="HK162" s="2">
        <v>26065.095756669492</v>
      </c>
      <c r="HL162" s="1">
        <v>21812.25698122862</v>
      </c>
      <c r="HN162" s="1">
        <v>1954</v>
      </c>
      <c r="HO162" s="1">
        <v>2582.5708908593647</v>
      </c>
      <c r="HP162" s="1">
        <v>760.31553594981733</v>
      </c>
      <c r="HQ162" s="1">
        <v>404.2195907905288</v>
      </c>
      <c r="HR162" s="1">
        <v>290.96596339664575</v>
      </c>
      <c r="HS162" s="1">
        <v>1195.8918142164111</v>
      </c>
      <c r="HT162" s="1">
        <v>38.102300213496889</v>
      </c>
      <c r="HU162" s="2">
        <v>5272.0660954262648</v>
      </c>
      <c r="HW162" s="1">
        <v>1954</v>
      </c>
      <c r="HX162" s="1">
        <v>1277.4663480269055</v>
      </c>
      <c r="HY162" s="1">
        <v>3382.2606575036116</v>
      </c>
      <c r="HZ162" s="1">
        <v>814.38419241968086</v>
      </c>
      <c r="IA162" s="1">
        <v>865.30127911001136</v>
      </c>
      <c r="IB162" s="1">
        <v>1440.215381906793</v>
      </c>
      <c r="IC162" s="1">
        <v>471.83035141765276</v>
      </c>
      <c r="ID162" s="1">
        <v>3362.3595414270671</v>
      </c>
      <c r="IE162" s="2">
        <v>11613.817751811725</v>
      </c>
      <c r="IF162" s="1">
        <v>11141.987400394071</v>
      </c>
      <c r="IH162" s="1">
        <v>1954</v>
      </c>
      <c r="II162" s="1">
        <v>232.25880308450678</v>
      </c>
      <c r="IJ162" s="1">
        <v>30.871275506736527</v>
      </c>
      <c r="IK162" s="1">
        <v>10.156359260625107</v>
      </c>
      <c r="IL162" s="1">
        <v>259.79611076969957</v>
      </c>
      <c r="IM162" s="1">
        <v>16.999464377210714</v>
      </c>
      <c r="IN162" s="1">
        <v>5.5926638799059516</v>
      </c>
      <c r="IO162" s="1">
        <v>4.4156194390326533</v>
      </c>
    </row>
    <row r="163" spans="1:249" x14ac:dyDescent="0.25">
      <c r="A163" s="1" t="s">
        <v>254</v>
      </c>
      <c r="B163" s="1">
        <v>2.5773831883944638</v>
      </c>
      <c r="C163" s="1">
        <v>2.4353895437927804</v>
      </c>
      <c r="D163" s="1">
        <v>2.5703403623440977</v>
      </c>
      <c r="E163" s="1">
        <v>2.5844264980290745</v>
      </c>
      <c r="F163" s="1">
        <v>2.6977595690591727</v>
      </c>
      <c r="G163" s="1">
        <v>3.2688864351991072</v>
      </c>
      <c r="H163" s="1">
        <v>3.0409500944896877</v>
      </c>
      <c r="J163" s="1">
        <v>1955</v>
      </c>
      <c r="K163" s="2">
        <v>50685.194580293624</v>
      </c>
      <c r="L163" s="1">
        <v>45996.446967094147</v>
      </c>
      <c r="M163" s="1">
        <v>45066.246835853934</v>
      </c>
      <c r="N163" s="1">
        <v>40377.499222654456</v>
      </c>
      <c r="O163" s="1">
        <v>5618.9477444396944</v>
      </c>
      <c r="P163" s="1">
        <v>4688.7476131994772</v>
      </c>
      <c r="Q163" s="1">
        <v>49264.866977651363</v>
      </c>
      <c r="R163" s="1">
        <v>99950.06155794498</v>
      </c>
      <c r="S163" s="1">
        <v>95261.313944745518</v>
      </c>
      <c r="U163" s="1">
        <v>1955</v>
      </c>
      <c r="V163" s="1">
        <v>6979.1869981793889</v>
      </c>
      <c r="W163" s="1">
        <v>84599.042142301521</v>
      </c>
      <c r="X163" s="1">
        <v>2.5738776821495861</v>
      </c>
      <c r="Y163" s="1">
        <v>6333.5616503680685</v>
      </c>
      <c r="Z163" s="1">
        <v>73818.866735561372</v>
      </c>
      <c r="AA163" s="1">
        <v>1.8870283134478285</v>
      </c>
      <c r="AB163" s="1">
        <v>7262335.0819394169</v>
      </c>
      <c r="AC163" s="1">
        <v>0.67756895688704333</v>
      </c>
      <c r="AE163" s="1">
        <v>1955</v>
      </c>
      <c r="AF163" s="1">
        <v>5598.7348045112903</v>
      </c>
      <c r="AG163" s="1">
        <v>14765.86410622045</v>
      </c>
      <c r="AH163" s="1">
        <v>4172.5113592619655</v>
      </c>
      <c r="AI163" s="1">
        <v>4081.1626270893194</v>
      </c>
      <c r="AJ163" s="1">
        <v>5757.1550480587466</v>
      </c>
      <c r="AK163" s="1">
        <v>2564.2240455491046</v>
      </c>
      <c r="AL163" s="1">
        <v>5221.8322252064236</v>
      </c>
      <c r="AM163" s="1">
        <v>3834.9627511968392</v>
      </c>
      <c r="AN163" s="2">
        <v>45996.446967094133</v>
      </c>
      <c r="AP163" s="1" t="s">
        <v>254</v>
      </c>
      <c r="AQ163" s="1">
        <v>-3.7548709390770085</v>
      </c>
      <c r="AR163" s="1">
        <v>4.4438724761296697</v>
      </c>
      <c r="AS163" s="1">
        <v>2.1063620256220617</v>
      </c>
      <c r="AT163" s="1">
        <v>6.305137409251671</v>
      </c>
      <c r="AU163" s="1">
        <v>4.1048084887983975</v>
      </c>
      <c r="AV163" s="1">
        <v>0.6112878483996127</v>
      </c>
      <c r="AW163" s="1">
        <v>2.0133018686240263</v>
      </c>
      <c r="AX163" s="1">
        <v>1.950100104997702</v>
      </c>
      <c r="AY163" s="1">
        <v>2.5773831883944638</v>
      </c>
      <c r="BA163" s="1">
        <v>1955</v>
      </c>
      <c r="BB163" s="1">
        <v>31130.97933020036</v>
      </c>
      <c r="BC163" s="1">
        <v>7934.5230181661736</v>
      </c>
      <c r="BD163" s="1">
        <v>7417.0662350170169</v>
      </c>
      <c r="BE163" s="1">
        <v>3536.3145066047814</v>
      </c>
      <c r="BF163" s="1">
        <v>-51.841957665890718</v>
      </c>
      <c r="BG163" s="1">
        <v>1154</v>
      </c>
      <c r="BH163" s="1">
        <v>11387.070136657232</v>
      </c>
      <c r="BI163" s="1">
        <v>11822.916688686044</v>
      </c>
      <c r="BJ163" s="1">
        <v>50685.194580293624</v>
      </c>
      <c r="BL163" s="1" t="s">
        <v>254</v>
      </c>
      <c r="BM163" s="1">
        <v>3.2015550898681653</v>
      </c>
      <c r="BN163" s="1">
        <v>2.1039550709360384</v>
      </c>
      <c r="BO163" s="1">
        <v>8.5579924966864098</v>
      </c>
      <c r="BP163" s="1">
        <v>5.2314046898884499</v>
      </c>
      <c r="BQ163" s="1">
        <v>9.5954622990832945</v>
      </c>
      <c r="BR163" s="1">
        <v>3.2688864351991072</v>
      </c>
      <c r="BT163" s="1" t="s">
        <v>254</v>
      </c>
      <c r="BU163" s="1">
        <v>3.1710483886837437</v>
      </c>
      <c r="BV163" s="1">
        <v>6.4097743867402386</v>
      </c>
      <c r="BW163" s="1">
        <v>3.9314403420443824</v>
      </c>
      <c r="BX163" s="1">
        <v>3.7048796161395501</v>
      </c>
      <c r="BY163" s="1">
        <v>1.8030250962380592</v>
      </c>
      <c r="BZ163" s="1">
        <v>4.2857662479032399</v>
      </c>
      <c r="CB163" s="1">
        <v>1955</v>
      </c>
      <c r="CC163" s="1">
        <v>451.46369003070214</v>
      </c>
      <c r="CD163" s="1">
        <v>4027.3541716573095</v>
      </c>
      <c r="CE163" s="1">
        <v>268.29391781877496</v>
      </c>
      <c r="CF163" s="1">
        <v>1716.4364326242321</v>
      </c>
      <c r="CG163" s="1">
        <v>731.08091523759458</v>
      </c>
      <c r="CH163" s="1">
        <v>1625.7583127793825</v>
      </c>
      <c r="CI163" s="1">
        <v>3235.1513438079119</v>
      </c>
      <c r="CJ163" s="1">
        <v>12055.538783955908</v>
      </c>
      <c r="CL163" s="1">
        <v>1955</v>
      </c>
      <c r="CM163" s="1">
        <v>425.71595350301919</v>
      </c>
      <c r="CN163" s="1">
        <v>1796.5983952284926</v>
      </c>
      <c r="CO163" s="1">
        <v>133.64918159896018</v>
      </c>
      <c r="CP163" s="1">
        <v>1077.8336628651809</v>
      </c>
      <c r="CQ163" s="1">
        <v>294.29199138806331</v>
      </c>
      <c r="CR163" s="1">
        <v>523.68622174467748</v>
      </c>
      <c r="CS163" s="1">
        <v>1367.1723381113009</v>
      </c>
      <c r="CT163" s="2">
        <v>5618.9477444396944</v>
      </c>
      <c r="CV163" s="1">
        <v>1955</v>
      </c>
      <c r="CW163" s="1">
        <v>44629.07888106873</v>
      </c>
      <c r="CX163" s="1">
        <v>46069.077803052445</v>
      </c>
      <c r="CY163" s="1">
        <v>18604.177674376988</v>
      </c>
      <c r="CZ163" s="1">
        <v>1524.155823688164</v>
      </c>
      <c r="DA163" s="1">
        <v>18100.415135895302</v>
      </c>
      <c r="DB163" s="1">
        <v>128926.90531808164</v>
      </c>
      <c r="DC163" s="1">
        <v>114762.83026870785</v>
      </c>
      <c r="DD163" s="1">
        <v>38886.348101142023</v>
      </c>
      <c r="DF163" s="1">
        <v>1955</v>
      </c>
      <c r="DG163" s="1">
        <v>4.7245302724018927</v>
      </c>
      <c r="DH163" s="1">
        <v>4.1855647764421633</v>
      </c>
      <c r="DI163" s="1">
        <v>5.2449307586426812</v>
      </c>
      <c r="DJ163" s="1">
        <v>5.6592396738824249</v>
      </c>
      <c r="DK163" s="1">
        <v>-3.4013554821739405</v>
      </c>
      <c r="DL163" s="1">
        <v>6.3755443802583329</v>
      </c>
      <c r="DM163" s="1">
        <v>4.9949247556361911</v>
      </c>
      <c r="DN163" s="1">
        <v>4.6520221774346595</v>
      </c>
      <c r="DO163" s="1">
        <v>5.3667901074454676</v>
      </c>
      <c r="DQ163" s="1">
        <v>1955</v>
      </c>
      <c r="DR163" s="1">
        <v>75521.561404096967</v>
      </c>
      <c r="DS163" s="1">
        <v>82812.113593040529</v>
      </c>
      <c r="DT163" s="1">
        <v>32181.675206025426</v>
      </c>
      <c r="DU163" s="1">
        <v>1524.155823688164</v>
      </c>
      <c r="DV163" s="1">
        <v>18100.415135895302</v>
      </c>
      <c r="DW163" s="1">
        <v>210139.92116274641</v>
      </c>
      <c r="DX163" s="1">
        <v>188668.36601317156</v>
      </c>
      <c r="DY163" s="1">
        <v>56607.143375252883</v>
      </c>
      <c r="EA163" s="1">
        <v>1955</v>
      </c>
      <c r="EB163" s="1">
        <v>3.8921002550846566</v>
      </c>
      <c r="EC163" s="1">
        <v>3.6564273068580064</v>
      </c>
      <c r="ED163" s="1">
        <v>4.1063056026861062</v>
      </c>
      <c r="EE163" s="1">
        <v>6.5894213442905851</v>
      </c>
      <c r="EF163" s="1">
        <v>-3.4013554821739405</v>
      </c>
      <c r="EG163" s="1">
        <v>6.3755443802583329</v>
      </c>
      <c r="EH163" s="1">
        <v>4.4700300533907722</v>
      </c>
      <c r="EI163" s="1">
        <v>4.2093027533761926</v>
      </c>
      <c r="EJ163" s="1">
        <v>5.39535508958447</v>
      </c>
      <c r="EL163" s="1">
        <v>1955</v>
      </c>
      <c r="EM163" s="1">
        <v>650392.40008423885</v>
      </c>
      <c r="EN163" s="1">
        <v>1149347.8207171315</v>
      </c>
      <c r="EO163" s="1">
        <v>276500.07517628244</v>
      </c>
      <c r="EP163" s="1">
        <v>225786.36653462073</v>
      </c>
      <c r="EQ163" s="1">
        <v>463466.99990946724</v>
      </c>
      <c r="ER163" s="1">
        <v>303202.67524452216</v>
      </c>
      <c r="ES163" s="1">
        <v>371383.02196612873</v>
      </c>
      <c r="ET163" s="1">
        <v>23003.352995004847</v>
      </c>
      <c r="EU163" s="1">
        <v>3463082.712627396</v>
      </c>
      <c r="EV163" s="1">
        <v>3091699.6906612674</v>
      </c>
      <c r="EX163" s="1">
        <v>1955</v>
      </c>
      <c r="EY163" s="1">
        <v>301274.40081889031</v>
      </c>
      <c r="EZ163" s="1">
        <v>1074328.3117426694</v>
      </c>
      <c r="FA163" s="1">
        <v>244287.36587574807</v>
      </c>
      <c r="FB163" s="1">
        <v>203692.60183521966</v>
      </c>
      <c r="FC163" s="1">
        <v>385213.42599543929</v>
      </c>
      <c r="FD163" s="1">
        <v>266215.79320785729</v>
      </c>
      <c r="FE163" s="1">
        <v>371383.02196612873</v>
      </c>
      <c r="FF163" s="1">
        <v>19280.634918786498</v>
      </c>
      <c r="FG163" s="1">
        <v>2865675.5563607393</v>
      </c>
      <c r="FH163" s="1">
        <v>2494292.5343946107</v>
      </c>
      <c r="FJ163" s="1">
        <v>1955</v>
      </c>
      <c r="FK163" s="1">
        <v>349117.99926534854</v>
      </c>
      <c r="FL163" s="1">
        <v>75019.508974462049</v>
      </c>
      <c r="FM163" s="1">
        <v>32212.709300534374</v>
      </c>
      <c r="FN163" s="1">
        <v>22093.764699401083</v>
      </c>
      <c r="FO163" s="1">
        <v>78253.573914027904</v>
      </c>
      <c r="FP163" s="1">
        <v>36986.882036664843</v>
      </c>
      <c r="FQ163" s="1">
        <v>3722.7180762183502</v>
      </c>
      <c r="FR163" s="1">
        <v>597407.15626665729</v>
      </c>
      <c r="FS163" s="1">
        <v>1257420.5968614328</v>
      </c>
      <c r="FU163" s="1">
        <v>1955</v>
      </c>
      <c r="FV163" s="1">
        <v>111021.71044418233</v>
      </c>
      <c r="FW163" s="1">
        <v>225873.90928542265</v>
      </c>
      <c r="FX163" s="1">
        <v>53109.145028844832</v>
      </c>
      <c r="FY163" s="1">
        <v>48741.458852819153</v>
      </c>
      <c r="FZ163" s="1">
        <v>91504.466361048238</v>
      </c>
      <c r="GA163" s="1">
        <v>51165.127977880562</v>
      </c>
      <c r="GB163" s="1">
        <v>63993.020530454953</v>
      </c>
      <c r="GC163" s="1">
        <v>3881.181556696788</v>
      </c>
      <c r="GD163" s="1">
        <v>649290.02003734955</v>
      </c>
      <c r="GE163" s="1">
        <v>585296.9995068945</v>
      </c>
      <c r="GG163" s="1">
        <v>1955</v>
      </c>
      <c r="GH163" s="1">
        <v>45144.892482253003</v>
      </c>
      <c r="GI163" s="1">
        <v>210106.39308854958</v>
      </c>
      <c r="GJ163" s="1">
        <v>46273.116469571607</v>
      </c>
      <c r="GK163" s="1">
        <v>43662.694059050591</v>
      </c>
      <c r="GL163" s="1">
        <v>72158.017859739499</v>
      </c>
      <c r="GM163" s="1">
        <v>44705.160246349355</v>
      </c>
      <c r="GN163" s="1">
        <v>63993.020530454953</v>
      </c>
      <c r="GO163" s="1">
        <v>3172.035086849045</v>
      </c>
      <c r="GP163" s="1">
        <v>529215.32982281758</v>
      </c>
      <c r="GQ163" s="1">
        <v>465222.30929236265</v>
      </c>
      <c r="GS163" s="1">
        <v>1955</v>
      </c>
      <c r="GT163" s="1">
        <v>65876.817961929322</v>
      </c>
      <c r="GU163" s="1">
        <v>15767.516196873043</v>
      </c>
      <c r="GV163" s="1">
        <v>6836.028559273218</v>
      </c>
      <c r="GW163" s="1">
        <v>5078.7647937685615</v>
      </c>
      <c r="GX163" s="1">
        <v>19346.448501308747</v>
      </c>
      <c r="GY163" s="1">
        <v>6459.9677315312019</v>
      </c>
      <c r="GZ163" s="1">
        <v>709.14646984774345</v>
      </c>
      <c r="HA163" s="1">
        <v>120074.69021453185</v>
      </c>
      <c r="HC163" s="1">
        <v>1955</v>
      </c>
      <c r="HD163" s="1">
        <v>1932.2924233187646</v>
      </c>
      <c r="HE163" s="1">
        <v>10609.944862565113</v>
      </c>
      <c r="HF163" s="1">
        <v>2988.969453074696</v>
      </c>
      <c r="HG163" s="1">
        <v>2779.9117366017394</v>
      </c>
      <c r="HH163" s="1">
        <v>5482.8726005498993</v>
      </c>
      <c r="HI163" s="1">
        <v>4698.1460034617485</v>
      </c>
      <c r="HJ163" s="1">
        <v>160.89509345251918</v>
      </c>
      <c r="HK163" s="2">
        <v>28653.032173024483</v>
      </c>
      <c r="HL163" s="1">
        <v>23954.886169562735</v>
      </c>
      <c r="HN163" s="1">
        <v>1955</v>
      </c>
      <c r="HO163" s="1">
        <v>2819.66063536924</v>
      </c>
      <c r="HP163" s="1">
        <v>796.22744938522533</v>
      </c>
      <c r="HQ163" s="1">
        <v>441.56698538880659</v>
      </c>
      <c r="HR163" s="1">
        <v>323.35425382919976</v>
      </c>
      <c r="HS163" s="1">
        <v>1307.9630262184553</v>
      </c>
      <c r="HT163" s="1">
        <v>35.970026942866099</v>
      </c>
      <c r="HU163" s="2">
        <v>5724.7423771337926</v>
      </c>
      <c r="HW163" s="1">
        <v>1955</v>
      </c>
      <c r="HX163" s="1">
        <v>885.63938697734375</v>
      </c>
      <c r="HY163" s="1">
        <v>3359.691794270113</v>
      </c>
      <c r="HZ163" s="1">
        <v>741.97492079846234</v>
      </c>
      <c r="IA163" s="1">
        <v>939.03899550432197</v>
      </c>
      <c r="IB163" s="1">
        <v>1530.5434668394969</v>
      </c>
      <c r="IC163" s="1">
        <v>523.68622174467475</v>
      </c>
      <c r="ID163" s="1">
        <v>3638.0976308014538</v>
      </c>
      <c r="IE163" s="2">
        <v>11618.672416935866</v>
      </c>
      <c r="IF163" s="1">
        <v>11094.986195191192</v>
      </c>
      <c r="IH163" s="1">
        <v>1955</v>
      </c>
      <c r="II163" s="1">
        <v>236.19277397356052</v>
      </c>
      <c r="IJ163" s="1">
        <v>27.63160257668973</v>
      </c>
      <c r="IK163" s="1">
        <v>9.1660293739886978</v>
      </c>
      <c r="IL163" s="1">
        <v>265.12419889414048</v>
      </c>
      <c r="IM163" s="1">
        <v>13.703925877079334</v>
      </c>
      <c r="IN163" s="1">
        <v>4.5459030752794343</v>
      </c>
      <c r="IO163" s="1">
        <v>3.9560249986913902</v>
      </c>
    </row>
    <row r="164" spans="1:249" x14ac:dyDescent="0.25">
      <c r="A164" s="1" t="s">
        <v>255</v>
      </c>
      <c r="B164" s="1">
        <v>3.741558020766476</v>
      </c>
      <c r="C164" s="1">
        <v>3.5526435609110507</v>
      </c>
      <c r="D164" s="1">
        <v>3.7617377752181937</v>
      </c>
      <c r="E164" s="1">
        <v>3.7213821909068088</v>
      </c>
      <c r="F164" s="1">
        <v>3.7022460301057833</v>
      </c>
      <c r="G164" s="1">
        <v>3.3268267455525518</v>
      </c>
      <c r="H164" s="1">
        <v>3.1651793445973908</v>
      </c>
      <c r="J164" s="1">
        <v>1956</v>
      </c>
      <c r="K164" s="2">
        <v>55096.752715770024</v>
      </c>
      <c r="L164" s="1">
        <v>50355.898204498648</v>
      </c>
      <c r="M164" s="1">
        <v>48878.096269662092</v>
      </c>
      <c r="N164" s="1">
        <v>44137.241758390715</v>
      </c>
      <c r="O164" s="1">
        <v>6218.6564461079342</v>
      </c>
      <c r="P164" s="1">
        <v>4740.8545112713764</v>
      </c>
      <c r="Q164" s="1">
        <v>53553.672451994018</v>
      </c>
      <c r="R164" s="1">
        <v>108650.42516776404</v>
      </c>
      <c r="S164" s="1">
        <v>103909.57065649267</v>
      </c>
      <c r="U164" s="1">
        <v>1956</v>
      </c>
      <c r="V164" s="1">
        <v>7532.5274913866151</v>
      </c>
      <c r="W164" s="1">
        <v>86789.971010994384</v>
      </c>
      <c r="X164" s="1">
        <v>2.5897797577986381</v>
      </c>
      <c r="Y164" s="1">
        <v>6884.3837228593165</v>
      </c>
      <c r="Z164" s="1">
        <v>76034.578914066864</v>
      </c>
      <c r="AA164" s="1">
        <v>3.0015526876655514</v>
      </c>
      <c r="AB164" s="1">
        <v>7314510.6710559931</v>
      </c>
      <c r="AC164" s="1">
        <v>0.71844094947273618</v>
      </c>
      <c r="AE164" s="1">
        <v>1956</v>
      </c>
      <c r="AF164" s="1">
        <v>6222.9365467937405</v>
      </c>
      <c r="AG164" s="1">
        <v>16123.946399990609</v>
      </c>
      <c r="AH164" s="1">
        <v>4452.9982330589137</v>
      </c>
      <c r="AI164" s="1">
        <v>4493.0251316084505</v>
      </c>
      <c r="AJ164" s="1">
        <v>6231.7908107510602</v>
      </c>
      <c r="AK164" s="1">
        <v>2755.3706685473289</v>
      </c>
      <c r="AL164" s="1">
        <v>5681.1119105823409</v>
      </c>
      <c r="AM164" s="1">
        <v>4394.7185031662057</v>
      </c>
      <c r="AN164" s="2">
        <v>50355.898204498655</v>
      </c>
      <c r="AP164" s="1" t="s">
        <v>255</v>
      </c>
      <c r="AQ164" s="1">
        <v>0.4950747109003828</v>
      </c>
      <c r="AR164" s="1">
        <v>4.7000936248661134</v>
      </c>
      <c r="AS164" s="1">
        <v>3.6828728103787824</v>
      </c>
      <c r="AT164" s="1">
        <v>4.3223726864294747</v>
      </c>
      <c r="AU164" s="1">
        <v>5.7172591457385948</v>
      </c>
      <c r="AV164" s="1">
        <v>1.8544070576633942</v>
      </c>
      <c r="AW164" s="1">
        <v>4.1994091926110855</v>
      </c>
      <c r="AX164" s="1">
        <v>2.1421174969740662</v>
      </c>
      <c r="AY164" s="1">
        <v>3.741558020766476</v>
      </c>
      <c r="BA164" s="1">
        <v>1956</v>
      </c>
      <c r="BB164" s="1">
        <v>33661.354172776111</v>
      </c>
      <c r="BC164" s="1">
        <v>8771.4654269953771</v>
      </c>
      <c r="BD164" s="1">
        <v>8026.8639782680912</v>
      </c>
      <c r="BE164" s="1">
        <v>3818.8072689399733</v>
      </c>
      <c r="BF164" s="1">
        <v>-52.130313052429464</v>
      </c>
      <c r="BG164" s="1">
        <v>1104</v>
      </c>
      <c r="BH164" s="1">
        <v>12952.529871009372</v>
      </c>
      <c r="BI164" s="1">
        <v>13186.137689166466</v>
      </c>
      <c r="BJ164" s="1">
        <v>55096.752715770024</v>
      </c>
      <c r="BL164" s="1" t="s">
        <v>255</v>
      </c>
      <c r="BM164" s="1">
        <v>2.9075172648114886</v>
      </c>
      <c r="BN164" s="1">
        <v>5.0756499954412959</v>
      </c>
      <c r="BO164" s="1">
        <v>1.3582293736039759</v>
      </c>
      <c r="BP164" s="1">
        <v>9.4048925221368762</v>
      </c>
      <c r="BQ164" s="1">
        <v>7.2280009110925505</v>
      </c>
      <c r="BR164" s="1">
        <v>3.3268267455525518</v>
      </c>
      <c r="BT164" s="1" t="s">
        <v>255</v>
      </c>
      <c r="BU164" s="1">
        <v>5.0731372866422646</v>
      </c>
      <c r="BV164" s="1">
        <v>5.2081166625334845</v>
      </c>
      <c r="BW164" s="1">
        <v>5.5507382190353809</v>
      </c>
      <c r="BX164" s="1">
        <v>3.9694778970713145</v>
      </c>
      <c r="BY164" s="1">
        <v>4.0123162194777677</v>
      </c>
      <c r="BZ164" s="1">
        <v>5.2038886876410402</v>
      </c>
      <c r="CB164" s="1">
        <v>1956</v>
      </c>
      <c r="CC164" s="1">
        <v>525.23005611978135</v>
      </c>
      <c r="CD164" s="1">
        <v>4008.9183870104307</v>
      </c>
      <c r="CE164" s="1">
        <v>287.92776696206511</v>
      </c>
      <c r="CF164" s="1">
        <v>1838.3971571795282</v>
      </c>
      <c r="CG164" s="1">
        <v>958.71896792498819</v>
      </c>
      <c r="CH164" s="1">
        <v>1734.0666505476902</v>
      </c>
      <c r="CI164" s="1">
        <v>3544.281948411151</v>
      </c>
      <c r="CJ164" s="1">
        <v>12897.540934155635</v>
      </c>
      <c r="CL164" s="1">
        <v>1956</v>
      </c>
      <c r="CM164" s="1">
        <v>454.86957394559829</v>
      </c>
      <c r="CN164" s="1">
        <v>1979.072095623113</v>
      </c>
      <c r="CO164" s="1">
        <v>156.7188850240525</v>
      </c>
      <c r="CP164" s="1">
        <v>1237.6143121715984</v>
      </c>
      <c r="CQ164" s="1">
        <v>330.61293415971545</v>
      </c>
      <c r="CR164" s="1">
        <v>582.12823412387559</v>
      </c>
      <c r="CS164" s="1">
        <v>1477.6404110599806</v>
      </c>
      <c r="CT164" s="2">
        <v>6218.6564461079342</v>
      </c>
      <c r="CV164" s="1">
        <v>1956</v>
      </c>
      <c r="CW164" s="1">
        <v>48421.295218121362</v>
      </c>
      <c r="CX164" s="1">
        <v>50825.828568633631</v>
      </c>
      <c r="CY164" s="1">
        <v>21100.332003399846</v>
      </c>
      <c r="CZ164" s="1">
        <v>1630.6991455489117</v>
      </c>
      <c r="DA164" s="1">
        <v>20417.955298248355</v>
      </c>
      <c r="DB164" s="1">
        <v>142396.11023395212</v>
      </c>
      <c r="DC164" s="1">
        <v>126412.59459957885</v>
      </c>
      <c r="DD164" s="1">
        <v>43143.187359689757</v>
      </c>
      <c r="DF164" s="1">
        <v>1956</v>
      </c>
      <c r="DG164" s="1">
        <v>4.6556424663401828</v>
      </c>
      <c r="DH164" s="1">
        <v>4.268042661894242</v>
      </c>
      <c r="DI164" s="1">
        <v>5.0210030466078024</v>
      </c>
      <c r="DJ164" s="1">
        <v>4.8042549542885808</v>
      </c>
      <c r="DK164" s="1">
        <v>-3.1968075285206368</v>
      </c>
      <c r="DL164" s="1">
        <v>5.4070056666972448</v>
      </c>
      <c r="DM164" s="1">
        <v>4.6999632679410155</v>
      </c>
      <c r="DN164" s="1">
        <v>4.3803899490246607</v>
      </c>
      <c r="DO164" s="1">
        <v>4.5927689914782235</v>
      </c>
      <c r="DQ164" s="1">
        <v>1956</v>
      </c>
      <c r="DR164" s="1">
        <v>81522.619298477555</v>
      </c>
      <c r="DS164" s="1">
        <v>90384.943289784846</v>
      </c>
      <c r="DT164" s="1">
        <v>36808.75652064124</v>
      </c>
      <c r="DU164" s="1">
        <v>1630.6991455489117</v>
      </c>
      <c r="DV164" s="1">
        <v>20417.955298248355</v>
      </c>
      <c r="DW164" s="1">
        <v>230764.97355270092</v>
      </c>
      <c r="DX164" s="1">
        <v>206762.75911281133</v>
      </c>
      <c r="DY164" s="1">
        <v>62750.774175922663</v>
      </c>
      <c r="EA164" s="1">
        <v>1956</v>
      </c>
      <c r="EB164" s="1">
        <v>3.8959276364708018</v>
      </c>
      <c r="EC164" s="1">
        <v>3.7341452015019883</v>
      </c>
      <c r="ED164" s="1">
        <v>4.0403326744721966</v>
      </c>
      <c r="EE164" s="1">
        <v>5.9479961360672036</v>
      </c>
      <c r="EF164" s="1">
        <v>-3.1968075285206368</v>
      </c>
      <c r="EG164" s="1">
        <v>5.4070056666972448</v>
      </c>
      <c r="EH164" s="1">
        <v>4.3124105455463422</v>
      </c>
      <c r="EI164" s="1">
        <v>4.0636632961031296</v>
      </c>
      <c r="EJ164" s="1">
        <v>4.8314302637384685</v>
      </c>
      <c r="EL164" s="1">
        <v>1956</v>
      </c>
      <c r="EM164" s="1">
        <v>638743.12073171628</v>
      </c>
      <c r="EN164" s="1">
        <v>1155754.7891878046</v>
      </c>
      <c r="EO164" s="1">
        <v>280076.60222076607</v>
      </c>
      <c r="EP164" s="1">
        <v>233813.12915472055</v>
      </c>
      <c r="EQ164" s="1">
        <v>475494.10501343984</v>
      </c>
      <c r="ER164" s="1">
        <v>314738.56239784398</v>
      </c>
      <c r="ES164" s="1">
        <v>392008.66052634321</v>
      </c>
      <c r="ET164" s="1">
        <v>24302.609610292366</v>
      </c>
      <c r="EU164" s="1">
        <v>3514931.5788429268</v>
      </c>
      <c r="EV164" s="1">
        <v>3122922.9183165841</v>
      </c>
      <c r="EX164" s="1">
        <v>1956</v>
      </c>
      <c r="EY164" s="1">
        <v>299387.09028705052</v>
      </c>
      <c r="EZ164" s="1">
        <v>1084010.6023825388</v>
      </c>
      <c r="FA164" s="1">
        <v>247567.53336383993</v>
      </c>
      <c r="FB164" s="1">
        <v>210614.40720634922</v>
      </c>
      <c r="FC164" s="1">
        <v>396565.62557360978</v>
      </c>
      <c r="FD164" s="1">
        <v>275796.49058788148</v>
      </c>
      <c r="FE164" s="1">
        <v>392008.66052634321</v>
      </c>
      <c r="FF164" s="1">
        <v>20757.643090516714</v>
      </c>
      <c r="FG164" s="1">
        <v>2926708.0530181294</v>
      </c>
      <c r="FH164" s="1">
        <v>2534699.3924917863</v>
      </c>
      <c r="FJ164" s="1">
        <v>1956</v>
      </c>
      <c r="FK164" s="1">
        <v>339356.0304446657</v>
      </c>
      <c r="FL164" s="1">
        <v>71744.186805265723</v>
      </c>
      <c r="FM164" s="1">
        <v>32509.068856926129</v>
      </c>
      <c r="FN164" s="1">
        <v>23198.721948371338</v>
      </c>
      <c r="FO164" s="1">
        <v>78928.479439830073</v>
      </c>
      <c r="FP164" s="1">
        <v>38942.071809962508</v>
      </c>
      <c r="FQ164" s="1">
        <v>3544.9665197756522</v>
      </c>
      <c r="FR164" s="1">
        <v>588223.52582479711</v>
      </c>
      <c r="FS164" s="1">
        <v>1243492.8848112933</v>
      </c>
      <c r="FU164" s="1">
        <v>1956</v>
      </c>
      <c r="FV164" s="1">
        <v>107274.9602458312</v>
      </c>
      <c r="FW164" s="1">
        <v>223721.98855677134</v>
      </c>
      <c r="FX164" s="1">
        <v>52992.171230643791</v>
      </c>
      <c r="FY164" s="1">
        <v>49886.474178517463</v>
      </c>
      <c r="FZ164" s="1">
        <v>92470.451359870407</v>
      </c>
      <c r="GA164" s="1">
        <v>52497.357438894411</v>
      </c>
      <c r="GB164" s="1">
        <v>66540.980291853644</v>
      </c>
      <c r="GC164" s="1">
        <v>4029.3964704654022</v>
      </c>
      <c r="GD164" s="1">
        <v>649413.77977284754</v>
      </c>
      <c r="GE164" s="1">
        <v>582872.799480994</v>
      </c>
      <c r="GG164" s="1">
        <v>1956</v>
      </c>
      <c r="GH164" s="1">
        <v>44193.910304975427</v>
      </c>
      <c r="GI164" s="1">
        <v>208867.46404414208</v>
      </c>
      <c r="GJ164" s="1">
        <v>46196.003101563882</v>
      </c>
      <c r="GK164" s="1">
        <v>44633.135450394017</v>
      </c>
      <c r="GL164" s="1">
        <v>73252.922668409054</v>
      </c>
      <c r="GM164" s="1">
        <v>45826.537392052363</v>
      </c>
      <c r="GN164" s="1">
        <v>66540.980291853644</v>
      </c>
      <c r="GO164" s="1">
        <v>3364.1678835103639</v>
      </c>
      <c r="GP164" s="1">
        <v>532875.12113690074</v>
      </c>
      <c r="GQ164" s="1">
        <v>466334.14084504719</v>
      </c>
      <c r="GS164" s="1">
        <v>1956</v>
      </c>
      <c r="GT164" s="1">
        <v>63081.049940855781</v>
      </c>
      <c r="GU164" s="1">
        <v>14854.524512629283</v>
      </c>
      <c r="GV164" s="1">
        <v>6796.1681290799061</v>
      </c>
      <c r="GW164" s="1">
        <v>5253.3387281234382</v>
      </c>
      <c r="GX164" s="1">
        <v>19217.528691461357</v>
      </c>
      <c r="GY164" s="1">
        <v>6670.8200468420573</v>
      </c>
      <c r="GZ164" s="1">
        <v>665.22858695503851</v>
      </c>
      <c r="HA164" s="1">
        <v>116538.65863594685</v>
      </c>
      <c r="HC164" s="1">
        <v>1956</v>
      </c>
      <c r="HD164" s="1">
        <v>2033.6750387760089</v>
      </c>
      <c r="HE164" s="1">
        <v>11317.980085812602</v>
      </c>
      <c r="HF164" s="1">
        <v>3212.9211570842363</v>
      </c>
      <c r="HG164" s="1">
        <v>2994.3686238725832</v>
      </c>
      <c r="HH164" s="1">
        <v>6072.2800409793699</v>
      </c>
      <c r="HI164" s="1">
        <v>5098.9836764584625</v>
      </c>
      <c r="HJ164" s="1">
        <v>178.18134316229396</v>
      </c>
      <c r="HK164" s="2">
        <v>30908.389966145554</v>
      </c>
      <c r="HL164" s="1">
        <v>25809.406289687093</v>
      </c>
      <c r="HN164" s="1">
        <v>1956</v>
      </c>
      <c r="HO164" s="1">
        <v>2902.8061965826669</v>
      </c>
      <c r="HP164" s="1">
        <v>804.92772480170584</v>
      </c>
      <c r="HQ164" s="1">
        <v>472.67189590008525</v>
      </c>
      <c r="HR164" s="1">
        <v>352.43844061886671</v>
      </c>
      <c r="HS164" s="1">
        <v>1451.0035728533708</v>
      </c>
      <c r="HT164" s="1">
        <v>35.233474439426992</v>
      </c>
      <c r="HU164" s="2">
        <v>6019.0813051961213</v>
      </c>
      <c r="HW164" s="1">
        <v>1956</v>
      </c>
      <c r="HX164" s="1">
        <v>1325.0415858045417</v>
      </c>
      <c r="HY164" s="1">
        <v>4001.0385893763014</v>
      </c>
      <c r="HZ164" s="1">
        <v>767.40518007459195</v>
      </c>
      <c r="IA164" s="1">
        <v>1107.6317927475234</v>
      </c>
      <c r="IB164" s="1">
        <v>1463.8778654656485</v>
      </c>
      <c r="IC164" s="1">
        <v>582.12823412387831</v>
      </c>
      <c r="ID164" s="1">
        <v>4181.303685564485</v>
      </c>
      <c r="IE164" s="2">
        <v>13428.42693315697</v>
      </c>
      <c r="IF164" s="1">
        <v>12846.298699033094</v>
      </c>
      <c r="IH164" s="1">
        <v>1956</v>
      </c>
      <c r="II164" s="1">
        <v>241.90170723313079</v>
      </c>
      <c r="IJ164" s="1">
        <v>31.242265559553328</v>
      </c>
      <c r="IK164" s="1">
        <v>9.8407878072867376</v>
      </c>
      <c r="IL164" s="1">
        <v>272.0948752679339</v>
      </c>
      <c r="IM164" s="1">
        <v>16.678890290519568</v>
      </c>
      <c r="IN164" s="1">
        <v>5.2535697162278652</v>
      </c>
      <c r="IO164" s="1">
        <v>0.61612552246737096</v>
      </c>
    </row>
    <row r="165" spans="1:249" x14ac:dyDescent="0.25">
      <c r="A165" s="1" t="s">
        <v>256</v>
      </c>
      <c r="B165" s="1">
        <v>3.2274098376788629</v>
      </c>
      <c r="C165" s="1">
        <v>3.009841261346935</v>
      </c>
      <c r="D165" s="1">
        <v>3.2252133060602972</v>
      </c>
      <c r="E165" s="1">
        <v>3.229606416037484</v>
      </c>
      <c r="F165" s="1">
        <v>3.1864016401372197</v>
      </c>
      <c r="G165" s="1">
        <v>2.1349490445560235</v>
      </c>
      <c r="H165" s="1">
        <v>1.8629514260556306</v>
      </c>
      <c r="J165" s="1">
        <v>1957</v>
      </c>
      <c r="K165" s="2">
        <v>58785.251578107484</v>
      </c>
      <c r="L165" s="1">
        <v>53922.757484971466</v>
      </c>
      <c r="M165" s="1">
        <v>52021.560260320024</v>
      </c>
      <c r="N165" s="1">
        <v>47159.066167184006</v>
      </c>
      <c r="O165" s="1">
        <v>6763.6913177874594</v>
      </c>
      <c r="P165" s="1">
        <v>4862.4940931360179</v>
      </c>
      <c r="Q165" s="1">
        <v>57043.281916262473</v>
      </c>
      <c r="R165" s="1">
        <v>115828.53349436996</v>
      </c>
      <c r="S165" s="1">
        <v>110966.03940123394</v>
      </c>
      <c r="U165" s="1">
        <v>1957</v>
      </c>
      <c r="V165" s="1">
        <v>7983.0491384016241</v>
      </c>
      <c r="W165" s="1">
        <v>88050.052462129475</v>
      </c>
      <c r="X165" s="1">
        <v>1.4518744924750138</v>
      </c>
      <c r="Y165" s="1">
        <v>7322.7214501018479</v>
      </c>
      <c r="Z165" s="1">
        <v>77963.598193477679</v>
      </c>
      <c r="AA165" s="1">
        <v>2.5370289504607797</v>
      </c>
      <c r="AB165" s="1">
        <v>7363759.2051547281</v>
      </c>
      <c r="AC165" s="1">
        <v>0.67329909427317602</v>
      </c>
      <c r="AE165" s="1">
        <v>1957</v>
      </c>
      <c r="AF165" s="1">
        <v>5805.7253320678974</v>
      </c>
      <c r="AG165" s="1">
        <v>17506.998124859263</v>
      </c>
      <c r="AH165" s="1">
        <v>4654.5904667178502</v>
      </c>
      <c r="AI165" s="1">
        <v>4957.7267992146772</v>
      </c>
      <c r="AJ165" s="1">
        <v>6993.1910309522218</v>
      </c>
      <c r="AK165" s="1">
        <v>2936.5574740926795</v>
      </c>
      <c r="AL165" s="1">
        <v>6378.3150841103215</v>
      </c>
      <c r="AM165" s="1">
        <v>4689.6531729565522</v>
      </c>
      <c r="AN165" s="2">
        <v>53922.757484971466</v>
      </c>
      <c r="AP165" s="1" t="s">
        <v>256</v>
      </c>
      <c r="AQ165" s="1">
        <v>1.5705048337197809</v>
      </c>
      <c r="AR165" s="1">
        <v>4.4383789491621286</v>
      </c>
      <c r="AS165" s="1">
        <v>2.4579612561955742</v>
      </c>
      <c r="AT165" s="1">
        <v>4.5771861171467947</v>
      </c>
      <c r="AU165" s="1">
        <v>3.6909215068789081</v>
      </c>
      <c r="AV165" s="1">
        <v>0.53867986111661992</v>
      </c>
      <c r="AW165" s="1">
        <v>2.8627671877432306</v>
      </c>
      <c r="AX165" s="1">
        <v>1.8973867084105933</v>
      </c>
      <c r="AY165" s="1">
        <v>3.2274098376788629</v>
      </c>
      <c r="BA165" s="1">
        <v>1957</v>
      </c>
      <c r="BB165" s="1">
        <v>35465.184896836377</v>
      </c>
      <c r="BC165" s="1">
        <v>9771.4824227921381</v>
      </c>
      <c r="BD165" s="1">
        <v>8460.141322157011</v>
      </c>
      <c r="BE165" s="1">
        <v>4056.9672255072351</v>
      </c>
      <c r="BF165" s="1">
        <v>-15.20992808269256</v>
      </c>
      <c r="BG165" s="1">
        <v>1169</v>
      </c>
      <c r="BH165" s="1">
        <v>14381.03686998077</v>
      </c>
      <c r="BI165" s="1">
        <v>14503.351231083354</v>
      </c>
      <c r="BJ165" s="1">
        <v>58785.251578107484</v>
      </c>
      <c r="BL165" s="1" t="s">
        <v>256</v>
      </c>
      <c r="BM165" s="1">
        <v>1.51646968889672</v>
      </c>
      <c r="BN165" s="1">
        <v>3.0378446228605185</v>
      </c>
      <c r="BO165" s="1">
        <v>1.1737179200155481</v>
      </c>
      <c r="BP165" s="1">
        <v>8.9735440767264123</v>
      </c>
      <c r="BQ165" s="1">
        <v>6.9012721565295294</v>
      </c>
      <c r="BR165" s="1">
        <v>2.1349490445560235</v>
      </c>
      <c r="BT165" s="1" t="s">
        <v>256</v>
      </c>
      <c r="BU165" s="1">
        <v>3.7848922050429223</v>
      </c>
      <c r="BV165" s="1">
        <v>8.1163894034477693</v>
      </c>
      <c r="BW165" s="1">
        <v>4.7665006452942293</v>
      </c>
      <c r="BX165" s="1">
        <v>1.8860022115126327</v>
      </c>
      <c r="BY165" s="1">
        <v>2.8887485145264549</v>
      </c>
      <c r="BZ165" s="1">
        <v>4.4643247507977151</v>
      </c>
      <c r="CB165" s="1">
        <v>1957</v>
      </c>
      <c r="CC165" s="1">
        <v>579.93646362312961</v>
      </c>
      <c r="CD165" s="1">
        <v>4422.2533681993782</v>
      </c>
      <c r="CE165" s="1">
        <v>327.79427775203123</v>
      </c>
      <c r="CF165" s="1">
        <v>1948.463613959543</v>
      </c>
      <c r="CG165" s="1">
        <v>623.99876016183555</v>
      </c>
      <c r="CH165" s="1">
        <v>2013.8954492554749</v>
      </c>
      <c r="CI165" s="1">
        <v>3754.556686630161</v>
      </c>
      <c r="CJ165" s="1">
        <v>13670.898619581554</v>
      </c>
      <c r="CL165" s="1">
        <v>1957</v>
      </c>
      <c r="CM165" s="1">
        <v>484.65948037536606</v>
      </c>
      <c r="CN165" s="1">
        <v>2122.1244599157017</v>
      </c>
      <c r="CO165" s="1">
        <v>179.36092461497185</v>
      </c>
      <c r="CP165" s="1">
        <v>1394.7840455947833</v>
      </c>
      <c r="CQ165" s="1">
        <v>360.29085896305196</v>
      </c>
      <c r="CR165" s="1">
        <v>650.13912273068104</v>
      </c>
      <c r="CS165" s="1">
        <v>1572.3324255929033</v>
      </c>
      <c r="CT165" s="2">
        <v>6763.6913177874594</v>
      </c>
      <c r="CV165" s="1">
        <v>1957</v>
      </c>
      <c r="CW165" s="1">
        <v>51653.524306363004</v>
      </c>
      <c r="CX165" s="1">
        <v>55775.716411128684</v>
      </c>
      <c r="CY165" s="1">
        <v>23279.682971696846</v>
      </c>
      <c r="CZ165" s="1">
        <v>1550.2280153177082</v>
      </c>
      <c r="DA165" s="1">
        <v>23179.39470590969</v>
      </c>
      <c r="DB165" s="1">
        <v>155438.54641041593</v>
      </c>
      <c r="DC165" s="1">
        <v>137377.5102238376</v>
      </c>
      <c r="DD165" s="1">
        <v>47290.388819099127</v>
      </c>
      <c r="DF165" s="1">
        <v>1957</v>
      </c>
      <c r="DG165" s="1">
        <v>4.4536530696691869</v>
      </c>
      <c r="DH165" s="1">
        <v>4.2247344984521078</v>
      </c>
      <c r="DI165" s="1">
        <v>4.6653825266923548</v>
      </c>
      <c r="DJ165" s="1">
        <v>4.1635876216632681</v>
      </c>
      <c r="DK165" s="1">
        <v>-0.98114135033065963</v>
      </c>
      <c r="DL165" s="1">
        <v>5.0432723323096837</v>
      </c>
      <c r="DM165" s="1">
        <v>4.4435104042423177</v>
      </c>
      <c r="DN165" s="1">
        <v>4.0341031066271995</v>
      </c>
      <c r="DO165" s="1">
        <v>4.6565936014919345</v>
      </c>
      <c r="DQ165" s="1">
        <v>1957</v>
      </c>
      <c r="DR165" s="1">
        <v>86519.139838332805</v>
      </c>
      <c r="DS165" s="1">
        <v>98210.516519417375</v>
      </c>
      <c r="DT165" s="1">
        <v>41036.044255460642</v>
      </c>
      <c r="DU165" s="1">
        <v>1550.2280153177082</v>
      </c>
      <c r="DV165" s="1">
        <v>23179.39470590969</v>
      </c>
      <c r="DW165" s="1">
        <v>250495.3233344382</v>
      </c>
      <c r="DX165" s="1">
        <v>223587.6648116131</v>
      </c>
      <c r="DY165" s="1">
        <v>68620.347629459633</v>
      </c>
      <c r="EA165" s="1">
        <v>1957</v>
      </c>
      <c r="EB165" s="1">
        <v>3.8137537812434914</v>
      </c>
      <c r="EC165" s="1">
        <v>3.7340846973544757</v>
      </c>
      <c r="ED165" s="1">
        <v>3.8838354683223599</v>
      </c>
      <c r="EE165" s="1">
        <v>5.4238092363911221</v>
      </c>
      <c r="EF165" s="1">
        <v>-0.98114135033065963</v>
      </c>
      <c r="EG165" s="1">
        <v>5.0432723323096837</v>
      </c>
      <c r="EH165" s="1">
        <v>4.162030278553047</v>
      </c>
      <c r="EI165" s="1">
        <v>3.8529547887097095</v>
      </c>
      <c r="EJ165" s="1">
        <v>4.8237112118576135</v>
      </c>
      <c r="EL165" s="1">
        <v>1957</v>
      </c>
      <c r="EM165" s="1">
        <v>617149.65558850789</v>
      </c>
      <c r="EN165" s="1">
        <v>1155803.9061979568</v>
      </c>
      <c r="EO165" s="1">
        <v>279713.54204227478</v>
      </c>
      <c r="EP165" s="1">
        <v>239696.12109474692</v>
      </c>
      <c r="EQ165" s="1">
        <v>486556.75406697358</v>
      </c>
      <c r="ER165" s="1">
        <v>315976.44394945831</v>
      </c>
      <c r="ES165" s="1">
        <v>401454.34464109218</v>
      </c>
      <c r="ET165" s="1">
        <v>24533.905569205683</v>
      </c>
      <c r="EU165" s="1">
        <v>3520884.6731502162</v>
      </c>
      <c r="EV165" s="1">
        <v>3119430.3285091235</v>
      </c>
      <c r="EX165" s="1">
        <v>1957</v>
      </c>
      <c r="EY165" s="1">
        <v>277523.87885496602</v>
      </c>
      <c r="EZ165" s="1">
        <v>1087523.4295502405</v>
      </c>
      <c r="FA165" s="1">
        <v>247366.32909276418</v>
      </c>
      <c r="FB165" s="1">
        <v>215891.76860809239</v>
      </c>
      <c r="FC165" s="1">
        <v>407167.58101004787</v>
      </c>
      <c r="FD165" s="1">
        <v>275755.9061997789</v>
      </c>
      <c r="FE165" s="1">
        <v>401454.34464109218</v>
      </c>
      <c r="FF165" s="1">
        <v>21306.455913197209</v>
      </c>
      <c r="FG165" s="1">
        <v>2933989.6938701794</v>
      </c>
      <c r="FH165" s="1">
        <v>2532535.3492290871</v>
      </c>
      <c r="FJ165" s="1">
        <v>1957</v>
      </c>
      <c r="FK165" s="1">
        <v>339625.77673354186</v>
      </c>
      <c r="FL165" s="1">
        <v>68280.476647716176</v>
      </c>
      <c r="FM165" s="1">
        <v>32347.212949510627</v>
      </c>
      <c r="FN165" s="1">
        <v>23804.35248665453</v>
      </c>
      <c r="FO165" s="1">
        <v>79389.17305692572</v>
      </c>
      <c r="FP165" s="1">
        <v>40220.537749679439</v>
      </c>
      <c r="FQ165" s="1">
        <v>3227.4496560084744</v>
      </c>
      <c r="FR165" s="1">
        <v>586894.97928003687</v>
      </c>
      <c r="FS165" s="1">
        <v>1229719.4418763854</v>
      </c>
      <c r="FU165" s="1">
        <v>1957</v>
      </c>
      <c r="FV165" s="1">
        <v>104144.63120988291</v>
      </c>
      <c r="FW165" s="1">
        <v>223796.22823268463</v>
      </c>
      <c r="FX165" s="1">
        <v>52944.611787351132</v>
      </c>
      <c r="FY165" s="1">
        <v>51115.306715448074</v>
      </c>
      <c r="FZ165" s="1">
        <v>94641.515317310885</v>
      </c>
      <c r="GA165" s="1">
        <v>52903.0370068868</v>
      </c>
      <c r="GB165" s="1">
        <v>68174.999843030964</v>
      </c>
      <c r="GC165" s="1">
        <v>4060.5855295422584</v>
      </c>
      <c r="GD165" s="1">
        <v>651780.91564213787</v>
      </c>
      <c r="GE165" s="1">
        <v>583605.91579910682</v>
      </c>
      <c r="GG165" s="1">
        <v>1957</v>
      </c>
      <c r="GH165" s="1">
        <v>40985.021554483734</v>
      </c>
      <c r="GI165" s="1">
        <v>209652.49579568289</v>
      </c>
      <c r="GJ165" s="1">
        <v>46179.23635527138</v>
      </c>
      <c r="GK165" s="1">
        <v>45722.396774999506</v>
      </c>
      <c r="GL165" s="1">
        <v>75306.004898335392</v>
      </c>
      <c r="GM165" s="1">
        <v>46041.532827846335</v>
      </c>
      <c r="GN165" s="1">
        <v>68174.999843030964</v>
      </c>
      <c r="GO165" s="1">
        <v>3454.6677543795136</v>
      </c>
      <c r="GP165" s="1">
        <v>535516.35580402974</v>
      </c>
      <c r="GQ165" s="1">
        <v>467341.35596099874</v>
      </c>
      <c r="GS165" s="1">
        <v>1957</v>
      </c>
      <c r="GT165" s="1">
        <v>63159.609655399188</v>
      </c>
      <c r="GU165" s="1">
        <v>14143.73243700176</v>
      </c>
      <c r="GV165" s="1">
        <v>6765.3754320797443</v>
      </c>
      <c r="GW165" s="1">
        <v>5392.9099404485678</v>
      </c>
      <c r="GX165" s="1">
        <v>19335.510418975482</v>
      </c>
      <c r="GY165" s="1">
        <v>6861.5041790404721</v>
      </c>
      <c r="GZ165" s="1">
        <v>605.9177751627451</v>
      </c>
      <c r="HA165" s="1">
        <v>116264.55983810798</v>
      </c>
      <c r="HC165" s="1">
        <v>1957</v>
      </c>
      <c r="HD165" s="1">
        <v>2050.7394393975255</v>
      </c>
      <c r="HE165" s="1">
        <v>12106.449803778787</v>
      </c>
      <c r="HF165" s="1">
        <v>3430.9793951987886</v>
      </c>
      <c r="HG165" s="1">
        <v>3247.8176724653986</v>
      </c>
      <c r="HH165" s="1">
        <v>6552.3180283958291</v>
      </c>
      <c r="HI165" s="1">
        <v>5728.1759613796467</v>
      </c>
      <c r="HJ165" s="1">
        <v>192.80816983979571</v>
      </c>
      <c r="HK165" s="2">
        <v>33309.288470455765</v>
      </c>
      <c r="HL165" s="1">
        <v>27581.11250907612</v>
      </c>
      <c r="HN165" s="1">
        <v>1957</v>
      </c>
      <c r="HO165" s="1">
        <v>3160.2741095328288</v>
      </c>
      <c r="HP165" s="1">
        <v>816.73431139838374</v>
      </c>
      <c r="HQ165" s="1">
        <v>502.64719688462452</v>
      </c>
      <c r="HR165" s="1">
        <v>383.07677300460949</v>
      </c>
      <c r="HS165" s="1">
        <v>1566.9602437064943</v>
      </c>
      <c r="HT165" s="1">
        <v>33.816825700366834</v>
      </c>
      <c r="HU165" s="2">
        <v>6463.5094602273075</v>
      </c>
      <c r="HW165" s="1">
        <v>1957</v>
      </c>
      <c r="HX165" s="1">
        <v>627.40592094758813</v>
      </c>
      <c r="HY165" s="1">
        <v>4583.8140096820935</v>
      </c>
      <c r="HZ165" s="1">
        <v>720.96387463443671</v>
      </c>
      <c r="IA165" s="1">
        <v>1294.138215934624</v>
      </c>
      <c r="IB165" s="1">
        <v>1810.4702329425779</v>
      </c>
      <c r="IC165" s="1">
        <v>650.13912273067535</v>
      </c>
      <c r="ID165" s="1">
        <v>4463.0281774163896</v>
      </c>
      <c r="IE165" s="2">
        <v>14149.959554288384</v>
      </c>
      <c r="IF165" s="1">
        <v>13499.82043155771</v>
      </c>
      <c r="IH165" s="1">
        <v>1957</v>
      </c>
      <c r="II165" s="1">
        <v>245.05986202132934</v>
      </c>
      <c r="IJ165" s="1">
        <v>33.75784209077576</v>
      </c>
      <c r="IK165" s="1">
        <v>10.298719720780158</v>
      </c>
      <c r="IL165" s="1">
        <v>275.33855935242173</v>
      </c>
      <c r="IM165" s="1">
        <v>19.048630181437627</v>
      </c>
      <c r="IN165" s="1">
        <v>5.8112868345048785</v>
      </c>
      <c r="IO165" s="1">
        <v>2.7326874916579555</v>
      </c>
    </row>
    <row r="166" spans="1:249" x14ac:dyDescent="0.25">
      <c r="A166" s="1" t="s">
        <v>257</v>
      </c>
      <c r="B166" s="1">
        <v>2.4942974178644022</v>
      </c>
      <c r="C166" s="1">
        <v>2.2704538808877146</v>
      </c>
      <c r="D166" s="1">
        <v>2.512584008986579</v>
      </c>
      <c r="E166" s="1">
        <v>2.4760140887750453</v>
      </c>
      <c r="F166" s="1">
        <v>2.3622079041390407</v>
      </c>
      <c r="G166" s="1">
        <v>2.2199483621056828</v>
      </c>
      <c r="H166" s="1">
        <v>1.893544219753764</v>
      </c>
      <c r="J166" s="1">
        <v>1958</v>
      </c>
      <c r="K166" s="2">
        <v>62087.929296912727</v>
      </c>
      <c r="L166" s="1">
        <v>56144.792279601323</v>
      </c>
      <c r="M166" s="1">
        <v>54954.490347650702</v>
      </c>
      <c r="N166" s="1">
        <v>49011.353330339298</v>
      </c>
      <c r="O166" s="1">
        <v>7133.438949262023</v>
      </c>
      <c r="P166" s="1">
        <v>5943.1370173114046</v>
      </c>
      <c r="Q166" s="1">
        <v>57790.584245612881</v>
      </c>
      <c r="R166" s="1">
        <v>119878.51354252562</v>
      </c>
      <c r="S166" s="1">
        <v>113935.3765252142</v>
      </c>
      <c r="U166" s="1">
        <v>1958</v>
      </c>
      <c r="V166" s="1">
        <v>8379.9391774333435</v>
      </c>
      <c r="W166" s="1">
        <v>89453.748795941821</v>
      </c>
      <c r="X166" s="1">
        <v>1.5942027228389009</v>
      </c>
      <c r="Y166" s="1">
        <v>7577.800544494612</v>
      </c>
      <c r="Z166" s="1">
        <v>79419.07903885527</v>
      </c>
      <c r="AA166" s="1">
        <v>1.8668723341444604</v>
      </c>
      <c r="AB166" s="1">
        <v>7409114.551106967</v>
      </c>
      <c r="AC166" s="1">
        <v>0.61592652188421937</v>
      </c>
      <c r="AE166" s="1">
        <v>1958</v>
      </c>
      <c r="AF166" s="1">
        <v>5801.6556002607158</v>
      </c>
      <c r="AG166" s="1">
        <v>18037.244312045306</v>
      </c>
      <c r="AH166" s="1">
        <v>4986.5515225433728</v>
      </c>
      <c r="AI166" s="1">
        <v>4867.2842712617894</v>
      </c>
      <c r="AJ166" s="1">
        <v>7281.8078831900593</v>
      </c>
      <c r="AK166" s="1">
        <v>3093.6977324858535</v>
      </c>
      <c r="AL166" s="1">
        <v>6883.9379006776926</v>
      </c>
      <c r="AM166" s="1">
        <v>5192.6130571365356</v>
      </c>
      <c r="AN166" s="2">
        <v>56144.792279601323</v>
      </c>
      <c r="AP166" s="1" t="s">
        <v>257</v>
      </c>
      <c r="AQ166" s="1">
        <v>-1.0438899405688034</v>
      </c>
      <c r="AR166" s="1">
        <v>2.0835697832125106</v>
      </c>
      <c r="AS166" s="1">
        <v>6.0194663221217155</v>
      </c>
      <c r="AT166" s="1">
        <v>1.7841902323128238</v>
      </c>
      <c r="AU166" s="1">
        <v>4.8848632306766717</v>
      </c>
      <c r="AV166" s="1">
        <v>-1.0054289349978234</v>
      </c>
      <c r="AW166" s="1">
        <v>4.3222085749544021</v>
      </c>
      <c r="AX166" s="1">
        <v>1.8608150613992791</v>
      </c>
      <c r="AY166" s="1">
        <v>2.4942974178644022</v>
      </c>
      <c r="BA166" s="1">
        <v>1958</v>
      </c>
      <c r="BB166" s="1">
        <v>37907.7612508889</v>
      </c>
      <c r="BC166" s="1">
        <v>10397.153656164333</v>
      </c>
      <c r="BD166" s="1">
        <v>9237.9008999526814</v>
      </c>
      <c r="BE166" s="1">
        <v>4572.464966994813</v>
      </c>
      <c r="BF166" s="1">
        <v>-16.276397271269055</v>
      </c>
      <c r="BG166" s="1">
        <v>343</v>
      </c>
      <c r="BH166" s="1">
        <v>13835.225238463358</v>
      </c>
      <c r="BI166" s="1">
        <v>14189.300318280086</v>
      </c>
      <c r="BJ166" s="1">
        <v>62087.929296912727</v>
      </c>
      <c r="BL166" s="1" t="s">
        <v>257</v>
      </c>
      <c r="BM166" s="1">
        <v>2.4096572315166469</v>
      </c>
      <c r="BN166" s="1">
        <v>4.6559807356221512</v>
      </c>
      <c r="BO166" s="1">
        <v>2.6265091046837767</v>
      </c>
      <c r="BP166" s="1">
        <v>5.1847051198961935E-2</v>
      </c>
      <c r="BQ166" s="1">
        <v>2.6350650210849267</v>
      </c>
      <c r="BR166" s="1">
        <v>2.2199483621056828</v>
      </c>
      <c r="BT166" s="1" t="s">
        <v>257</v>
      </c>
      <c r="BU166" s="1">
        <v>4.3722379683944297</v>
      </c>
      <c r="BV166" s="1">
        <v>1.6693285391818193</v>
      </c>
      <c r="BW166" s="1">
        <v>0.76353323331758816</v>
      </c>
      <c r="BX166" s="1">
        <v>-3.8452100198824724</v>
      </c>
      <c r="BY166" s="1">
        <v>-4.6771860336040447</v>
      </c>
      <c r="BZ166" s="1">
        <v>3.3244583982472165</v>
      </c>
      <c r="CB166" s="1">
        <v>1958</v>
      </c>
      <c r="CC166" s="1">
        <v>640.36383844417344</v>
      </c>
      <c r="CD166" s="1">
        <v>3964.7910689630903</v>
      </c>
      <c r="CE166" s="1">
        <v>341.99472584844619</v>
      </c>
      <c r="CF166" s="1">
        <v>2104.5383421831148</v>
      </c>
      <c r="CG166" s="1">
        <v>903.0424638478994</v>
      </c>
      <c r="CH166" s="1">
        <v>2192.2305163563524</v>
      </c>
      <c r="CI166" s="1">
        <v>3990.1285140331488</v>
      </c>
      <c r="CJ166" s="1">
        <v>14137.089469676226</v>
      </c>
      <c r="CL166" s="1">
        <v>1958</v>
      </c>
      <c r="CM166" s="1">
        <v>506.22311583768999</v>
      </c>
      <c r="CN166" s="1">
        <v>2228.4398281820995</v>
      </c>
      <c r="CO166" s="1">
        <v>191.32844273306597</v>
      </c>
      <c r="CP166" s="1">
        <v>1483.9309163592545</v>
      </c>
      <c r="CQ166" s="1">
        <v>378.62393961969667</v>
      </c>
      <c r="CR166" s="1">
        <v>700.8381383749479</v>
      </c>
      <c r="CS166" s="1">
        <v>1644.0545681552687</v>
      </c>
      <c r="CT166" s="2">
        <v>7133.438949262023</v>
      </c>
      <c r="CV166" s="1">
        <v>1958</v>
      </c>
      <c r="CW166" s="1">
        <v>54028.402014927138</v>
      </c>
      <c r="CX166" s="1">
        <v>58736.738947579623</v>
      </c>
      <c r="CY166" s="1">
        <v>24466.366405656241</v>
      </c>
      <c r="CZ166" s="1">
        <v>1603.5377351869558</v>
      </c>
      <c r="DA166" s="1">
        <v>24867.845305400417</v>
      </c>
      <c r="DB166" s="1">
        <v>163702.89040875036</v>
      </c>
      <c r="DC166" s="1">
        <v>144054.45304027258</v>
      </c>
      <c r="DD166" s="1">
        <v>49864.194345863405</v>
      </c>
      <c r="DF166" s="1">
        <v>1958</v>
      </c>
      <c r="DG166" s="1">
        <v>4.7746839114953872</v>
      </c>
      <c r="DH166" s="1">
        <v>4.3422974923998225</v>
      </c>
      <c r="DI166" s="1">
        <v>5.1719771455515087</v>
      </c>
      <c r="DJ166" s="1">
        <v>5.2990231286166534</v>
      </c>
      <c r="DK166" s="1">
        <v>-1.0150305112321689</v>
      </c>
      <c r="DL166" s="1">
        <v>1.3792911922510456</v>
      </c>
      <c r="DM166" s="1">
        <v>4.2733435131913353</v>
      </c>
      <c r="DN166" s="1">
        <v>3.8191529860497155</v>
      </c>
      <c r="DO166" s="1">
        <v>3.9322746259518055</v>
      </c>
      <c r="DQ166" s="1">
        <v>1958</v>
      </c>
      <c r="DR166" s="1">
        <v>90071.011296987635</v>
      </c>
      <c r="DS166" s="1">
        <v>102693.88262941818</v>
      </c>
      <c r="DT166" s="1">
        <v>43648.645560713114</v>
      </c>
      <c r="DU166" s="1">
        <v>1603.5377351869558</v>
      </c>
      <c r="DV166" s="1">
        <v>24867.845305400417</v>
      </c>
      <c r="DW166" s="1">
        <v>262884.92252770631</v>
      </c>
      <c r="DX166" s="1">
        <v>233844.67227750685</v>
      </c>
      <c r="DY166" s="1">
        <v>72296.325145739058</v>
      </c>
      <c r="EA166" s="1">
        <v>1958</v>
      </c>
      <c r="EB166" s="1">
        <v>4.0413208203355282</v>
      </c>
      <c r="EC166" s="1">
        <v>3.8302473515970235</v>
      </c>
      <c r="ED166" s="1">
        <v>4.22634014908067</v>
      </c>
      <c r="EE166" s="1">
        <v>5.9817453019274041</v>
      </c>
      <c r="EF166" s="1">
        <v>-1.0150305112321689</v>
      </c>
      <c r="EG166" s="1">
        <v>1.3792911922510456</v>
      </c>
      <c r="EH166" s="1">
        <v>4.0747411071593689</v>
      </c>
      <c r="EI166" s="1">
        <v>3.7335809516145559</v>
      </c>
      <c r="EJ166" s="1">
        <v>4.3164909638323365</v>
      </c>
      <c r="EL166" s="1">
        <v>1958</v>
      </c>
      <c r="EM166" s="1">
        <v>605832.04164966941</v>
      </c>
      <c r="EN166" s="1">
        <v>1147941.5306677481</v>
      </c>
      <c r="EO166" s="1">
        <v>285651.01317748526</v>
      </c>
      <c r="EP166" s="1">
        <v>235575.6104246194</v>
      </c>
      <c r="EQ166" s="1">
        <v>494932.54964238673</v>
      </c>
      <c r="ER166" s="1">
        <v>325836.49259763822</v>
      </c>
      <c r="ES166" s="1">
        <v>423969.43152560614</v>
      </c>
      <c r="ET166" s="1">
        <v>26527.221103846616</v>
      </c>
      <c r="EU166" s="1">
        <v>3546265.8907889994</v>
      </c>
      <c r="EV166" s="1">
        <v>3122296.4592633937</v>
      </c>
      <c r="EX166" s="1">
        <v>1958</v>
      </c>
      <c r="EY166" s="1">
        <v>261379.08066777012</v>
      </c>
      <c r="EZ166" s="1">
        <v>1083337.1278300553</v>
      </c>
      <c r="FA166" s="1">
        <v>252738.97416212235</v>
      </c>
      <c r="FB166" s="1">
        <v>212143.73672796518</v>
      </c>
      <c r="FC166" s="1">
        <v>415719.40751108172</v>
      </c>
      <c r="FD166" s="1">
        <v>284328.58022005722</v>
      </c>
      <c r="FE166" s="1">
        <v>423969.43152560614</v>
      </c>
      <c r="FF166" s="1">
        <v>23378.483814915257</v>
      </c>
      <c r="FG166" s="1">
        <v>2956994.8224595729</v>
      </c>
      <c r="FH166" s="1">
        <v>2533025.3909339667</v>
      </c>
      <c r="FJ166" s="1">
        <v>1958</v>
      </c>
      <c r="FK166" s="1">
        <v>344452.96098189923</v>
      </c>
      <c r="FL166" s="1">
        <v>64604.402837692804</v>
      </c>
      <c r="FM166" s="1">
        <v>32912.03901536292</v>
      </c>
      <c r="FN166" s="1">
        <v>23431.873696654227</v>
      </c>
      <c r="FO166" s="1">
        <v>79213.142131304965</v>
      </c>
      <c r="FP166" s="1">
        <v>41507.912377581029</v>
      </c>
      <c r="FQ166" s="1">
        <v>3148.7372889313588</v>
      </c>
      <c r="FR166" s="1">
        <v>589271.06832942658</v>
      </c>
      <c r="FS166" s="1">
        <v>1216098.5593080048</v>
      </c>
      <c r="FU166" s="1">
        <v>1958</v>
      </c>
      <c r="FV166" s="1">
        <v>101142.51853581145</v>
      </c>
      <c r="FW166" s="1">
        <v>218944.25778592244</v>
      </c>
      <c r="FX166" s="1">
        <v>53267.559979753387</v>
      </c>
      <c r="FY166" s="1">
        <v>49531.462128799874</v>
      </c>
      <c r="FZ166" s="1">
        <v>94856.307305832452</v>
      </c>
      <c r="GA166" s="1">
        <v>53811.295635228045</v>
      </c>
      <c r="GB166" s="1">
        <v>70935.603451213246</v>
      </c>
      <c r="GC166" s="1">
        <v>4317.0827378012627</v>
      </c>
      <c r="GD166" s="1">
        <v>646806.08756036195</v>
      </c>
      <c r="GE166" s="1">
        <v>575870.48410914897</v>
      </c>
      <c r="GG166" s="1">
        <v>1958</v>
      </c>
      <c r="GH166" s="1">
        <v>38030.88016778681</v>
      </c>
      <c r="GI166" s="1">
        <v>205759.5550096748</v>
      </c>
      <c r="GJ166" s="1">
        <v>46485.672763888957</v>
      </c>
      <c r="GK166" s="1">
        <v>44301.307215364417</v>
      </c>
      <c r="GL166" s="1">
        <v>75856.042957567493</v>
      </c>
      <c r="GM166" s="1">
        <v>46864.817271078093</v>
      </c>
      <c r="GN166" s="1">
        <v>70935.603451213246</v>
      </c>
      <c r="GO166" s="1">
        <v>3734.669304447229</v>
      </c>
      <c r="GP166" s="1">
        <v>531968.54814102093</v>
      </c>
      <c r="GQ166" s="1">
        <v>461032.94468980783</v>
      </c>
      <c r="GS166" s="1">
        <v>1958</v>
      </c>
      <c r="GT166" s="1">
        <v>63111.638368024636</v>
      </c>
      <c r="GU166" s="1">
        <v>13184.702776247645</v>
      </c>
      <c r="GV166" s="1">
        <v>6781.8872158644353</v>
      </c>
      <c r="GW166" s="1">
        <v>5230.1549134354545</v>
      </c>
      <c r="GX166" s="1">
        <v>19000.264348264973</v>
      </c>
      <c r="GY166" s="1">
        <v>6946.4783641499434</v>
      </c>
      <c r="GZ166" s="1">
        <v>582.41343335403349</v>
      </c>
      <c r="HA166" s="1">
        <v>114837.53941934112</v>
      </c>
      <c r="HC166" s="1">
        <v>1958</v>
      </c>
      <c r="HD166" s="1">
        <v>2012.5954850670769</v>
      </c>
      <c r="HE166" s="1">
        <v>12727.700440619257</v>
      </c>
      <c r="HF166" s="1">
        <v>3621.5347924700641</v>
      </c>
      <c r="HG166" s="1">
        <v>3345.2980757703276</v>
      </c>
      <c r="HH166" s="1">
        <v>6928.3826046676941</v>
      </c>
      <c r="HI166" s="1">
        <v>6183.0997623027361</v>
      </c>
      <c r="HJ166" s="1">
        <v>215.41326561411657</v>
      </c>
      <c r="HK166" s="2">
        <v>35034.024426511271</v>
      </c>
      <c r="HL166" s="1">
        <v>28850.924664208535</v>
      </c>
      <c r="HN166" s="1">
        <v>1958</v>
      </c>
      <c r="HO166" s="1">
        <v>3312.3062654121995</v>
      </c>
      <c r="HP166" s="1">
        <v>815.5681874739214</v>
      </c>
      <c r="HQ166" s="1">
        <v>528.35291070457231</v>
      </c>
      <c r="HR166" s="1">
        <v>394.94155517443289</v>
      </c>
      <c r="HS166" s="1">
        <v>1623.5889511837543</v>
      </c>
      <c r="HT166" s="1">
        <v>33.593223225126046</v>
      </c>
      <c r="HU166" s="2">
        <v>6708.3510931740066</v>
      </c>
      <c r="HW166" s="1">
        <v>1958</v>
      </c>
      <c r="HX166" s="1">
        <v>506.22311583768987</v>
      </c>
      <c r="HY166" s="1">
        <v>4493.9756839521287</v>
      </c>
      <c r="HZ166" s="1">
        <v>836.66381936873586</v>
      </c>
      <c r="IA166" s="1">
        <v>1097.5753742607785</v>
      </c>
      <c r="IB166" s="1">
        <v>1823.5340598244638</v>
      </c>
      <c r="IC166" s="1">
        <v>700.83813837495677</v>
      </c>
      <c r="ID166" s="1">
        <v>4943.6065682972931</v>
      </c>
      <c r="IE166" s="2">
        <v>14402.416759916046</v>
      </c>
      <c r="IF166" s="1">
        <v>13701.57862154109</v>
      </c>
      <c r="IH166" s="1">
        <v>1958</v>
      </c>
      <c r="II166" s="1">
        <v>246.68916741117238</v>
      </c>
      <c r="IJ166" s="1">
        <v>31.1914418497594</v>
      </c>
      <c r="IK166" s="1">
        <v>9.6378434230573529</v>
      </c>
      <c r="IL166" s="1">
        <v>277.25542250750772</v>
      </c>
      <c r="IM166" s="1">
        <v>16.728132018813874</v>
      </c>
      <c r="IN166" s="1">
        <v>5.1688254083965681</v>
      </c>
      <c r="IO166" s="1">
        <v>1.1167583764996749</v>
      </c>
    </row>
    <row r="167" spans="1:249" x14ac:dyDescent="0.25">
      <c r="A167" s="1" t="s">
        <v>258</v>
      </c>
      <c r="B167" s="1">
        <v>4.3930271123536926</v>
      </c>
      <c r="C167" s="1">
        <v>4.2114047940694235</v>
      </c>
      <c r="D167" s="1">
        <v>4.3829890810357313</v>
      </c>
      <c r="E167" s="1">
        <v>4.403066108982884</v>
      </c>
      <c r="F167" s="1">
        <v>4.2952151741019406</v>
      </c>
      <c r="G167" s="1">
        <v>5.2879245549688676</v>
      </c>
      <c r="H167" s="1">
        <v>5.2824403338014321</v>
      </c>
      <c r="J167" s="1">
        <v>1959</v>
      </c>
      <c r="K167" s="2">
        <v>66111.251860512333</v>
      </c>
      <c r="L167" s="1">
        <v>59140.327119655936</v>
      </c>
      <c r="M167" s="1">
        <v>58620.44813424498</v>
      </c>
      <c r="N167" s="1">
        <v>51649.523393388583</v>
      </c>
      <c r="O167" s="1">
        <v>7490.8037262673533</v>
      </c>
      <c r="P167" s="1">
        <v>6970.924740856397</v>
      </c>
      <c r="Q167" s="1">
        <v>61389.387596338202</v>
      </c>
      <c r="R167" s="1">
        <v>127500.63945685053</v>
      </c>
      <c r="S167" s="1">
        <v>120529.71471599414</v>
      </c>
      <c r="U167" s="1">
        <v>1959</v>
      </c>
      <c r="V167" s="1">
        <v>8878.4857486735345</v>
      </c>
      <c r="W167" s="1">
        <v>93714.532036973134</v>
      </c>
      <c r="X167" s="1">
        <v>4.7631131153047903</v>
      </c>
      <c r="Y167" s="1">
        <v>7942.3174834385472</v>
      </c>
      <c r="Z167" s="1">
        <v>82494.722907243136</v>
      </c>
      <c r="AA167" s="1">
        <v>3.8726763211181634</v>
      </c>
      <c r="AB167" s="1">
        <v>7446230.5546178864</v>
      </c>
      <c r="AC167" s="1">
        <v>0.50095059611912518</v>
      </c>
      <c r="AE167" s="1">
        <v>1959</v>
      </c>
      <c r="AF167" s="1">
        <v>5354.2971612686279</v>
      </c>
      <c r="AG167" s="1">
        <v>19199.685308781027</v>
      </c>
      <c r="AH167" s="1">
        <v>5425.6555293300426</v>
      </c>
      <c r="AI167" s="1">
        <v>5128.4682861714882</v>
      </c>
      <c r="AJ167" s="1">
        <v>7753.522714391539</v>
      </c>
      <c r="AK167" s="1">
        <v>3166.4554728507928</v>
      </c>
      <c r="AL167" s="1">
        <v>7397.5602118646366</v>
      </c>
      <c r="AM167" s="1">
        <v>5714.6824349977887</v>
      </c>
      <c r="AN167" s="2">
        <v>59140.327119655944</v>
      </c>
      <c r="AP167" s="1" t="s">
        <v>258</v>
      </c>
      <c r="AQ167" s="1">
        <v>-3.0719131607917234</v>
      </c>
      <c r="AR167" s="1">
        <v>5.8897445688132137</v>
      </c>
      <c r="AS167" s="1">
        <v>8.451173033027743</v>
      </c>
      <c r="AT167" s="1">
        <v>4.8366719759324326</v>
      </c>
      <c r="AU167" s="1">
        <v>6.4482927262740048</v>
      </c>
      <c r="AV167" s="1">
        <v>7.2278209253568093E-2</v>
      </c>
      <c r="AW167" s="1">
        <v>4.448939644832123</v>
      </c>
      <c r="AX167" s="1">
        <v>2.7061822654283532</v>
      </c>
      <c r="AY167" s="1">
        <v>4.3930271123536926</v>
      </c>
      <c r="BA167" s="1">
        <v>1959</v>
      </c>
      <c r="BB167" s="1">
        <v>39804.112483020021</v>
      </c>
      <c r="BC167" s="1">
        <v>11099.198255525704</v>
      </c>
      <c r="BD167" s="1">
        <v>10300.232757932186</v>
      </c>
      <c r="BE167" s="1">
        <v>4934.3443815190903</v>
      </c>
      <c r="BF167" s="1">
        <v>-36.341882794091561</v>
      </c>
      <c r="BG167" s="1">
        <v>1</v>
      </c>
      <c r="BH167" s="1">
        <v>14383.036179986328</v>
      </c>
      <c r="BI167" s="1">
        <v>14374.330314676916</v>
      </c>
      <c r="BJ167" s="1">
        <v>66111.251860512319</v>
      </c>
      <c r="BL167" s="1" t="s">
        <v>258</v>
      </c>
      <c r="BM167" s="1">
        <v>3.6077387572849346</v>
      </c>
      <c r="BN167" s="1">
        <v>5.0310253146485167</v>
      </c>
      <c r="BO167" s="1">
        <v>7.4464122486194668</v>
      </c>
      <c r="BP167" s="1">
        <v>6.0849851016971002</v>
      </c>
      <c r="BQ167" s="1">
        <v>3.4816559646348963</v>
      </c>
      <c r="BR167" s="1">
        <v>5.2879245549688676</v>
      </c>
      <c r="BT167" s="1" t="s">
        <v>258</v>
      </c>
      <c r="BU167" s="1">
        <v>1.3462334799358047</v>
      </c>
      <c r="BV167" s="1">
        <v>1.6388029441550884</v>
      </c>
      <c r="BW167" s="1">
        <v>6.2145834387592913E-2</v>
      </c>
      <c r="BX167" s="1">
        <v>-2.0035328537825023</v>
      </c>
      <c r="BY167" s="1">
        <v>-2.1043780468154978</v>
      </c>
      <c r="BZ167" s="1">
        <v>1.132243137182968</v>
      </c>
      <c r="CB167" s="1">
        <v>1959</v>
      </c>
      <c r="CC167" s="1">
        <v>720.67915325112313</v>
      </c>
      <c r="CD167" s="1">
        <v>4027.4094120940331</v>
      </c>
      <c r="CE167" s="1">
        <v>420.61000073308605</v>
      </c>
      <c r="CF167" s="1">
        <v>2142.7325526837267</v>
      </c>
      <c r="CG167" s="1">
        <v>1027.7021174993727</v>
      </c>
      <c r="CH167" s="1">
        <v>2613.6395815070787</v>
      </c>
      <c r="CI167" s="1">
        <v>4246.4624388887642</v>
      </c>
      <c r="CJ167" s="1">
        <v>15199.235256657184</v>
      </c>
      <c r="CL167" s="1">
        <v>1959</v>
      </c>
      <c r="CM167" s="1">
        <v>516.39120943063369</v>
      </c>
      <c r="CN167" s="1">
        <v>2376.1018683289185</v>
      </c>
      <c r="CO167" s="1">
        <v>211.38291347656613</v>
      </c>
      <c r="CP167" s="1">
        <v>1488.591362904765</v>
      </c>
      <c r="CQ167" s="1">
        <v>411.50085319527591</v>
      </c>
      <c r="CR167" s="1">
        <v>764.24234939027292</v>
      </c>
      <c r="CS167" s="1">
        <v>1722.5931695409217</v>
      </c>
      <c r="CT167" s="2">
        <v>7490.8037262673533</v>
      </c>
      <c r="CV167" s="1">
        <v>1959</v>
      </c>
      <c r="CW167" s="1">
        <v>56593.512891932376</v>
      </c>
      <c r="CX167" s="1">
        <v>62152.931817827353</v>
      </c>
      <c r="CY167" s="1">
        <v>25444.570123555564</v>
      </c>
      <c r="CZ167" s="1">
        <v>1672.4643286019157</v>
      </c>
      <c r="DA167" s="1">
        <v>25871.497372519352</v>
      </c>
      <c r="DB167" s="1">
        <v>171734.97653443657</v>
      </c>
      <c r="DC167" s="1">
        <v>150329.3428318279</v>
      </c>
      <c r="DD167" s="1">
        <v>52501.615372914028</v>
      </c>
      <c r="DF167" s="1">
        <v>1959</v>
      </c>
      <c r="DG167" s="1">
        <v>5.2493748984144446</v>
      </c>
      <c r="DH167" s="1">
        <v>4.4596441188714948</v>
      </c>
      <c r="DI167" s="1">
        <v>5.9707387599981416</v>
      </c>
      <c r="DJ167" s="1">
        <v>5.950697257903343</v>
      </c>
      <c r="DK167" s="1">
        <v>-2.1729541355582427</v>
      </c>
      <c r="DL167" s="1">
        <v>3.8652575287727586E-3</v>
      </c>
      <c r="DM167" s="1">
        <v>4.4985886382761038</v>
      </c>
      <c r="DN167" s="1">
        <v>3.9094569143368574</v>
      </c>
      <c r="DO167" s="1">
        <v>4.2438958610022723</v>
      </c>
      <c r="DQ167" s="1">
        <v>1959</v>
      </c>
      <c r="DR167" s="1">
        <v>93884.319376319429</v>
      </c>
      <c r="DS167" s="1">
        <v>107582.14374856738</v>
      </c>
      <c r="DT167" s="1">
        <v>45705.380209400813</v>
      </c>
      <c r="DU167" s="1">
        <v>1672.4643286019157</v>
      </c>
      <c r="DV167" s="1">
        <v>25871.497372519352</v>
      </c>
      <c r="DW167" s="1">
        <v>274715.80503540888</v>
      </c>
      <c r="DX167" s="1">
        <v>243314.53975271789</v>
      </c>
      <c r="DY167" s="1">
        <v>76230.380516375066</v>
      </c>
      <c r="EA167" s="1">
        <v>1959</v>
      </c>
      <c r="EB167" s="1">
        <v>4.3731350867616925</v>
      </c>
      <c r="EC167" s="1">
        <v>3.9275179420723845</v>
      </c>
      <c r="ED167" s="1">
        <v>4.7634001406859454</v>
      </c>
      <c r="EE167" s="1">
        <v>6.2913924153907601</v>
      </c>
      <c r="EF167" s="1">
        <v>-2.1729541355582427</v>
      </c>
      <c r="EG167" s="1">
        <v>3.8652575287727586E-3</v>
      </c>
      <c r="EH167" s="1">
        <v>4.2439584673670225</v>
      </c>
      <c r="EI167" s="1">
        <v>3.8113050311256842</v>
      </c>
      <c r="EJ167" s="1">
        <v>4.5481104426231695</v>
      </c>
      <c r="EL167" s="1">
        <v>1959</v>
      </c>
      <c r="EM167" s="1">
        <v>582118.20715257688</v>
      </c>
      <c r="EN167" s="1">
        <v>1156100.2511559564</v>
      </c>
      <c r="EO167" s="1">
        <v>297362.50365204288</v>
      </c>
      <c r="EP167" s="1">
        <v>236191.25079516097</v>
      </c>
      <c r="EQ167" s="1">
        <v>515457.81047061877</v>
      </c>
      <c r="ER167" s="1">
        <v>329847.4502758389</v>
      </c>
      <c r="ES167" s="1">
        <v>447959.25870455755</v>
      </c>
      <c r="ET167" s="1">
        <v>27054.436636475599</v>
      </c>
      <c r="EU167" s="1">
        <v>3592091.1688432284</v>
      </c>
      <c r="EV167" s="1">
        <v>3144131.9101386704</v>
      </c>
      <c r="EX167" s="1">
        <v>1959</v>
      </c>
      <c r="EY167" s="1">
        <v>238188.76825790113</v>
      </c>
      <c r="EZ167" s="1">
        <v>1094135.12808542</v>
      </c>
      <c r="FA167" s="1">
        <v>263227.43011819595</v>
      </c>
      <c r="FB167" s="1">
        <v>212438.09357209617</v>
      </c>
      <c r="FC167" s="1">
        <v>434352.37969675002</v>
      </c>
      <c r="FD167" s="1">
        <v>287752.96124060726</v>
      </c>
      <c r="FE167" s="1">
        <v>447959.25870455755</v>
      </c>
      <c r="FF167" s="1">
        <v>24155.550709857285</v>
      </c>
      <c r="FG167" s="1">
        <v>3002209.5703853853</v>
      </c>
      <c r="FH167" s="1">
        <v>2554250.3116808278</v>
      </c>
      <c r="FJ167" s="1">
        <v>1959</v>
      </c>
      <c r="FK167" s="1">
        <v>343929.43889467575</v>
      </c>
      <c r="FL167" s="1">
        <v>61965.123070536385</v>
      </c>
      <c r="FM167" s="1">
        <v>34135.073533846953</v>
      </c>
      <c r="FN167" s="1">
        <v>23753.157223064791</v>
      </c>
      <c r="FO167" s="1">
        <v>81105.430773868735</v>
      </c>
      <c r="FP167" s="1">
        <v>42094.489035231687</v>
      </c>
      <c r="FQ167" s="1">
        <v>2898.8859266183126</v>
      </c>
      <c r="FR167" s="1">
        <v>589881.5984578426</v>
      </c>
      <c r="FS167" s="1">
        <v>1202628.5472842571</v>
      </c>
      <c r="FU167" s="1">
        <v>1959</v>
      </c>
      <c r="FV167" s="1">
        <v>96202.113591219313</v>
      </c>
      <c r="FW167" s="1">
        <v>217139.74628521214</v>
      </c>
      <c r="FX167" s="1">
        <v>54614.020738303705</v>
      </c>
      <c r="FY167" s="1">
        <v>49058.280550380608</v>
      </c>
      <c r="FZ167" s="1">
        <v>97341.745083690985</v>
      </c>
      <c r="GA167" s="1">
        <v>53674.96637616439</v>
      </c>
      <c r="GB167" s="1">
        <v>73821.191782347101</v>
      </c>
      <c r="GC167" s="1">
        <v>4328.8449163207879</v>
      </c>
      <c r="GD167" s="1">
        <v>646180.90932363889</v>
      </c>
      <c r="GE167" s="1">
        <v>572359.71754129184</v>
      </c>
      <c r="GG167" s="1">
        <v>1959</v>
      </c>
      <c r="GH167" s="1">
        <v>34134.97909262163</v>
      </c>
      <c r="GI167" s="1">
        <v>204684.0400737637</v>
      </c>
      <c r="GJ167" s="1">
        <v>47685.996015910059</v>
      </c>
      <c r="GK167" s="1">
        <v>43836.222560075272</v>
      </c>
      <c r="GL167" s="1">
        <v>78191.351832855013</v>
      </c>
      <c r="GM167" s="1">
        <v>46774.926897290643</v>
      </c>
      <c r="GN167" s="1">
        <v>73821.191782347101</v>
      </c>
      <c r="GO167" s="1">
        <v>3800.7172801697861</v>
      </c>
      <c r="GP167" s="1">
        <v>532929.42553503322</v>
      </c>
      <c r="GQ167" s="1">
        <v>459108.23375268606</v>
      </c>
      <c r="GS167" s="1">
        <v>1959</v>
      </c>
      <c r="GT167" s="1">
        <v>62067.134498597683</v>
      </c>
      <c r="GU167" s="1">
        <v>12455.706211448476</v>
      </c>
      <c r="GV167" s="1">
        <v>6928.0247223936485</v>
      </c>
      <c r="GW167" s="1">
        <v>5222.0579903053367</v>
      </c>
      <c r="GX167" s="1">
        <v>19150.393250835961</v>
      </c>
      <c r="GY167" s="1">
        <v>6900.0394788737394</v>
      </c>
      <c r="GZ167" s="1">
        <v>528.12763615100175</v>
      </c>
      <c r="HA167" s="1">
        <v>113251.48378860584</v>
      </c>
      <c r="HC167" s="1">
        <v>1959</v>
      </c>
      <c r="HD167" s="1">
        <v>1920.2469640565178</v>
      </c>
      <c r="HE167" s="1">
        <v>13225.124289537522</v>
      </c>
      <c r="HF167" s="1">
        <v>3918.1725758511216</v>
      </c>
      <c r="HG167" s="1">
        <v>3406.079974301636</v>
      </c>
      <c r="HH167" s="1">
        <v>7373.2619929219045</v>
      </c>
      <c r="HI167" s="1">
        <v>6633.3178624743696</v>
      </c>
      <c r="HJ167" s="1">
        <v>224.72124622707221</v>
      </c>
      <c r="HK167" s="2">
        <v>36700.924905370135</v>
      </c>
      <c r="HL167" s="1">
        <v>30067.607042895772</v>
      </c>
      <c r="HN167" s="1">
        <v>1959</v>
      </c>
      <c r="HO167" s="1">
        <v>2942.6043001915032</v>
      </c>
      <c r="HP167" s="1">
        <v>804.79290276372376</v>
      </c>
      <c r="HQ167" s="1">
        <v>569.24880971437801</v>
      </c>
      <c r="HR167" s="1">
        <v>405.75455882506844</v>
      </c>
      <c r="HS167" s="1">
        <v>1695.9163827527541</v>
      </c>
      <c r="HT167" s="1">
        <v>31.226079661865594</v>
      </c>
      <c r="HU167" s="2">
        <v>6449.5430339092936</v>
      </c>
      <c r="HW167" s="1">
        <v>1959</v>
      </c>
      <c r="HX167" s="1">
        <v>516.39120943063335</v>
      </c>
      <c r="HY167" s="1">
        <v>5169.7681164797796</v>
      </c>
      <c r="HZ167" s="1">
        <v>938.23414376454275</v>
      </c>
      <c r="IA167" s="1">
        <v>1291.6884406347572</v>
      </c>
      <c r="IB167" s="1">
        <v>1850.7998115676728</v>
      </c>
      <c r="IC167" s="1">
        <v>764.24234939026701</v>
      </c>
      <c r="ID167" s="1">
        <v>5458.7351091088512</v>
      </c>
      <c r="IE167" s="2">
        <v>15989.859180376503</v>
      </c>
      <c r="IF167" s="1">
        <v>15225.616830986237</v>
      </c>
      <c r="IH167" s="1">
        <v>1959</v>
      </c>
      <c r="II167" s="1">
        <v>240.9843371702778</v>
      </c>
      <c r="IJ167" s="1">
        <v>34.591261766145735</v>
      </c>
      <c r="IK167" s="1">
        <v>10.66499663663916</v>
      </c>
      <c r="IL167" s="1">
        <v>270.48443719065244</v>
      </c>
      <c r="IM167" s="1">
        <v>19.912207676349315</v>
      </c>
      <c r="IN167" s="1">
        <v>6.1392275694367688</v>
      </c>
      <c r="IO167" s="1">
        <v>1.5160871695539839</v>
      </c>
    </row>
    <row r="168" spans="1:249" x14ac:dyDescent="0.25">
      <c r="A168" s="1" t="s">
        <v>259</v>
      </c>
      <c r="B168" s="1">
        <v>5.691863081839557</v>
      </c>
      <c r="C168" s="1">
        <v>5.4722341928034979</v>
      </c>
      <c r="D168" s="1">
        <v>5.7124433091300375</v>
      </c>
      <c r="E168" s="1">
        <v>5.6712868611327849</v>
      </c>
      <c r="F168" s="1">
        <v>5.6052869989152327</v>
      </c>
      <c r="G168" s="1">
        <v>4.2259586221830432</v>
      </c>
      <c r="H168" s="1">
        <v>4.0675012053391413</v>
      </c>
      <c r="J168" s="1">
        <v>1960</v>
      </c>
      <c r="K168" s="2">
        <v>72271.916128263649</v>
      </c>
      <c r="L168" s="1">
        <v>64446.459700939529</v>
      </c>
      <c r="M168" s="1">
        <v>63910.943603300846</v>
      </c>
      <c r="N168" s="1">
        <v>56085.487175976727</v>
      </c>
      <c r="O168" s="1">
        <v>8360.9725249628045</v>
      </c>
      <c r="P168" s="1">
        <v>7825.4564273241194</v>
      </c>
      <c r="Q168" s="1">
        <v>67005.323975118343</v>
      </c>
      <c r="R168" s="1">
        <v>139277.24010338198</v>
      </c>
      <c r="S168" s="1">
        <v>131451.78367605788</v>
      </c>
      <c r="U168" s="1">
        <v>1960</v>
      </c>
      <c r="V168" s="1">
        <v>9661.5373295989739</v>
      </c>
      <c r="W168" s="1">
        <v>97229.037174292753</v>
      </c>
      <c r="X168" s="1">
        <v>3.7502242831805859</v>
      </c>
      <c r="Y168" s="1">
        <v>8615.4056723233971</v>
      </c>
      <c r="Z168" s="1">
        <v>86792.234097063905</v>
      </c>
      <c r="AA168" s="1">
        <v>5.2094376929453716</v>
      </c>
      <c r="AB168" s="1">
        <v>7480374.3610090129</v>
      </c>
      <c r="AC168" s="1">
        <v>0.45853813067810734</v>
      </c>
      <c r="AE168" s="1">
        <v>1960</v>
      </c>
      <c r="AF168" s="1">
        <v>5995.1604828934114</v>
      </c>
      <c r="AG168" s="1">
        <v>21147.585591287938</v>
      </c>
      <c r="AH168" s="1">
        <v>5747.6508343225487</v>
      </c>
      <c r="AI168" s="1">
        <v>5641.6303266672967</v>
      </c>
      <c r="AJ168" s="1">
        <v>8249.0171225449212</v>
      </c>
      <c r="AK168" s="1">
        <v>3423.1485541784477</v>
      </c>
      <c r="AL168" s="1">
        <v>8048.4239671473315</v>
      </c>
      <c r="AM168" s="1">
        <v>6193.8428218976405</v>
      </c>
      <c r="AN168" s="2">
        <v>64446.459700939544</v>
      </c>
      <c r="AP168" s="1" t="s">
        <v>259</v>
      </c>
      <c r="AQ168" s="1">
        <v>5.338134276828427</v>
      </c>
      <c r="AR168" s="1">
        <v>9.0631516785898185</v>
      </c>
      <c r="AS168" s="1">
        <v>0.59172297799806017</v>
      </c>
      <c r="AT168" s="1">
        <v>9.1534355585574048</v>
      </c>
      <c r="AU168" s="1">
        <v>4.4814725201889161</v>
      </c>
      <c r="AV168" s="1">
        <v>3.0143675632241553</v>
      </c>
      <c r="AW168" s="1">
        <v>2.8668502898371031</v>
      </c>
      <c r="AX168" s="1">
        <v>3.4910941068903725</v>
      </c>
      <c r="AY168" s="1">
        <v>5.691863081839557</v>
      </c>
      <c r="BA168" s="1">
        <v>1960</v>
      </c>
      <c r="BB168" s="1">
        <v>42125.385775731978</v>
      </c>
      <c r="BC168" s="1">
        <v>11931.465288724501</v>
      </c>
      <c r="BD168" s="1">
        <v>11235.2559642505</v>
      </c>
      <c r="BE168" s="1">
        <v>5565.3136170998851</v>
      </c>
      <c r="BF168" s="1">
        <v>-36.047433554399248</v>
      </c>
      <c r="BG168" s="1">
        <v>1897</v>
      </c>
      <c r="BH168" s="1">
        <v>16530.29512595593</v>
      </c>
      <c r="BI168" s="1">
        <v>16976.752209944752</v>
      </c>
      <c r="BJ168" s="1">
        <v>72271.916128263649</v>
      </c>
      <c r="BL168" s="1" t="s">
        <v>259</v>
      </c>
      <c r="BM168" s="1">
        <v>1.7521848673558225</v>
      </c>
      <c r="BN168" s="1">
        <v>1.7385000287148955</v>
      </c>
      <c r="BO168" s="1">
        <v>16.062141991053267</v>
      </c>
      <c r="BP168" s="1">
        <v>12.305982634606224</v>
      </c>
      <c r="BQ168" s="1">
        <v>16.237397359941781</v>
      </c>
      <c r="BR168" s="1">
        <v>4.2259586221830432</v>
      </c>
      <c r="BT168" s="1" t="s">
        <v>259</v>
      </c>
      <c r="BU168" s="1">
        <v>4.0093070316434165</v>
      </c>
      <c r="BV168" s="1">
        <v>5.6615172981841653</v>
      </c>
      <c r="BW168" s="1">
        <v>5.7875955078238235</v>
      </c>
      <c r="BX168" s="1">
        <v>2.335694763106531</v>
      </c>
      <c r="BY168" s="1">
        <v>1.6064111972499404</v>
      </c>
      <c r="BZ168" s="1">
        <v>4.8861852071290741</v>
      </c>
      <c r="CB168" s="1">
        <v>1960</v>
      </c>
      <c r="CC168" s="1">
        <v>644.06263337372707</v>
      </c>
      <c r="CD168" s="1">
        <v>6282.1573686055362</v>
      </c>
      <c r="CE168" s="1">
        <v>410.7838268993001</v>
      </c>
      <c r="CF168" s="1">
        <v>2541.3216097628888</v>
      </c>
      <c r="CG168" s="1">
        <v>1697.1674395169614</v>
      </c>
      <c r="CH168" s="1">
        <v>2542.18413002951</v>
      </c>
      <c r="CI168" s="1">
        <v>4543.8451396080609</v>
      </c>
      <c r="CJ168" s="1">
        <v>18661.522147795982</v>
      </c>
      <c r="CL168" s="1">
        <v>1960</v>
      </c>
      <c r="CM168" s="1">
        <v>553.3162975700543</v>
      </c>
      <c r="CN168" s="1">
        <v>2708.5763611434004</v>
      </c>
      <c r="CO168" s="1">
        <v>241.21490398072285</v>
      </c>
      <c r="CP168" s="1">
        <v>1596.9578858579534</v>
      </c>
      <c r="CQ168" s="1">
        <v>484.24035515014191</v>
      </c>
      <c r="CR168" s="1">
        <v>857.30440791606054</v>
      </c>
      <c r="CS168" s="1">
        <v>1919.3623133444707</v>
      </c>
      <c r="CT168" s="2">
        <v>8360.9725249628045</v>
      </c>
      <c r="CV168" s="1">
        <v>1960</v>
      </c>
      <c r="CW168" s="1">
        <v>63212.215525684442</v>
      </c>
      <c r="CX168" s="1">
        <v>69985.481460322451</v>
      </c>
      <c r="CY168" s="1">
        <v>28301.06684607983</v>
      </c>
      <c r="CZ168" s="1">
        <v>1783.1493395680891</v>
      </c>
      <c r="DA168" s="1">
        <v>26746.51176059787</v>
      </c>
      <c r="DB168" s="1">
        <v>190028.4249322527</v>
      </c>
      <c r="DC168" s="1">
        <v>165447.02731661336</v>
      </c>
      <c r="DD168" s="1">
        <v>58108.007544432839</v>
      </c>
      <c r="DF168" s="1">
        <v>1960</v>
      </c>
      <c r="DG168" s="1">
        <v>5.0216944504919638</v>
      </c>
      <c r="DH168" s="1">
        <v>4.1518602131532845</v>
      </c>
      <c r="DI168" s="1">
        <v>5.8080970708529236</v>
      </c>
      <c r="DJ168" s="1">
        <v>6.1822908188224233</v>
      </c>
      <c r="DK168" s="1">
        <v>-2.0215599868449914</v>
      </c>
      <c r="DL168" s="1">
        <v>7.0925136592750135</v>
      </c>
      <c r="DM168" s="1">
        <v>5.4217513538239075</v>
      </c>
      <c r="DN168" s="1">
        <v>5.2103671377314811</v>
      </c>
      <c r="DO168" s="1">
        <v>5.7404607970554764</v>
      </c>
      <c r="DQ168" s="1">
        <v>1960</v>
      </c>
      <c r="DR168" s="1">
        <v>104330.05475660105</v>
      </c>
      <c r="DS168" s="1">
        <v>119670.1447293066</v>
      </c>
      <c r="DT168" s="1">
        <v>51011.417266829456</v>
      </c>
      <c r="DU168" s="1">
        <v>1783.1493395680891</v>
      </c>
      <c r="DV168" s="1">
        <v>26746.51176059787</v>
      </c>
      <c r="DW168" s="1">
        <v>303541.27785290306</v>
      </c>
      <c r="DX168" s="1">
        <v>267827.57311418204</v>
      </c>
      <c r="DY168" s="1">
        <v>85005.377599933665</v>
      </c>
      <c r="EA168" s="1">
        <v>1960</v>
      </c>
      <c r="EB168" s="1">
        <v>4.2867873413757565</v>
      </c>
      <c r="EC168" s="1">
        <v>3.7616306667855497</v>
      </c>
      <c r="ED168" s="1">
        <v>4.7449752258246036</v>
      </c>
      <c r="EE168" s="1">
        <v>6.3812928397844786</v>
      </c>
      <c r="EF168" s="1">
        <v>-2.0215599868449914</v>
      </c>
      <c r="EG168" s="1">
        <v>7.0925136592750135</v>
      </c>
      <c r="EH168" s="1">
        <v>4.8504947826853595</v>
      </c>
      <c r="EI168" s="1">
        <v>4.6432105976030584</v>
      </c>
      <c r="EJ168" s="1">
        <v>5.5741821178388165</v>
      </c>
      <c r="EL168" s="1">
        <v>1960</v>
      </c>
      <c r="EM168" s="1">
        <v>585924.70023980818</v>
      </c>
      <c r="EN168" s="1">
        <v>1204676.5128516494</v>
      </c>
      <c r="EO168" s="1">
        <v>306900</v>
      </c>
      <c r="EP168" s="1">
        <v>236966.9769041751</v>
      </c>
      <c r="EQ168" s="1">
        <v>528720.91007583961</v>
      </c>
      <c r="ER168" s="1">
        <v>339592.30769230769</v>
      </c>
      <c r="ES168" s="1">
        <v>462402.882345633</v>
      </c>
      <c r="ET168" s="1">
        <v>27902.743902439022</v>
      </c>
      <c r="EU168" s="1">
        <v>3693087.0340118525</v>
      </c>
      <c r="EV168" s="1">
        <v>3230684.1516662193</v>
      </c>
      <c r="EX168" s="1">
        <v>1960</v>
      </c>
      <c r="EY168" s="1">
        <v>236924.70023980815</v>
      </c>
      <c r="EZ168" s="1">
        <v>1143076.5128516494</v>
      </c>
      <c r="FA168" s="1">
        <v>271800</v>
      </c>
      <c r="FB168" s="1">
        <v>213466.9769041751</v>
      </c>
      <c r="FC168" s="1">
        <v>447120.91007583967</v>
      </c>
      <c r="FD168" s="1">
        <v>297800</v>
      </c>
      <c r="FE168" s="1">
        <v>462402.882345633</v>
      </c>
      <c r="FF168" s="1">
        <v>25202.743902439022</v>
      </c>
      <c r="FG168" s="1">
        <v>3097794.7263195445</v>
      </c>
      <c r="FH168" s="1">
        <v>2635391.8439739114</v>
      </c>
      <c r="FJ168" s="1">
        <v>1960</v>
      </c>
      <c r="FK168" s="1">
        <v>349000</v>
      </c>
      <c r="FL168" s="1">
        <v>61600</v>
      </c>
      <c r="FM168" s="1">
        <v>35100</v>
      </c>
      <c r="FN168" s="1">
        <v>23500</v>
      </c>
      <c r="FO168" s="1">
        <v>81600</v>
      </c>
      <c r="FP168" s="1">
        <v>41792.307692307688</v>
      </c>
      <c r="FQ168" s="1">
        <v>2700</v>
      </c>
      <c r="FR168" s="1">
        <v>595292.30769230775</v>
      </c>
      <c r="FS168" s="1">
        <v>1189307.7347004164</v>
      </c>
      <c r="FU168" s="1">
        <v>1960</v>
      </c>
      <c r="FV168" s="1">
        <v>95092.354568315175</v>
      </c>
      <c r="FW168" s="1">
        <v>224485.40316304288</v>
      </c>
      <c r="FX168" s="1">
        <v>60873.671004497097</v>
      </c>
      <c r="FY168" s="1">
        <v>48537.403799128551</v>
      </c>
      <c r="FZ168" s="1">
        <v>98132.88323235765</v>
      </c>
      <c r="GA168" s="1">
        <v>55274.693348150868</v>
      </c>
      <c r="GB168" s="1">
        <v>75657.680239095687</v>
      </c>
      <c r="GC168" s="1">
        <v>4413.0323827936199</v>
      </c>
      <c r="GD168" s="1">
        <v>662467.12173738156</v>
      </c>
      <c r="GE168" s="1">
        <v>586809.44149828574</v>
      </c>
      <c r="GG168" s="1">
        <v>1960</v>
      </c>
      <c r="GH168" s="1">
        <v>33468.354568315168</v>
      </c>
      <c r="GI168" s="1">
        <v>212192.68970078242</v>
      </c>
      <c r="GJ168" s="1">
        <v>53179.671004497104</v>
      </c>
      <c r="GK168" s="1">
        <v>43422.403799128551</v>
      </c>
      <c r="GL168" s="1">
        <v>79207.88323235765</v>
      </c>
      <c r="GM168" s="1">
        <v>48381.693348150875</v>
      </c>
      <c r="GN168" s="1">
        <v>75657.680239095687</v>
      </c>
      <c r="GO168" s="1">
        <v>3926.0323827936204</v>
      </c>
      <c r="GP168" s="1">
        <v>549436.40827512112</v>
      </c>
      <c r="GQ168" s="1">
        <v>473778.72803602536</v>
      </c>
      <c r="GS168" s="1">
        <v>1960</v>
      </c>
      <c r="GT168" s="1">
        <v>61624</v>
      </c>
      <c r="GU168" s="1">
        <v>12292.713462260466</v>
      </c>
      <c r="GV168" s="1">
        <v>7694</v>
      </c>
      <c r="GW168" s="1">
        <v>5115</v>
      </c>
      <c r="GX168" s="1">
        <v>18925</v>
      </c>
      <c r="GY168" s="1">
        <v>6893</v>
      </c>
      <c r="GZ168" s="1">
        <v>487</v>
      </c>
      <c r="HA168" s="1">
        <v>113030.71346226045</v>
      </c>
      <c r="HC168" s="1">
        <v>1960</v>
      </c>
      <c r="HD168" s="1">
        <v>2148.106901767354</v>
      </c>
      <c r="HE168" s="1">
        <v>14838.047578370364</v>
      </c>
      <c r="HF168" s="1">
        <v>4426.9751314517434</v>
      </c>
      <c r="HG168" s="1">
        <v>3743.247486909273</v>
      </c>
      <c r="HH168" s="1">
        <v>8131.1304143649932</v>
      </c>
      <c r="HI168" s="1">
        <v>7191.1195592312743</v>
      </c>
      <c r="HJ168" s="1">
        <v>249.98576503366615</v>
      </c>
      <c r="HK168" s="2">
        <v>40728.612837128661</v>
      </c>
      <c r="HL168" s="1">
        <v>33537.493277897389</v>
      </c>
      <c r="HN168" s="1">
        <v>1960</v>
      </c>
      <c r="HO168" s="1">
        <v>3318.67363407517</v>
      </c>
      <c r="HP168" s="1">
        <v>859.59543411934101</v>
      </c>
      <c r="HQ168" s="1">
        <v>640.49186499309769</v>
      </c>
      <c r="HR168" s="1">
        <v>440.94083285009634</v>
      </c>
      <c r="HS168" s="1">
        <v>1821.9932222641457</v>
      </c>
      <c r="HT168" s="1">
        <v>31.00918578892809</v>
      </c>
      <c r="HU168" s="2">
        <v>7112.7041740907798</v>
      </c>
      <c r="HW168" s="1">
        <v>1960</v>
      </c>
      <c r="HX168" s="1">
        <v>553.3162975700543</v>
      </c>
      <c r="HY168" s="1">
        <v>5449.9425787982309</v>
      </c>
      <c r="HZ168" s="1">
        <v>680.18383787770745</v>
      </c>
      <c r="IA168" s="1">
        <v>1432.5056563887601</v>
      </c>
      <c r="IB168" s="1">
        <v>1719.0420400942298</v>
      </c>
      <c r="IC168" s="1">
        <v>857.30440791605747</v>
      </c>
      <c r="ID168" s="1">
        <v>5912.847871075046</v>
      </c>
      <c r="IE168" s="2">
        <v>16605.142689720087</v>
      </c>
      <c r="IF168" s="1">
        <v>15747.838281804028</v>
      </c>
      <c r="IH168" s="1">
        <v>1960</v>
      </c>
      <c r="II168" s="1">
        <v>241.29329530083788</v>
      </c>
      <c r="IJ168" s="1">
        <v>32.349352961423243</v>
      </c>
      <c r="IK168" s="1">
        <v>10.129745202796297</v>
      </c>
      <c r="IL168" s="1">
        <v>271.87166294001423</v>
      </c>
      <c r="IM168" s="1">
        <v>17.463553066365975</v>
      </c>
      <c r="IN168" s="1">
        <v>5.4684661887597867</v>
      </c>
      <c r="IO168" s="1">
        <v>3.2524711826227701</v>
      </c>
    </row>
    <row r="169" spans="1:249" x14ac:dyDescent="0.25">
      <c r="A169" s="1" t="s">
        <v>260</v>
      </c>
      <c r="B169" s="1">
        <v>5.6199528883156091</v>
      </c>
      <c r="C169" s="1">
        <v>5.5184149552107726</v>
      </c>
      <c r="D169" s="1">
        <v>5.6382394019459667</v>
      </c>
      <c r="E169" s="1">
        <v>5.6016695401732477</v>
      </c>
      <c r="F169" s="1">
        <v>5.4140387041169618</v>
      </c>
      <c r="G169" s="1">
        <v>5.8221650988232057</v>
      </c>
      <c r="H169" s="1">
        <v>5.8362166071868558</v>
      </c>
      <c r="J169" s="1">
        <v>1961</v>
      </c>
      <c r="K169" s="2">
        <v>78761.470782750286</v>
      </c>
      <c r="L169" s="1">
        <v>70631.323473278055</v>
      </c>
      <c r="M169" s="1">
        <v>69640.323262125617</v>
      </c>
      <c r="N169" s="1">
        <v>61510.175952653379</v>
      </c>
      <c r="O169" s="1">
        <v>9121.1475206246741</v>
      </c>
      <c r="P169" s="1">
        <v>8130.1473094722314</v>
      </c>
      <c r="Q169" s="1">
        <v>72156.580288285651</v>
      </c>
      <c r="R169" s="1">
        <v>150918.05107103594</v>
      </c>
      <c r="S169" s="1">
        <v>142787.90376156371</v>
      </c>
      <c r="U169" s="1">
        <v>1961</v>
      </c>
      <c r="V169" s="1">
        <v>10473.648265135836</v>
      </c>
      <c r="W169" s="1">
        <v>102348.18098401521</v>
      </c>
      <c r="X169" s="1">
        <v>5.2650360000437786</v>
      </c>
      <c r="Y169" s="1">
        <v>9392.5066559595653</v>
      </c>
      <c r="Z169" s="1">
        <v>91187.295962767254</v>
      </c>
      <c r="AA169" s="1">
        <v>5.0638883898162419</v>
      </c>
      <c r="AB169" s="1">
        <v>7519965.2297783932</v>
      </c>
      <c r="AC169" s="1">
        <v>0.52926320072621991</v>
      </c>
      <c r="AE169" s="1">
        <v>1961</v>
      </c>
      <c r="AF169" s="1">
        <v>6505.5849155961178</v>
      </c>
      <c r="AG169" s="1">
        <v>22945.119037058917</v>
      </c>
      <c r="AH169" s="1">
        <v>6367.5761847890926</v>
      </c>
      <c r="AI169" s="1">
        <v>6058.7538808927393</v>
      </c>
      <c r="AJ169" s="1">
        <v>9409.9141094284169</v>
      </c>
      <c r="AK169" s="1">
        <v>3692.8978713320903</v>
      </c>
      <c r="AL169" s="1">
        <v>8930.3012110750624</v>
      </c>
      <c r="AM169" s="1">
        <v>6721.1762631056163</v>
      </c>
      <c r="AN169" s="2">
        <v>70631.323473278055</v>
      </c>
      <c r="AP169" s="1" t="s">
        <v>260</v>
      </c>
      <c r="AQ169" s="1">
        <v>2.0397020831825188</v>
      </c>
      <c r="AR169" s="1">
        <v>7.7435356035180405</v>
      </c>
      <c r="AS169" s="1">
        <v>6.8022028063080739</v>
      </c>
      <c r="AT169" s="1">
        <v>4.0102291092695594</v>
      </c>
      <c r="AU169" s="1">
        <v>7.6515324315678583</v>
      </c>
      <c r="AV169" s="1">
        <v>2.7486989662726842</v>
      </c>
      <c r="AW169" s="1">
        <v>4.1229389085206236</v>
      </c>
      <c r="AX169" s="1">
        <v>3.201020256825629</v>
      </c>
      <c r="AY169" s="1">
        <v>5.6199528883156091</v>
      </c>
      <c r="BA169" s="1">
        <v>1961</v>
      </c>
      <c r="BB169" s="1">
        <v>45534.882230473697</v>
      </c>
      <c r="BC169" s="1">
        <v>12956.064631628735</v>
      </c>
      <c r="BD169" s="1">
        <v>12479.457324603132</v>
      </c>
      <c r="BE169" s="1">
        <v>6194.2208617147298</v>
      </c>
      <c r="BF169" s="1">
        <v>-7.3560042945577484</v>
      </c>
      <c r="BG169" s="1">
        <v>1237</v>
      </c>
      <c r="BH169" s="1">
        <v>17462.973243548873</v>
      </c>
      <c r="BI169" s="1">
        <v>17095.771504924334</v>
      </c>
      <c r="BJ169" s="1">
        <v>78761.470782750257</v>
      </c>
      <c r="BL169" s="1" t="s">
        <v>260</v>
      </c>
      <c r="BM169" s="1">
        <v>5.6989727428848624</v>
      </c>
      <c r="BN169" s="1">
        <v>3.4483456946803983</v>
      </c>
      <c r="BO169" s="1">
        <v>3.1253425758079914</v>
      </c>
      <c r="BP169" s="1">
        <v>5.2031229611587264</v>
      </c>
      <c r="BQ169" s="1">
        <v>0.19851205379497117</v>
      </c>
      <c r="BR169" s="1">
        <v>5.8221650988232057</v>
      </c>
      <c r="BT169" s="1" t="s">
        <v>260</v>
      </c>
      <c r="BU169" s="1">
        <v>2.2655974830319963</v>
      </c>
      <c r="BV169" s="1">
        <v>4.9677223465186842</v>
      </c>
      <c r="BW169" s="1">
        <v>3.4220410315575691</v>
      </c>
      <c r="BX169" s="1">
        <v>0.41739460754467927</v>
      </c>
      <c r="BY169" s="1">
        <v>0.50156450831204324</v>
      </c>
      <c r="BZ169" s="1">
        <v>2.9834899801039825</v>
      </c>
      <c r="CB169" s="1">
        <v>1961</v>
      </c>
      <c r="CC169" s="1">
        <v>811.08551255162934</v>
      </c>
      <c r="CD169" s="1">
        <v>6925.9114881580053</v>
      </c>
      <c r="CE169" s="1">
        <v>488.06620614442676</v>
      </c>
      <c r="CF169" s="1">
        <v>2292.3482552992655</v>
      </c>
      <c r="CG169" s="1">
        <v>1528.3335749615644</v>
      </c>
      <c r="CH169" s="1">
        <v>2639.0073790918332</v>
      </c>
      <c r="CI169" s="1">
        <v>5218.5697658165809</v>
      </c>
      <c r="CJ169" s="1">
        <v>19903.322182023305</v>
      </c>
      <c r="CL169" s="1">
        <v>1961</v>
      </c>
      <c r="CM169" s="1">
        <v>585.06937602047697</v>
      </c>
      <c r="CN169" s="1">
        <v>3000.4732376928259</v>
      </c>
      <c r="CO169" s="1">
        <v>268.20839287901282</v>
      </c>
      <c r="CP169" s="1">
        <v>1705.9472538894183</v>
      </c>
      <c r="CQ169" s="1">
        <v>558.2620166517886</v>
      </c>
      <c r="CR169" s="1">
        <v>928.36608395426083</v>
      </c>
      <c r="CS169" s="1">
        <v>2074.8211595368898</v>
      </c>
      <c r="CT169" s="2">
        <v>9121.1475206246741</v>
      </c>
      <c r="CV169" s="1">
        <v>1961</v>
      </c>
      <c r="CW169" s="1">
        <v>67975.588752643671</v>
      </c>
      <c r="CX169" s="1">
        <v>76308.54549408998</v>
      </c>
      <c r="CY169" s="1">
        <v>31014.38344798519</v>
      </c>
      <c r="CZ169" s="1">
        <v>1804.8906613664501</v>
      </c>
      <c r="DA169" s="1">
        <v>30010.485856592997</v>
      </c>
      <c r="DB169" s="1">
        <v>207113.89421267831</v>
      </c>
      <c r="DC169" s="1">
        <v>180263.54319376557</v>
      </c>
      <c r="DD169" s="1">
        <v>63960.25358784954</v>
      </c>
      <c r="DF169" s="1">
        <v>1961</v>
      </c>
      <c r="DG169" s="1">
        <v>5.2289240370756147</v>
      </c>
      <c r="DH169" s="1">
        <v>4.6248199742991289</v>
      </c>
      <c r="DI169" s="1">
        <v>5.767094913173338</v>
      </c>
      <c r="DJ169" s="1">
        <v>6.4893564686419722</v>
      </c>
      <c r="DK169" s="1">
        <v>-0.4075595520555737</v>
      </c>
      <c r="DL169" s="1">
        <v>4.1218926141718555</v>
      </c>
      <c r="DM169" s="1">
        <v>5.2056236876110802</v>
      </c>
      <c r="DN169" s="1">
        <v>5.0323956536272334</v>
      </c>
      <c r="DO169" s="1">
        <v>5.9114153481515785</v>
      </c>
      <c r="DQ169" s="1">
        <v>1961</v>
      </c>
      <c r="DR169" s="1">
        <v>111771.52028280488</v>
      </c>
      <c r="DS169" s="1">
        <v>129221.32709343306</v>
      </c>
      <c r="DT169" s="1">
        <v>56001.470545469936</v>
      </c>
      <c r="DU169" s="1">
        <v>1804.8906613664501</v>
      </c>
      <c r="DV169" s="1">
        <v>30010.485856592997</v>
      </c>
      <c r="DW169" s="1">
        <v>328809.69443966734</v>
      </c>
      <c r="DX169" s="1">
        <v>289956.25645528571</v>
      </c>
      <c r="DY169" s="1">
        <v>93316.874625263998</v>
      </c>
      <c r="EA169" s="1">
        <v>1961</v>
      </c>
      <c r="EB169" s="1">
        <v>4.4550576920757265</v>
      </c>
      <c r="EC169" s="1">
        <v>4.0740186965180385</v>
      </c>
      <c r="ED169" s="1">
        <v>4.7845107347822307</v>
      </c>
      <c r="EE169" s="1">
        <v>6.5362197274323535</v>
      </c>
      <c r="EF169" s="1">
        <v>-0.4075595520555737</v>
      </c>
      <c r="EG169" s="1">
        <v>4.1218926141718555</v>
      </c>
      <c r="EH169" s="1">
        <v>4.7501261311461178</v>
      </c>
      <c r="EI169" s="1">
        <v>4.5692772849086509</v>
      </c>
      <c r="EJ169" s="1">
        <v>5.7321615166657409</v>
      </c>
      <c r="EL169" s="1">
        <v>1961</v>
      </c>
      <c r="EM169" s="1">
        <v>557518.94484412472</v>
      </c>
      <c r="EN169" s="1">
        <v>1233030.2469135802</v>
      </c>
      <c r="EO169" s="1">
        <v>308100</v>
      </c>
      <c r="EP169" s="1">
        <v>235782.33991720778</v>
      </c>
      <c r="EQ169" s="1">
        <v>544231.52762730233</v>
      </c>
      <c r="ER169" s="1">
        <v>335792.30769230769</v>
      </c>
      <c r="ES169" s="1">
        <v>478931.58156292705</v>
      </c>
      <c r="ET169" s="1">
        <v>30093.90243902439</v>
      </c>
      <c r="EU169" s="1">
        <v>3723480.8509964738</v>
      </c>
      <c r="EV169" s="1">
        <v>3244549.2694335468</v>
      </c>
      <c r="EX169" s="1">
        <v>1961</v>
      </c>
      <c r="EY169" s="1">
        <v>220918.94484412469</v>
      </c>
      <c r="EZ169" s="1">
        <v>1173830.2469135802</v>
      </c>
      <c r="FA169" s="1">
        <v>271900</v>
      </c>
      <c r="FB169" s="1">
        <v>211882.33991720778</v>
      </c>
      <c r="FC169" s="1">
        <v>464331.52762730228</v>
      </c>
      <c r="FD169" s="1">
        <v>294900</v>
      </c>
      <c r="FE169" s="1">
        <v>478931.58156292705</v>
      </c>
      <c r="FF169" s="1">
        <v>27493.90243902439</v>
      </c>
      <c r="FG169" s="1">
        <v>3144188.5433041663</v>
      </c>
      <c r="FH169" s="1">
        <v>2665256.9617412393</v>
      </c>
      <c r="FJ169" s="1">
        <v>1961</v>
      </c>
      <c r="FK169" s="1">
        <v>336600</v>
      </c>
      <c r="FL169" s="1">
        <v>59200</v>
      </c>
      <c r="FM169" s="1">
        <v>36200</v>
      </c>
      <c r="FN169" s="1">
        <v>23900</v>
      </c>
      <c r="FO169" s="1">
        <v>79900</v>
      </c>
      <c r="FP169" s="1">
        <v>40892.307692307688</v>
      </c>
      <c r="FQ169" s="1">
        <v>2600</v>
      </c>
      <c r="FR169" s="1">
        <v>579292.30769230775</v>
      </c>
      <c r="FS169" s="1">
        <v>1157310.2704052201</v>
      </c>
      <c r="FU169" s="1">
        <v>1961</v>
      </c>
      <c r="FV169" s="1">
        <v>92425.591785414916</v>
      </c>
      <c r="FW169" s="1">
        <v>227800.34232383512</v>
      </c>
      <c r="FX169" s="1">
        <v>60589.714774072454</v>
      </c>
      <c r="FY169" s="1">
        <v>47844.883320305184</v>
      </c>
      <c r="FZ169" s="1">
        <v>101291.26738653252</v>
      </c>
      <c r="GA169" s="1">
        <v>55284.909286758259</v>
      </c>
      <c r="GB169" s="1">
        <v>78623.685032846057</v>
      </c>
      <c r="GC169" s="1">
        <v>4676.109231512808</v>
      </c>
      <c r="GD169" s="1">
        <v>668536.50314127712</v>
      </c>
      <c r="GE169" s="1">
        <v>589912.8181084313</v>
      </c>
      <c r="GG169" s="1">
        <v>1961</v>
      </c>
      <c r="GH169" s="1">
        <v>31753.591785414916</v>
      </c>
      <c r="GI169" s="1">
        <v>215960.93072974644</v>
      </c>
      <c r="GJ169" s="1">
        <v>52987.714774072461</v>
      </c>
      <c r="GK169" s="1">
        <v>42732.883320305184</v>
      </c>
      <c r="GL169" s="1">
        <v>83073.26738653252</v>
      </c>
      <c r="GM169" s="1">
        <v>48469.909286758266</v>
      </c>
      <c r="GN169" s="1">
        <v>78623.685032846057</v>
      </c>
      <c r="GO169" s="1">
        <v>4196.109231512808</v>
      </c>
      <c r="GP169" s="1">
        <v>557798.09154718858</v>
      </c>
      <c r="GQ169" s="1">
        <v>479174.40651434264</v>
      </c>
      <c r="GS169" s="1">
        <v>1961</v>
      </c>
      <c r="GT169" s="1">
        <v>60672</v>
      </c>
      <c r="GU169" s="1">
        <v>11839.411594088675</v>
      </c>
      <c r="GV169" s="1">
        <v>7602</v>
      </c>
      <c r="GW169" s="1">
        <v>5112</v>
      </c>
      <c r="GX169" s="1">
        <v>18218</v>
      </c>
      <c r="GY169" s="1">
        <v>6815</v>
      </c>
      <c r="GZ169" s="1">
        <v>480</v>
      </c>
      <c r="HA169" s="1">
        <v>110738.41159408868</v>
      </c>
      <c r="HC169" s="1">
        <v>1961</v>
      </c>
      <c r="HD169" s="1">
        <v>2310.7206018076863</v>
      </c>
      <c r="HE169" s="1">
        <v>16543.047196683819</v>
      </c>
      <c r="HF169" s="1">
        <v>4812.997147573451</v>
      </c>
      <c r="HG169" s="1">
        <v>4035.6886968240597</v>
      </c>
      <c r="HH169" s="1">
        <v>9121.622193860745</v>
      </c>
      <c r="HI169" s="1">
        <v>8001.9351271207979</v>
      </c>
      <c r="HJ169" s="1">
        <v>285.88797596935223</v>
      </c>
      <c r="HK169" s="2">
        <v>45111.898939839914</v>
      </c>
      <c r="HL169" s="1">
        <v>37109.963812719114</v>
      </c>
      <c r="HN169" s="1">
        <v>1961</v>
      </c>
      <c r="HO169" s="1">
        <v>3634.055736326442</v>
      </c>
      <c r="HP169" s="1">
        <v>906.92304446063781</v>
      </c>
      <c r="HQ169" s="1">
        <v>690.5073085687502</v>
      </c>
      <c r="HR169" s="1">
        <v>482.77670531914993</v>
      </c>
      <c r="HS169" s="1">
        <v>1874.8833083195268</v>
      </c>
      <c r="HT169" s="1">
        <v>32.703206921955029</v>
      </c>
      <c r="HU169" s="2">
        <v>7621.8493099164616</v>
      </c>
      <c r="HW169" s="1">
        <v>1961</v>
      </c>
      <c r="HX169" s="1">
        <v>585.06937602047674</v>
      </c>
      <c r="HY169" s="1">
        <v>5495.1487959144615</v>
      </c>
      <c r="HZ169" s="1">
        <v>864.07172864689073</v>
      </c>
      <c r="IA169" s="1">
        <v>1516.0276801910422</v>
      </c>
      <c r="IB169" s="1">
        <v>2106.3064785802353</v>
      </c>
      <c r="IC169" s="1">
        <v>928.36608395426413</v>
      </c>
      <c r="ID169" s="1">
        <v>6402.5850802143086</v>
      </c>
      <c r="IE169" s="2">
        <v>17897.575223521679</v>
      </c>
      <c r="IF169" s="1">
        <v>16969.209139567414</v>
      </c>
      <c r="IH169" s="1">
        <v>1961</v>
      </c>
      <c r="II169" s="1">
        <v>246.29914566732759</v>
      </c>
      <c r="IJ169" s="1">
        <v>29.22744658430646</v>
      </c>
      <c r="IK169" s="1">
        <v>9.1827594320099877</v>
      </c>
      <c r="IL169" s="1">
        <v>278.47488368713778</v>
      </c>
      <c r="IM169" s="1">
        <v>14.296159384498885</v>
      </c>
      <c r="IN169" s="1">
        <v>4.4916066154069867</v>
      </c>
      <c r="IO169" s="1">
        <v>6.1644696548715672</v>
      </c>
    </row>
    <row r="170" spans="1:249" x14ac:dyDescent="0.25">
      <c r="A170" s="1" t="s">
        <v>261</v>
      </c>
      <c r="B170" s="1">
        <v>4.5231226418561477</v>
      </c>
      <c r="C170" s="1">
        <v>4.400625112122853</v>
      </c>
      <c r="D170" s="1">
        <v>4.5303872468813893</v>
      </c>
      <c r="E170" s="1">
        <v>4.5158585417030821</v>
      </c>
      <c r="F170" s="1">
        <v>4.2387601281512275</v>
      </c>
      <c r="G170" s="1">
        <v>4.7764114313247887</v>
      </c>
      <c r="H170" s="1">
        <v>4.6298563372708941</v>
      </c>
      <c r="J170" s="1">
        <v>1962</v>
      </c>
      <c r="K170" s="2">
        <v>85861.379964586755</v>
      </c>
      <c r="L170" s="1">
        <v>76726.120200218589</v>
      </c>
      <c r="M170" s="1">
        <v>75814.266639898269</v>
      </c>
      <c r="N170" s="1">
        <v>66679.006875530089</v>
      </c>
      <c r="O170" s="1">
        <v>10047.113324688493</v>
      </c>
      <c r="P170" s="1">
        <v>9135.2597643681656</v>
      </c>
      <c r="Q170" s="1">
        <v>77159.331078552132</v>
      </c>
      <c r="R170" s="1">
        <v>163020.71104313887</v>
      </c>
      <c r="S170" s="1">
        <v>153885.45127877072</v>
      </c>
      <c r="U170" s="1">
        <v>1962</v>
      </c>
      <c r="V170" s="1">
        <v>11354.978243846837</v>
      </c>
      <c r="W170" s="1">
        <v>106646.82317910697</v>
      </c>
      <c r="X170" s="1">
        <v>4.2000181671651973</v>
      </c>
      <c r="Y170" s="1">
        <v>10146.860276035544</v>
      </c>
      <c r="Z170" s="1">
        <v>94787.48235198819</v>
      </c>
      <c r="AA170" s="1">
        <v>3.9481227633846316</v>
      </c>
      <c r="AB170" s="1">
        <v>7561562.7014621785</v>
      </c>
      <c r="AC170" s="1">
        <v>0.55316042578313329</v>
      </c>
      <c r="AE170" s="1">
        <v>1962</v>
      </c>
      <c r="AF170" s="1">
        <v>6664.6514472748495</v>
      </c>
      <c r="AG170" s="1">
        <v>25208.734741256903</v>
      </c>
      <c r="AH170" s="1">
        <v>7004.1635818340583</v>
      </c>
      <c r="AI170" s="1">
        <v>6437.3840931307741</v>
      </c>
      <c r="AJ170" s="1">
        <v>10305.624209643336</v>
      </c>
      <c r="AK170" s="1">
        <v>3951.3354740611885</v>
      </c>
      <c r="AL170" s="1">
        <v>10189.755776611575</v>
      </c>
      <c r="AM170" s="1">
        <v>6964.4708764058996</v>
      </c>
      <c r="AN170" s="2">
        <v>76726.120200218589</v>
      </c>
      <c r="AP170" s="1" t="s">
        <v>261</v>
      </c>
      <c r="AQ170" s="1">
        <v>-0.25028524959304832</v>
      </c>
      <c r="AR170" s="1">
        <v>7.1793923335942083</v>
      </c>
      <c r="AS170" s="1">
        <v>4.4376131990756136</v>
      </c>
      <c r="AT170" s="1">
        <v>4.9171094335175241</v>
      </c>
      <c r="AU170" s="1">
        <v>5.431857947104632</v>
      </c>
      <c r="AV170" s="1">
        <v>4.3889436509772395E-2</v>
      </c>
      <c r="AW170" s="1">
        <v>2.7766983579728759</v>
      </c>
      <c r="AX170" s="1">
        <v>3.4479901478828907</v>
      </c>
      <c r="AY170" s="1">
        <v>4.5231226418561477</v>
      </c>
      <c r="BA170" s="1">
        <v>1962</v>
      </c>
      <c r="BB170" s="1">
        <v>49181.504886181167</v>
      </c>
      <c r="BC170" s="1">
        <v>14838.426050358579</v>
      </c>
      <c r="BD170" s="1">
        <v>13870.224107456459</v>
      </c>
      <c r="BE170" s="1">
        <v>6924.1656636611415</v>
      </c>
      <c r="BF170" s="1">
        <v>-45.568817110163046</v>
      </c>
      <c r="BG170" s="1">
        <v>811</v>
      </c>
      <c r="BH170" s="1">
        <v>18566.592366617046</v>
      </c>
      <c r="BI170" s="1">
        <v>18284.964292577468</v>
      </c>
      <c r="BJ170" s="1">
        <v>85861.379964586755</v>
      </c>
      <c r="BL170" s="1" t="s">
        <v>261</v>
      </c>
      <c r="BM170" s="1">
        <v>3.8892953923702009</v>
      </c>
      <c r="BN170" s="1">
        <v>6.2175705042476039</v>
      </c>
      <c r="BO170" s="1">
        <v>3.7889422968808901</v>
      </c>
      <c r="BP170" s="1">
        <v>8.0910397006687305</v>
      </c>
      <c r="BQ170" s="1">
        <v>5.6802969996608823</v>
      </c>
      <c r="BR170" s="1">
        <v>4.7764114313247887</v>
      </c>
      <c r="BT170" s="1" t="s">
        <v>261</v>
      </c>
      <c r="BU170" s="1">
        <v>3.9649131203443488</v>
      </c>
      <c r="BV170" s="1">
        <v>7.8247269856206856</v>
      </c>
      <c r="BW170" s="1">
        <v>4.3682714240639058</v>
      </c>
      <c r="BX170" s="1">
        <v>-1.6386864833198018</v>
      </c>
      <c r="BY170" s="1">
        <v>1.2071946449435274</v>
      </c>
      <c r="BZ170" s="1">
        <v>4.0448352366572209</v>
      </c>
      <c r="CB170" s="1">
        <v>1962</v>
      </c>
      <c r="CC170" s="1">
        <v>838.02067567435097</v>
      </c>
      <c r="CD170" s="1">
        <v>6661.5015214392561</v>
      </c>
      <c r="CE170" s="1">
        <v>507.12461544921013</v>
      </c>
      <c r="CF170" s="1">
        <v>2542.6751340258356</v>
      </c>
      <c r="CG170" s="1">
        <v>2010.2955540382809</v>
      </c>
      <c r="CH170" s="1">
        <v>3056.4225324335912</v>
      </c>
      <c r="CI170" s="1">
        <v>5943.7809209469096</v>
      </c>
      <c r="CJ170" s="1">
        <v>21559.820954007435</v>
      </c>
      <c r="CL170" s="1">
        <v>1962</v>
      </c>
      <c r="CM170" s="1">
        <v>628.12730393182551</v>
      </c>
      <c r="CN170" s="1">
        <v>3355.8513118634573</v>
      </c>
      <c r="CO170" s="1">
        <v>298.05653791155657</v>
      </c>
      <c r="CP170" s="1">
        <v>1797.5610594636107</v>
      </c>
      <c r="CQ170" s="1">
        <v>659.57694629158482</v>
      </c>
      <c r="CR170" s="1">
        <v>1030.7260511184047</v>
      </c>
      <c r="CS170" s="1">
        <v>2277.2141141080524</v>
      </c>
      <c r="CT170" s="2">
        <v>10047.113324688493</v>
      </c>
      <c r="CV170" s="1">
        <v>1962</v>
      </c>
      <c r="CW170" s="1">
        <v>74335.948094714331</v>
      </c>
      <c r="CX170" s="1">
        <v>84343.678046341593</v>
      </c>
      <c r="CY170" s="1">
        <v>34145.809877530766</v>
      </c>
      <c r="CZ170" s="1">
        <v>1895.3751510644131</v>
      </c>
      <c r="DA170" s="1">
        <v>33163.180986129519</v>
      </c>
      <c r="DB170" s="1">
        <v>227883.99215578061</v>
      </c>
      <c r="DC170" s="1">
        <v>198105.62295416347</v>
      </c>
      <c r="DD170" s="1">
        <v>71119.182725935534</v>
      </c>
      <c r="DF170" s="1">
        <v>1962</v>
      </c>
      <c r="DG170" s="1">
        <v>5.3219885728539253</v>
      </c>
      <c r="DH170" s="1">
        <v>4.9324275815613987</v>
      </c>
      <c r="DI170" s="1">
        <v>5.6654427556286606</v>
      </c>
      <c r="DJ170" s="1">
        <v>6.7416286592373353</v>
      </c>
      <c r="DK170" s="1">
        <v>-2.4042109597444323</v>
      </c>
      <c r="DL170" s="1">
        <v>2.445483140894126</v>
      </c>
      <c r="DM170" s="1">
        <v>5.0471504793396633</v>
      </c>
      <c r="DN170" s="1">
        <v>4.7829459984017859</v>
      </c>
      <c r="DO170" s="1">
        <v>4.3123940060445278</v>
      </c>
      <c r="DQ170" s="1">
        <v>1962</v>
      </c>
      <c r="DR170" s="1">
        <v>121586.30657978736</v>
      </c>
      <c r="DS170" s="1">
        <v>141632.4834103554</v>
      </c>
      <c r="DT170" s="1">
        <v>61689.850308605812</v>
      </c>
      <c r="DU170" s="1">
        <v>1895.3751510644131</v>
      </c>
      <c r="DV170" s="1">
        <v>33163.180986129519</v>
      </c>
      <c r="DW170" s="1">
        <v>359967.19643594249</v>
      </c>
      <c r="DX170" s="1">
        <v>316977.90887159435</v>
      </c>
      <c r="DY170" s="1">
        <v>103422.27981863789</v>
      </c>
      <c r="EA170" s="1">
        <v>1962</v>
      </c>
      <c r="EB170" s="1">
        <v>4.5548419633508104</v>
      </c>
      <c r="EC170" s="1">
        <v>4.2929308110993816</v>
      </c>
      <c r="ED170" s="1">
        <v>4.7797518327477491</v>
      </c>
      <c r="EE170" s="1">
        <v>6.6748649437338656</v>
      </c>
      <c r="EF170" s="1">
        <v>-2.4042109597444323</v>
      </c>
      <c r="EG170" s="1">
        <v>2.445483140894126</v>
      </c>
      <c r="EH170" s="1">
        <v>4.6823971385114476</v>
      </c>
      <c r="EI170" s="1">
        <v>4.4455724627729012</v>
      </c>
      <c r="EJ170" s="1">
        <v>4.6525399248024542</v>
      </c>
      <c r="EL170" s="1">
        <v>1962</v>
      </c>
      <c r="EM170" s="1">
        <v>542905.2757793765</v>
      </c>
      <c r="EN170" s="1">
        <v>1241578.0712406395</v>
      </c>
      <c r="EO170" s="1">
        <v>317900</v>
      </c>
      <c r="EP170" s="1">
        <v>236372.25702880032</v>
      </c>
      <c r="EQ170" s="1">
        <v>549295.34127843985</v>
      </c>
      <c r="ER170" s="1">
        <v>330600</v>
      </c>
      <c r="ES170" s="1">
        <v>493156.28028326499</v>
      </c>
      <c r="ET170" s="1">
        <v>32743.292682926825</v>
      </c>
      <c r="EU170" s="1">
        <v>3744550.5182934473</v>
      </c>
      <c r="EV170" s="1">
        <v>3251394.238010183</v>
      </c>
      <c r="EX170" s="1">
        <v>1962</v>
      </c>
      <c r="EY170" s="1">
        <v>213805.2757793765</v>
      </c>
      <c r="EZ170" s="1">
        <v>1185178.0712406395</v>
      </c>
      <c r="FA170" s="1">
        <v>280600</v>
      </c>
      <c r="FB170" s="1">
        <v>212072.25702880032</v>
      </c>
      <c r="FC170" s="1">
        <v>471195.34127843985</v>
      </c>
      <c r="FD170" s="1">
        <v>290400</v>
      </c>
      <c r="FE170" s="1">
        <v>493156.28028326499</v>
      </c>
      <c r="FF170" s="1">
        <v>30243.292682926825</v>
      </c>
      <c r="FG170" s="1">
        <v>3176650.5182934478</v>
      </c>
      <c r="FH170" s="1">
        <v>2683494.238010183</v>
      </c>
      <c r="FJ170" s="1">
        <v>1962</v>
      </c>
      <c r="FK170" s="1">
        <v>329100</v>
      </c>
      <c r="FL170" s="1">
        <v>56400</v>
      </c>
      <c r="FM170" s="1">
        <v>37300</v>
      </c>
      <c r="FN170" s="1">
        <v>24300</v>
      </c>
      <c r="FO170" s="1">
        <v>78100</v>
      </c>
      <c r="FP170" s="1">
        <v>40200</v>
      </c>
      <c r="FQ170" s="1">
        <v>2500</v>
      </c>
      <c r="FR170" s="1">
        <v>567900</v>
      </c>
      <c r="FS170" s="1">
        <v>1126173.6747409508</v>
      </c>
      <c r="FU170" s="1">
        <v>1962</v>
      </c>
      <c r="FV170" s="1">
        <v>88417.730092204525</v>
      </c>
      <c r="FW170" s="1">
        <v>227887.72754870914</v>
      </c>
      <c r="FX170" s="1">
        <v>62374.165743305392</v>
      </c>
      <c r="FY170" s="1">
        <v>48046.321694873557</v>
      </c>
      <c r="FZ170" s="1">
        <v>101489.91801635057</v>
      </c>
      <c r="GA170" s="1">
        <v>54410.359091399252</v>
      </c>
      <c r="GB170" s="1">
        <v>80492.097650470489</v>
      </c>
      <c r="GC170" s="1">
        <v>4980.0222329627832</v>
      </c>
      <c r="GD170" s="1">
        <v>668098.34207027557</v>
      </c>
      <c r="GE170" s="1">
        <v>587606.24441980524</v>
      </c>
      <c r="GG170" s="1">
        <v>1962</v>
      </c>
      <c r="GH170" s="1">
        <v>29692.730092204521</v>
      </c>
      <c r="GI170" s="1">
        <v>216718.84563270392</v>
      </c>
      <c r="GJ170" s="1">
        <v>54683.165743305392</v>
      </c>
      <c r="GK170" s="1">
        <v>42958.321694873557</v>
      </c>
      <c r="GL170" s="1">
        <v>83931.918016350566</v>
      </c>
      <c r="GM170" s="1">
        <v>47646.359091399259</v>
      </c>
      <c r="GN170" s="1">
        <v>80492.097650470489</v>
      </c>
      <c r="GO170" s="1">
        <v>4486.0222329627841</v>
      </c>
      <c r="GP170" s="1">
        <v>560609.46015427052</v>
      </c>
      <c r="GQ170" s="1">
        <v>480117.36250379996</v>
      </c>
      <c r="GS170" s="1">
        <v>1962</v>
      </c>
      <c r="GT170" s="1">
        <v>58725</v>
      </c>
      <c r="GU170" s="1">
        <v>11168.881916005234</v>
      </c>
      <c r="GV170" s="1">
        <v>7691</v>
      </c>
      <c r="GW170" s="1">
        <v>5088</v>
      </c>
      <c r="GX170" s="1">
        <v>17558</v>
      </c>
      <c r="GY170" s="1">
        <v>6764</v>
      </c>
      <c r="GZ170" s="1">
        <v>494</v>
      </c>
      <c r="HA170" s="1">
        <v>107488.88191600524</v>
      </c>
      <c r="HC170" s="1">
        <v>1962</v>
      </c>
      <c r="HD170" s="1">
        <v>2392.0274518278525</v>
      </c>
      <c r="HE170" s="1">
        <v>18493.58369361225</v>
      </c>
      <c r="HF170" s="1">
        <v>5474.0475721279272</v>
      </c>
      <c r="HG170" s="1">
        <v>4406.1142293827897</v>
      </c>
      <c r="HH170" s="1">
        <v>10514.274640928837</v>
      </c>
      <c r="HI170" s="1">
        <v>9159.0297254931702</v>
      </c>
      <c r="HJ170" s="1">
        <v>340.40614813094965</v>
      </c>
      <c r="HK170" s="2">
        <v>50779.483461503776</v>
      </c>
      <c r="HL170" s="1">
        <v>41620.453736010604</v>
      </c>
      <c r="HN170" s="1">
        <v>1962</v>
      </c>
      <c r="HO170" s="1">
        <v>3666.984521380577</v>
      </c>
      <c r="HP170" s="1">
        <v>953.09040556528942</v>
      </c>
      <c r="HQ170" s="1">
        <v>769.9060452144746</v>
      </c>
      <c r="HR170" s="1">
        <v>521.8618492205884</v>
      </c>
      <c r="HS170" s="1">
        <v>2118.3313942635532</v>
      </c>
      <c r="HT170" s="1">
        <v>37.485466732880596</v>
      </c>
      <c r="HU170" s="2">
        <v>8067.6596823773643</v>
      </c>
      <c r="HW170" s="1">
        <v>1962</v>
      </c>
      <c r="HX170" s="1">
        <v>628.12730393182574</v>
      </c>
      <c r="HY170" s="1">
        <v>5762.0606420793629</v>
      </c>
      <c r="HZ170" s="1">
        <v>760.20996449165614</v>
      </c>
      <c r="IA170" s="1">
        <v>1486.9201846619899</v>
      </c>
      <c r="IB170" s="1">
        <v>1624.3536485121354</v>
      </c>
      <c r="IC170" s="1">
        <v>1030.7260511184049</v>
      </c>
      <c r="ID170" s="1">
        <v>6586.5792615420696</v>
      </c>
      <c r="IE170" s="2">
        <v>17878.977056337444</v>
      </c>
      <c r="IF170" s="1">
        <v>16848.251005219041</v>
      </c>
      <c r="IH170" s="1">
        <v>1962</v>
      </c>
      <c r="II170" s="1">
        <v>248.06284505489219</v>
      </c>
      <c r="IJ170" s="1">
        <v>27.270611678044109</v>
      </c>
      <c r="IK170" s="1">
        <v>8.6378374585755804</v>
      </c>
      <c r="IL170" s="1">
        <v>280.94831951303803</v>
      </c>
      <c r="IM170" s="1">
        <v>12.373372011811888</v>
      </c>
      <c r="IN170" s="1">
        <v>3.9192071492319722</v>
      </c>
      <c r="IO170" s="1">
        <v>6.497757262295579</v>
      </c>
    </row>
    <row r="171" spans="1:249" x14ac:dyDescent="0.25">
      <c r="A171" s="1" t="s">
        <v>262</v>
      </c>
      <c r="B171" s="1">
        <v>4.9595429489186529</v>
      </c>
      <c r="C171" s="1">
        <v>4.8004076519180501</v>
      </c>
      <c r="D171" s="1">
        <v>4.9415985480875548</v>
      </c>
      <c r="E171" s="1">
        <v>4.977490418137549</v>
      </c>
      <c r="F171" s="1">
        <v>4.9279791801512403</v>
      </c>
      <c r="G171" s="1">
        <v>5.6299697625908038</v>
      </c>
      <c r="H171" s="1">
        <v>5.5980704876206033</v>
      </c>
      <c r="J171" s="1">
        <v>1963</v>
      </c>
      <c r="K171" s="2">
        <v>93194.113296361102</v>
      </c>
      <c r="L171" s="1">
        <v>82236.71151805234</v>
      </c>
      <c r="M171" s="1">
        <v>82239.794272414598</v>
      </c>
      <c r="N171" s="1">
        <v>71282.392494105836</v>
      </c>
      <c r="O171" s="1">
        <v>10954.3190239465</v>
      </c>
      <c r="P171" s="1">
        <v>10957.401778308762</v>
      </c>
      <c r="Q171" s="1">
        <v>83413.37756539094</v>
      </c>
      <c r="R171" s="1">
        <v>176607.49086175204</v>
      </c>
      <c r="S171" s="1">
        <v>165650.08908344328</v>
      </c>
      <c r="U171" s="1">
        <v>1963</v>
      </c>
      <c r="V171" s="1">
        <v>12255.461940138544</v>
      </c>
      <c r="W171" s="1">
        <v>112018.0069519688</v>
      </c>
      <c r="X171" s="1">
        <v>5.0364217261692232</v>
      </c>
      <c r="Y171" s="1">
        <v>10814.512338205768</v>
      </c>
      <c r="Z171" s="1">
        <v>98929.469854831477</v>
      </c>
      <c r="AA171" s="1">
        <v>4.3697621247732172</v>
      </c>
      <c r="AB171" s="1">
        <v>7604292.1720588831</v>
      </c>
      <c r="AC171" s="1">
        <v>0.56508783017090991</v>
      </c>
      <c r="AE171" s="1">
        <v>1963</v>
      </c>
      <c r="AF171" s="1">
        <v>6211.7674340761714</v>
      </c>
      <c r="AG171" s="1">
        <v>26479.927854814268</v>
      </c>
      <c r="AH171" s="1">
        <v>7890.8723109996354</v>
      </c>
      <c r="AI171" s="1">
        <v>6844.2256910104397</v>
      </c>
      <c r="AJ171" s="1">
        <v>11503.843772643202</v>
      </c>
      <c r="AK171" s="1">
        <v>4352.5791827098565</v>
      </c>
      <c r="AL171" s="1">
        <v>11592.601254700028</v>
      </c>
      <c r="AM171" s="1">
        <v>7360.894017098728</v>
      </c>
      <c r="AN171" s="2">
        <v>82236.71151805234</v>
      </c>
      <c r="AP171" s="1" t="s">
        <v>262</v>
      </c>
      <c r="AQ171" s="1">
        <v>-4.0416023419573008</v>
      </c>
      <c r="AR171" s="1">
        <v>5.7052352021478043</v>
      </c>
      <c r="AS171" s="1">
        <v>6.308326666890494</v>
      </c>
      <c r="AT171" s="1">
        <v>3.6465622302422958</v>
      </c>
      <c r="AU171" s="1">
        <v>6.9261344216620984</v>
      </c>
      <c r="AV171" s="1">
        <v>3.5567335093815871</v>
      </c>
      <c r="AW171" s="1">
        <v>6.5136367912896276</v>
      </c>
      <c r="AX171" s="1">
        <v>6.0982423099778913</v>
      </c>
      <c r="AY171" s="1">
        <v>4.9595429489186529</v>
      </c>
      <c r="BA171" s="1">
        <v>1963</v>
      </c>
      <c r="BB171" s="1">
        <v>53282.309820405317</v>
      </c>
      <c r="BC171" s="1">
        <v>16575.904466132099</v>
      </c>
      <c r="BD171" s="1">
        <v>15603.333483012142</v>
      </c>
      <c r="BE171" s="1">
        <v>7410.7955316254129</v>
      </c>
      <c r="BF171" s="1">
        <v>-87.05500062415841</v>
      </c>
      <c r="BG171" s="1">
        <v>186</v>
      </c>
      <c r="BH171" s="1">
        <v>20131.052445966408</v>
      </c>
      <c r="BI171" s="1">
        <v>19908.227450156137</v>
      </c>
      <c r="BJ171" s="1">
        <v>93194.113296361102</v>
      </c>
      <c r="BL171" s="1" t="s">
        <v>262</v>
      </c>
      <c r="BM171" s="1">
        <v>5.1813797587956714</v>
      </c>
      <c r="BN171" s="1">
        <v>9.5293511042297467</v>
      </c>
      <c r="BO171" s="1">
        <v>3.8308583301702726</v>
      </c>
      <c r="BP171" s="1">
        <v>7.3017967621943569</v>
      </c>
      <c r="BQ171" s="1">
        <v>7.1399015360710649</v>
      </c>
      <c r="BR171" s="1">
        <v>5.6299697625908038</v>
      </c>
      <c r="BT171" s="1" t="s">
        <v>262</v>
      </c>
      <c r="BU171" s="1">
        <v>3.0012194758058968</v>
      </c>
      <c r="BV171" s="1">
        <v>1.9903033818569327</v>
      </c>
      <c r="BW171" s="1">
        <v>3.2490622632056727</v>
      </c>
      <c r="BX171" s="1">
        <v>1.0478979491956579</v>
      </c>
      <c r="BY171" s="1">
        <v>1.6218821824260772</v>
      </c>
      <c r="BZ171" s="1">
        <v>2.7551176663922945</v>
      </c>
      <c r="CB171" s="1">
        <v>1963</v>
      </c>
      <c r="CC171" s="1">
        <v>812.02247690264642</v>
      </c>
      <c r="CD171" s="1">
        <v>6575.5113960148683</v>
      </c>
      <c r="CE171" s="1">
        <v>614.91804719586855</v>
      </c>
      <c r="CF171" s="1">
        <v>2426.9852251034736</v>
      </c>
      <c r="CG171" s="1">
        <v>2346.7727816078936</v>
      </c>
      <c r="CH171" s="1">
        <v>3790.7410504502841</v>
      </c>
      <c r="CI171" s="1">
        <v>6546.1230367383614</v>
      </c>
      <c r="CJ171" s="1">
        <v>23113.074014013393</v>
      </c>
      <c r="CL171" s="1">
        <v>1963</v>
      </c>
      <c r="CM171" s="1">
        <v>672.88195104142596</v>
      </c>
      <c r="CN171" s="1">
        <v>3669.0384220719889</v>
      </c>
      <c r="CO171" s="1">
        <v>328.33884085388172</v>
      </c>
      <c r="CP171" s="1">
        <v>1885.8371152914528</v>
      </c>
      <c r="CQ171" s="1">
        <v>764.50458608364943</v>
      </c>
      <c r="CR171" s="1">
        <v>1152.4410400483423</v>
      </c>
      <c r="CS171" s="1">
        <v>2481.2770685557589</v>
      </c>
      <c r="CT171" s="2">
        <v>10954.3190239465</v>
      </c>
      <c r="CV171" s="1">
        <v>1963</v>
      </c>
      <c r="CW171" s="1">
        <v>81124.785336304805</v>
      </c>
      <c r="CX171" s="1">
        <v>92625.645146827912</v>
      </c>
      <c r="CY171" s="1">
        <v>37116.79731763716</v>
      </c>
      <c r="CZ171" s="1">
        <v>2102.4370275628589</v>
      </c>
      <c r="DA171" s="1">
        <v>35169.088550856584</v>
      </c>
      <c r="DB171" s="1">
        <v>248138.75337918929</v>
      </c>
      <c r="DC171" s="1">
        <v>215104.50602893956</v>
      </c>
      <c r="DD171" s="1">
        <v>76707.154028920311</v>
      </c>
      <c r="DF171" s="1">
        <v>1963</v>
      </c>
      <c r="DG171" s="1">
        <v>5.5595286874216185</v>
      </c>
      <c r="DH171" s="1">
        <v>5.0106092131174194</v>
      </c>
      <c r="DI171" s="1">
        <v>6.0464196630144897</v>
      </c>
      <c r="DJ171" s="1">
        <v>6.4638136165126525</v>
      </c>
      <c r="DK171" s="1">
        <v>-4.1406710157246778</v>
      </c>
      <c r="DL171" s="1">
        <v>0.52887352975051272</v>
      </c>
      <c r="DM171" s="1">
        <v>4.8895306636401727</v>
      </c>
      <c r="DN171" s="1">
        <v>4.4185661616459271</v>
      </c>
      <c r="DO171" s="1">
        <v>3.6332780950487802</v>
      </c>
      <c r="DQ171" s="1">
        <v>1963</v>
      </c>
      <c r="DR171" s="1">
        <v>131881.6869307275</v>
      </c>
      <c r="DS171" s="1">
        <v>154246.66980186279</v>
      </c>
      <c r="DT171" s="1">
        <v>67020.319213362323</v>
      </c>
      <c r="DU171" s="1">
        <v>2102.4370275628589</v>
      </c>
      <c r="DV171" s="1">
        <v>35169.088550856584</v>
      </c>
      <c r="DW171" s="1">
        <v>390420.2015243721</v>
      </c>
      <c r="DX171" s="1">
        <v>342902.72163773392</v>
      </c>
      <c r="DY171" s="1">
        <v>111862.32934651495</v>
      </c>
      <c r="EA171" s="1">
        <v>1963</v>
      </c>
      <c r="EB171" s="1">
        <v>4.748532007348544</v>
      </c>
      <c r="EC171" s="1">
        <v>4.3765154288472274</v>
      </c>
      <c r="ED171" s="1">
        <v>5.0706682173175182</v>
      </c>
      <c r="EE171" s="1">
        <v>6.5071147483003529</v>
      </c>
      <c r="EF171" s="1">
        <v>-4.1406710157246778</v>
      </c>
      <c r="EG171" s="1">
        <v>0.52887352975051272</v>
      </c>
      <c r="EH171" s="1">
        <v>4.6133848900217629</v>
      </c>
      <c r="EI171" s="1">
        <v>4.2437845608446594</v>
      </c>
      <c r="EJ171" s="1">
        <v>4.1933674296050754</v>
      </c>
      <c r="EL171" s="1">
        <v>1963</v>
      </c>
      <c r="EM171" s="1">
        <v>496011.03117505996</v>
      </c>
      <c r="EN171" s="1">
        <v>1241790.2448896985</v>
      </c>
      <c r="EO171" s="1">
        <v>327900</v>
      </c>
      <c r="EP171" s="1">
        <v>240057.99039793637</v>
      </c>
      <c r="EQ171" s="1">
        <v>562915.49295774649</v>
      </c>
      <c r="ER171" s="1">
        <v>334500</v>
      </c>
      <c r="ES171" s="1">
        <v>528517.67921480932</v>
      </c>
      <c r="ET171" s="1">
        <v>35645.42682926829</v>
      </c>
      <c r="EU171" s="1">
        <v>3767337.8654645188</v>
      </c>
      <c r="EV171" s="1">
        <v>3238820.1862497097</v>
      </c>
      <c r="EX171" s="1">
        <v>1963</v>
      </c>
      <c r="EY171" s="1">
        <v>188611.03117505996</v>
      </c>
      <c r="EZ171" s="1">
        <v>1186890.2448896985</v>
      </c>
      <c r="FA171" s="1">
        <v>289500</v>
      </c>
      <c r="FB171" s="1">
        <v>215357.99039793637</v>
      </c>
      <c r="FC171" s="1">
        <v>487415.49295774649</v>
      </c>
      <c r="FD171" s="1">
        <v>295200</v>
      </c>
      <c r="FE171" s="1">
        <v>528517.67921480932</v>
      </c>
      <c r="FF171" s="1">
        <v>33145.42682926829</v>
      </c>
      <c r="FG171" s="1">
        <v>3224637.8654645188</v>
      </c>
      <c r="FH171" s="1">
        <v>2696120.1862497097</v>
      </c>
      <c r="FJ171" s="1">
        <v>1963</v>
      </c>
      <c r="FK171" s="1">
        <v>307400</v>
      </c>
      <c r="FL171" s="1">
        <v>54900</v>
      </c>
      <c r="FM171" s="1">
        <v>38400</v>
      </c>
      <c r="FN171" s="1">
        <v>24700</v>
      </c>
      <c r="FO171" s="1">
        <v>75500</v>
      </c>
      <c r="FP171" s="1">
        <v>39300</v>
      </c>
      <c r="FQ171" s="1">
        <v>2500</v>
      </c>
      <c r="FR171" s="1">
        <v>542700</v>
      </c>
      <c r="FS171" s="1">
        <v>1095874.7866598179</v>
      </c>
      <c r="FU171" s="1">
        <v>1963</v>
      </c>
      <c r="FV171" s="1">
        <v>81939.413243922871</v>
      </c>
      <c r="FW171" s="1">
        <v>225549.28618532408</v>
      </c>
      <c r="FX171" s="1">
        <v>62928.236283226433</v>
      </c>
      <c r="FY171" s="1">
        <v>48355.758202950732</v>
      </c>
      <c r="FZ171" s="1">
        <v>103865.02568938384</v>
      </c>
      <c r="GA171" s="1">
        <v>56269.767910492679</v>
      </c>
      <c r="GB171" s="1">
        <v>85628.227614369403</v>
      </c>
      <c r="GC171" s="1">
        <v>5250.7196713388112</v>
      </c>
      <c r="GD171" s="1">
        <v>669786.4348010089</v>
      </c>
      <c r="GE171" s="1">
        <v>584158.20718663943</v>
      </c>
      <c r="GG171" s="1">
        <v>1963</v>
      </c>
      <c r="GH171" s="1">
        <v>25840.413243922882</v>
      </c>
      <c r="GI171" s="1">
        <v>214728.56390986216</v>
      </c>
      <c r="GJ171" s="1">
        <v>55175.236283226433</v>
      </c>
      <c r="GK171" s="1">
        <v>43221.758202950732</v>
      </c>
      <c r="GL171" s="1">
        <v>86469.025689383823</v>
      </c>
      <c r="GM171" s="1">
        <v>49241.767910492686</v>
      </c>
      <c r="GN171" s="1">
        <v>85628.227614369403</v>
      </c>
      <c r="GO171" s="1">
        <v>4792.7196713388112</v>
      </c>
      <c r="GP171" s="1">
        <v>565097.7125255469</v>
      </c>
      <c r="GQ171" s="1">
        <v>479469.48491117748</v>
      </c>
      <c r="GS171" s="1">
        <v>1963</v>
      </c>
      <c r="GT171" s="1">
        <v>56099</v>
      </c>
      <c r="GU171" s="1">
        <v>10820.722275461909</v>
      </c>
      <c r="GV171" s="1">
        <v>7753</v>
      </c>
      <c r="GW171" s="1">
        <v>5134</v>
      </c>
      <c r="GX171" s="1">
        <v>17396</v>
      </c>
      <c r="GY171" s="1">
        <v>7028</v>
      </c>
      <c r="GZ171" s="1">
        <v>458</v>
      </c>
      <c r="HA171" s="1">
        <v>104688.72227546191</v>
      </c>
      <c r="HC171" s="1">
        <v>1963</v>
      </c>
      <c r="HD171" s="1">
        <v>2403.0691228182454</v>
      </c>
      <c r="HE171" s="1">
        <v>20210.225146687622</v>
      </c>
      <c r="HF171" s="1">
        <v>6113.4886217341145</v>
      </c>
      <c r="HG171" s="1">
        <v>4677.9125303624151</v>
      </c>
      <c r="HH171" s="1">
        <v>11708.068876727399</v>
      </c>
      <c r="HI171" s="1">
        <v>10440.160214651685</v>
      </c>
      <c r="HJ171" s="1">
        <v>388.27576271186445</v>
      </c>
      <c r="HK171" s="2">
        <v>55941.200275693343</v>
      </c>
      <c r="HL171" s="1">
        <v>45501.040061041655</v>
      </c>
      <c r="HN171" s="1">
        <v>1963</v>
      </c>
      <c r="HO171" s="1">
        <v>3154.9452531189522</v>
      </c>
      <c r="HP171" s="1">
        <v>1018.445005428638</v>
      </c>
      <c r="HQ171" s="1">
        <v>859.04257919261147</v>
      </c>
      <c r="HR171" s="1">
        <v>555.65539046583842</v>
      </c>
      <c r="HS171" s="1">
        <v>2313.176631114663</v>
      </c>
      <c r="HT171" s="1">
        <v>37.104256354797052</v>
      </c>
      <c r="HU171" s="2">
        <v>7938.3691156755003</v>
      </c>
      <c r="HW171" s="1">
        <v>1963</v>
      </c>
      <c r="HX171" s="1">
        <v>672.88195104142596</v>
      </c>
      <c r="HY171" s="1">
        <v>5251.2577026980107</v>
      </c>
      <c r="HZ171" s="1">
        <v>918.34111007290994</v>
      </c>
      <c r="IA171" s="1">
        <v>1591.5288772797348</v>
      </c>
      <c r="IB171" s="1">
        <v>1835.1774475109974</v>
      </c>
      <c r="IC171" s="1">
        <v>1152.4410400483423</v>
      </c>
      <c r="ID171" s="1">
        <v>6935.5139980320664</v>
      </c>
      <c r="IE171" s="2">
        <v>18357.142126683488</v>
      </c>
      <c r="IF171" s="1">
        <v>17204.701086635145</v>
      </c>
      <c r="IH171" s="1">
        <v>1963</v>
      </c>
      <c r="II171" s="1">
        <v>250.78226819268417</v>
      </c>
      <c r="IJ171" s="1">
        <v>22.099490021299157</v>
      </c>
      <c r="IK171" s="1">
        <v>7.2172471181556359</v>
      </c>
      <c r="IL171" s="1">
        <v>284.96481848669265</v>
      </c>
      <c r="IM171" s="1">
        <v>7.4532190160215599</v>
      </c>
      <c r="IN171" s="1">
        <v>2.4340708049154398</v>
      </c>
      <c r="IO171" s="1">
        <v>5.9450706865208787</v>
      </c>
    </row>
    <row r="172" spans="1:249" x14ac:dyDescent="0.25">
      <c r="A172" s="1" t="s">
        <v>263</v>
      </c>
      <c r="B172" s="1">
        <v>6.7547754353758336</v>
      </c>
      <c r="C172" s="1">
        <v>6.6661720038626129</v>
      </c>
      <c r="D172" s="1">
        <v>6.7911024131103375</v>
      </c>
      <c r="E172" s="1">
        <v>6.7184608149377851</v>
      </c>
      <c r="F172" s="1">
        <v>6.5694397374625169</v>
      </c>
      <c r="G172" s="1">
        <v>7.3102745191717418</v>
      </c>
      <c r="H172" s="1">
        <v>7.4968627350224182</v>
      </c>
      <c r="J172" s="1">
        <v>1964</v>
      </c>
      <c r="K172" s="2">
        <v>104207.41974062637</v>
      </c>
      <c r="L172" s="1">
        <v>92473.528976933856</v>
      </c>
      <c r="M172" s="1">
        <v>92074.271830500555</v>
      </c>
      <c r="N172" s="1">
        <v>80340.38106680804</v>
      </c>
      <c r="O172" s="1">
        <v>12133.147910125812</v>
      </c>
      <c r="P172" s="1">
        <v>11733.890763692514</v>
      </c>
      <c r="Q172" s="1">
        <v>92741.828746682295</v>
      </c>
      <c r="R172" s="1">
        <v>196949.24848730868</v>
      </c>
      <c r="S172" s="1">
        <v>185215.35772361615</v>
      </c>
      <c r="U172" s="1">
        <v>1964</v>
      </c>
      <c r="V172" s="1">
        <v>13601.831147947263</v>
      </c>
      <c r="W172" s="1">
        <v>119312.70141608515</v>
      </c>
      <c r="X172" s="1">
        <v>6.5120730698629501</v>
      </c>
      <c r="Y172" s="1">
        <v>12070.247300333955</v>
      </c>
      <c r="Z172" s="1">
        <v>104826.36463224006</v>
      </c>
      <c r="AA172" s="1">
        <v>5.960705931267654</v>
      </c>
      <c r="AB172" s="1">
        <v>7661278.7357202973</v>
      </c>
      <c r="AC172" s="1">
        <v>0.74939997532979419</v>
      </c>
      <c r="AE172" s="1">
        <v>1964</v>
      </c>
      <c r="AF172" s="1">
        <v>7190.8980257393141</v>
      </c>
      <c r="AG172" s="1">
        <v>29849.509456329797</v>
      </c>
      <c r="AH172" s="1">
        <v>8922.6547290573981</v>
      </c>
      <c r="AI172" s="1">
        <v>7394.9012645776074</v>
      </c>
      <c r="AJ172" s="1">
        <v>13300.27109010749</v>
      </c>
      <c r="AK172" s="1">
        <v>4581.6794502386692</v>
      </c>
      <c r="AL172" s="1">
        <v>12970.763700311125</v>
      </c>
      <c r="AM172" s="1">
        <v>8262.8512605724445</v>
      </c>
      <c r="AN172" s="2">
        <v>92473.528976933856</v>
      </c>
      <c r="AP172" s="1" t="s">
        <v>263</v>
      </c>
      <c r="AQ172" s="1">
        <v>4.4547606320524125</v>
      </c>
      <c r="AR172" s="1">
        <v>10.143529143649843</v>
      </c>
      <c r="AS172" s="1">
        <v>6.2969873551201943</v>
      </c>
      <c r="AT172" s="1">
        <v>5.7150379560068529</v>
      </c>
      <c r="AU172" s="1">
        <v>9.1528927444016688</v>
      </c>
      <c r="AV172" s="1">
        <v>-7.3808545488375898E-2</v>
      </c>
      <c r="AW172" s="1">
        <v>2.6380028118671532</v>
      </c>
      <c r="AX172" s="1">
        <v>5.0639498135406313</v>
      </c>
      <c r="AY172" s="1">
        <v>6.7547754353758336</v>
      </c>
      <c r="BA172" s="1">
        <v>1964</v>
      </c>
      <c r="BB172" s="1">
        <v>57714.348805107627</v>
      </c>
      <c r="BC172" s="1">
        <v>18377.08953236771</v>
      </c>
      <c r="BD172" s="1">
        <v>17875.015218618206</v>
      </c>
      <c r="BE172" s="1">
        <v>8107.6894889967907</v>
      </c>
      <c r="BF172" s="1">
        <v>-111.17948469098937</v>
      </c>
      <c r="BG172" s="1">
        <v>1992</v>
      </c>
      <c r="BH172" s="1">
        <v>22839.117848495109</v>
      </c>
      <c r="BI172" s="1">
        <v>22586.661668268076</v>
      </c>
      <c r="BJ172" s="1">
        <v>104207.41974062638</v>
      </c>
      <c r="BL172" s="1" t="s">
        <v>263</v>
      </c>
      <c r="BM172" s="1">
        <v>4.5899976432506264</v>
      </c>
      <c r="BN172" s="1">
        <v>2.9487983219852509</v>
      </c>
      <c r="BO172" s="1">
        <v>14.69340452800931</v>
      </c>
      <c r="BP172" s="1">
        <v>12.042276741554005</v>
      </c>
      <c r="BQ172" s="1">
        <v>9.6915049576745389</v>
      </c>
      <c r="BR172" s="1">
        <v>7.3102745191717418</v>
      </c>
      <c r="BT172" s="1" t="s">
        <v>263</v>
      </c>
      <c r="BU172" s="1">
        <v>3.5644261604827534</v>
      </c>
      <c r="BV172" s="1">
        <v>7.6907036140998457</v>
      </c>
      <c r="BW172" s="1">
        <v>5.1090006577917393</v>
      </c>
      <c r="BX172" s="1">
        <v>1.2583671608048519</v>
      </c>
      <c r="BY172" s="1">
        <v>3.4299840243166955</v>
      </c>
      <c r="BZ172" s="1">
        <v>4.2002728376905338</v>
      </c>
      <c r="CB172" s="1">
        <v>1964</v>
      </c>
      <c r="CC172" s="1">
        <v>1031.9140436494567</v>
      </c>
      <c r="CD172" s="1">
        <v>7982.4590451750701</v>
      </c>
      <c r="CE172" s="1">
        <v>656.91461982709711</v>
      </c>
      <c r="CF172" s="1">
        <v>2820.9336367364949</v>
      </c>
      <c r="CG172" s="1">
        <v>3140.4828966608593</v>
      </c>
      <c r="CH172" s="1">
        <v>4364.2761405983874</v>
      </c>
      <c r="CI172" s="1">
        <v>7866.5448402766424</v>
      </c>
      <c r="CJ172" s="1">
        <v>27863.525222924007</v>
      </c>
      <c r="CL172" s="1">
        <v>1964</v>
      </c>
      <c r="CM172" s="1">
        <v>731.16360244133273</v>
      </c>
      <c r="CN172" s="1">
        <v>4034.3765047745701</v>
      </c>
      <c r="CO172" s="1">
        <v>362.66398861707074</v>
      </c>
      <c r="CP172" s="1">
        <v>1999.3874530778683</v>
      </c>
      <c r="CQ172" s="1">
        <v>898.90131122452271</v>
      </c>
      <c r="CR172" s="1">
        <v>1297.0871828431536</v>
      </c>
      <c r="CS172" s="1">
        <v>2809.5678671472915</v>
      </c>
      <c r="CT172" s="2">
        <v>12133.147910125812</v>
      </c>
      <c r="CV172" s="1">
        <v>1964</v>
      </c>
      <c r="CW172" s="1">
        <v>91652.792040529937</v>
      </c>
      <c r="CX172" s="1">
        <v>103040.87182661415</v>
      </c>
      <c r="CY172" s="1">
        <v>40627.232353087042</v>
      </c>
      <c r="CZ172" s="1">
        <v>2432.1896065759129</v>
      </c>
      <c r="DA172" s="1">
        <v>37662.288570099605</v>
      </c>
      <c r="DB172" s="1">
        <v>275415.37439690664</v>
      </c>
      <c r="DC172" s="1">
        <v>238301.48282695631</v>
      </c>
      <c r="DD172" s="1">
        <v>83818.924708526509</v>
      </c>
      <c r="DF172" s="1">
        <v>1964</v>
      </c>
      <c r="DG172" s="1">
        <v>5.7703550505121513</v>
      </c>
      <c r="DH172" s="1">
        <v>5.5175372845085491</v>
      </c>
      <c r="DI172" s="1">
        <v>5.998412970140393</v>
      </c>
      <c r="DJ172" s="1">
        <v>6.4357817570805764</v>
      </c>
      <c r="DK172" s="1">
        <v>-4.5711684808780149</v>
      </c>
      <c r="DL172" s="1">
        <v>5.2891103425442623</v>
      </c>
      <c r="DM172" s="1">
        <v>5.7103152274645907</v>
      </c>
      <c r="DN172" s="1">
        <v>5.3135749324558788</v>
      </c>
      <c r="DO172" s="1">
        <v>5.097038021665881</v>
      </c>
      <c r="DQ172" s="1">
        <v>1964</v>
      </c>
      <c r="DR172" s="1">
        <v>148096.99571391271</v>
      </c>
      <c r="DS172" s="1">
        <v>170012.31816428178</v>
      </c>
      <c r="DT172" s="1">
        <v>73382.383526482357</v>
      </c>
      <c r="DU172" s="1">
        <v>2432.1896065759129</v>
      </c>
      <c r="DV172" s="1">
        <v>37662.288570099605</v>
      </c>
      <c r="DW172" s="1">
        <v>431586.17558135238</v>
      </c>
      <c r="DX172" s="1">
        <v>378541.92355604249</v>
      </c>
      <c r="DY172" s="1">
        <v>122663.77339765613</v>
      </c>
      <c r="EA172" s="1">
        <v>1964</v>
      </c>
      <c r="EB172" s="1">
        <v>4.929418068295746</v>
      </c>
      <c r="EC172" s="1">
        <v>4.7327175703416628</v>
      </c>
      <c r="ED172" s="1">
        <v>5.1031757847405714</v>
      </c>
      <c r="EE172" s="1">
        <v>6.4723383927858436</v>
      </c>
      <c r="EF172" s="1">
        <v>-4.5711684808780149</v>
      </c>
      <c r="EG172" s="1">
        <v>5.2891103425442623</v>
      </c>
      <c r="EH172" s="1">
        <v>5.1676529214515625</v>
      </c>
      <c r="EI172" s="1">
        <v>4.832448541439561</v>
      </c>
      <c r="EJ172" s="1">
        <v>5.1812807542854387</v>
      </c>
      <c r="EL172" s="1">
        <v>1964</v>
      </c>
      <c r="EM172" s="1">
        <v>474400.95923261391</v>
      </c>
      <c r="EN172" s="1">
        <v>1258464.3290831815</v>
      </c>
      <c r="EO172" s="1">
        <v>340400</v>
      </c>
      <c r="EP172" s="1">
        <v>239625.33912381483</v>
      </c>
      <c r="EQ172" s="1">
        <v>585059.04658721562</v>
      </c>
      <c r="ER172" s="1">
        <v>327200</v>
      </c>
      <c r="ES172" s="1">
        <v>556866.90272083494</v>
      </c>
      <c r="ET172" s="1">
        <v>39922.256097560974</v>
      </c>
      <c r="EU172" s="1">
        <v>3821938.8328452217</v>
      </c>
      <c r="EV172" s="1">
        <v>3265071.9301243867</v>
      </c>
      <c r="EX172" s="1">
        <v>1964</v>
      </c>
      <c r="EY172" s="1">
        <v>181200.95923261391</v>
      </c>
      <c r="EZ172" s="1">
        <v>1203864.3290831815</v>
      </c>
      <c r="FA172" s="1">
        <v>300900</v>
      </c>
      <c r="FB172" s="1">
        <v>214525.33912381483</v>
      </c>
      <c r="FC172" s="1">
        <v>510359.04658721562</v>
      </c>
      <c r="FD172" s="1">
        <v>288500</v>
      </c>
      <c r="FE172" s="1">
        <v>556866.90272083494</v>
      </c>
      <c r="FF172" s="1">
        <v>37422.256097560974</v>
      </c>
      <c r="FG172" s="1">
        <v>3293638.8328452217</v>
      </c>
      <c r="FH172" s="1">
        <v>2736771.9301243867</v>
      </c>
      <c r="FJ172" s="1">
        <v>1964</v>
      </c>
      <c r="FK172" s="1">
        <v>293200</v>
      </c>
      <c r="FL172" s="1">
        <v>54600</v>
      </c>
      <c r="FM172" s="1">
        <v>39500</v>
      </c>
      <c r="FN172" s="1">
        <v>25100</v>
      </c>
      <c r="FO172" s="1">
        <v>74700</v>
      </c>
      <c r="FP172" s="1">
        <v>38700</v>
      </c>
      <c r="FQ172" s="1">
        <v>2500</v>
      </c>
      <c r="FR172" s="1">
        <v>528300</v>
      </c>
      <c r="FS172" s="1">
        <v>1066391.068245268</v>
      </c>
      <c r="FU172" s="1">
        <v>1964</v>
      </c>
      <c r="FV172" s="1">
        <v>78044.287510477778</v>
      </c>
      <c r="FW172" s="1">
        <v>225991.71429057879</v>
      </c>
      <c r="FX172" s="1">
        <v>65210.652406332563</v>
      </c>
      <c r="FY172" s="1">
        <v>47683.511069252148</v>
      </c>
      <c r="FZ172" s="1">
        <v>105532.79994888832</v>
      </c>
      <c r="GA172" s="1">
        <v>53313.030873120224</v>
      </c>
      <c r="GB172" s="1">
        <v>87370.341954193049</v>
      </c>
      <c r="GC172" s="1">
        <v>5575.8825519574675</v>
      </c>
      <c r="GD172" s="1">
        <v>668722.2206048005</v>
      </c>
      <c r="GE172" s="1">
        <v>581351.87865060731</v>
      </c>
      <c r="GG172" s="1">
        <v>1964</v>
      </c>
      <c r="GH172" s="1">
        <v>25261.287510477785</v>
      </c>
      <c r="GI172" s="1">
        <v>215667.93782683258</v>
      </c>
      <c r="GJ172" s="1">
        <v>57290.652406332563</v>
      </c>
      <c r="GK172" s="1">
        <v>42595.511069252148</v>
      </c>
      <c r="GL172" s="1">
        <v>89303.799948888322</v>
      </c>
      <c r="GM172" s="1">
        <v>46551.030873120224</v>
      </c>
      <c r="GN172" s="1">
        <v>87370.341954193049</v>
      </c>
      <c r="GO172" s="1">
        <v>5126.8825519574675</v>
      </c>
      <c r="GP172" s="1">
        <v>569167.44414105406</v>
      </c>
      <c r="GQ172" s="1">
        <v>481797.1021868611</v>
      </c>
      <c r="GS172" s="1">
        <v>1964</v>
      </c>
      <c r="GT172" s="1">
        <v>52783</v>
      </c>
      <c r="GU172" s="1">
        <v>10323.776463746222</v>
      </c>
      <c r="GV172" s="1">
        <v>7920</v>
      </c>
      <c r="GW172" s="1">
        <v>5088</v>
      </c>
      <c r="GX172" s="1">
        <v>16229</v>
      </c>
      <c r="GY172" s="1">
        <v>6762</v>
      </c>
      <c r="GZ172" s="1">
        <v>449</v>
      </c>
      <c r="HA172" s="1">
        <v>99554.776463746239</v>
      </c>
      <c r="HC172" s="1">
        <v>1964</v>
      </c>
      <c r="HD172" s="1">
        <v>2544.1855223709767</v>
      </c>
      <c r="HE172" s="1">
        <v>22133.904833814999</v>
      </c>
      <c r="HF172" s="1">
        <v>6942.5028242957451</v>
      </c>
      <c r="HG172" s="1">
        <v>5051.7785477436728</v>
      </c>
      <c r="HH172" s="1">
        <v>12947.672158591069</v>
      </c>
      <c r="HI172" s="1">
        <v>11673.676517467979</v>
      </c>
      <c r="HJ172" s="1">
        <v>433.27460938376925</v>
      </c>
      <c r="HK172" s="2">
        <v>61726.995013668209</v>
      </c>
      <c r="HL172" s="1">
        <v>50053.318496200234</v>
      </c>
      <c r="HN172" s="1">
        <v>1964</v>
      </c>
      <c r="HO172" s="1">
        <v>3935.3052826143389</v>
      </c>
      <c r="HP172" s="1">
        <v>1059.5246009984719</v>
      </c>
      <c r="HQ172" s="1">
        <v>959.74858129464485</v>
      </c>
      <c r="HR172" s="1">
        <v>603.43093921636296</v>
      </c>
      <c r="HS172" s="1">
        <v>2356.5110497418859</v>
      </c>
      <c r="HT172" s="1">
        <v>37.945144567245059</v>
      </c>
      <c r="HU172" s="2">
        <v>8952.4655984329511</v>
      </c>
      <c r="HW172" s="1">
        <v>1964</v>
      </c>
      <c r="HX172" s="1">
        <v>731.16360244133284</v>
      </c>
      <c r="HY172" s="1">
        <v>6656.0800215163254</v>
      </c>
      <c r="HZ172" s="1">
        <v>1020.4033234670078</v>
      </c>
      <c r="IA172" s="1">
        <v>1719.935395930238</v>
      </c>
      <c r="IB172" s="1">
        <v>2577.7673320132044</v>
      </c>
      <c r="IC172" s="1">
        <v>1297.0871828431466</v>
      </c>
      <c r="ID172" s="1">
        <v>7791.6315066214302</v>
      </c>
      <c r="IE172" s="2">
        <v>21794.068364832689</v>
      </c>
      <c r="IF172" s="1">
        <v>20496.98118198954</v>
      </c>
      <c r="IH172" s="1">
        <v>1964</v>
      </c>
      <c r="II172" s="1">
        <v>244.69086823802962</v>
      </c>
      <c r="IJ172" s="1">
        <v>26.162388263038146</v>
      </c>
      <c r="IK172" s="1">
        <v>8.4748051715323562</v>
      </c>
      <c r="IL172" s="1">
        <v>277.35644791682034</v>
      </c>
      <c r="IM172" s="1">
        <v>11.303647544276323</v>
      </c>
      <c r="IN172" s="1">
        <v>3.6616003746397854</v>
      </c>
      <c r="IO172" s="1">
        <v>4.257977916891619</v>
      </c>
    </row>
    <row r="173" spans="1:249" x14ac:dyDescent="0.25">
      <c r="A173" s="1" t="s">
        <v>264</v>
      </c>
      <c r="B173" s="1">
        <v>5.002134440893343</v>
      </c>
      <c r="C173" s="1">
        <v>4.8902808210563649</v>
      </c>
      <c r="D173" s="1">
        <v>5.0323947575057844</v>
      </c>
      <c r="E173" s="1">
        <v>4.9718828424174717</v>
      </c>
      <c r="F173" s="1">
        <v>4.884225531116698</v>
      </c>
      <c r="G173" s="1">
        <v>3.8762605525502778</v>
      </c>
      <c r="H173" s="1">
        <v>3.6323994147127792</v>
      </c>
      <c r="J173" s="1">
        <v>1965</v>
      </c>
      <c r="K173" s="2">
        <v>114930.94859433189</v>
      </c>
      <c r="L173" s="1">
        <v>102627.98131368398</v>
      </c>
      <c r="M173" s="1">
        <v>101375.6810187685</v>
      </c>
      <c r="N173" s="1">
        <v>89072.713738120598</v>
      </c>
      <c r="O173" s="1">
        <v>13555.267575563383</v>
      </c>
      <c r="P173" s="1">
        <v>12302.967280647907</v>
      </c>
      <c r="Q173" s="1">
        <v>102513.64346361872</v>
      </c>
      <c r="R173" s="1">
        <v>217444.59205795062</v>
      </c>
      <c r="S173" s="1">
        <v>205141.6247773027</v>
      </c>
      <c r="U173" s="1">
        <v>1965</v>
      </c>
      <c r="V173" s="1">
        <v>14860.947583278894</v>
      </c>
      <c r="W173" s="1">
        <v>122776.07923555061</v>
      </c>
      <c r="X173" s="1">
        <v>2.9027737854894866</v>
      </c>
      <c r="Y173" s="1">
        <v>13270.133671859385</v>
      </c>
      <c r="Z173" s="1">
        <v>109038.38905148368</v>
      </c>
      <c r="AA173" s="1">
        <v>4.0180964340608085</v>
      </c>
      <c r="AB173" s="1">
        <v>7733756.407542198</v>
      </c>
      <c r="AC173" s="1">
        <v>0.94602577875122051</v>
      </c>
      <c r="AE173" s="1">
        <v>1965</v>
      </c>
      <c r="AF173" s="1">
        <v>7575.179090788356</v>
      </c>
      <c r="AG173" s="1">
        <v>32925.73639573987</v>
      </c>
      <c r="AH173" s="1">
        <v>9849.0466881200973</v>
      </c>
      <c r="AI173" s="1">
        <v>8115.9076604683178</v>
      </c>
      <c r="AJ173" s="1">
        <v>14842.394316603508</v>
      </c>
      <c r="AK173" s="1">
        <v>5138.6840812306637</v>
      </c>
      <c r="AL173" s="1">
        <v>14814.716004595588</v>
      </c>
      <c r="AM173" s="1">
        <v>9366.3170761375895</v>
      </c>
      <c r="AN173" s="2">
        <v>102627.98131368398</v>
      </c>
      <c r="AP173" s="1" t="s">
        <v>264</v>
      </c>
      <c r="AQ173" s="1">
        <v>-0.10556072294318142</v>
      </c>
      <c r="AR173" s="1">
        <v>7.7390266471618361</v>
      </c>
      <c r="AS173" s="1">
        <v>3.6134668616467422</v>
      </c>
      <c r="AT173" s="1">
        <v>5.7178984952654446</v>
      </c>
      <c r="AU173" s="1">
        <v>5.2201673989844153</v>
      </c>
      <c r="AV173" s="1">
        <v>0.38387300018243309</v>
      </c>
      <c r="AW173" s="1">
        <v>3.6421350479159003</v>
      </c>
      <c r="AX173" s="1">
        <v>5.0441357527672608</v>
      </c>
      <c r="AY173" s="1">
        <v>5.002134440893343</v>
      </c>
      <c r="BA173" s="1">
        <v>1965</v>
      </c>
      <c r="BB173" s="1">
        <v>63717.606520347574</v>
      </c>
      <c r="BC173" s="1">
        <v>20866.731597372447</v>
      </c>
      <c r="BD173" s="1">
        <v>19721.995775358089</v>
      </c>
      <c r="BE173" s="1">
        <v>8897.992425594146</v>
      </c>
      <c r="BF173" s="1">
        <v>-41.735879285539539</v>
      </c>
      <c r="BG173" s="1">
        <v>2756</v>
      </c>
      <c r="BH173" s="1">
        <v>24607.507548411417</v>
      </c>
      <c r="BI173" s="1">
        <v>25595.14939346625</v>
      </c>
      <c r="BJ173" s="1">
        <v>114930.94859433189</v>
      </c>
      <c r="BL173" s="1" t="s">
        <v>264</v>
      </c>
      <c r="BM173" s="1">
        <v>4.6993317373758856</v>
      </c>
      <c r="BN173" s="1">
        <v>4.7200453830342042</v>
      </c>
      <c r="BO173" s="1">
        <v>6.1281050144066143</v>
      </c>
      <c r="BP173" s="1">
        <v>5.5716399153715344</v>
      </c>
      <c r="BQ173" s="1">
        <v>11.273262915858311</v>
      </c>
      <c r="BR173" s="1">
        <v>3.8762605525502778</v>
      </c>
      <c r="BT173" s="1" t="s">
        <v>264</v>
      </c>
      <c r="BU173" s="1">
        <v>5.4463967987179416</v>
      </c>
      <c r="BV173" s="1">
        <v>8.4296053114874923</v>
      </c>
      <c r="BW173" s="1">
        <v>5.9626632359341301</v>
      </c>
      <c r="BX173" s="1">
        <v>2.0565854226509543</v>
      </c>
      <c r="BY173" s="1">
        <v>1.839157788329814</v>
      </c>
      <c r="BZ173" s="1">
        <v>6.1749442475736771</v>
      </c>
      <c r="CB173" s="1">
        <v>1965</v>
      </c>
      <c r="CC173" s="1">
        <v>1234.3080358678083</v>
      </c>
      <c r="CD173" s="1">
        <v>9339.2734905694269</v>
      </c>
      <c r="CE173" s="1">
        <v>676.85690676769389</v>
      </c>
      <c r="CF173" s="1">
        <v>2624.2907951762809</v>
      </c>
      <c r="CG173" s="1">
        <v>3596.3921201372136</v>
      </c>
      <c r="CH173" s="1">
        <v>4801.4050384467009</v>
      </c>
      <c r="CI173" s="1">
        <v>9061.7259347015697</v>
      </c>
      <c r="CJ173" s="1">
        <v>31334.252321666696</v>
      </c>
      <c r="CL173" s="1">
        <v>1965</v>
      </c>
      <c r="CM173" s="1">
        <v>806.44294634670268</v>
      </c>
      <c r="CN173" s="1">
        <v>4448.9552921315835</v>
      </c>
      <c r="CO173" s="1">
        <v>403.16731116937405</v>
      </c>
      <c r="CP173" s="1">
        <v>2161.6144341206068</v>
      </c>
      <c r="CQ173" s="1">
        <v>1051.1126311379253</v>
      </c>
      <c r="CR173" s="1">
        <v>1483.7735738762515</v>
      </c>
      <c r="CS173" s="1">
        <v>3200.2013867809383</v>
      </c>
      <c r="CT173" s="2">
        <v>13555.267575563383</v>
      </c>
      <c r="CV173" s="1">
        <v>1965</v>
      </c>
      <c r="CW173" s="1">
        <v>104531.28746840463</v>
      </c>
      <c r="CX173" s="1">
        <v>114833.2769843117</v>
      </c>
      <c r="CY173" s="1">
        <v>45335.560779424828</v>
      </c>
      <c r="CZ173" s="1">
        <v>2492.031920339602</v>
      </c>
      <c r="DA173" s="1">
        <v>42052.842290952321</v>
      </c>
      <c r="DB173" s="1">
        <v>309244.99944343313</v>
      </c>
      <c r="DC173" s="1">
        <v>266762.75038868957</v>
      </c>
      <c r="DD173" s="1">
        <v>92308.578981509781</v>
      </c>
      <c r="DF173" s="1">
        <v>1965</v>
      </c>
      <c r="DG173" s="1">
        <v>5.6008658803051787</v>
      </c>
      <c r="DH173" s="1">
        <v>5.6074355246914109</v>
      </c>
      <c r="DI173" s="1">
        <v>5.5948471244021647</v>
      </c>
      <c r="DJ173" s="1">
        <v>6.1853983435669448</v>
      </c>
      <c r="DK173" s="1">
        <v>-1.6747730614883949</v>
      </c>
      <c r="DL173" s="1">
        <v>6.5536592768973208</v>
      </c>
      <c r="DM173" s="1">
        <v>5.7575942668528768</v>
      </c>
      <c r="DN173" s="1">
        <v>5.43047423433039</v>
      </c>
      <c r="DO173" s="1">
        <v>5.3773501889266839</v>
      </c>
      <c r="DQ173" s="1">
        <v>1965</v>
      </c>
      <c r="DR173" s="1">
        <v>167650.39252957291</v>
      </c>
      <c r="DS173" s="1">
        <v>187865.31561625298</v>
      </c>
      <c r="DT173" s="1">
        <v>81925.903380489224</v>
      </c>
      <c r="DU173" s="1">
        <v>2492.031920339602</v>
      </c>
      <c r="DV173" s="1">
        <v>42052.842290952321</v>
      </c>
      <c r="DW173" s="1">
        <v>481986.48573760706</v>
      </c>
      <c r="DX173" s="1">
        <v>421655.50400949543</v>
      </c>
      <c r="DY173" s="1">
        <v>134973.82914787182</v>
      </c>
      <c r="EA173" s="1">
        <v>1965</v>
      </c>
      <c r="EB173" s="1">
        <v>4.8726110682557362</v>
      </c>
      <c r="EC173" s="1">
        <v>4.8346665801751527</v>
      </c>
      <c r="ED173" s="1">
        <v>4.9068272452456227</v>
      </c>
      <c r="EE173" s="1">
        <v>6.2934827222541827</v>
      </c>
      <c r="EF173" s="1">
        <v>-1.6747730614883949</v>
      </c>
      <c r="EG173" s="1">
        <v>6.5536592768973208</v>
      </c>
      <c r="EH173" s="1">
        <v>5.2249225101234913</v>
      </c>
      <c r="EI173" s="1">
        <v>4.927494436076671</v>
      </c>
      <c r="EJ173" s="1">
        <v>5.364940474035734</v>
      </c>
      <c r="EL173" s="1">
        <v>1965</v>
      </c>
      <c r="EM173" s="1">
        <v>448278.41726618703</v>
      </c>
      <c r="EN173" s="1">
        <v>1263110.2408419349</v>
      </c>
      <c r="EO173" s="1">
        <v>359500</v>
      </c>
      <c r="EP173" s="1">
        <v>237794.18401775314</v>
      </c>
      <c r="EQ173" s="1">
        <v>596974.97291440959</v>
      </c>
      <c r="ER173" s="1">
        <v>321700</v>
      </c>
      <c r="ES173" s="1">
        <v>577302.38538948935</v>
      </c>
      <c r="ET173" s="1">
        <v>43435.365853658535</v>
      </c>
      <c r="EU173" s="1">
        <v>3848095.5662834318</v>
      </c>
      <c r="EV173" s="1">
        <v>3270793.1808939432</v>
      </c>
      <c r="EX173" s="1">
        <v>1965</v>
      </c>
      <c r="EY173" s="1">
        <v>166578.41726618705</v>
      </c>
      <c r="EZ173" s="1">
        <v>1211910.2408419349</v>
      </c>
      <c r="FA173" s="1">
        <v>318900</v>
      </c>
      <c r="FB173" s="1">
        <v>212294.18401775314</v>
      </c>
      <c r="FC173" s="1">
        <v>524174.97291440953</v>
      </c>
      <c r="FD173" s="1">
        <v>284100</v>
      </c>
      <c r="FE173" s="1">
        <v>577302.38538948935</v>
      </c>
      <c r="FF173" s="1">
        <v>40935.365853658535</v>
      </c>
      <c r="FG173" s="1">
        <v>3336195.5662834323</v>
      </c>
      <c r="FH173" s="1">
        <v>2758893.1808939432</v>
      </c>
      <c r="FJ173" s="1">
        <v>1965</v>
      </c>
      <c r="FK173" s="1">
        <v>281700</v>
      </c>
      <c r="FL173" s="1">
        <v>51200</v>
      </c>
      <c r="FM173" s="1">
        <v>40600</v>
      </c>
      <c r="FN173" s="1">
        <v>25500</v>
      </c>
      <c r="FO173" s="1">
        <v>72800</v>
      </c>
      <c r="FP173" s="1">
        <v>37600</v>
      </c>
      <c r="FQ173" s="1">
        <v>2500</v>
      </c>
      <c r="FR173" s="1">
        <v>511900</v>
      </c>
      <c r="FS173" s="1">
        <v>1037700.587947089</v>
      </c>
      <c r="FU173" s="1">
        <v>1965</v>
      </c>
      <c r="FV173" s="1">
        <v>73805.622799664707</v>
      </c>
      <c r="FW173" s="1">
        <v>225790.64912805089</v>
      </c>
      <c r="FX173" s="1">
        <v>67982.580267476616</v>
      </c>
      <c r="FY173" s="1">
        <v>46432.830231086547</v>
      </c>
      <c r="FZ173" s="1">
        <v>106945.55726736656</v>
      </c>
      <c r="GA173" s="1">
        <v>52069.467204023786</v>
      </c>
      <c r="GB173" s="1">
        <v>90128.856720127835</v>
      </c>
      <c r="GC173" s="1">
        <v>5914.3040115998065</v>
      </c>
      <c r="GD173" s="1">
        <v>669069.8676293965</v>
      </c>
      <c r="GE173" s="1">
        <v>578941.01090926898</v>
      </c>
      <c r="GG173" s="1">
        <v>1965</v>
      </c>
      <c r="GH173" s="1">
        <v>24068.622799664707</v>
      </c>
      <c r="GI173" s="1">
        <v>215915.2149934374</v>
      </c>
      <c r="GJ173" s="1">
        <v>60033.580267476624</v>
      </c>
      <c r="GK173" s="1">
        <v>41133.830231086547</v>
      </c>
      <c r="GL173" s="1">
        <v>90699.557267366559</v>
      </c>
      <c r="GM173" s="1">
        <v>45490.467204023786</v>
      </c>
      <c r="GN173" s="1">
        <v>90128.856720127835</v>
      </c>
      <c r="GO173" s="1">
        <v>5476.3040115998065</v>
      </c>
      <c r="GP173" s="1">
        <v>572946.43349478312</v>
      </c>
      <c r="GQ173" s="1">
        <v>482817.57677465543</v>
      </c>
      <c r="GS173" s="1">
        <v>1965</v>
      </c>
      <c r="GT173" s="1">
        <v>49737</v>
      </c>
      <c r="GU173" s="1">
        <v>9875.4341346135097</v>
      </c>
      <c r="GV173" s="1">
        <v>7949</v>
      </c>
      <c r="GW173" s="1">
        <v>5299</v>
      </c>
      <c r="GX173" s="1">
        <v>16246</v>
      </c>
      <c r="GY173" s="1">
        <v>6579</v>
      </c>
      <c r="GZ173" s="1">
        <v>438</v>
      </c>
      <c r="HA173" s="1">
        <v>96123.434134613519</v>
      </c>
      <c r="HC173" s="1">
        <v>1965</v>
      </c>
      <c r="HD173" s="1">
        <v>2642.3534524946153</v>
      </c>
      <c r="HE173" s="1">
        <v>24318.850984473367</v>
      </c>
      <c r="HF173" s="1">
        <v>7909.0312310737609</v>
      </c>
      <c r="HG173" s="1">
        <v>5432.5255347699831</v>
      </c>
      <c r="HH173" s="1">
        <v>14407.062663689201</v>
      </c>
      <c r="HI173" s="1">
        <v>13330.942430719337</v>
      </c>
      <c r="HJ173" s="1">
        <v>492.41595072398701</v>
      </c>
      <c r="HK173" s="2">
        <v>68533.182247944249</v>
      </c>
      <c r="HL173" s="1">
        <v>55202.239817224916</v>
      </c>
      <c r="HN173" s="1">
        <v>1965</v>
      </c>
      <c r="HO173" s="1">
        <v>4145.2442517415038</v>
      </c>
      <c r="HP173" s="1">
        <v>1112.2847972244435</v>
      </c>
      <c r="HQ173" s="1">
        <v>1047.2287172561776</v>
      </c>
      <c r="HR173" s="1">
        <v>699.8364277535876</v>
      </c>
      <c r="HS173" s="1">
        <v>2586.5911205651755</v>
      </c>
      <c r="HT173" s="1">
        <v>39.383895773547401</v>
      </c>
      <c r="HU173" s="2">
        <v>9630.5692103144356</v>
      </c>
      <c r="HW173" s="1">
        <v>1965</v>
      </c>
      <c r="HX173" s="1">
        <v>806.44294634670223</v>
      </c>
      <c r="HY173" s="1">
        <v>7494.6006140420577</v>
      </c>
      <c r="HZ173" s="1">
        <v>892.7867397901573</v>
      </c>
      <c r="IA173" s="1">
        <v>1964.6841381502809</v>
      </c>
      <c r="IB173" s="1">
        <v>2987.4246135797948</v>
      </c>
      <c r="IC173" s="1">
        <v>1483.7735738762519</v>
      </c>
      <c r="ID173" s="1">
        <v>8834.517229640056</v>
      </c>
      <c r="IE173" s="2">
        <v>24464.229855425299</v>
      </c>
      <c r="IF173" s="1">
        <v>22980.45628154905</v>
      </c>
      <c r="IH173" s="1">
        <v>1965</v>
      </c>
      <c r="II173" s="1">
        <v>245.90207670319222</v>
      </c>
      <c r="IJ173" s="1">
        <v>27.031336148783936</v>
      </c>
      <c r="IK173" s="1">
        <v>8.6535528546402194</v>
      </c>
      <c r="IL173" s="1">
        <v>278.96384629633093</v>
      </c>
      <c r="IM173" s="1">
        <v>11.976049155076877</v>
      </c>
      <c r="IN173" s="1">
        <v>3.8338975840041618</v>
      </c>
      <c r="IO173" s="1">
        <v>3.5047689283283887</v>
      </c>
    </row>
    <row r="174" spans="1:249" x14ac:dyDescent="0.25">
      <c r="A174" s="1" t="s">
        <v>265</v>
      </c>
      <c r="B174" s="1">
        <v>3.0658209354468937</v>
      </c>
      <c r="C174" s="1">
        <v>2.9156327529242105</v>
      </c>
      <c r="D174" s="1">
        <v>3.0685559835315104</v>
      </c>
      <c r="E174" s="1">
        <v>3.0630859599400679</v>
      </c>
      <c r="F174" s="1">
        <v>3.004928998051426</v>
      </c>
      <c r="G174" s="1">
        <v>2.0044722769440284</v>
      </c>
      <c r="H174" s="1">
        <v>1.5085166704497084</v>
      </c>
      <c r="J174" s="1">
        <v>1966</v>
      </c>
      <c r="K174" s="2">
        <v>125106.57918694208</v>
      </c>
      <c r="L174" s="1">
        <v>110875.92232778775</v>
      </c>
      <c r="M174" s="1">
        <v>110132.70634365422</v>
      </c>
      <c r="N174" s="1">
        <v>95902.04948449989</v>
      </c>
      <c r="O174" s="1">
        <v>14973.872843287854</v>
      </c>
      <c r="P174" s="1">
        <v>14230.656859154333</v>
      </c>
      <c r="Q174" s="1">
        <v>109543.08871570858</v>
      </c>
      <c r="R174" s="1">
        <v>234649.66790265066</v>
      </c>
      <c r="S174" s="1">
        <v>220419.01104349631</v>
      </c>
      <c r="U174" s="1">
        <v>1966</v>
      </c>
      <c r="V174" s="1">
        <v>16023.451580220802</v>
      </c>
      <c r="W174" s="1">
        <v>124050.74753190433</v>
      </c>
      <c r="X174" s="1">
        <v>1.0382057354252368</v>
      </c>
      <c r="Y174" s="1">
        <v>14200.811694938122</v>
      </c>
      <c r="Z174" s="1">
        <v>111316.74669792491</v>
      </c>
      <c r="AA174" s="1">
        <v>2.0895004651668927</v>
      </c>
      <c r="AB174" s="1">
        <v>7807717.2424805444</v>
      </c>
      <c r="AC174" s="1">
        <v>0.95633778775625444</v>
      </c>
      <c r="AE174" s="1">
        <v>1966</v>
      </c>
      <c r="AF174" s="1">
        <v>7309.1112991424907</v>
      </c>
      <c r="AG174" s="1">
        <v>34208.988804889639</v>
      </c>
      <c r="AH174" s="1">
        <v>10834.214805090325</v>
      </c>
      <c r="AI174" s="1">
        <v>8830.7703943563865</v>
      </c>
      <c r="AJ174" s="1">
        <v>16090.955849734386</v>
      </c>
      <c r="AK174" s="1">
        <v>5710.2553541804409</v>
      </c>
      <c r="AL174" s="1">
        <v>17209.410434218677</v>
      </c>
      <c r="AM174" s="1">
        <v>10682.215386175398</v>
      </c>
      <c r="AN174" s="2">
        <v>110875.92232778773</v>
      </c>
      <c r="AP174" s="1" t="s">
        <v>265</v>
      </c>
      <c r="AQ174" s="1">
        <v>-3.5675357806786536</v>
      </c>
      <c r="AR174" s="1">
        <v>3.3441686417622378</v>
      </c>
      <c r="AS174" s="1">
        <v>3.582005569083762</v>
      </c>
      <c r="AT174" s="1">
        <v>4.2462531387911895</v>
      </c>
      <c r="AU174" s="1">
        <v>4.2516245497827896</v>
      </c>
      <c r="AV174" s="1">
        <v>0.53470850959571692</v>
      </c>
      <c r="AW174" s="1">
        <v>3.9151283587447523</v>
      </c>
      <c r="AX174" s="1">
        <v>3.927187679225483</v>
      </c>
      <c r="AY174" s="1">
        <v>3.0658209354468937</v>
      </c>
      <c r="BA174" s="1">
        <v>1966</v>
      </c>
      <c r="BB174" s="1">
        <v>69214.855164700944</v>
      </c>
      <c r="BC174" s="1">
        <v>24136.114304311577</v>
      </c>
      <c r="BD174" s="1">
        <v>21249.667829068363</v>
      </c>
      <c r="BE174" s="1">
        <v>10055.634044540873</v>
      </c>
      <c r="BF174" s="1">
        <v>-66.247307537868224</v>
      </c>
      <c r="BG174" s="1">
        <v>1378</v>
      </c>
      <c r="BH174" s="1">
        <v>26230.947272924746</v>
      </c>
      <c r="BI174" s="1">
        <v>27092.392121066539</v>
      </c>
      <c r="BJ174" s="1">
        <v>125106.57918694208</v>
      </c>
      <c r="BL174" s="1" t="s">
        <v>265</v>
      </c>
      <c r="BM174" s="1">
        <v>1.9378044741955875</v>
      </c>
      <c r="BN174" s="1">
        <v>5.4631623065198198</v>
      </c>
      <c r="BO174" s="1">
        <v>-0.61903313854266173</v>
      </c>
      <c r="BP174" s="1">
        <v>4.860959384017292</v>
      </c>
      <c r="BQ174" s="1">
        <v>4.2509637799546596</v>
      </c>
      <c r="BR174" s="1">
        <v>2.0044722769440284</v>
      </c>
      <c r="BT174" s="1" t="s">
        <v>265</v>
      </c>
      <c r="BU174" s="1">
        <v>6.5625452853045516</v>
      </c>
      <c r="BV174" s="1">
        <v>9.67613426397061</v>
      </c>
      <c r="BW174" s="1">
        <v>4.7423193102325172</v>
      </c>
      <c r="BX174" s="1">
        <v>1.6558838416184614</v>
      </c>
      <c r="BY174" s="1">
        <v>1.5335580139791034</v>
      </c>
      <c r="BZ174" s="1">
        <v>6.7146255164462332</v>
      </c>
      <c r="CB174" s="1">
        <v>1966</v>
      </c>
      <c r="CC174" s="1">
        <v>1329.0133616873763</v>
      </c>
      <c r="CD174" s="1">
        <v>9647.5650120817045</v>
      </c>
      <c r="CE174" s="1">
        <v>650.92274871648533</v>
      </c>
      <c r="CF174" s="1">
        <v>3581.469141974736</v>
      </c>
      <c r="CG174" s="1">
        <v>2843.5457811793472</v>
      </c>
      <c r="CH174" s="1">
        <v>5278.6909843539052</v>
      </c>
      <c r="CI174" s="1">
        <v>9285.8475360778139</v>
      </c>
      <c r="CJ174" s="1">
        <v>32617.054566071365</v>
      </c>
      <c r="CL174" s="1">
        <v>1966</v>
      </c>
      <c r="CM174" s="1">
        <v>891.0327539060072</v>
      </c>
      <c r="CN174" s="1">
        <v>4856.4912158683483</v>
      </c>
      <c r="CO174" s="1">
        <v>441.25138691600853</v>
      </c>
      <c r="CP174" s="1">
        <v>2291.2979791725297</v>
      </c>
      <c r="CQ174" s="1">
        <v>1236.3885827079971</v>
      </c>
      <c r="CR174" s="1">
        <v>1685.4678377296586</v>
      </c>
      <c r="CS174" s="1">
        <v>3571.9430869873049</v>
      </c>
      <c r="CT174" s="2">
        <v>14973.872843287854</v>
      </c>
      <c r="CV174" s="1">
        <v>1966</v>
      </c>
      <c r="CW174" s="1">
        <v>117711.41153192044</v>
      </c>
      <c r="CX174" s="1">
        <v>126765.87922818678</v>
      </c>
      <c r="CY174" s="1">
        <v>49693.413131042966</v>
      </c>
      <c r="CZ174" s="1">
        <v>2433.1439687666839</v>
      </c>
      <c r="DA174" s="1">
        <v>46482.330224731675</v>
      </c>
      <c r="DB174" s="1">
        <v>343086.17808464856</v>
      </c>
      <c r="DC174" s="1">
        <v>295108.83358905907</v>
      </c>
      <c r="DD174" s="1">
        <v>100984.24512191527</v>
      </c>
      <c r="DF174" s="1">
        <v>1966</v>
      </c>
      <c r="DG174" s="1">
        <v>5.3175089643457767</v>
      </c>
      <c r="DH174" s="1">
        <v>4.8541635638623291</v>
      </c>
      <c r="DI174" s="1">
        <v>5.7487064271456205</v>
      </c>
      <c r="DJ174" s="1">
        <v>6.6920487511850268</v>
      </c>
      <c r="DK174" s="1">
        <v>-2.7227039742925001</v>
      </c>
      <c r="DL174" s="1">
        <v>2.9645673814924436</v>
      </c>
      <c r="DM174" s="1">
        <v>5.1376837930178283</v>
      </c>
      <c r="DN174" s="1">
        <v>4.7571790070334288</v>
      </c>
      <c r="DO174" s="1">
        <v>3.8797732215846139</v>
      </c>
      <c r="DQ174" s="1">
        <v>1966</v>
      </c>
      <c r="DR174" s="1">
        <v>187407.62816555283</v>
      </c>
      <c r="DS174" s="1">
        <v>206005.12299725486</v>
      </c>
      <c r="DT174" s="1">
        <v>89839.924188253834</v>
      </c>
      <c r="DU174" s="1">
        <v>2433.1439687666839</v>
      </c>
      <c r="DV174" s="1">
        <v>46482.330224731675</v>
      </c>
      <c r="DW174" s="1">
        <v>532168.14954455988</v>
      </c>
      <c r="DX174" s="1">
        <v>464309.43567096459</v>
      </c>
      <c r="DY174" s="1">
        <v>147641.51674272816</v>
      </c>
      <c r="EA174" s="1">
        <v>1966</v>
      </c>
      <c r="EB174" s="1">
        <v>4.7374074109986424</v>
      </c>
      <c r="EC174" s="1">
        <v>4.3944217700678081</v>
      </c>
      <c r="ED174" s="1">
        <v>5.050073788418203</v>
      </c>
      <c r="EE174" s="1">
        <v>6.5666646595418285</v>
      </c>
      <c r="EF174" s="1">
        <v>-2.7227039742925001</v>
      </c>
      <c r="EG174" s="1">
        <v>2.9645673814924436</v>
      </c>
      <c r="EH174" s="1">
        <v>4.8553334647448025</v>
      </c>
      <c r="EI174" s="1">
        <v>4.5261996662922854</v>
      </c>
      <c r="EJ174" s="1">
        <v>4.3220758510845485</v>
      </c>
      <c r="EL174" s="1">
        <v>1966</v>
      </c>
      <c r="EM174" s="1">
        <v>421644.36450839328</v>
      </c>
      <c r="EN174" s="1">
        <v>1248305.373406193</v>
      </c>
      <c r="EO174" s="1">
        <v>364500</v>
      </c>
      <c r="EP174" s="1">
        <v>239956.1503780291</v>
      </c>
      <c r="EQ174" s="1">
        <v>605048.32069339114</v>
      </c>
      <c r="ER174" s="1">
        <v>321600</v>
      </c>
      <c r="ES174" s="1">
        <v>604950.39135296305</v>
      </c>
      <c r="ET174" s="1">
        <v>45879.268292682929</v>
      </c>
      <c r="EU174" s="1">
        <v>3851883.8686316521</v>
      </c>
      <c r="EV174" s="1">
        <v>3246933.4772786894</v>
      </c>
      <c r="EX174" s="1">
        <v>1966</v>
      </c>
      <c r="EY174" s="1">
        <v>161144.36450839328</v>
      </c>
      <c r="EZ174" s="1">
        <v>1198605.373406193</v>
      </c>
      <c r="FA174" s="1">
        <v>322800</v>
      </c>
      <c r="FB174" s="1">
        <v>212456.1503780291</v>
      </c>
      <c r="FC174" s="1">
        <v>536348.32069339114</v>
      </c>
      <c r="FD174" s="1">
        <v>283200</v>
      </c>
      <c r="FE174" s="1">
        <v>604950.39135296305</v>
      </c>
      <c r="FF174" s="1">
        <v>43379.268292682929</v>
      </c>
      <c r="FG174" s="1">
        <v>3362883.8686316526</v>
      </c>
      <c r="FH174" s="1">
        <v>2757933.4772786894</v>
      </c>
      <c r="FJ174" s="1">
        <v>1966</v>
      </c>
      <c r="FK174" s="1">
        <v>260500</v>
      </c>
      <c r="FL174" s="1">
        <v>49700</v>
      </c>
      <c r="FM174" s="1">
        <v>41700</v>
      </c>
      <c r="FN174" s="1">
        <v>27500</v>
      </c>
      <c r="FO174" s="1">
        <v>68700</v>
      </c>
      <c r="FP174" s="1">
        <v>38400</v>
      </c>
      <c r="FQ174" s="1">
        <v>2500</v>
      </c>
      <c r="FR174" s="1">
        <v>489000</v>
      </c>
      <c r="FS174" s="1">
        <v>1009782.0042675629</v>
      </c>
      <c r="FU174" s="1">
        <v>1966</v>
      </c>
      <c r="FV174" s="1">
        <v>67364.510477787087</v>
      </c>
      <c r="FW174" s="1">
        <v>222881.82765359225</v>
      </c>
      <c r="FX174" s="1">
        <v>69416.097634693273</v>
      </c>
      <c r="FY174" s="1">
        <v>47398.266648092183</v>
      </c>
      <c r="FZ174" s="1">
        <v>107492.28001232186</v>
      </c>
      <c r="GA174" s="1">
        <v>51227.17518276527</v>
      </c>
      <c r="GB174" s="1">
        <v>93282.304196011115</v>
      </c>
      <c r="GC174" s="1">
        <v>5905.2522957950696</v>
      </c>
      <c r="GD174" s="1">
        <v>664967.7141010582</v>
      </c>
      <c r="GE174" s="1">
        <v>571685.40990504692</v>
      </c>
      <c r="GG174" s="1">
        <v>1966</v>
      </c>
      <c r="GH174" s="1">
        <v>21846.510477787087</v>
      </c>
      <c r="GI174" s="1">
        <v>213422.99479826132</v>
      </c>
      <c r="GJ174" s="1">
        <v>61460.097634693288</v>
      </c>
      <c r="GK174" s="1">
        <v>41898.266648092183</v>
      </c>
      <c r="GL174" s="1">
        <v>92526.280012321877</v>
      </c>
      <c r="GM174" s="1">
        <v>44649.175182765284</v>
      </c>
      <c r="GN174" s="1">
        <v>93282.304196011115</v>
      </c>
      <c r="GO174" s="1">
        <v>5473.2522957950696</v>
      </c>
      <c r="GP174" s="1">
        <v>574558.88124572719</v>
      </c>
      <c r="GQ174" s="1">
        <v>481276.57704971614</v>
      </c>
      <c r="GS174" s="1">
        <v>1966</v>
      </c>
      <c r="GT174" s="1">
        <v>45518</v>
      </c>
      <c r="GU174" s="1">
        <v>9458.8328553308984</v>
      </c>
      <c r="GV174" s="1">
        <v>7956</v>
      </c>
      <c r="GW174" s="1">
        <v>5500</v>
      </c>
      <c r="GX174" s="1">
        <v>14966</v>
      </c>
      <c r="GY174" s="1">
        <v>6578</v>
      </c>
      <c r="GZ174" s="1">
        <v>432</v>
      </c>
      <c r="HA174" s="1">
        <v>90408.832855330882</v>
      </c>
      <c r="HC174" s="1">
        <v>1966</v>
      </c>
      <c r="HD174" s="1">
        <v>2633.1502090455242</v>
      </c>
      <c r="HE174" s="1">
        <v>26325.75668216102</v>
      </c>
      <c r="HF174" s="1">
        <v>8680.0930190013441</v>
      </c>
      <c r="HG174" s="1">
        <v>6052.9596310990019</v>
      </c>
      <c r="HH174" s="1">
        <v>16146.224961304226</v>
      </c>
      <c r="HI174" s="1">
        <v>15523.942596489018</v>
      </c>
      <c r="HJ174" s="1">
        <v>606.84158940397356</v>
      </c>
      <c r="HK174" s="2">
        <v>75968.968688504101</v>
      </c>
      <c r="HL174" s="1">
        <v>60445.026092015083</v>
      </c>
      <c r="HN174" s="1">
        <v>1966</v>
      </c>
      <c r="HO174" s="1">
        <v>3801.5086304336837</v>
      </c>
      <c r="HP174" s="1">
        <v>1166.7483744291465</v>
      </c>
      <c r="HQ174" s="1">
        <v>1123.6366800073556</v>
      </c>
      <c r="HR174" s="1">
        <v>794.57411092113557</v>
      </c>
      <c r="HS174" s="1">
        <v>2692.5781904429505</v>
      </c>
      <c r="HT174" s="1">
        <v>47.897584919285123</v>
      </c>
      <c r="HU174" s="2">
        <v>9626.9435711535571</v>
      </c>
      <c r="HW174" s="1">
        <v>1966</v>
      </c>
      <c r="HX174" s="1">
        <v>891.0327539060072</v>
      </c>
      <c r="HY174" s="1">
        <v>6716.4837482994735</v>
      </c>
      <c r="HZ174" s="1">
        <v>1030.4851060816254</v>
      </c>
      <c r="IA174" s="1">
        <v>1966.6563580935235</v>
      </c>
      <c r="IB174" s="1">
        <v>2962.4080521676506</v>
      </c>
      <c r="IC174" s="1">
        <v>1685.4678377296591</v>
      </c>
      <c r="ID174" s="1">
        <v>10027.476211852139</v>
      </c>
      <c r="IE174" s="2">
        <v>25280.010068130079</v>
      </c>
      <c r="IF174" s="1">
        <v>23594.542230400421</v>
      </c>
      <c r="IH174" s="1">
        <v>1966</v>
      </c>
      <c r="II174" s="1">
        <v>256.26404984012174</v>
      </c>
      <c r="IJ174" s="1">
        <v>21.772919802480533</v>
      </c>
      <c r="IK174" s="1">
        <v>6.9771533484577208</v>
      </c>
      <c r="IL174" s="1">
        <v>292.28575992273772</v>
      </c>
      <c r="IM174" s="1">
        <v>6.7654530884055282</v>
      </c>
      <c r="IN174" s="1">
        <v>2.1679960289122295</v>
      </c>
      <c r="IO174" s="1">
        <v>2.7134841507167948</v>
      </c>
    </row>
    <row r="175" spans="1:249" x14ac:dyDescent="0.25">
      <c r="A175" s="1" t="s">
        <v>266</v>
      </c>
      <c r="B175" s="1">
        <v>3.8630806984923112</v>
      </c>
      <c r="C175" s="1">
        <v>3.7564999021064978</v>
      </c>
      <c r="D175" s="1">
        <v>3.87981580240249</v>
      </c>
      <c r="E175" s="1">
        <v>3.8463482906179252</v>
      </c>
      <c r="F175" s="1">
        <v>3.6829341036463745</v>
      </c>
      <c r="G175" s="1">
        <v>3.1393083615625699</v>
      </c>
      <c r="H175" s="1">
        <v>2.8101687576721872</v>
      </c>
      <c r="J175" s="1">
        <v>1967</v>
      </c>
      <c r="K175" s="2">
        <v>135726.54206572278</v>
      </c>
      <c r="L175" s="1">
        <v>120525.5762514349</v>
      </c>
      <c r="M175" s="1">
        <v>119430.36658623692</v>
      </c>
      <c r="N175" s="1">
        <v>104229.40077194903</v>
      </c>
      <c r="O175" s="1">
        <v>16296.175479485864</v>
      </c>
      <c r="P175" s="1">
        <v>15200.965814287876</v>
      </c>
      <c r="Q175" s="1">
        <v>114753.1449503086</v>
      </c>
      <c r="R175" s="1">
        <v>250479.68701603138</v>
      </c>
      <c r="S175" s="1">
        <v>235278.72120174352</v>
      </c>
      <c r="U175" s="1">
        <v>1967</v>
      </c>
      <c r="V175" s="1">
        <v>17250.687462164336</v>
      </c>
      <c r="W175" s="1">
        <v>126966.54438809128</v>
      </c>
      <c r="X175" s="1">
        <v>2.3504871306293751</v>
      </c>
      <c r="Y175" s="1">
        <v>15318.66218255214</v>
      </c>
      <c r="Z175" s="1">
        <v>114732.75039082811</v>
      </c>
      <c r="AA175" s="1">
        <v>3.0687239739165477</v>
      </c>
      <c r="AB175" s="1">
        <v>7867891.7790035727</v>
      </c>
      <c r="AC175" s="1">
        <v>0.7707058882156872</v>
      </c>
      <c r="AE175" s="1">
        <v>1967</v>
      </c>
      <c r="AF175" s="1">
        <v>7446.4333008131807</v>
      </c>
      <c r="AG175" s="1">
        <v>35842.80209930698</v>
      </c>
      <c r="AH175" s="1">
        <v>11932.555898807712</v>
      </c>
      <c r="AI175" s="1">
        <v>9791.9133208690328</v>
      </c>
      <c r="AJ175" s="1">
        <v>17964.056370672042</v>
      </c>
      <c r="AK175" s="1">
        <v>6367.8700489536859</v>
      </c>
      <c r="AL175" s="1">
        <v>19780.634516231959</v>
      </c>
      <c r="AM175" s="1">
        <v>11399.31069578031</v>
      </c>
      <c r="AN175" s="2">
        <v>120525.5762514349</v>
      </c>
      <c r="AP175" s="1" t="s">
        <v>266</v>
      </c>
      <c r="AQ175" s="1">
        <v>3.7002949335657433</v>
      </c>
      <c r="AR175" s="1">
        <v>3.3759317921858241</v>
      </c>
      <c r="AS175" s="1">
        <v>5.6907502094425126</v>
      </c>
      <c r="AT175" s="1">
        <v>1.2715432323653317</v>
      </c>
      <c r="AU175" s="1">
        <v>5.5527050720570799</v>
      </c>
      <c r="AV175" s="1">
        <v>7.1046357773909108E-2</v>
      </c>
      <c r="AW175" s="1">
        <v>5.2607137475390289</v>
      </c>
      <c r="AX175" s="1">
        <v>3.0785345532285362</v>
      </c>
      <c r="AY175" s="1">
        <v>3.8630806984923112</v>
      </c>
      <c r="BA175" s="1">
        <v>1967</v>
      </c>
      <c r="BB175" s="1">
        <v>74619.594777541512</v>
      </c>
      <c r="BC175" s="1">
        <v>27071.196355674168</v>
      </c>
      <c r="BD175" s="1">
        <v>23376.304198919148</v>
      </c>
      <c r="BE175" s="1">
        <v>10549.966957073879</v>
      </c>
      <c r="BF175" s="1">
        <v>-56.275302029826229</v>
      </c>
      <c r="BG175" s="1">
        <v>248</v>
      </c>
      <c r="BH175" s="1">
        <v>28057.316963002242</v>
      </c>
      <c r="BI175" s="1">
        <v>28139.561884458322</v>
      </c>
      <c r="BJ175" s="1">
        <v>135726.54206572281</v>
      </c>
      <c r="BL175" s="1" t="s">
        <v>266</v>
      </c>
      <c r="BM175" s="1">
        <v>2.2840622350261128</v>
      </c>
      <c r="BN175" s="1">
        <v>4.6385920707463271</v>
      </c>
      <c r="BO175" s="1">
        <v>1.3922047476240067</v>
      </c>
      <c r="BP175" s="1">
        <v>5.512167434241249</v>
      </c>
      <c r="BQ175" s="1">
        <v>2.4609457266386698</v>
      </c>
      <c r="BR175" s="1">
        <v>3.1393083615625699</v>
      </c>
      <c r="BT175" s="1" t="s">
        <v>266</v>
      </c>
      <c r="BU175" s="1">
        <v>5.4012118044514068</v>
      </c>
      <c r="BV175" s="1">
        <v>7.1885034758414577</v>
      </c>
      <c r="BW175" s="1">
        <v>3.1654329589437395</v>
      </c>
      <c r="BX175" s="1">
        <v>1.3747087563973395</v>
      </c>
      <c r="BY175" s="1">
        <v>1.3705069936415555</v>
      </c>
      <c r="BZ175" s="1">
        <v>5.1866007720581422</v>
      </c>
      <c r="CB175" s="1">
        <v>1967</v>
      </c>
      <c r="CC175" s="1">
        <v>1240.2227199528331</v>
      </c>
      <c r="CD175" s="1">
        <v>8886.2616435489981</v>
      </c>
      <c r="CE175" s="1">
        <v>638.34257556185548</v>
      </c>
      <c r="CF175" s="1">
        <v>3834.8935316434713</v>
      </c>
      <c r="CG175" s="1">
        <v>2805.8143796656509</v>
      </c>
      <c r="CH175" s="1">
        <v>6059.4448375115026</v>
      </c>
      <c r="CI175" s="1">
        <v>10653.016166078891</v>
      </c>
      <c r="CJ175" s="1">
        <v>34117.995853963206</v>
      </c>
      <c r="CL175" s="1">
        <v>1967</v>
      </c>
      <c r="CM175" s="1">
        <v>946.21286584911286</v>
      </c>
      <c r="CN175" s="1">
        <v>5255.1509785704257</v>
      </c>
      <c r="CO175" s="1">
        <v>468.23707629153222</v>
      </c>
      <c r="CP175" s="1">
        <v>2508.8021654802847</v>
      </c>
      <c r="CQ175" s="1">
        <v>1364.5358709707953</v>
      </c>
      <c r="CR175" s="1">
        <v>1871.2121447485938</v>
      </c>
      <c r="CS175" s="1">
        <v>3882.0243775751201</v>
      </c>
      <c r="CT175" s="2">
        <v>16296.175479485864</v>
      </c>
      <c r="CV175" s="1">
        <v>1967</v>
      </c>
      <c r="CW175" s="1">
        <v>127640.14458408061</v>
      </c>
      <c r="CX175" s="1">
        <v>138017.52986898524</v>
      </c>
      <c r="CY175" s="1">
        <v>54579.146209162704</v>
      </c>
      <c r="CZ175" s="1">
        <v>2428.8221146615692</v>
      </c>
      <c r="DA175" s="1">
        <v>50393.491256506153</v>
      </c>
      <c r="DB175" s="1">
        <v>373059.13403339626</v>
      </c>
      <c r="DC175" s="1">
        <v>320168.79898089718</v>
      </c>
      <c r="DD175" s="1">
        <v>108932.70031750543</v>
      </c>
      <c r="DF175" s="1">
        <v>1967</v>
      </c>
      <c r="DG175" s="1">
        <v>5.4338811720193263</v>
      </c>
      <c r="DH175" s="1">
        <v>5.304750954777802</v>
      </c>
      <c r="DI175" s="1">
        <v>5.5519231514082037</v>
      </c>
      <c r="DJ175" s="1">
        <v>5.8742040811720102</v>
      </c>
      <c r="DK175" s="1">
        <v>-2.3169791517509708</v>
      </c>
      <c r="DL175" s="1">
        <v>0.4921270462045868</v>
      </c>
      <c r="DM175" s="1">
        <v>4.7719046308661888</v>
      </c>
      <c r="DN175" s="1">
        <v>4.2507578236584749</v>
      </c>
      <c r="DO175" s="1">
        <v>3.1132556692170681</v>
      </c>
      <c r="DQ175" s="1">
        <v>1967</v>
      </c>
      <c r="DR175" s="1">
        <v>202324.09064753231</v>
      </c>
      <c r="DS175" s="1">
        <v>222870.18182483435</v>
      </c>
      <c r="DT175" s="1">
        <v>98556.356701082404</v>
      </c>
      <c r="DU175" s="1">
        <v>2428.8221146615692</v>
      </c>
      <c r="DV175" s="1">
        <v>50393.491256506153</v>
      </c>
      <c r="DW175" s="1">
        <v>576572.94254461688</v>
      </c>
      <c r="DX175" s="1">
        <v>502020.23458536447</v>
      </c>
      <c r="DY175" s="1">
        <v>159615.63793606235</v>
      </c>
      <c r="EA175" s="1">
        <v>1967</v>
      </c>
      <c r="EB175" s="1">
        <v>4.8482384371958176</v>
      </c>
      <c r="EC175" s="1">
        <v>4.7119096257941067</v>
      </c>
      <c r="ED175" s="1">
        <v>4.9705978207410482</v>
      </c>
      <c r="EE175" s="1">
        <v>6.065767322368913</v>
      </c>
      <c r="EF175" s="1">
        <v>-2.3169791517509708</v>
      </c>
      <c r="EG175" s="1">
        <v>0.4921270462045868</v>
      </c>
      <c r="EH175" s="1">
        <v>4.6411563989623374</v>
      </c>
      <c r="EI175" s="1">
        <v>4.2201436143307802</v>
      </c>
      <c r="EJ175" s="1">
        <v>3.7730581774476235</v>
      </c>
      <c r="EL175" s="1">
        <v>1967</v>
      </c>
      <c r="EM175" s="1">
        <v>389415.82733812951</v>
      </c>
      <c r="EN175" s="1">
        <v>1209110.4229912972</v>
      </c>
      <c r="EO175" s="1">
        <v>366900</v>
      </c>
      <c r="EP175" s="1">
        <v>242041.12037091909</v>
      </c>
      <c r="EQ175" s="1">
        <v>604028.06067172263</v>
      </c>
      <c r="ER175" s="1">
        <v>309600</v>
      </c>
      <c r="ES175" s="1">
        <v>643517.35619331594</v>
      </c>
      <c r="ET175" s="1">
        <v>46795.731707317071</v>
      </c>
      <c r="EU175" s="1">
        <v>3811408.5192727009</v>
      </c>
      <c r="EV175" s="1">
        <v>3167891.1630793856</v>
      </c>
      <c r="EX175" s="1">
        <v>1967</v>
      </c>
      <c r="EY175" s="1">
        <v>147015.82733812949</v>
      </c>
      <c r="EZ175" s="1">
        <v>1161310.4229912972</v>
      </c>
      <c r="FA175" s="1">
        <v>324100</v>
      </c>
      <c r="FB175" s="1">
        <v>214441.12037091909</v>
      </c>
      <c r="FC175" s="1">
        <v>533728.06067172263</v>
      </c>
      <c r="FD175" s="1">
        <v>269000</v>
      </c>
      <c r="FE175" s="1">
        <v>643517.35619331594</v>
      </c>
      <c r="FF175" s="1">
        <v>44295.731707317071</v>
      </c>
      <c r="FG175" s="1">
        <v>3337408.5192727013</v>
      </c>
      <c r="FH175" s="1">
        <v>2693891.1630793856</v>
      </c>
      <c r="FJ175" s="1">
        <v>1967</v>
      </c>
      <c r="FK175" s="1">
        <v>242400</v>
      </c>
      <c r="FL175" s="1">
        <v>47800</v>
      </c>
      <c r="FM175" s="1">
        <v>42800</v>
      </c>
      <c r="FN175" s="1">
        <v>27600</v>
      </c>
      <c r="FO175" s="1">
        <v>70300</v>
      </c>
      <c r="FP175" s="1">
        <v>40600</v>
      </c>
      <c r="FQ175" s="1">
        <v>2500</v>
      </c>
      <c r="FR175" s="1">
        <v>474000</v>
      </c>
      <c r="FS175" s="1">
        <v>982614.54988653003</v>
      </c>
      <c r="FU175" s="1">
        <v>1967</v>
      </c>
      <c r="FV175" s="1">
        <v>60280.339480301758</v>
      </c>
      <c r="FW175" s="1">
        <v>212450.00830745813</v>
      </c>
      <c r="FX175" s="1">
        <v>68539.440035301988</v>
      </c>
      <c r="FY175" s="1">
        <v>47252.382045370301</v>
      </c>
      <c r="FZ175" s="1">
        <v>106152.07775807309</v>
      </c>
      <c r="GA175" s="1">
        <v>48268.297615815434</v>
      </c>
      <c r="GB175" s="1">
        <v>97903.217375865526</v>
      </c>
      <c r="GC175" s="1">
        <v>6057.2518124697926</v>
      </c>
      <c r="GD175" s="1">
        <v>646903.0144306561</v>
      </c>
      <c r="GE175" s="1">
        <v>548999.79705479054</v>
      </c>
      <c r="GG175" s="1">
        <v>1967</v>
      </c>
      <c r="GH175" s="1">
        <v>20214.339480301758</v>
      </c>
      <c r="GI175" s="1">
        <v>203554.57908696655</v>
      </c>
      <c r="GJ175" s="1">
        <v>60381.440035301988</v>
      </c>
      <c r="GK175" s="1">
        <v>42136.382045370308</v>
      </c>
      <c r="GL175" s="1">
        <v>90900.077758073108</v>
      </c>
      <c r="GM175" s="1">
        <v>41893.297615815427</v>
      </c>
      <c r="GN175" s="1">
        <v>97903.217375865526</v>
      </c>
      <c r="GO175" s="1">
        <v>5650.2518124697917</v>
      </c>
      <c r="GP175" s="1">
        <v>562633.58521016443</v>
      </c>
      <c r="GQ175" s="1">
        <v>464730.36783429887</v>
      </c>
      <c r="GS175" s="1">
        <v>1967</v>
      </c>
      <c r="GT175" s="1">
        <v>40066</v>
      </c>
      <c r="GU175" s="1">
        <v>8895.4292204915582</v>
      </c>
      <c r="GV175" s="1">
        <v>8158</v>
      </c>
      <c r="GW175" s="1">
        <v>5116</v>
      </c>
      <c r="GX175" s="1">
        <v>15252</v>
      </c>
      <c r="GY175" s="1">
        <v>6375</v>
      </c>
      <c r="GZ175" s="1">
        <v>407</v>
      </c>
      <c r="HA175" s="1">
        <v>84269.429220491569</v>
      </c>
      <c r="HC175" s="1">
        <v>1967</v>
      </c>
      <c r="HD175" s="1">
        <v>2751.7697912782546</v>
      </c>
      <c r="HE175" s="1">
        <v>27774.310663431635</v>
      </c>
      <c r="HF175" s="1">
        <v>9334.267733345001</v>
      </c>
      <c r="HG175" s="1">
        <v>6644.7230205736296</v>
      </c>
      <c r="HH175" s="1">
        <v>17430.080715494922</v>
      </c>
      <c r="HI175" s="1">
        <v>17909.422371483357</v>
      </c>
      <c r="HJ175" s="1">
        <v>686.55383207991929</v>
      </c>
      <c r="HK175" s="2">
        <v>82531.128127686723</v>
      </c>
      <c r="HL175" s="1">
        <v>64621.705756203359</v>
      </c>
      <c r="HN175" s="1">
        <v>1967</v>
      </c>
      <c r="HO175" s="1">
        <v>3763.6953717981082</v>
      </c>
      <c r="HP175" s="1">
        <v>1213.7502175715945</v>
      </c>
      <c r="HQ175" s="1">
        <v>1261.1318332936089</v>
      </c>
      <c r="HR175" s="1">
        <v>806.77080762774665</v>
      </c>
      <c r="HS175" s="1">
        <v>2967.6182303125433</v>
      </c>
      <c r="HT175" s="1">
        <v>49.453974606909796</v>
      </c>
      <c r="HU175" s="2">
        <v>10062.420435210512</v>
      </c>
      <c r="HW175" s="1">
        <v>1967</v>
      </c>
      <c r="HX175" s="1">
        <v>946.21286584911286</v>
      </c>
      <c r="HY175" s="1">
        <v>6854.7412183037522</v>
      </c>
      <c r="HZ175" s="1">
        <v>1337.1563321691028</v>
      </c>
      <c r="IA175" s="1">
        <v>2325.1747645553623</v>
      </c>
      <c r="IB175" s="1">
        <v>3934.2274738182641</v>
      </c>
      <c r="IC175" s="1">
        <v>1871.2121447486024</v>
      </c>
      <c r="ID175" s="1">
        <v>10663.30288909348</v>
      </c>
      <c r="IE175" s="2">
        <v>27932.027688537677</v>
      </c>
      <c r="IF175" s="1">
        <v>26060.815543789075</v>
      </c>
      <c r="IH175" s="1">
        <v>1967</v>
      </c>
      <c r="II175" s="1">
        <v>264.07308606015772</v>
      </c>
      <c r="IJ175" s="1">
        <v>20.923044868633731</v>
      </c>
      <c r="IK175" s="1">
        <v>6.552268282562296</v>
      </c>
      <c r="IL175" s="1">
        <v>302.62600994231929</v>
      </c>
      <c r="IM175" s="1">
        <v>5.5181001802765888</v>
      </c>
      <c r="IN175" s="1">
        <v>1.7280502440364249</v>
      </c>
      <c r="IO175" s="1">
        <v>3.3105606257285274</v>
      </c>
    </row>
    <row r="176" spans="1:249" x14ac:dyDescent="0.25">
      <c r="A176" s="1" t="s">
        <v>267</v>
      </c>
      <c r="B176" s="1">
        <v>4.1436571423765258</v>
      </c>
      <c r="C176" s="1">
        <v>4.0548861527880433</v>
      </c>
      <c r="D176" s="1">
        <v>4.1412728533764209</v>
      </c>
      <c r="E176" s="1">
        <v>4.1460414859643606</v>
      </c>
      <c r="F176" s="1">
        <v>4.1089338515650269</v>
      </c>
      <c r="G176" s="1">
        <v>3.7611611090144947</v>
      </c>
      <c r="H176" s="1">
        <v>3.6083387293122939</v>
      </c>
      <c r="J176" s="1">
        <v>1968</v>
      </c>
      <c r="K176" s="2">
        <v>143960.15248279512</v>
      </c>
      <c r="L176" s="1">
        <v>128309.93543819628</v>
      </c>
      <c r="M176" s="1">
        <v>126618.37825035123</v>
      </c>
      <c r="N176" s="1">
        <v>110968.16120575239</v>
      </c>
      <c r="O176" s="1">
        <v>17341.774232443891</v>
      </c>
      <c r="P176" s="1">
        <v>15650.217044598845</v>
      </c>
      <c r="Q176" s="1">
        <v>122172.41270111155</v>
      </c>
      <c r="R176" s="1">
        <v>266132.5651839067</v>
      </c>
      <c r="S176" s="1">
        <v>250482.34813930781</v>
      </c>
      <c r="U176" s="1">
        <v>1968</v>
      </c>
      <c r="V176" s="1">
        <v>18195.257457918433</v>
      </c>
      <c r="W176" s="1">
        <v>131008.17821387477</v>
      </c>
      <c r="X176" s="1">
        <v>3.1832273968405786</v>
      </c>
      <c r="Y176" s="1">
        <v>16217.211981530016</v>
      </c>
      <c r="Z176" s="1">
        <v>118821.35863652978</v>
      </c>
      <c r="AA176" s="1">
        <v>3.5635929861126385</v>
      </c>
      <c r="AB176" s="1">
        <v>7911960.1805988634</v>
      </c>
      <c r="AC176" s="1">
        <v>0.56010431807021632</v>
      </c>
      <c r="AE176" s="1">
        <v>1968</v>
      </c>
      <c r="AF176" s="1">
        <v>6817.9905160442768</v>
      </c>
      <c r="AG176" s="1">
        <v>37833.17641948691</v>
      </c>
      <c r="AH176" s="1">
        <v>12032.254226896708</v>
      </c>
      <c r="AI176" s="1">
        <v>10500.100865571618</v>
      </c>
      <c r="AJ176" s="1">
        <v>19850.439112434382</v>
      </c>
      <c r="AK176" s="1">
        <v>6935.8271382655366</v>
      </c>
      <c r="AL176" s="1">
        <v>22208.34894089837</v>
      </c>
      <c r="AM176" s="1">
        <v>12131.798218598471</v>
      </c>
      <c r="AN176" s="2">
        <v>128309.93543819628</v>
      </c>
      <c r="AP176" s="1" t="s">
        <v>267</v>
      </c>
      <c r="AQ176" s="1">
        <v>-1.8079481907081458</v>
      </c>
      <c r="AR176" s="1">
        <v>5.6818111200868486</v>
      </c>
      <c r="AS176" s="1">
        <v>0.85214024690705514</v>
      </c>
      <c r="AT176" s="1">
        <v>5.1062585333223325</v>
      </c>
      <c r="AU176" s="1">
        <v>4.5177532730200909</v>
      </c>
      <c r="AV176" s="1">
        <v>1.6204274174871784</v>
      </c>
      <c r="AW176" s="1">
        <v>6.0199527081630464</v>
      </c>
      <c r="AX176" s="1">
        <v>3.1987844552663347</v>
      </c>
      <c r="AY176" s="1">
        <v>4.1436571423765258</v>
      </c>
      <c r="BA176" s="1">
        <v>1968</v>
      </c>
      <c r="BB176" s="1">
        <v>79052.989559497626</v>
      </c>
      <c r="BC176" s="1">
        <v>30269.036562566042</v>
      </c>
      <c r="BD176" s="1">
        <v>24034.747549937718</v>
      </c>
      <c r="BE176" s="1">
        <v>10432.418578722081</v>
      </c>
      <c r="BF176" s="1">
        <v>14.435953663754715</v>
      </c>
      <c r="BG176" s="1">
        <v>440</v>
      </c>
      <c r="BH176" s="1">
        <v>30419.50173456936</v>
      </c>
      <c r="BI176" s="1">
        <v>30702.977456161421</v>
      </c>
      <c r="BJ176" s="1">
        <v>143960.15248279512</v>
      </c>
      <c r="BL176" s="1" t="s">
        <v>267</v>
      </c>
      <c r="BM176" s="1">
        <v>4.1145473358715492</v>
      </c>
      <c r="BN176" s="1">
        <v>6.8757119314964541</v>
      </c>
      <c r="BO176" s="1">
        <v>1.0369112131335356</v>
      </c>
      <c r="BP176" s="1">
        <v>7.6122706070613759</v>
      </c>
      <c r="BQ176" s="1">
        <v>8.2834083970619474</v>
      </c>
      <c r="BR176" s="1">
        <v>3.7611611090144947</v>
      </c>
      <c r="BT176" s="1" t="s">
        <v>267</v>
      </c>
      <c r="BU176" s="1">
        <v>1.7545872139440348</v>
      </c>
      <c r="BV176" s="1">
        <v>4.6193767084390345</v>
      </c>
      <c r="BW176" s="1">
        <v>1.3049312941342492</v>
      </c>
      <c r="BX176" s="1">
        <v>0.74979303344295545</v>
      </c>
      <c r="BY176" s="1">
        <v>0.763036108140696</v>
      </c>
      <c r="BZ176" s="1">
        <v>2.2216037779513726</v>
      </c>
      <c r="CB176" s="1">
        <v>1968</v>
      </c>
      <c r="CC176" s="1">
        <v>1349.0720015787251</v>
      </c>
      <c r="CD176" s="1">
        <v>8650.4527194708262</v>
      </c>
      <c r="CE176" s="1">
        <v>704.7359759376734</v>
      </c>
      <c r="CF176" s="1">
        <v>3314.2939309551502</v>
      </c>
      <c r="CG176" s="1">
        <v>3117.8441514486931</v>
      </c>
      <c r="CH176" s="1">
        <v>6890.2832810229593</v>
      </c>
      <c r="CI176" s="1">
        <v>10894.920021909527</v>
      </c>
      <c r="CJ176" s="1">
        <v>34921.602082323559</v>
      </c>
      <c r="CL176" s="1">
        <v>1968</v>
      </c>
      <c r="CM176" s="1">
        <v>990.43388801701371</v>
      </c>
      <c r="CN176" s="1">
        <v>5573.9643295377373</v>
      </c>
      <c r="CO176" s="1">
        <v>511.26555294822577</v>
      </c>
      <c r="CP176" s="1">
        <v>2712.7575719080924</v>
      </c>
      <c r="CQ176" s="1">
        <v>1432.393702594786</v>
      </c>
      <c r="CR176" s="1">
        <v>2061.18566901437</v>
      </c>
      <c r="CS176" s="1">
        <v>4059.773518423669</v>
      </c>
      <c r="CT176" s="2">
        <v>17341.774232443891</v>
      </c>
      <c r="CV176" s="1">
        <v>1968</v>
      </c>
      <c r="CW176" s="1">
        <v>133896.75422975668</v>
      </c>
      <c r="CX176" s="1">
        <v>148492.61526022814</v>
      </c>
      <c r="CY176" s="1">
        <v>59016.575519551647</v>
      </c>
      <c r="CZ176" s="1">
        <v>2550.8084380132632</v>
      </c>
      <c r="DA176" s="1">
        <v>52455.829801557113</v>
      </c>
      <c r="DB176" s="1">
        <v>396412.58324910683</v>
      </c>
      <c r="DC176" s="1">
        <v>338183.3802612694</v>
      </c>
      <c r="DD176" s="1">
        <v>115136.62484390649</v>
      </c>
      <c r="DF176" s="1">
        <v>1968</v>
      </c>
      <c r="DG176" s="1">
        <v>5.1553665574460155</v>
      </c>
      <c r="DH176" s="1">
        <v>5.1047887925328439</v>
      </c>
      <c r="DI176" s="1">
        <v>5.2009719706264974</v>
      </c>
      <c r="DJ176" s="1">
        <v>4.3377880785800329</v>
      </c>
      <c r="DK176" s="1">
        <v>0.56593640857633432</v>
      </c>
      <c r="DL176" s="1">
        <v>0.83880095246713893</v>
      </c>
      <c r="DM176" s="1">
        <v>4.430580725383777</v>
      </c>
      <c r="DN176" s="1">
        <v>3.7621363006862509</v>
      </c>
      <c r="DO176" s="1">
        <v>3.5528436026845753</v>
      </c>
      <c r="DQ176" s="1">
        <v>1968</v>
      </c>
      <c r="DR176" s="1">
        <v>211046.65522857616</v>
      </c>
      <c r="DS176" s="1">
        <v>238358.33700207295</v>
      </c>
      <c r="DT176" s="1">
        <v>106831.83477593525</v>
      </c>
      <c r="DU176" s="1">
        <v>2550.8084380132632</v>
      </c>
      <c r="DV176" s="1">
        <v>52455.829801557113</v>
      </c>
      <c r="DW176" s="1">
        <v>611243.46524615481</v>
      </c>
      <c r="DX176" s="1">
        <v>529562.81745513168</v>
      </c>
      <c r="DY176" s="1">
        <v>169501.43831566907</v>
      </c>
      <c r="EA176" s="1">
        <v>1968</v>
      </c>
      <c r="EB176" s="1">
        <v>4.7014347145337751</v>
      </c>
      <c r="EC176" s="1">
        <v>4.6157171607900409</v>
      </c>
      <c r="ED176" s="1">
        <v>4.7772974492902733</v>
      </c>
      <c r="EE176" s="1">
        <v>5.1045673150576647</v>
      </c>
      <c r="EF176" s="1">
        <v>0.56593640857633432</v>
      </c>
      <c r="EG176" s="1">
        <v>0.83880095246713893</v>
      </c>
      <c r="EH176" s="1">
        <v>4.4189183068102977</v>
      </c>
      <c r="EI176" s="1">
        <v>3.896123759149873</v>
      </c>
      <c r="EJ176" s="1">
        <v>4.0376347496939218</v>
      </c>
      <c r="EL176" s="1">
        <v>1968</v>
      </c>
      <c r="EM176" s="1">
        <v>362370.50359712227</v>
      </c>
      <c r="EN176" s="1">
        <v>1188809.2086622142</v>
      </c>
      <c r="EO176" s="1">
        <v>370600</v>
      </c>
      <c r="EP176" s="1">
        <v>244482.49832138533</v>
      </c>
      <c r="EQ176" s="1">
        <v>630997.18309859151</v>
      </c>
      <c r="ER176" s="1">
        <v>311200</v>
      </c>
      <c r="ES176" s="1">
        <v>692502.4102372966</v>
      </c>
      <c r="ET176" s="1">
        <v>47406.707317073175</v>
      </c>
      <c r="EU176" s="1">
        <v>3848368.5112336827</v>
      </c>
      <c r="EV176" s="1">
        <v>3155866.1009963863</v>
      </c>
      <c r="EX176" s="1">
        <v>1968</v>
      </c>
      <c r="EY176" s="1">
        <v>134270.5035971223</v>
      </c>
      <c r="EZ176" s="1">
        <v>1142509.2086622142</v>
      </c>
      <c r="FA176" s="1">
        <v>326700</v>
      </c>
      <c r="FB176" s="1">
        <v>215482.49832138533</v>
      </c>
      <c r="FC176" s="1">
        <v>557297.18309859151</v>
      </c>
      <c r="FD176" s="1">
        <v>270100</v>
      </c>
      <c r="FE176" s="1">
        <v>692502.4102372966</v>
      </c>
      <c r="FF176" s="1">
        <v>44906.707317073175</v>
      </c>
      <c r="FG176" s="1">
        <v>3383768.5112336832</v>
      </c>
      <c r="FH176" s="1">
        <v>2691266.1009963867</v>
      </c>
      <c r="FJ176" s="1">
        <v>1968</v>
      </c>
      <c r="FK176" s="1">
        <v>228100</v>
      </c>
      <c r="FL176" s="1">
        <v>46300</v>
      </c>
      <c r="FM176" s="1">
        <v>43900</v>
      </c>
      <c r="FN176" s="1">
        <v>29000</v>
      </c>
      <c r="FO176" s="1">
        <v>73700</v>
      </c>
      <c r="FP176" s="1">
        <v>41100</v>
      </c>
      <c r="FQ176" s="1">
        <v>2500</v>
      </c>
      <c r="FR176" s="1">
        <v>464600</v>
      </c>
      <c r="FS176" s="1">
        <v>956178.01621355722</v>
      </c>
      <c r="FU176" s="1">
        <v>1968</v>
      </c>
      <c r="FV176" s="1">
        <v>53796.49036043587</v>
      </c>
      <c r="FW176" s="1">
        <v>204655.96459734655</v>
      </c>
      <c r="FX176" s="1">
        <v>66691.796460657511</v>
      </c>
      <c r="FY176" s="1">
        <v>47032.748179925708</v>
      </c>
      <c r="FZ176" s="1">
        <v>108550.66525309316</v>
      </c>
      <c r="GA176" s="1">
        <v>47156.340207021152</v>
      </c>
      <c r="GB176" s="1">
        <v>103524.49310528497</v>
      </c>
      <c r="GC176" s="1">
        <v>5992.7950700821657</v>
      </c>
      <c r="GD176" s="1">
        <v>637401.29323384713</v>
      </c>
      <c r="GE176" s="1">
        <v>533876.80012856214</v>
      </c>
      <c r="GG176" s="1">
        <v>1968</v>
      </c>
      <c r="GH176" s="1">
        <v>17859.490360435873</v>
      </c>
      <c r="GI176" s="1">
        <v>196206.89389037207</v>
      </c>
      <c r="GJ176" s="1">
        <v>58350.796460657511</v>
      </c>
      <c r="GK176" s="1">
        <v>41856.748179925708</v>
      </c>
      <c r="GL176" s="1">
        <v>93147.665253093161</v>
      </c>
      <c r="GM176" s="1">
        <v>41058.340207021152</v>
      </c>
      <c r="GN176" s="1">
        <v>103524.49310528497</v>
      </c>
      <c r="GO176" s="1">
        <v>5593.7950700821648</v>
      </c>
      <c r="GP176" s="1">
        <v>557598.22252687265</v>
      </c>
      <c r="GQ176" s="1">
        <v>454073.72942158772</v>
      </c>
      <c r="GS176" s="1">
        <v>1968</v>
      </c>
      <c r="GT176" s="1">
        <v>35937</v>
      </c>
      <c r="GU176" s="1">
        <v>8449.0707069744749</v>
      </c>
      <c r="GV176" s="1">
        <v>8341</v>
      </c>
      <c r="GW176" s="1">
        <v>5176</v>
      </c>
      <c r="GX176" s="1">
        <v>15403</v>
      </c>
      <c r="GY176" s="1">
        <v>6098</v>
      </c>
      <c r="GZ176" s="1">
        <v>399</v>
      </c>
      <c r="HA176" s="1">
        <v>79803.070706974468</v>
      </c>
      <c r="HC176" s="1">
        <v>1968</v>
      </c>
      <c r="HD176" s="1">
        <v>2664.8502698146162</v>
      </c>
      <c r="HE176" s="1">
        <v>29126.996708487248</v>
      </c>
      <c r="HF176" s="1">
        <v>9935.4012546337672</v>
      </c>
      <c r="HG176" s="1">
        <v>6944.0452001334697</v>
      </c>
      <c r="HH176" s="1">
        <v>19090.73667721629</v>
      </c>
      <c r="HI176" s="1">
        <v>20147.163271884016</v>
      </c>
      <c r="HJ176" s="1">
        <v>779.12288809069491</v>
      </c>
      <c r="HK176" s="2">
        <v>88688.316270260097</v>
      </c>
      <c r="HL176" s="1">
        <v>68541.152998376085</v>
      </c>
      <c r="HN176" s="1">
        <v>1968</v>
      </c>
      <c r="HO176" s="1">
        <v>3175.5286075008257</v>
      </c>
      <c r="HP176" s="1">
        <v>1254.2681339694639</v>
      </c>
      <c r="HQ176" s="1">
        <v>1420.2236625985968</v>
      </c>
      <c r="HR176" s="1">
        <v>858.69972032678413</v>
      </c>
      <c r="HS176" s="1">
        <v>3177.1285352066279</v>
      </c>
      <c r="HT176" s="1">
        <v>55.574083149889333</v>
      </c>
      <c r="HU176" s="2">
        <v>9941.4227427521892</v>
      </c>
      <c r="HW176" s="1">
        <v>1968</v>
      </c>
      <c r="HX176" s="1">
        <v>990.43388801701349</v>
      </c>
      <c r="HY176" s="1">
        <v>7451.9115770301978</v>
      </c>
      <c r="HZ176" s="1">
        <v>676.62930966434578</v>
      </c>
      <c r="IA176" s="1">
        <v>2684.5336958231856</v>
      </c>
      <c r="IB176" s="1">
        <v>4518.4010382770002</v>
      </c>
      <c r="IC176" s="1">
        <v>2061.1856690143541</v>
      </c>
      <c r="ID176" s="1">
        <v>11297.101247357887</v>
      </c>
      <c r="IE176" s="2">
        <v>29680.196425183982</v>
      </c>
      <c r="IF176" s="1">
        <v>27619.010756169628</v>
      </c>
      <c r="IH176" s="1">
        <v>1968</v>
      </c>
      <c r="II176" s="1">
        <v>265.2083314613497</v>
      </c>
      <c r="IJ176" s="1">
        <v>21.822268190254331</v>
      </c>
      <c r="IK176" s="1">
        <v>6.7543886164723901</v>
      </c>
      <c r="IL176" s="1">
        <v>304.27476752319944</v>
      </c>
      <c r="IM176" s="1">
        <v>6.1812674924188737</v>
      </c>
      <c r="IN176" s="1">
        <v>1.9132146311358431</v>
      </c>
      <c r="IO176" s="1">
        <v>4.7579607547521618</v>
      </c>
    </row>
    <row r="177" spans="1:249" x14ac:dyDescent="0.25">
      <c r="A177" s="1" t="s">
        <v>268</v>
      </c>
      <c r="B177" s="1">
        <v>4.9155460732615666</v>
      </c>
      <c r="C177" s="1">
        <v>4.9118728765919997</v>
      </c>
      <c r="D177" s="1">
        <v>4.9454803574035395</v>
      </c>
      <c r="E177" s="1">
        <v>4.8856203274708037</v>
      </c>
      <c r="F177" s="1">
        <v>4.831499699279334</v>
      </c>
      <c r="G177" s="1">
        <v>5.2432464694701935</v>
      </c>
      <c r="H177" s="1">
        <v>5.3098485865969565</v>
      </c>
      <c r="J177" s="1">
        <v>1969</v>
      </c>
      <c r="K177" s="2">
        <v>156317.72838200879</v>
      </c>
      <c r="L177" s="1">
        <v>138361.01293069575</v>
      </c>
      <c r="M177" s="1">
        <v>138047.65541159405</v>
      </c>
      <c r="N177" s="1">
        <v>120090.93996028102</v>
      </c>
      <c r="O177" s="1">
        <v>18270.072970414745</v>
      </c>
      <c r="P177" s="1">
        <v>17956.715451313037</v>
      </c>
      <c r="Q177" s="1">
        <v>131623.66853978278</v>
      </c>
      <c r="R177" s="1">
        <v>287941.3969217916</v>
      </c>
      <c r="S177" s="1">
        <v>269984.68147047854</v>
      </c>
      <c r="U177" s="1">
        <v>1969</v>
      </c>
      <c r="V177" s="1">
        <v>19619.056197049686</v>
      </c>
      <c r="W177" s="1">
        <v>136913.60717523194</v>
      </c>
      <c r="X177" s="1">
        <v>4.5076796287605703</v>
      </c>
      <c r="Y177" s="1">
        <v>17365.35270992629</v>
      </c>
      <c r="Z177" s="1">
        <v>123790.788195278</v>
      </c>
      <c r="AA177" s="1">
        <v>4.1822695984730558</v>
      </c>
      <c r="AB177" s="1">
        <v>7967647.7202565875</v>
      </c>
      <c r="AC177" s="1">
        <v>0.70383998891041699</v>
      </c>
      <c r="AE177" s="1">
        <v>1969</v>
      </c>
      <c r="AF177" s="1">
        <v>6650.0599459292698</v>
      </c>
      <c r="AG177" s="1">
        <v>41726.115737750981</v>
      </c>
      <c r="AH177" s="1">
        <v>12578.795823332883</v>
      </c>
      <c r="AI177" s="1">
        <v>11188.016798108361</v>
      </c>
      <c r="AJ177" s="1">
        <v>20880.197326774556</v>
      </c>
      <c r="AK177" s="1">
        <v>7365.0293657085167</v>
      </c>
      <c r="AL177" s="1">
        <v>24441.624319827337</v>
      </c>
      <c r="AM177" s="1">
        <v>13531.173613263851</v>
      </c>
      <c r="AN177" s="2">
        <v>138361.01293069575</v>
      </c>
      <c r="AP177" s="1" t="s">
        <v>268</v>
      </c>
      <c r="AQ177" s="1">
        <v>-4.7874157757745337</v>
      </c>
      <c r="AR177" s="1">
        <v>7.9274087159161297</v>
      </c>
      <c r="AS177" s="1">
        <v>3.9524269221353734</v>
      </c>
      <c r="AT177" s="1">
        <v>5.8197638273920944</v>
      </c>
      <c r="AU177" s="1">
        <v>4.1133895305594166</v>
      </c>
      <c r="AV177" s="1">
        <v>-0.64075077695750338</v>
      </c>
      <c r="AW177" s="1">
        <v>6.0885791913384111</v>
      </c>
      <c r="AX177" s="1">
        <v>3.5789888099742058</v>
      </c>
      <c r="AY177" s="1">
        <v>4.9155460732615666</v>
      </c>
      <c r="BA177" s="1">
        <v>1969</v>
      </c>
      <c r="BB177" s="1">
        <v>85349.636900075784</v>
      </c>
      <c r="BC177" s="1">
        <v>33254.562970009269</v>
      </c>
      <c r="BD177" s="1">
        <v>25469.54882989102</v>
      </c>
      <c r="BE177" s="1">
        <v>10837.540668398811</v>
      </c>
      <c r="BF177" s="1">
        <v>6.2854888156997832</v>
      </c>
      <c r="BG177" s="1">
        <v>1998</v>
      </c>
      <c r="BH177" s="1">
        <v>34992.923372283949</v>
      </c>
      <c r="BI177" s="1">
        <v>35590.769847465766</v>
      </c>
      <c r="BJ177" s="1">
        <v>156317.72838200876</v>
      </c>
      <c r="BL177" s="1" t="s">
        <v>268</v>
      </c>
      <c r="BM177" s="1">
        <v>4.4354312640537898</v>
      </c>
      <c r="BN177" s="1">
        <v>5.4124801447771773</v>
      </c>
      <c r="BO177" s="1">
        <v>8.2432508742741959</v>
      </c>
      <c r="BP177" s="1">
        <v>11.468418188491114</v>
      </c>
      <c r="BQ177" s="1">
        <v>12.896040018535373</v>
      </c>
      <c r="BR177" s="1">
        <v>5.2432464694701935</v>
      </c>
      <c r="BT177" s="1" t="s">
        <v>268</v>
      </c>
      <c r="BU177" s="1">
        <v>3.3797589044158798</v>
      </c>
      <c r="BV177" s="1">
        <v>4.2222909287455934</v>
      </c>
      <c r="BW177" s="1">
        <v>1.352100226859605</v>
      </c>
      <c r="BX177" s="1">
        <v>3.1991906691986713</v>
      </c>
      <c r="BY177" s="1">
        <v>2.6781841630205463</v>
      </c>
      <c r="BZ177" s="1">
        <v>3.1743403347812347</v>
      </c>
      <c r="CB177" s="1">
        <v>1969</v>
      </c>
      <c r="CC177" s="1">
        <v>1281.6711629909223</v>
      </c>
      <c r="CD177" s="1">
        <v>11176.184921376309</v>
      </c>
      <c r="CE177" s="1">
        <v>765.51662929891484</v>
      </c>
      <c r="CF177" s="1">
        <v>3149.0139415096828</v>
      </c>
      <c r="CG177" s="1">
        <v>3220.1653733029211</v>
      </c>
      <c r="CH177" s="1">
        <v>7411.1528692951479</v>
      </c>
      <c r="CI177" s="1">
        <v>11307.670089331634</v>
      </c>
      <c r="CJ177" s="1">
        <v>38311.374987105533</v>
      </c>
      <c r="CL177" s="1">
        <v>1969</v>
      </c>
      <c r="CM177" s="1">
        <v>996.07772959297643</v>
      </c>
      <c r="CN177" s="1">
        <v>5767.5500811631709</v>
      </c>
      <c r="CO177" s="1">
        <v>531.15528933804603</v>
      </c>
      <c r="CP177" s="1">
        <v>2820.4794153507869</v>
      </c>
      <c r="CQ177" s="1">
        <v>1507.5592439069039</v>
      </c>
      <c r="CR177" s="1">
        <v>2283.088001560589</v>
      </c>
      <c r="CS177" s="1">
        <v>4364.1632095022715</v>
      </c>
      <c r="CT177" s="2">
        <v>18270.072970414745</v>
      </c>
      <c r="CV177" s="1">
        <v>1969</v>
      </c>
      <c r="CW177" s="1">
        <v>144403.08786879727</v>
      </c>
      <c r="CX177" s="1">
        <v>160294.32964898224</v>
      </c>
      <c r="CY177" s="1">
        <v>60466.672076148519</v>
      </c>
      <c r="CZ177" s="1">
        <v>2594.1856104549124</v>
      </c>
      <c r="DA177" s="1">
        <v>54923.351588227888</v>
      </c>
      <c r="DB177" s="1">
        <v>422681.62679261086</v>
      </c>
      <c r="DC177" s="1">
        <v>357580.02580825414</v>
      </c>
      <c r="DD177" s="1">
        <v>120465.85583810834</v>
      </c>
      <c r="DF177" s="1">
        <v>1969</v>
      </c>
      <c r="DG177" s="1">
        <v>5.0163567366820416</v>
      </c>
      <c r="DH177" s="1">
        <v>4.8084199460735704</v>
      </c>
      <c r="DI177" s="1">
        <v>5.2013332897343076</v>
      </c>
      <c r="DJ177" s="1">
        <v>4.5850286153042816</v>
      </c>
      <c r="DK177" s="1">
        <v>0.24229140699753771</v>
      </c>
      <c r="DL177" s="1">
        <v>3.6377969337695077</v>
      </c>
      <c r="DM177" s="1">
        <v>4.7433746542182149</v>
      </c>
      <c r="DN177" s="1">
        <v>4.1707176877808507</v>
      </c>
      <c r="DO177" s="1">
        <v>4.4275743096668236</v>
      </c>
      <c r="DQ177" s="1">
        <v>1969</v>
      </c>
      <c r="DR177" s="1">
        <v>226547.53287745931</v>
      </c>
      <c r="DS177" s="1">
        <v>256477.96183531551</v>
      </c>
      <c r="DT177" s="1">
        <v>110281.98815581389</v>
      </c>
      <c r="DU177" s="1">
        <v>2594.1856104549124</v>
      </c>
      <c r="DV177" s="1">
        <v>54923.351588227888</v>
      </c>
      <c r="DW177" s="1">
        <v>650825.02006727154</v>
      </c>
      <c r="DX177" s="1">
        <v>560006.97879277437</v>
      </c>
      <c r="DY177" s="1">
        <v>177327.08798514958</v>
      </c>
      <c r="EA177" s="1">
        <v>1969</v>
      </c>
      <c r="EB177" s="1">
        <v>4.6358284758966022</v>
      </c>
      <c r="EC177" s="1">
        <v>4.4496338659494512</v>
      </c>
      <c r="ED177" s="1">
        <v>4.7982224386355483</v>
      </c>
      <c r="EE177" s="1">
        <v>5.1617369287213108</v>
      </c>
      <c r="EF177" s="1">
        <v>0.24229140699753771</v>
      </c>
      <c r="EG177" s="1">
        <v>3.6377969337695077</v>
      </c>
      <c r="EH177" s="1">
        <v>4.6221091585259728</v>
      </c>
      <c r="EI177" s="1">
        <v>4.1478920686530927</v>
      </c>
      <c r="EJ177" s="1">
        <v>4.6182833387155</v>
      </c>
      <c r="EL177" s="1">
        <v>1969</v>
      </c>
      <c r="EM177" s="1">
        <v>343274.82014388486</v>
      </c>
      <c r="EN177" s="1">
        <v>1206700.1619105444</v>
      </c>
      <c r="EO177" s="1">
        <v>373800</v>
      </c>
      <c r="EP177" s="1">
        <v>245284.02647526143</v>
      </c>
      <c r="EQ177" s="1">
        <v>644989.707475623</v>
      </c>
      <c r="ER177" s="1">
        <v>316100</v>
      </c>
      <c r="ES177" s="1">
        <v>743190.42117033177</v>
      </c>
      <c r="ET177" s="1">
        <v>48264.939024390245</v>
      </c>
      <c r="EU177" s="1">
        <v>3921604.0762000354</v>
      </c>
      <c r="EV177" s="1">
        <v>3178413.6550297039</v>
      </c>
      <c r="EX177" s="1">
        <v>1969</v>
      </c>
      <c r="EY177" s="1">
        <v>125674.82014388489</v>
      </c>
      <c r="EZ177" s="1">
        <v>1162500.1619105444</v>
      </c>
      <c r="FA177" s="1">
        <v>329100</v>
      </c>
      <c r="FB177" s="1">
        <v>218584.02647526143</v>
      </c>
      <c r="FC177" s="1">
        <v>572689.707475623</v>
      </c>
      <c r="FD177" s="1">
        <v>274600</v>
      </c>
      <c r="FE177" s="1">
        <v>743190.42117033177</v>
      </c>
      <c r="FF177" s="1">
        <v>45364.939024390245</v>
      </c>
      <c r="FG177" s="1">
        <v>3471704.0762000359</v>
      </c>
      <c r="FH177" s="1">
        <v>2728513.6550297039</v>
      </c>
      <c r="FJ177" s="1">
        <v>1969</v>
      </c>
      <c r="FK177" s="1">
        <v>217600</v>
      </c>
      <c r="FL177" s="1">
        <v>44200</v>
      </c>
      <c r="FM177" s="1">
        <v>44700</v>
      </c>
      <c r="FN177" s="1">
        <v>26700</v>
      </c>
      <c r="FO177" s="1">
        <v>72300</v>
      </c>
      <c r="FP177" s="1">
        <v>41500</v>
      </c>
      <c r="FQ177" s="1">
        <v>2900</v>
      </c>
      <c r="FR177" s="1">
        <v>449900</v>
      </c>
      <c r="FS177" s="1">
        <v>930452.73835571855</v>
      </c>
      <c r="FU177" s="1">
        <v>1969</v>
      </c>
      <c r="FV177" s="1">
        <v>49747.150880134112</v>
      </c>
      <c r="FW177" s="1">
        <v>203831.52616440452</v>
      </c>
      <c r="FX177" s="1">
        <v>68099.106030261348</v>
      </c>
      <c r="FY177" s="1">
        <v>47212.111415633197</v>
      </c>
      <c r="FZ177" s="1">
        <v>109374.21009636357</v>
      </c>
      <c r="GA177" s="1">
        <v>48605.281558214687</v>
      </c>
      <c r="GB177" s="1">
        <v>109588.81517429129</v>
      </c>
      <c r="GC177" s="1">
        <v>5948.0710488158538</v>
      </c>
      <c r="GD177" s="1">
        <v>642406.27236811852</v>
      </c>
      <c r="GE177" s="1">
        <v>532817.45719382726</v>
      </c>
      <c r="GG177" s="1">
        <v>1969</v>
      </c>
      <c r="GH177" s="1">
        <v>16413.150880134115</v>
      </c>
      <c r="GI177" s="1">
        <v>196305.92162650652</v>
      </c>
      <c r="GJ177" s="1">
        <v>59709.106030261355</v>
      </c>
      <c r="GK177" s="1">
        <v>42311.111415633197</v>
      </c>
      <c r="GL177" s="1">
        <v>94051.210096363575</v>
      </c>
      <c r="GM177" s="1">
        <v>42511.281558214687</v>
      </c>
      <c r="GN177" s="1">
        <v>109588.81517429129</v>
      </c>
      <c r="GO177" s="1">
        <v>5551.0710488158538</v>
      </c>
      <c r="GP177" s="1">
        <v>566441.66783022054</v>
      </c>
      <c r="GQ177" s="1">
        <v>456852.85265592928</v>
      </c>
      <c r="GS177" s="1">
        <v>1969</v>
      </c>
      <c r="GT177" s="1">
        <v>33334</v>
      </c>
      <c r="GU177" s="1">
        <v>7525.6045378980216</v>
      </c>
      <c r="GV177" s="1">
        <v>8390</v>
      </c>
      <c r="GW177" s="1">
        <v>4901</v>
      </c>
      <c r="GX177" s="1">
        <v>15323</v>
      </c>
      <c r="GY177" s="1">
        <v>6094</v>
      </c>
      <c r="GZ177" s="1">
        <v>397</v>
      </c>
      <c r="HA177" s="1">
        <v>75964.60453789802</v>
      </c>
      <c r="HC177" s="1">
        <v>1969</v>
      </c>
      <c r="HD177" s="1">
        <v>2607.5856439091599</v>
      </c>
      <c r="HE177" s="1">
        <v>31414.131758187981</v>
      </c>
      <c r="HF177" s="1">
        <v>10740.841593615447</v>
      </c>
      <c r="HG177" s="1">
        <v>7308.7365913213225</v>
      </c>
      <c r="HH177" s="1">
        <v>20550.603041223145</v>
      </c>
      <c r="HI177" s="1">
        <v>22158.536318266728</v>
      </c>
      <c r="HJ177" s="1">
        <v>865.26353743405548</v>
      </c>
      <c r="HK177" s="2">
        <v>95645.698483957836</v>
      </c>
      <c r="HL177" s="1">
        <v>73487.162165691116</v>
      </c>
      <c r="HN177" s="1">
        <v>1969</v>
      </c>
      <c r="HO177" s="1">
        <v>3057.7113652086305</v>
      </c>
      <c r="HP177" s="1">
        <v>1204.2954718571473</v>
      </c>
      <c r="HQ177" s="1">
        <v>1509.2448532852227</v>
      </c>
      <c r="HR177" s="1">
        <v>846.58891803137351</v>
      </c>
      <c r="HS177" s="1">
        <v>3408.0571998094829</v>
      </c>
      <c r="HT177" s="1">
        <v>61.881683974229979</v>
      </c>
      <c r="HU177" s="2">
        <v>10087.779492166088</v>
      </c>
      <c r="HW177" s="1">
        <v>1969</v>
      </c>
      <c r="HX177" s="1">
        <v>996.07772959297654</v>
      </c>
      <c r="HY177" s="1">
        <v>9107.6885077058541</v>
      </c>
      <c r="HZ177" s="1">
        <v>328.70937643221259</v>
      </c>
      <c r="IA177" s="1">
        <v>3021.3764959741684</v>
      </c>
      <c r="IB177" s="1">
        <v>4286.566451450446</v>
      </c>
      <c r="IC177" s="1">
        <v>2283.0880015606072</v>
      </c>
      <c r="ID177" s="1">
        <v>12604.028391855565</v>
      </c>
      <c r="IE177" s="2">
        <v>32627.534954571827</v>
      </c>
      <c r="IF177" s="1">
        <v>30344.446953011222</v>
      </c>
      <c r="IH177" s="1">
        <v>1969</v>
      </c>
      <c r="II177" s="1">
        <v>249.39488900081147</v>
      </c>
      <c r="IJ177" s="1">
        <v>25.187827526939376</v>
      </c>
      <c r="IK177" s="1">
        <v>8.0675387292258964</v>
      </c>
      <c r="IL177" s="1">
        <v>283.21112467653631</v>
      </c>
      <c r="IM177" s="1">
        <v>10.24003518926888</v>
      </c>
      <c r="IN177" s="1">
        <v>3.279833498530432</v>
      </c>
      <c r="IO177" s="1">
        <v>2.532259105867098</v>
      </c>
    </row>
    <row r="178" spans="1:249" x14ac:dyDescent="0.25">
      <c r="A178" s="1" t="s">
        <v>269</v>
      </c>
      <c r="B178" s="1">
        <v>4.7390691379647762</v>
      </c>
      <c r="C178" s="1">
        <v>4.7235678036821724</v>
      </c>
      <c r="D178" s="1">
        <v>4.7831620308855065</v>
      </c>
      <c r="E178" s="1">
        <v>4.6949947993916226</v>
      </c>
      <c r="F178" s="1">
        <v>4.8065623684350385</v>
      </c>
      <c r="G178" s="1">
        <v>5.8757209135145416</v>
      </c>
      <c r="H178" s="1">
        <v>6.0165245121468445</v>
      </c>
      <c r="J178" s="1">
        <v>1970</v>
      </c>
      <c r="K178" s="2">
        <v>175222.05425462191</v>
      </c>
      <c r="L178" s="1">
        <v>152974.77754956784</v>
      </c>
      <c r="M178" s="1">
        <v>155091.34192704415</v>
      </c>
      <c r="N178" s="1">
        <v>132844.06522199008</v>
      </c>
      <c r="O178" s="1">
        <v>20130.712327577752</v>
      </c>
      <c r="P178" s="1">
        <v>22247.276705054071</v>
      </c>
      <c r="Q178" s="1">
        <v>147584.82757026967</v>
      </c>
      <c r="R178" s="1">
        <v>322806.88182489155</v>
      </c>
      <c r="S178" s="1">
        <v>300559.60511983751</v>
      </c>
      <c r="U178" s="1">
        <v>1970</v>
      </c>
      <c r="V178" s="1">
        <v>21786.586754164375</v>
      </c>
      <c r="W178" s="1">
        <v>143606.31741654727</v>
      </c>
      <c r="X178" s="1">
        <v>4.8882725241104197</v>
      </c>
      <c r="Y178" s="1">
        <v>19020.426831885208</v>
      </c>
      <c r="Z178" s="1">
        <v>128448.07210994132</v>
      </c>
      <c r="AA178" s="1">
        <v>3.7622217150088204</v>
      </c>
      <c r="AB178" s="1">
        <v>8042657.4493652284</v>
      </c>
      <c r="AC178" s="1">
        <v>0.94142878478349701</v>
      </c>
      <c r="AE178" s="1">
        <v>1970</v>
      </c>
      <c r="AF178" s="1">
        <v>7375.0353195064808</v>
      </c>
      <c r="AG178" s="1">
        <v>47289.049206946831</v>
      </c>
      <c r="AH178" s="1">
        <v>12826.420374744062</v>
      </c>
      <c r="AI178" s="1">
        <v>11741.846360963838</v>
      </c>
      <c r="AJ178" s="1">
        <v>22956.759283152591</v>
      </c>
      <c r="AK178" s="1">
        <v>7822.7825393947969</v>
      </c>
      <c r="AL178" s="1">
        <v>28095.40645361106</v>
      </c>
      <c r="AM178" s="1">
        <v>14867.478011248179</v>
      </c>
      <c r="AN178" s="2">
        <v>152974.77754956784</v>
      </c>
      <c r="AP178" s="1" t="s">
        <v>269</v>
      </c>
      <c r="AQ178" s="1">
        <v>0.68704000642361507</v>
      </c>
      <c r="AR178" s="1">
        <v>7.1955699774996447</v>
      </c>
      <c r="AS178" s="1">
        <v>1.9022543271814101</v>
      </c>
      <c r="AT178" s="1">
        <v>2.7513878440522035</v>
      </c>
      <c r="AU178" s="1">
        <v>4.9116485326436532</v>
      </c>
      <c r="AV178" s="1">
        <v>-5.0074196642803486</v>
      </c>
      <c r="AW178" s="1">
        <v>8.1885463977274782</v>
      </c>
      <c r="AX178" s="1">
        <v>2.3639081042195187</v>
      </c>
      <c r="AY178" s="1">
        <v>4.7390691379647762</v>
      </c>
      <c r="BA178" s="1">
        <v>1970</v>
      </c>
      <c r="BB178" s="1">
        <v>92747.342822246588</v>
      </c>
      <c r="BC178" s="1">
        <v>38600.887326332624</v>
      </c>
      <c r="BD178" s="1">
        <v>27289.398598791788</v>
      </c>
      <c r="BE178" s="1">
        <v>12303.746780519012</v>
      </c>
      <c r="BF178" s="1">
        <v>-4.1112166469123279</v>
      </c>
      <c r="BG178" s="1">
        <v>5269</v>
      </c>
      <c r="BH178" s="1">
        <v>41500.677440376174</v>
      </c>
      <c r="BI178" s="1">
        <v>42484.887496997355</v>
      </c>
      <c r="BJ178" s="1">
        <v>175222.05425462197</v>
      </c>
      <c r="BL178" s="1" t="s">
        <v>269</v>
      </c>
      <c r="BM178" s="1">
        <v>3.4951224441055899</v>
      </c>
      <c r="BN178" s="1">
        <v>8.1279976860500796</v>
      </c>
      <c r="BO178" s="1">
        <v>10.842290300529982</v>
      </c>
      <c r="BP178" s="1">
        <v>8.6484860182336263</v>
      </c>
      <c r="BQ178" s="1">
        <v>10.36367053052183</v>
      </c>
      <c r="BR178" s="1">
        <v>5.8757209135145416</v>
      </c>
      <c r="BT178" s="1" t="s">
        <v>269</v>
      </c>
      <c r="BU178" s="1">
        <v>4.9977313570188642</v>
      </c>
      <c r="BV178" s="1">
        <v>7.3514419979948258</v>
      </c>
      <c r="BW178" s="1">
        <v>5.6347983112518421</v>
      </c>
      <c r="BX178" s="1">
        <v>9.1569220916499319</v>
      </c>
      <c r="BY178" s="1">
        <v>8.1610648805364008</v>
      </c>
      <c r="BZ178" s="1">
        <v>5.8727397664261503</v>
      </c>
      <c r="CB178" s="1">
        <v>1970</v>
      </c>
      <c r="CC178" s="1">
        <v>1333.3980860517161</v>
      </c>
      <c r="CD178" s="1">
        <v>15875.674447536765</v>
      </c>
      <c r="CE178" s="1">
        <v>811.66180651796185</v>
      </c>
      <c r="CF178" s="1">
        <v>3396.3782045454445</v>
      </c>
      <c r="CG178" s="1">
        <v>3764.7224941380769</v>
      </c>
      <c r="CH178" s="1">
        <v>8338.0088060322669</v>
      </c>
      <c r="CI178" s="1">
        <v>11338.190317841656</v>
      </c>
      <c r="CJ178" s="1">
        <v>44858.034162663884</v>
      </c>
      <c r="CL178" s="1">
        <v>1970</v>
      </c>
      <c r="CM178" s="1">
        <v>1097.6698261069521</v>
      </c>
      <c r="CN178" s="1">
        <v>6527.5010662198874</v>
      </c>
      <c r="CO178" s="1">
        <v>595.85821096771156</v>
      </c>
      <c r="CP178" s="1">
        <v>2904.6730682532393</v>
      </c>
      <c r="CQ178" s="1">
        <v>1696.5982409485423</v>
      </c>
      <c r="CR178" s="1">
        <v>2614.7611515857525</v>
      </c>
      <c r="CS178" s="1">
        <v>4693.6507634956643</v>
      </c>
      <c r="CT178" s="2">
        <v>20130.712327577752</v>
      </c>
      <c r="CV178" s="1">
        <v>1970</v>
      </c>
      <c r="CW178" s="1">
        <v>156141.69115873385</v>
      </c>
      <c r="CX178" s="1">
        <v>178417.95740457339</v>
      </c>
      <c r="CY178" s="1">
        <v>66827.400817077534</v>
      </c>
      <c r="CZ178" s="1">
        <v>2703.6411247817341</v>
      </c>
      <c r="DA178" s="1">
        <v>61851.595767227845</v>
      </c>
      <c r="DB178" s="1">
        <v>465942.28627239435</v>
      </c>
      <c r="DC178" s="1">
        <v>391542.32774328691</v>
      </c>
      <c r="DD178" s="1">
        <v>135059.63670314944</v>
      </c>
      <c r="DF178" s="1">
        <v>1970</v>
      </c>
      <c r="DG178" s="1">
        <v>4.8195509251753492</v>
      </c>
      <c r="DH178" s="1">
        <v>4.2554550966091114</v>
      </c>
      <c r="DI178" s="1">
        <v>5.3107568553509168</v>
      </c>
      <c r="DJ178" s="1">
        <v>4.9364908578458255</v>
      </c>
      <c r="DK178" s="1">
        <v>-0.15206221747511961</v>
      </c>
      <c r="DL178" s="1">
        <v>8.5187777851833459</v>
      </c>
      <c r="DM178" s="1">
        <v>5.3022014408521585</v>
      </c>
      <c r="DN178" s="1">
        <v>4.8484417427656155</v>
      </c>
      <c r="DO178" s="1">
        <v>5.4347624635014711</v>
      </c>
      <c r="DQ178" s="1">
        <v>1970</v>
      </c>
      <c r="DR178" s="1">
        <v>244125.12796712029</v>
      </c>
      <c r="DS178" s="1">
        <v>284449.81831385347</v>
      </c>
      <c r="DT178" s="1">
        <v>122533.31924434364</v>
      </c>
      <c r="DU178" s="1">
        <v>2703.6411247817341</v>
      </c>
      <c r="DV178" s="1">
        <v>61851.595767227845</v>
      </c>
      <c r="DW178" s="1">
        <v>715663.5024173269</v>
      </c>
      <c r="DX178" s="1">
        <v>612213.42354296206</v>
      </c>
      <c r="DY178" s="1">
        <v>198925.52436735138</v>
      </c>
      <c r="EA178" s="1">
        <v>1970</v>
      </c>
      <c r="EB178" s="1">
        <v>4.5301526867497728</v>
      </c>
      <c r="EC178" s="1">
        <v>4.1071960811191559</v>
      </c>
      <c r="ED178" s="1">
        <v>4.8912623982387231</v>
      </c>
      <c r="EE178" s="1">
        <v>5.2954253840726579</v>
      </c>
      <c r="EF178" s="1">
        <v>-0.15206221747511961</v>
      </c>
      <c r="EG178" s="1">
        <v>8.5187777851833459</v>
      </c>
      <c r="EH178" s="1">
        <v>4.993573819358943</v>
      </c>
      <c r="EI178" s="1">
        <v>4.5817590506751884</v>
      </c>
      <c r="EJ178" s="1">
        <v>5.3010793187656162</v>
      </c>
      <c r="EL178" s="1">
        <v>1970</v>
      </c>
      <c r="EM178" s="1">
        <v>326100</v>
      </c>
      <c r="EN178" s="1">
        <v>1226635.9846184982</v>
      </c>
      <c r="EO178" s="1">
        <v>369600</v>
      </c>
      <c r="EP178" s="1">
        <v>243052.6279359787</v>
      </c>
      <c r="EQ178" s="1">
        <v>654544.96208017331</v>
      </c>
      <c r="ER178" s="1">
        <v>322100</v>
      </c>
      <c r="ES178" s="1">
        <v>806300</v>
      </c>
      <c r="ET178" s="1">
        <v>49439.634146341465</v>
      </c>
      <c r="EU178" s="1">
        <v>3997773.2087809914</v>
      </c>
      <c r="EV178" s="1">
        <v>3191473.2087809918</v>
      </c>
      <c r="EX178" s="1">
        <v>1970</v>
      </c>
      <c r="EY178" s="1">
        <v>123600</v>
      </c>
      <c r="EZ178" s="1">
        <v>1183935.9846184982</v>
      </c>
      <c r="FA178" s="1">
        <v>327200</v>
      </c>
      <c r="FB178" s="1">
        <v>217752.6279359787</v>
      </c>
      <c r="FC178" s="1">
        <v>583544.96208017331</v>
      </c>
      <c r="FD178" s="1">
        <v>279700</v>
      </c>
      <c r="FE178" s="1">
        <v>806300</v>
      </c>
      <c r="FF178" s="1">
        <v>46739.634146341465</v>
      </c>
      <c r="FG178" s="1">
        <v>3568773.2087809918</v>
      </c>
      <c r="FH178" s="1">
        <v>2762473.2087809918</v>
      </c>
      <c r="FJ178" s="1">
        <v>1970</v>
      </c>
      <c r="FK178" s="1">
        <v>202500</v>
      </c>
      <c r="FL178" s="1">
        <v>42700</v>
      </c>
      <c r="FM178" s="1">
        <v>42400</v>
      </c>
      <c r="FN178" s="1">
        <v>25300</v>
      </c>
      <c r="FO178" s="1">
        <v>71000</v>
      </c>
      <c r="FP178" s="1">
        <v>42400</v>
      </c>
      <c r="FQ178" s="1">
        <v>2700</v>
      </c>
      <c r="FR178" s="1">
        <v>429000</v>
      </c>
      <c r="FS178" s="1">
        <v>905419.58048980718</v>
      </c>
      <c r="FU178" s="1">
        <v>1970</v>
      </c>
      <c r="FV178" s="1">
        <v>49053</v>
      </c>
      <c r="FW178" s="1">
        <v>206801.12637276266</v>
      </c>
      <c r="FX178" s="1">
        <v>66350.913744636768</v>
      </c>
      <c r="FY178" s="1">
        <v>46788.883307407385</v>
      </c>
      <c r="FZ178" s="1">
        <v>111811.17157605529</v>
      </c>
      <c r="GA178" s="1">
        <v>48931.383222944285</v>
      </c>
      <c r="GB178" s="1">
        <v>118559</v>
      </c>
      <c r="GC178" s="1">
        <v>6132.3378443692609</v>
      </c>
      <c r="GD178" s="1">
        <v>654427.81606817583</v>
      </c>
      <c r="GE178" s="1">
        <v>535868.8160681756</v>
      </c>
      <c r="GG178" s="1">
        <v>1970</v>
      </c>
      <c r="GH178" s="1">
        <v>16422</v>
      </c>
      <c r="GI178" s="1">
        <v>199174.34723846742</v>
      </c>
      <c r="GJ178" s="1">
        <v>58726.913744636775</v>
      </c>
      <c r="GK178" s="1">
        <v>41802.883307407385</v>
      </c>
      <c r="GL178" s="1">
        <v>96658.171576055291</v>
      </c>
      <c r="GM178" s="1">
        <v>42443.383222944285</v>
      </c>
      <c r="GN178" s="1">
        <v>118559</v>
      </c>
      <c r="GO178" s="1">
        <v>5714.3378443692609</v>
      </c>
      <c r="GP178" s="1">
        <v>579501.03693388042</v>
      </c>
      <c r="GQ178" s="1">
        <v>460942.03693388036</v>
      </c>
      <c r="GS178" s="1">
        <v>1970</v>
      </c>
      <c r="GT178" s="1">
        <v>32631</v>
      </c>
      <c r="GU178" s="1">
        <v>7626.7791342952269</v>
      </c>
      <c r="GV178" s="1">
        <v>7624</v>
      </c>
      <c r="GW178" s="1">
        <v>4986</v>
      </c>
      <c r="GX178" s="1">
        <v>15153</v>
      </c>
      <c r="GY178" s="1">
        <v>6488</v>
      </c>
      <c r="GZ178" s="1">
        <v>418</v>
      </c>
      <c r="HA178" s="1">
        <v>74926.779134295226</v>
      </c>
      <c r="HC178" s="1">
        <v>1970</v>
      </c>
      <c r="HD178" s="1">
        <v>2835.6215649255296</v>
      </c>
      <c r="HE178" s="1">
        <v>35086.611160885703</v>
      </c>
      <c r="HF178" s="1">
        <v>11588.518438177873</v>
      </c>
      <c r="HG178" s="1">
        <v>7743.3845072338881</v>
      </c>
      <c r="HH178" s="1">
        <v>22743.313043937458</v>
      </c>
      <c r="HI178" s="1">
        <v>25480.645302025325</v>
      </c>
      <c r="HJ178" s="1">
        <v>970.68940677966111</v>
      </c>
      <c r="HK178" s="2">
        <v>106448.78342396545</v>
      </c>
      <c r="HL178" s="1">
        <v>80968.138121940123</v>
      </c>
      <c r="HN178" s="1">
        <v>1970</v>
      </c>
      <c r="HO178" s="1">
        <v>3452.9530405503669</v>
      </c>
      <c r="HP178" s="1">
        <v>1343.5356390277691</v>
      </c>
      <c r="HQ178" s="1">
        <v>1504.4356827066658</v>
      </c>
      <c r="HR178" s="1">
        <v>923.58498023094057</v>
      </c>
      <c r="HS178" s="1">
        <v>3741.1769829434011</v>
      </c>
      <c r="HT178" s="1">
        <v>71.005282341454574</v>
      </c>
      <c r="HU178" s="2">
        <v>11036.691607800598</v>
      </c>
      <c r="HW178" s="1">
        <v>1970</v>
      </c>
      <c r="HX178" s="1">
        <v>1097.6698261069523</v>
      </c>
      <c r="HY178" s="1">
        <v>10858.902407033362</v>
      </c>
      <c r="HZ178" s="1">
        <v>-266.53374614047607</v>
      </c>
      <c r="IA178" s="1">
        <v>3063.6677614226428</v>
      </c>
      <c r="IB178" s="1">
        <v>4295.0517956665271</v>
      </c>
      <c r="IC178" s="1">
        <v>2614.7611515857352</v>
      </c>
      <c r="ID178" s="1">
        <v>13825.783322127063</v>
      </c>
      <c r="IE178" s="2">
        <v>35489.302517801807</v>
      </c>
      <c r="IF178" s="1">
        <v>32874.541366216072</v>
      </c>
      <c r="IH178" s="1">
        <v>1970</v>
      </c>
      <c r="II178" s="1">
        <v>242.41771760935347</v>
      </c>
      <c r="IJ178" s="1">
        <v>26.738508590052966</v>
      </c>
      <c r="IK178" s="1">
        <v>8.702904732890838</v>
      </c>
      <c r="IL178" s="1">
        <v>274.58904152568999</v>
      </c>
      <c r="IM178" s="1">
        <v>11.88960715586181</v>
      </c>
      <c r="IN178" s="1">
        <v>3.8698537743969799</v>
      </c>
      <c r="IO178" s="1">
        <v>4.4482694456721532</v>
      </c>
    </row>
    <row r="179" spans="1:249" x14ac:dyDescent="0.25">
      <c r="A179" s="1" t="s">
        <v>270</v>
      </c>
      <c r="B179" s="1">
        <v>2.3632851629816969</v>
      </c>
      <c r="C179" s="1">
        <v>2.2753564321261024</v>
      </c>
      <c r="D179" s="1">
        <v>2.3499563293556776</v>
      </c>
      <c r="E179" s="1">
        <v>2.3766157323955213</v>
      </c>
      <c r="F179" s="1">
        <v>2.3440928812447055</v>
      </c>
      <c r="G179" s="1">
        <v>-8.0237606715030552E-2</v>
      </c>
      <c r="H179" s="1">
        <v>-0.63363146621357203</v>
      </c>
      <c r="J179" s="1">
        <v>1971</v>
      </c>
      <c r="K179" s="2">
        <v>188946.30196696206</v>
      </c>
      <c r="L179" s="1">
        <v>167125.50313572629</v>
      </c>
      <c r="M179" s="1">
        <v>166373.80925261675</v>
      </c>
      <c r="N179" s="1">
        <v>144553.01042138098</v>
      </c>
      <c r="O179" s="1">
        <v>22572.492714345313</v>
      </c>
      <c r="P179" s="1">
        <v>21820.798831235763</v>
      </c>
      <c r="Q179" s="1">
        <v>156031.33416816156</v>
      </c>
      <c r="R179" s="1">
        <v>344977.63613512361</v>
      </c>
      <c r="S179" s="1">
        <v>323156.83730388782</v>
      </c>
      <c r="U179" s="1">
        <v>1971</v>
      </c>
      <c r="V179" s="1">
        <v>23331.948670138685</v>
      </c>
      <c r="W179" s="1">
        <v>142507.30457341176</v>
      </c>
      <c r="X179" s="1">
        <v>-0.76529561018384129</v>
      </c>
      <c r="Y179" s="1">
        <v>20637.417192296703</v>
      </c>
      <c r="Z179" s="1">
        <v>130582.20364864431</v>
      </c>
      <c r="AA179" s="1">
        <v>1.6614741690138715</v>
      </c>
      <c r="AB179" s="1">
        <v>8098179.2236147132</v>
      </c>
      <c r="AC179" s="1">
        <v>0.69034115401578333</v>
      </c>
      <c r="AE179" s="1">
        <v>1971</v>
      </c>
      <c r="AF179" s="1">
        <v>8508.9697530774902</v>
      </c>
      <c r="AG179" s="1">
        <v>49521.891408729811</v>
      </c>
      <c r="AH179" s="1">
        <v>13709.882734501787</v>
      </c>
      <c r="AI179" s="1">
        <v>12771.267995647793</v>
      </c>
      <c r="AJ179" s="1">
        <v>25862.738699265265</v>
      </c>
      <c r="AK179" s="1">
        <v>8376.5506091387033</v>
      </c>
      <c r="AL179" s="1">
        <v>32195.267926644996</v>
      </c>
      <c r="AM179" s="1">
        <v>16178.934008720429</v>
      </c>
      <c r="AN179" s="2">
        <v>167125.50313572626</v>
      </c>
      <c r="AP179" s="1" t="s">
        <v>270</v>
      </c>
      <c r="AQ179" s="1">
        <v>4.289198939383752</v>
      </c>
      <c r="AR179" s="1">
        <v>1.2091669536504099</v>
      </c>
      <c r="AS179" s="1">
        <v>-0.73766986517624389</v>
      </c>
      <c r="AT179" s="1">
        <v>4.4888564790527425</v>
      </c>
      <c r="AU179" s="1">
        <v>3.0779952305520055</v>
      </c>
      <c r="AV179" s="1">
        <v>-0.94741097672917363</v>
      </c>
      <c r="AW179" s="1">
        <v>3.9825886264158896</v>
      </c>
      <c r="AX179" s="1">
        <v>3.5703381884803633</v>
      </c>
      <c r="AY179" s="1">
        <v>2.3632851629816969</v>
      </c>
      <c r="BA179" s="1">
        <v>1971</v>
      </c>
      <c r="BB179" s="1">
        <v>99921.820429245185</v>
      </c>
      <c r="BC179" s="1">
        <v>43744.65960571629</v>
      </c>
      <c r="BD179" s="1">
        <v>27812.028136176908</v>
      </c>
      <c r="BE179" s="1">
        <v>13314.319250132115</v>
      </c>
      <c r="BF179" s="1">
        <v>45.108484484855524</v>
      </c>
      <c r="BG179" s="1">
        <v>1984</v>
      </c>
      <c r="BH179" s="1">
        <v>45301.365760942484</v>
      </c>
      <c r="BI179" s="1">
        <v>43176.999699735767</v>
      </c>
      <c r="BJ179" s="1">
        <v>188946.30196696206</v>
      </c>
      <c r="BL179" s="1" t="s">
        <v>270</v>
      </c>
      <c r="BM179" s="1">
        <v>8.9108998766334935E-2</v>
      </c>
      <c r="BN179" s="1">
        <v>2.1857590260149493</v>
      </c>
      <c r="BO179" s="1">
        <v>-9.8939159362519575</v>
      </c>
      <c r="BP179" s="1">
        <v>4.7687219490785964</v>
      </c>
      <c r="BQ179" s="1">
        <v>-3.3207422044781367</v>
      </c>
      <c r="BR179" s="1">
        <v>-8.0237606715030552E-2</v>
      </c>
      <c r="BT179" s="1" t="s">
        <v>270</v>
      </c>
      <c r="BU179" s="1">
        <v>7.6395908810729622</v>
      </c>
      <c r="BV179" s="1">
        <v>10.901489285013071</v>
      </c>
      <c r="BW179" s="1">
        <v>6.7680609069968227</v>
      </c>
      <c r="BX179" s="1">
        <v>4.1896222297036729</v>
      </c>
      <c r="BY179" s="1">
        <v>5.119837387251394</v>
      </c>
      <c r="BZ179" s="1">
        <v>7.9190804517981945</v>
      </c>
      <c r="CB179" s="1">
        <v>1971</v>
      </c>
      <c r="CC179" s="1">
        <v>1757.1016332889781</v>
      </c>
      <c r="CD179" s="1">
        <v>13494.290773410965</v>
      </c>
      <c r="CE179" s="1">
        <v>832.24767496842571</v>
      </c>
      <c r="CF179" s="1">
        <v>3898.3026526718077</v>
      </c>
      <c r="CG179" s="1">
        <v>3214.6683202862291</v>
      </c>
      <c r="CH179" s="1">
        <v>8080.6590362861989</v>
      </c>
      <c r="CI179" s="1">
        <v>11878.185779881274</v>
      </c>
      <c r="CJ179" s="1">
        <v>43155.455870793885</v>
      </c>
      <c r="CL179" s="1">
        <v>1971</v>
      </c>
      <c r="CM179" s="1">
        <v>1197.7401244893686</v>
      </c>
      <c r="CN179" s="1">
        <v>7289.0927458670203</v>
      </c>
      <c r="CO179" s="1">
        <v>650.15064620415285</v>
      </c>
      <c r="CP179" s="1">
        <v>3494.1033702894797</v>
      </c>
      <c r="CQ179" s="1">
        <v>1891.5768557946567</v>
      </c>
      <c r="CR179" s="1">
        <v>2961.6235468344053</v>
      </c>
      <c r="CS179" s="1">
        <v>5088.2054248662289</v>
      </c>
      <c r="CT179" s="2">
        <v>22572.492714345313</v>
      </c>
      <c r="CV179" s="1">
        <v>1971</v>
      </c>
      <c r="CW179" s="1">
        <v>169653.15525738947</v>
      </c>
      <c r="CX179" s="1">
        <v>197785.96910159755</v>
      </c>
      <c r="CY179" s="1">
        <v>77944.644418738724</v>
      </c>
      <c r="CZ179" s="1">
        <v>2961.938361213779</v>
      </c>
      <c r="DA179" s="1">
        <v>72388.359643312637</v>
      </c>
      <c r="DB179" s="1">
        <v>520734.06678225216</v>
      </c>
      <c r="DC179" s="1">
        <v>436151.88531599328</v>
      </c>
      <c r="DD179" s="1">
        <v>151675.02922437075</v>
      </c>
      <c r="DF179" s="1">
        <v>1971</v>
      </c>
      <c r="DG179" s="1">
        <v>4.2479428827606682</v>
      </c>
      <c r="DH179" s="1">
        <v>4.0022717789796474</v>
      </c>
      <c r="DI179" s="1">
        <v>4.4595306412328739</v>
      </c>
      <c r="DJ179" s="1">
        <v>3.7458846896644076</v>
      </c>
      <c r="DK179" s="1">
        <v>1.5229379880265412</v>
      </c>
      <c r="DL179" s="1">
        <v>2.740772148693523</v>
      </c>
      <c r="DM179" s="1">
        <v>3.9489084602022899</v>
      </c>
      <c r="DN179" s="1">
        <v>3.5429763071804388</v>
      </c>
      <c r="DO179" s="1">
        <v>4.06138994858361</v>
      </c>
      <c r="DQ179" s="1">
        <v>1971</v>
      </c>
      <c r="DR179" s="1">
        <v>264872.88849980145</v>
      </c>
      <c r="DS179" s="1">
        <v>314211.77279069461</v>
      </c>
      <c r="DT179" s="1">
        <v>143615.60537595945</v>
      </c>
      <c r="DU179" s="1">
        <v>2961.938361213779</v>
      </c>
      <c r="DV179" s="1">
        <v>72388.359643312637</v>
      </c>
      <c r="DW179" s="1">
        <v>798050.56467098196</v>
      </c>
      <c r="DX179" s="1">
        <v>680651.66630422766</v>
      </c>
      <c r="DY179" s="1">
        <v>222804.43624601336</v>
      </c>
      <c r="EA179" s="1">
        <v>1971</v>
      </c>
      <c r="EB179" s="1">
        <v>4.1742724386953682</v>
      </c>
      <c r="EC179" s="1">
        <v>3.9499682805094807</v>
      </c>
      <c r="ED179" s="1">
        <v>4.3640921661706642</v>
      </c>
      <c r="EE179" s="1">
        <v>4.5295470458270444</v>
      </c>
      <c r="EF179" s="1">
        <v>1.5229379880265412</v>
      </c>
      <c r="EG179" s="1">
        <v>2.740772148693523</v>
      </c>
      <c r="EH179" s="1">
        <v>4.0993076349694206</v>
      </c>
      <c r="EI179" s="1">
        <v>3.7317013911988681</v>
      </c>
      <c r="EJ179" s="1">
        <v>4.346074715639503</v>
      </c>
      <c r="EL179" s="1">
        <v>1971</v>
      </c>
      <c r="EM179" s="1">
        <v>310100</v>
      </c>
      <c r="EN179" s="1">
        <v>1184961.5563651084</v>
      </c>
      <c r="EO179" s="1">
        <v>344900</v>
      </c>
      <c r="EP179" s="1">
        <v>248551.15666755693</v>
      </c>
      <c r="EQ179" s="1">
        <v>671976.81473456125</v>
      </c>
      <c r="ER179" s="1">
        <v>318000</v>
      </c>
      <c r="ES179" s="1">
        <v>860300</v>
      </c>
      <c r="ET179" s="1">
        <v>49186.890243902439</v>
      </c>
      <c r="EU179" s="1">
        <v>3987976.4180111289</v>
      </c>
      <c r="EV179" s="1">
        <v>3127676.4180111289</v>
      </c>
      <c r="EX179" s="1">
        <v>1971</v>
      </c>
      <c r="EY179" s="1">
        <v>120200</v>
      </c>
      <c r="EZ179" s="1">
        <v>1144761.5563651084</v>
      </c>
      <c r="FA179" s="1">
        <v>302400</v>
      </c>
      <c r="FB179" s="1">
        <v>224851.15666755693</v>
      </c>
      <c r="FC179" s="1">
        <v>601776.81473456125</v>
      </c>
      <c r="FD179" s="1">
        <v>276400</v>
      </c>
      <c r="FE179" s="1">
        <v>860300</v>
      </c>
      <c r="FF179" s="1">
        <v>46586.890243902439</v>
      </c>
      <c r="FG179" s="1">
        <v>3577276.4180111289</v>
      </c>
      <c r="FH179" s="1">
        <v>2716976.4180111289</v>
      </c>
      <c r="FJ179" s="1">
        <v>1971</v>
      </c>
      <c r="FK179" s="1">
        <v>189900</v>
      </c>
      <c r="FL179" s="1">
        <v>40200</v>
      </c>
      <c r="FM179" s="1">
        <v>42500</v>
      </c>
      <c r="FN179" s="1">
        <v>23700</v>
      </c>
      <c r="FO179" s="1">
        <v>70200</v>
      </c>
      <c r="FP179" s="1">
        <v>41600</v>
      </c>
      <c r="FQ179" s="1">
        <v>2600</v>
      </c>
      <c r="FR179" s="1">
        <v>410700</v>
      </c>
      <c r="FS179" s="1">
        <v>876948.38111446809</v>
      </c>
      <c r="FU179" s="1">
        <v>1971</v>
      </c>
      <c r="FV179" s="1">
        <v>46686</v>
      </c>
      <c r="FW179" s="1">
        <v>199225.8947360412</v>
      </c>
      <c r="FX179" s="1">
        <v>59838.120727918329</v>
      </c>
      <c r="FY179" s="1">
        <v>45784.986418620523</v>
      </c>
      <c r="FZ179" s="1">
        <v>113026.06240667171</v>
      </c>
      <c r="GA179" s="1">
        <v>47359.784787338547</v>
      </c>
      <c r="GB179" s="1">
        <v>122988</v>
      </c>
      <c r="GC179" s="1">
        <v>6269.337361043983</v>
      </c>
      <c r="GD179" s="1">
        <v>641178.18643763429</v>
      </c>
      <c r="GE179" s="1">
        <v>518190.18643763423</v>
      </c>
      <c r="GG179" s="1">
        <v>1971</v>
      </c>
      <c r="GH179" s="1">
        <v>15766</v>
      </c>
      <c r="GI179" s="1">
        <v>192185.48408121322</v>
      </c>
      <c r="GJ179" s="1">
        <v>52621.120727918329</v>
      </c>
      <c r="GK179" s="1">
        <v>41471.986418620523</v>
      </c>
      <c r="GL179" s="1">
        <v>97945.062406671714</v>
      </c>
      <c r="GM179" s="1">
        <v>41049.784787338547</v>
      </c>
      <c r="GN179" s="1">
        <v>122988</v>
      </c>
      <c r="GO179" s="1">
        <v>5891.337361043983</v>
      </c>
      <c r="GP179" s="1">
        <v>569918.77578280633</v>
      </c>
      <c r="GQ179" s="1">
        <v>446930.77578280627</v>
      </c>
      <c r="GS179" s="1">
        <v>1971</v>
      </c>
      <c r="GT179" s="1">
        <v>30920</v>
      </c>
      <c r="GU179" s="1">
        <v>7040.4106548279669</v>
      </c>
      <c r="GV179" s="1">
        <v>7217</v>
      </c>
      <c r="GW179" s="1">
        <v>4313</v>
      </c>
      <c r="GX179" s="1">
        <v>15081</v>
      </c>
      <c r="GY179" s="1">
        <v>6310</v>
      </c>
      <c r="GZ179" s="1">
        <v>378</v>
      </c>
      <c r="HA179" s="1">
        <v>71259.410654827967</v>
      </c>
      <c r="HC179" s="1">
        <v>1971</v>
      </c>
      <c r="HD179" s="1">
        <v>2976.5420599958047</v>
      </c>
      <c r="HE179" s="1">
        <v>37672.379933017626</v>
      </c>
      <c r="HF179" s="1">
        <v>11876.687635574837</v>
      </c>
      <c r="HG179" s="1">
        <v>8340.4979817678814</v>
      </c>
      <c r="HH179" s="1">
        <v>25163.888485810217</v>
      </c>
      <c r="HI179" s="1">
        <v>29233.64437981059</v>
      </c>
      <c r="HJ179" s="1">
        <v>1090.3004237288137</v>
      </c>
      <c r="HK179" s="2">
        <v>116353.94089970578</v>
      </c>
      <c r="HL179" s="1">
        <v>87120.296519895186</v>
      </c>
      <c r="HN179" s="1">
        <v>1971</v>
      </c>
      <c r="HO179" s="1">
        <v>4334.6875685923169</v>
      </c>
      <c r="HP179" s="1">
        <v>1380.0679397881311</v>
      </c>
      <c r="HQ179" s="1">
        <v>1628.8907092863892</v>
      </c>
      <c r="HR179" s="1">
        <v>867.39437634493288</v>
      </c>
      <c r="HS179" s="1">
        <v>4116.8939819560364</v>
      </c>
      <c r="HT179" s="1">
        <v>69.95585805265425</v>
      </c>
      <c r="HU179" s="2">
        <v>12397.890434020461</v>
      </c>
      <c r="HW179" s="1">
        <v>1971</v>
      </c>
      <c r="HX179" s="1">
        <v>1197.7401244893681</v>
      </c>
      <c r="HY179" s="1">
        <v>10469.44353592406</v>
      </c>
      <c r="HZ179" s="1">
        <v>204.30438964055975</v>
      </c>
      <c r="IA179" s="1">
        <v>3563.3756375349785</v>
      </c>
      <c r="IB179" s="1">
        <v>4958.5068406377177</v>
      </c>
      <c r="IC179" s="1">
        <v>2961.6235468344071</v>
      </c>
      <c r="ID179" s="1">
        <v>15018.67772693896</v>
      </c>
      <c r="IE179" s="2">
        <v>38373.671802000048</v>
      </c>
      <c r="IF179" s="1">
        <v>35412.048255165646</v>
      </c>
      <c r="IH179" s="1">
        <v>1971</v>
      </c>
      <c r="II179" s="1">
        <v>263.64268550668351</v>
      </c>
      <c r="IJ179" s="1">
        <v>23.833435863917288</v>
      </c>
      <c r="IK179" s="1">
        <v>7.3001705370612919</v>
      </c>
      <c r="IL179" s="1">
        <v>301.89230902022268</v>
      </c>
      <c r="IM179" s="1">
        <v>8.1437937012693205</v>
      </c>
      <c r="IN179" s="1">
        <v>2.4944402971255095</v>
      </c>
      <c r="IO179" s="1">
        <v>3.1627188337332655</v>
      </c>
    </row>
    <row r="180" spans="1:249" x14ac:dyDescent="0.25">
      <c r="A180" s="1" t="s">
        <v>271</v>
      </c>
      <c r="B180" s="1">
        <v>2.6097064125469842</v>
      </c>
      <c r="C180" s="1">
        <v>2.4770050818395504</v>
      </c>
      <c r="D180" s="1">
        <v>2.6123956950042384</v>
      </c>
      <c r="E180" s="1">
        <v>2.6070172005709082</v>
      </c>
      <c r="F180" s="1">
        <v>2.7529361044696543</v>
      </c>
      <c r="G180" s="1">
        <v>2.8508834150140245</v>
      </c>
      <c r="H180" s="1">
        <v>2.674262870162508</v>
      </c>
      <c r="J180" s="1">
        <v>1972</v>
      </c>
      <c r="K180" s="2">
        <v>207137.59021375631</v>
      </c>
      <c r="L180" s="1">
        <v>179643.17365588108</v>
      </c>
      <c r="M180" s="1">
        <v>182149.45079817856</v>
      </c>
      <c r="N180" s="1">
        <v>154655.03424030333</v>
      </c>
      <c r="O180" s="1">
        <v>24988.13941557776</v>
      </c>
      <c r="P180" s="1">
        <v>27494.416557875229</v>
      </c>
      <c r="Q180" s="1">
        <v>167974.68893828426</v>
      </c>
      <c r="R180" s="1">
        <v>375112.2791520406</v>
      </c>
      <c r="S180" s="1">
        <v>347617.86259416537</v>
      </c>
      <c r="U180" s="1">
        <v>1972</v>
      </c>
      <c r="V180" s="1">
        <v>25502.821698065647</v>
      </c>
      <c r="W180" s="1">
        <v>146137.55980571432</v>
      </c>
      <c r="X180" s="1">
        <v>2.5474169504289961</v>
      </c>
      <c r="Y180" s="1">
        <v>22117.703610883862</v>
      </c>
      <c r="Z180" s="1">
        <v>133594.67182271212</v>
      </c>
      <c r="AA180" s="1">
        <v>2.306951552275379</v>
      </c>
      <c r="AB180" s="1">
        <v>8122143.9990488347</v>
      </c>
      <c r="AC180" s="1">
        <v>0.295927945929364</v>
      </c>
      <c r="AE180" s="1">
        <v>1972</v>
      </c>
      <c r="AF180" s="1">
        <v>8003.663285443653</v>
      </c>
      <c r="AG180" s="1">
        <v>52218.460430302061</v>
      </c>
      <c r="AH180" s="1">
        <v>14844.403820650123</v>
      </c>
      <c r="AI180" s="1">
        <v>14174.303113468131</v>
      </c>
      <c r="AJ180" s="1">
        <v>27206.891791523743</v>
      </c>
      <c r="AK180" s="1">
        <v>9408.0174379340424</v>
      </c>
      <c r="AL180" s="1">
        <v>35944.526227456474</v>
      </c>
      <c r="AM180" s="1">
        <v>17842.907549102878</v>
      </c>
      <c r="AN180" s="2">
        <v>179643.17365588111</v>
      </c>
      <c r="AP180" s="1" t="s">
        <v>271</v>
      </c>
      <c r="AQ180" s="1">
        <v>-3.9105688103572902</v>
      </c>
      <c r="AR180" s="1">
        <v>2.011977873558024</v>
      </c>
      <c r="AS180" s="1">
        <v>3.5613906130834323</v>
      </c>
      <c r="AT180" s="1">
        <v>1.308275339724247</v>
      </c>
      <c r="AU180" s="1">
        <v>4.3508968772176075</v>
      </c>
      <c r="AV180" s="1">
        <v>3.4772663078852588</v>
      </c>
      <c r="AW180" s="1">
        <v>3.4058330147062321</v>
      </c>
      <c r="AX180" s="1">
        <v>3.1889018207126583</v>
      </c>
      <c r="AY180" s="1">
        <v>2.6097064125469842</v>
      </c>
      <c r="BA180" s="1">
        <v>1972</v>
      </c>
      <c r="BB180" s="1">
        <v>109978.15547445792</v>
      </c>
      <c r="BC180" s="1">
        <v>48365.115510585485</v>
      </c>
      <c r="BD180" s="1">
        <v>30814.279251135726</v>
      </c>
      <c r="BE180" s="1">
        <v>14987.102494923927</v>
      </c>
      <c r="BF180" s="1">
        <v>120.43293918580467</v>
      </c>
      <c r="BG180" s="1">
        <v>-177</v>
      </c>
      <c r="BH180" s="1">
        <v>49266.997156967343</v>
      </c>
      <c r="BI180" s="1">
        <v>46217.492613499882</v>
      </c>
      <c r="BJ180" s="1">
        <v>207137.59021375637</v>
      </c>
      <c r="BL180" s="1" t="s">
        <v>271</v>
      </c>
      <c r="BM180" s="1">
        <v>3.431721163344605</v>
      </c>
      <c r="BN180" s="1">
        <v>2.4372480800166443</v>
      </c>
      <c r="BO180" s="1">
        <v>-8.0743443564728068E-2</v>
      </c>
      <c r="BP180" s="1">
        <v>5.8637542389786432</v>
      </c>
      <c r="BQ180" s="1">
        <v>3.973359535043258</v>
      </c>
      <c r="BR180" s="1">
        <v>2.8508834150140245</v>
      </c>
      <c r="BT180" s="1" t="s">
        <v>271</v>
      </c>
      <c r="BU180" s="1">
        <v>6.412425470762841</v>
      </c>
      <c r="BV180" s="1">
        <v>7.9317664655419264</v>
      </c>
      <c r="BW180" s="1">
        <v>6.0857301760234321</v>
      </c>
      <c r="BX180" s="1">
        <v>2.7300515183174667</v>
      </c>
      <c r="BY180" s="1">
        <v>2.9513018940456845</v>
      </c>
      <c r="BZ180" s="1">
        <v>6.5890267553812834</v>
      </c>
      <c r="CB180" s="1">
        <v>1972</v>
      </c>
      <c r="CC180" s="1">
        <v>1697.3661435433417</v>
      </c>
      <c r="CD180" s="1">
        <v>12899.452526730292</v>
      </c>
      <c r="CE180" s="1">
        <v>743.57089933702719</v>
      </c>
      <c r="CF180" s="1">
        <v>4728.1949555411475</v>
      </c>
      <c r="CG180" s="1">
        <v>4118.9342974056972</v>
      </c>
      <c r="CH180" s="1">
        <v>8557.5755470443655</v>
      </c>
      <c r="CI180" s="1">
        <v>12999.720315643584</v>
      </c>
      <c r="CJ180" s="1">
        <v>45744.814685245459</v>
      </c>
      <c r="CL180" s="1">
        <v>1972</v>
      </c>
      <c r="CM180" s="1">
        <v>1313.5367503285795</v>
      </c>
      <c r="CN180" s="1">
        <v>8050.1729945979587</v>
      </c>
      <c r="CO180" s="1">
        <v>694.22540528090053</v>
      </c>
      <c r="CP180" s="1">
        <v>3936.4139668863072</v>
      </c>
      <c r="CQ180" s="1">
        <v>2075.8408635782293</v>
      </c>
      <c r="CR180" s="1">
        <v>3275.3724304146326</v>
      </c>
      <c r="CS180" s="1">
        <v>5642.5770044911551</v>
      </c>
      <c r="CT180" s="2">
        <v>24988.13941557776</v>
      </c>
      <c r="CV180" s="1">
        <v>1972</v>
      </c>
      <c r="CW180" s="1">
        <v>188274.93646916765</v>
      </c>
      <c r="CX180" s="1">
        <v>218652.66136205028</v>
      </c>
      <c r="CY180" s="1">
        <v>86012.529096211802</v>
      </c>
      <c r="CZ180" s="1">
        <v>3440.7289198725998</v>
      </c>
      <c r="DA180" s="1">
        <v>77420.921562787975</v>
      </c>
      <c r="DB180" s="1">
        <v>573801.77741009032</v>
      </c>
      <c r="DC180" s="1">
        <v>479441.03442672308</v>
      </c>
      <c r="DD180" s="1">
        <v>166294.16570458229</v>
      </c>
      <c r="DF180" s="1">
        <v>1972</v>
      </c>
      <c r="DG180" s="1">
        <v>4.25260498280349</v>
      </c>
      <c r="DH180" s="1">
        <v>3.9076594310030401</v>
      </c>
      <c r="DI180" s="1">
        <v>4.5493790748319469</v>
      </c>
      <c r="DJ180" s="1">
        <v>4.0795590725999347</v>
      </c>
      <c r="DK180" s="1">
        <v>3.5002158551410645</v>
      </c>
      <c r="DL180" s="1">
        <v>-0.22861969559943418</v>
      </c>
      <c r="DM180" s="1">
        <v>3.6122225822329312</v>
      </c>
      <c r="DN180" s="1">
        <v>3.224838551319408</v>
      </c>
      <c r="DO180" s="1">
        <v>3.1769630147135075</v>
      </c>
      <c r="DQ180" s="1">
        <v>1972</v>
      </c>
      <c r="DR180" s="1">
        <v>293798.52519438067</v>
      </c>
      <c r="DS180" s="1">
        <v>347177.98365077446</v>
      </c>
      <c r="DT180" s="1">
        <v>159861.42576683362</v>
      </c>
      <c r="DU180" s="1">
        <v>3440.7289198725998</v>
      </c>
      <c r="DV180" s="1">
        <v>77420.921562787975</v>
      </c>
      <c r="DW180" s="1">
        <v>881699.58509464923</v>
      </c>
      <c r="DX180" s="1">
        <v>750546.75935488974</v>
      </c>
      <c r="DY180" s="1">
        <v>245346.8606338618</v>
      </c>
      <c r="EA180" s="1">
        <v>1972</v>
      </c>
      <c r="EB180" s="1">
        <v>4.1819650594441242</v>
      </c>
      <c r="EC180" s="1">
        <v>3.8920837848390306</v>
      </c>
      <c r="ED180" s="1">
        <v>4.4268832949907306</v>
      </c>
      <c r="EE180" s="1">
        <v>4.6391603463249425</v>
      </c>
      <c r="EF180" s="1">
        <v>3.5002158551410645</v>
      </c>
      <c r="EG180" s="1">
        <v>-0.22861969559943418</v>
      </c>
      <c r="EH180" s="1">
        <v>3.8707796849128471</v>
      </c>
      <c r="EI180" s="1">
        <v>3.5202109924628076</v>
      </c>
      <c r="EJ180" s="1">
        <v>3.7328138496056056</v>
      </c>
      <c r="EL180" s="1">
        <v>1972</v>
      </c>
      <c r="EM180" s="1">
        <v>290800</v>
      </c>
      <c r="EN180" s="1">
        <v>1163218.2554138838</v>
      </c>
      <c r="EO180" s="1">
        <v>347500</v>
      </c>
      <c r="EP180" s="1">
        <v>253970.14671699854</v>
      </c>
      <c r="EQ180" s="1">
        <v>671033.15276273026</v>
      </c>
      <c r="ER180" s="1">
        <v>319700</v>
      </c>
      <c r="ES180" s="1">
        <v>904500</v>
      </c>
      <c r="ET180" s="1">
        <v>51272.560975609755</v>
      </c>
      <c r="EU180" s="1">
        <v>4001994.1158692222</v>
      </c>
      <c r="EV180" s="1">
        <v>3097494.1158692222</v>
      </c>
      <c r="EX180" s="1">
        <v>1972</v>
      </c>
      <c r="EY180" s="1">
        <v>113000</v>
      </c>
      <c r="EZ180" s="1">
        <v>1124018.2554138838</v>
      </c>
      <c r="FA180" s="1">
        <v>304700</v>
      </c>
      <c r="FB180" s="1">
        <v>229970.14671699854</v>
      </c>
      <c r="FC180" s="1">
        <v>606533.15276273026</v>
      </c>
      <c r="FD180" s="1">
        <v>279000</v>
      </c>
      <c r="FE180" s="1">
        <v>904500</v>
      </c>
      <c r="FF180" s="1">
        <v>48572.560975609755</v>
      </c>
      <c r="FG180" s="1">
        <v>3610294.1158692222</v>
      </c>
      <c r="FH180" s="1">
        <v>2705794.1158692222</v>
      </c>
      <c r="FJ180" s="1">
        <v>1972</v>
      </c>
      <c r="FK180" s="1">
        <v>177800</v>
      </c>
      <c r="FL180" s="1">
        <v>39200</v>
      </c>
      <c r="FM180" s="1">
        <v>42800</v>
      </c>
      <c r="FN180" s="1">
        <v>24000</v>
      </c>
      <c r="FO180" s="1">
        <v>64500</v>
      </c>
      <c r="FP180" s="1">
        <v>40700</v>
      </c>
      <c r="FQ180" s="1">
        <v>2700</v>
      </c>
      <c r="FR180" s="1">
        <v>391700</v>
      </c>
      <c r="FS180" s="1">
        <v>851879.31313351041</v>
      </c>
      <c r="FU180" s="1">
        <v>1972</v>
      </c>
      <c r="FV180" s="1">
        <v>42560</v>
      </c>
      <c r="FW180" s="1">
        <v>190394.41896381072</v>
      </c>
      <c r="FX180" s="1">
        <v>60311.169995561475</v>
      </c>
      <c r="FY180" s="1">
        <v>44977.169274831991</v>
      </c>
      <c r="FZ180" s="1">
        <v>110297.52490868304</v>
      </c>
      <c r="GA180" s="1">
        <v>46502.406205525214</v>
      </c>
      <c r="GB180" s="1">
        <v>126897</v>
      </c>
      <c r="GC180" s="1">
        <v>6233.2426292895125</v>
      </c>
      <c r="GD180" s="1">
        <v>628172.93197770184</v>
      </c>
      <c r="GE180" s="1">
        <v>501275.93197770196</v>
      </c>
      <c r="GG180" s="1">
        <v>1972</v>
      </c>
      <c r="GH180" s="1">
        <v>14090</v>
      </c>
      <c r="GI180" s="1">
        <v>183615.28133894945</v>
      </c>
      <c r="GJ180" s="1">
        <v>52517.169995561475</v>
      </c>
      <c r="GK180" s="1">
        <v>40571.169274831991</v>
      </c>
      <c r="GL180" s="1">
        <v>96287.524908683059</v>
      </c>
      <c r="GM180" s="1">
        <v>40471.406205525214</v>
      </c>
      <c r="GN180" s="1">
        <v>126897</v>
      </c>
      <c r="GO180" s="1">
        <v>5856.2426292895125</v>
      </c>
      <c r="GP180" s="1">
        <v>560305.79435284075</v>
      </c>
      <c r="GQ180" s="1">
        <v>433408.79435284069</v>
      </c>
      <c r="GS180" s="1">
        <v>1972</v>
      </c>
      <c r="GT180" s="1">
        <v>28470</v>
      </c>
      <c r="GU180" s="1">
        <v>6779.1376248612651</v>
      </c>
      <c r="GV180" s="1">
        <v>7794</v>
      </c>
      <c r="GW180" s="1">
        <v>4406</v>
      </c>
      <c r="GX180" s="1">
        <v>14010</v>
      </c>
      <c r="GY180" s="1">
        <v>6031</v>
      </c>
      <c r="GZ180" s="1">
        <v>377</v>
      </c>
      <c r="HA180" s="1">
        <v>67867.137624861251</v>
      </c>
      <c r="HC180" s="1">
        <v>1972</v>
      </c>
      <c r="HD180" s="1">
        <v>2834.5458359555278</v>
      </c>
      <c r="HE180" s="1">
        <v>40169.546151712959</v>
      </c>
      <c r="HF180" s="1">
        <v>12312.191460212352</v>
      </c>
      <c r="HG180" s="1">
        <v>9040.488911061726</v>
      </c>
      <c r="HH180" s="1">
        <v>28886.643746397825</v>
      </c>
      <c r="HI180" s="1">
        <v>32669.153797041821</v>
      </c>
      <c r="HJ180" s="1">
        <v>1189.9762711864407</v>
      </c>
      <c r="HK180" s="2">
        <v>127102.54617356865</v>
      </c>
      <c r="HL180" s="1">
        <v>94433.392376526826</v>
      </c>
      <c r="HN180" s="1">
        <v>1972</v>
      </c>
      <c r="HO180" s="1">
        <v>3855.5806991595455</v>
      </c>
      <c r="HP180" s="1">
        <v>1483.0730846851006</v>
      </c>
      <c r="HQ180" s="1">
        <v>1827.2351737347103</v>
      </c>
      <c r="HR180" s="1">
        <v>981.79063739352671</v>
      </c>
      <c r="HS180" s="1">
        <v>4219.1110796046678</v>
      </c>
      <c r="HT180" s="1">
        <v>76.605612614741602</v>
      </c>
      <c r="HU180" s="2">
        <v>12443.396287192292</v>
      </c>
      <c r="HW180" s="1">
        <v>1972</v>
      </c>
      <c r="HX180" s="1">
        <v>1313.5367503285797</v>
      </c>
      <c r="HY180" s="1">
        <v>10565.841193904002</v>
      </c>
      <c r="HZ180" s="1">
        <v>704.97718670305949</v>
      </c>
      <c r="IA180" s="1">
        <v>4152.023565012878</v>
      </c>
      <c r="IB180" s="1">
        <v>3509.1544034552903</v>
      </c>
      <c r="IC180" s="1">
        <v>3275.3724304146554</v>
      </c>
      <c r="ID180" s="1">
        <v>16576.325665301694</v>
      </c>
      <c r="IE180" s="2">
        <v>40097.231195120155</v>
      </c>
      <c r="IF180" s="1">
        <v>36821.858764705503</v>
      </c>
      <c r="IH180" s="1">
        <v>1972</v>
      </c>
      <c r="II180" s="1">
        <v>267.31262134773914</v>
      </c>
      <c r="IJ180" s="1">
        <v>21.801201223552344</v>
      </c>
      <c r="IK180" s="1">
        <v>6.6959066023838139</v>
      </c>
      <c r="IL180" s="1">
        <v>307.04553902244595</v>
      </c>
      <c r="IM180" s="1">
        <v>6.0396398724134288</v>
      </c>
      <c r="IN180" s="1">
        <v>1.8549833141315353</v>
      </c>
      <c r="IO180" s="1">
        <v>2.0523939803765927</v>
      </c>
    </row>
    <row r="181" spans="1:249" x14ac:dyDescent="0.25">
      <c r="A181" s="1" t="s">
        <v>272</v>
      </c>
      <c r="B181" s="1">
        <v>3.7706030669611152</v>
      </c>
      <c r="C181" s="1">
        <v>3.6987509667679035</v>
      </c>
      <c r="D181" s="1">
        <v>3.8014355518139809</v>
      </c>
      <c r="E181" s="1">
        <v>3.7397797403835114</v>
      </c>
      <c r="F181" s="1">
        <v>4.055807917956173</v>
      </c>
      <c r="G181" s="1">
        <v>3.5366560439520356</v>
      </c>
      <c r="H181" s="1">
        <v>3.4376460185181656</v>
      </c>
      <c r="J181" s="1">
        <v>1973</v>
      </c>
      <c r="K181" s="2">
        <v>229689.46475556312</v>
      </c>
      <c r="L181" s="1">
        <v>200264.65769979742</v>
      </c>
      <c r="M181" s="1">
        <v>201936.85612873721</v>
      </c>
      <c r="N181" s="1">
        <v>172512.04907297151</v>
      </c>
      <c r="O181" s="1">
        <v>27752.608626825895</v>
      </c>
      <c r="P181" s="1">
        <v>29424.807055765705</v>
      </c>
      <c r="Q181" s="1">
        <v>192794.1857965129</v>
      </c>
      <c r="R181" s="1">
        <v>422483.65055207605</v>
      </c>
      <c r="S181" s="1">
        <v>393058.84349631029</v>
      </c>
      <c r="U181" s="1">
        <v>1973</v>
      </c>
      <c r="V181" s="1">
        <v>28228.563215413487</v>
      </c>
      <c r="W181" s="1">
        <v>151033.87626492849</v>
      </c>
      <c r="X181" s="1">
        <v>3.3504846158124479</v>
      </c>
      <c r="Y181" s="1">
        <v>24612.289273728882</v>
      </c>
      <c r="Z181" s="1">
        <v>138382.71952122779</v>
      </c>
      <c r="AA181" s="1">
        <v>3.584010973783208</v>
      </c>
      <c r="AB181" s="1">
        <v>8136774.9042978939</v>
      </c>
      <c r="AC181" s="1">
        <v>0.18013599919888179</v>
      </c>
      <c r="AE181" s="1">
        <v>1973</v>
      </c>
      <c r="AF181" s="1">
        <v>8484.991703948228</v>
      </c>
      <c r="AG181" s="1">
        <v>59333.88367137665</v>
      </c>
      <c r="AH181" s="1">
        <v>16628.264927342738</v>
      </c>
      <c r="AI181" s="1">
        <v>15935.877009519052</v>
      </c>
      <c r="AJ181" s="1">
        <v>30480.339283553029</v>
      </c>
      <c r="AK181" s="1">
        <v>10361.804146020662</v>
      </c>
      <c r="AL181" s="1">
        <v>39367.173326501834</v>
      </c>
      <c r="AM181" s="1">
        <v>19672.323631535233</v>
      </c>
      <c r="AN181" s="2">
        <v>200264.65769979742</v>
      </c>
      <c r="AP181" s="1" t="s">
        <v>272</v>
      </c>
      <c r="AQ181" s="1">
        <v>-0.23861160013947824</v>
      </c>
      <c r="AR181" s="1">
        <v>5.61720898075977</v>
      </c>
      <c r="AS181" s="1">
        <v>-0.69668036984052151</v>
      </c>
      <c r="AT181" s="1">
        <v>6.9231922345433219</v>
      </c>
      <c r="AU181" s="1">
        <v>5.0053686548756389</v>
      </c>
      <c r="AV181" s="1">
        <v>4.4891626655513477</v>
      </c>
      <c r="AW181" s="1">
        <v>1.8086504336291824</v>
      </c>
      <c r="AX181" s="1">
        <v>3.1794943165227068</v>
      </c>
      <c r="AY181" s="1">
        <v>3.7706030669611152</v>
      </c>
      <c r="BA181" s="1">
        <v>1973</v>
      </c>
      <c r="BB181" s="1">
        <v>121346.7110210208</v>
      </c>
      <c r="BC181" s="1">
        <v>53709.546106961796</v>
      </c>
      <c r="BD181" s="1">
        <v>31995.150780716474</v>
      </c>
      <c r="BE181" s="1">
        <v>17497.895140878372</v>
      </c>
      <c r="BF181" s="1">
        <v>102.6573030076152</v>
      </c>
      <c r="BG181" s="1">
        <v>-1189</v>
      </c>
      <c r="BH181" s="1">
        <v>62111.564287676571</v>
      </c>
      <c r="BI181" s="1">
        <v>55885.059884698538</v>
      </c>
      <c r="BJ181" s="1">
        <v>229689.46475556307</v>
      </c>
      <c r="BL181" s="1" t="s">
        <v>272</v>
      </c>
      <c r="BM181" s="1">
        <v>2.5795300810861335</v>
      </c>
      <c r="BN181" s="1">
        <v>2.5275399350722267</v>
      </c>
      <c r="BO181" s="1">
        <v>-0.70648889025700612</v>
      </c>
      <c r="BP181" s="1">
        <v>13.694306522578884</v>
      </c>
      <c r="BQ181" s="1">
        <v>6.9262486905743685</v>
      </c>
      <c r="BR181" s="1">
        <v>3.5366560439520356</v>
      </c>
      <c r="BT181" s="1" t="s">
        <v>272</v>
      </c>
      <c r="BU181" s="1">
        <v>7.5624963575224342</v>
      </c>
      <c r="BV181" s="1">
        <v>8.3125338852555046</v>
      </c>
      <c r="BW181" s="1">
        <v>6.5719138628762721</v>
      </c>
      <c r="BX181" s="1">
        <v>10.886240013122645</v>
      </c>
      <c r="BY181" s="1">
        <v>13.08500185365979</v>
      </c>
      <c r="BZ181" s="1">
        <v>7.0996426902907501</v>
      </c>
      <c r="CB181" s="1">
        <v>1973</v>
      </c>
      <c r="CC181" s="1">
        <v>1906.7860369563123</v>
      </c>
      <c r="CD181" s="1">
        <v>13633.837712481723</v>
      </c>
      <c r="CE181" s="1">
        <v>854.31303614239891</v>
      </c>
      <c r="CF181" s="1">
        <v>5490.9957624619383</v>
      </c>
      <c r="CG181" s="1">
        <v>4460.2846184897526</v>
      </c>
      <c r="CH181" s="1">
        <v>8316.4187086485963</v>
      </c>
      <c r="CI181" s="1">
        <v>13744.067349421737</v>
      </c>
      <c r="CJ181" s="1">
        <v>48406.703224602461</v>
      </c>
      <c r="CL181" s="1">
        <v>1973</v>
      </c>
      <c r="CM181" s="1">
        <v>1497.3967624913028</v>
      </c>
      <c r="CN181" s="1">
        <v>9092.5591278894062</v>
      </c>
      <c r="CO181" s="1">
        <v>751.789848799114</v>
      </c>
      <c r="CP181" s="1">
        <v>4159.2913806794713</v>
      </c>
      <c r="CQ181" s="1">
        <v>2379.5743588839982</v>
      </c>
      <c r="CR181" s="1">
        <v>3622.5653741732449</v>
      </c>
      <c r="CS181" s="1">
        <v>6249.4317739093558</v>
      </c>
      <c r="CT181" s="2">
        <v>27752.608626825895</v>
      </c>
      <c r="CV181" s="1">
        <v>1973</v>
      </c>
      <c r="CW181" s="1">
        <v>209045.52730176819</v>
      </c>
      <c r="CX181" s="1">
        <v>244674.05775114318</v>
      </c>
      <c r="CY181" s="1">
        <v>94784.053862925139</v>
      </c>
      <c r="CZ181" s="1">
        <v>4009.2067105659935</v>
      </c>
      <c r="DA181" s="1">
        <v>84182.617546336478</v>
      </c>
      <c r="DB181" s="1">
        <v>636695.46317273891</v>
      </c>
      <c r="DC181" s="1">
        <v>531520.68524809962</v>
      </c>
      <c r="DD181" s="1">
        <v>185863.33031543478</v>
      </c>
      <c r="DF181" s="1">
        <v>1973</v>
      </c>
      <c r="DG181" s="1">
        <v>3.7457816858414787</v>
      </c>
      <c r="DH181" s="1">
        <v>3.5851690644849583</v>
      </c>
      <c r="DI181" s="1">
        <v>3.879984049915052</v>
      </c>
      <c r="DJ181" s="1">
        <v>5.0039417786213107</v>
      </c>
      <c r="DK181" s="1">
        <v>2.5605390397324328</v>
      </c>
      <c r="DL181" s="1">
        <v>-1.4124055947126237</v>
      </c>
      <c r="DM181" s="1">
        <v>3.2429393383053906</v>
      </c>
      <c r="DN181" s="1">
        <v>3.0010341064921136</v>
      </c>
      <c r="DO181" s="1">
        <v>2.804289151569435</v>
      </c>
      <c r="DQ181" s="1">
        <v>1973</v>
      </c>
      <c r="DR181" s="1">
        <v>326161.6356862915</v>
      </c>
      <c r="DS181" s="1">
        <v>388640.1948522391</v>
      </c>
      <c r="DT181" s="1">
        <v>176967.55909316367</v>
      </c>
      <c r="DU181" s="1">
        <v>4009.2067105659935</v>
      </c>
      <c r="DV181" s="1">
        <v>84182.617546336478</v>
      </c>
      <c r="DW181" s="1">
        <v>979961.21388859674</v>
      </c>
      <c r="DX181" s="1">
        <v>833347.18348280573</v>
      </c>
      <c r="DY181" s="1">
        <v>275354.11528546468</v>
      </c>
      <c r="EA181" s="1">
        <v>1973</v>
      </c>
      <c r="EB181" s="1">
        <v>3.8551699587320485</v>
      </c>
      <c r="EC181" s="1">
        <v>3.6825164319550936</v>
      </c>
      <c r="ED181" s="1">
        <v>3.9968320044173851</v>
      </c>
      <c r="EE181" s="1">
        <v>5.1096726531568208</v>
      </c>
      <c r="EF181" s="1">
        <v>2.5605390397324328</v>
      </c>
      <c r="EG181" s="1">
        <v>-1.4124055947126237</v>
      </c>
      <c r="EH181" s="1">
        <v>3.625945896396999</v>
      </c>
      <c r="EI181" s="1">
        <v>3.3769244600368609</v>
      </c>
      <c r="EJ181" s="1">
        <v>3.4820435821735458</v>
      </c>
      <c r="EL181" s="1">
        <v>1973</v>
      </c>
      <c r="EM181" s="1">
        <v>274500</v>
      </c>
      <c r="EN181" s="1">
        <v>1174440.862173649</v>
      </c>
      <c r="EO181" s="1">
        <v>340800</v>
      </c>
      <c r="EP181" s="1">
        <v>255432.40182623302</v>
      </c>
      <c r="EQ181" s="1">
        <v>669732.06933911156</v>
      </c>
      <c r="ER181" s="1">
        <v>314800</v>
      </c>
      <c r="ES181" s="1">
        <v>936900</v>
      </c>
      <c r="ET181" s="1">
        <v>81421.341463414632</v>
      </c>
      <c r="EU181" s="1">
        <v>4048026.6748024081</v>
      </c>
      <c r="EV181" s="1">
        <v>3111126.6748024081</v>
      </c>
      <c r="EX181" s="1">
        <v>1973</v>
      </c>
      <c r="EY181" s="1">
        <v>102300</v>
      </c>
      <c r="EZ181" s="1">
        <v>1136240.862173649</v>
      </c>
      <c r="FA181" s="1">
        <v>297600</v>
      </c>
      <c r="FB181" s="1">
        <v>231232.40182623302</v>
      </c>
      <c r="FC181" s="1">
        <v>604732.06933911156</v>
      </c>
      <c r="FD181" s="1">
        <v>277700</v>
      </c>
      <c r="FE181" s="1">
        <v>936900</v>
      </c>
      <c r="FF181" s="1">
        <v>79121.341463414632</v>
      </c>
      <c r="FG181" s="1">
        <v>3665826.6748024081</v>
      </c>
      <c r="FH181" s="1">
        <v>2728926.6748024081</v>
      </c>
      <c r="FJ181" s="1">
        <v>1973</v>
      </c>
      <c r="FK181" s="1">
        <v>172200</v>
      </c>
      <c r="FL181" s="1">
        <v>38200</v>
      </c>
      <c r="FM181" s="1">
        <v>43200</v>
      </c>
      <c r="FN181" s="1">
        <v>24200</v>
      </c>
      <c r="FO181" s="1">
        <v>65000</v>
      </c>
      <c r="FP181" s="1">
        <v>37100</v>
      </c>
      <c r="FQ181" s="1">
        <v>2300</v>
      </c>
      <c r="FR181" s="1">
        <v>382200</v>
      </c>
      <c r="FS181" s="1">
        <v>846308.67436504958</v>
      </c>
      <c r="FU181" s="1">
        <v>1973</v>
      </c>
      <c r="FV181" s="1">
        <v>40555</v>
      </c>
      <c r="FW181" s="1">
        <v>188936.57646612113</v>
      </c>
      <c r="FX181" s="1">
        <v>58720.40760467526</v>
      </c>
      <c r="FY181" s="1">
        <v>45225.840707194206</v>
      </c>
      <c r="FZ181" s="1">
        <v>110710.5288248358</v>
      </c>
      <c r="GA181" s="1">
        <v>45560.370006941092</v>
      </c>
      <c r="GB181" s="1">
        <v>128842</v>
      </c>
      <c r="GC181" s="1">
        <v>6155.1304978250364</v>
      </c>
      <c r="GD181" s="1">
        <v>624705.85410759249</v>
      </c>
      <c r="GE181" s="1">
        <v>495863.85410759249</v>
      </c>
      <c r="GG181" s="1">
        <v>1973</v>
      </c>
      <c r="GH181" s="1">
        <v>12494</v>
      </c>
      <c r="GI181" s="1">
        <v>182252.17524525544</v>
      </c>
      <c r="GJ181" s="1">
        <v>50758.407604675253</v>
      </c>
      <c r="GK181" s="1">
        <v>40574.840707194213</v>
      </c>
      <c r="GL181" s="1">
        <v>96309.528824835812</v>
      </c>
      <c r="GM181" s="1">
        <v>40152.370006941099</v>
      </c>
      <c r="GN181" s="1">
        <v>128842</v>
      </c>
      <c r="GO181" s="1">
        <v>5879.1304978250364</v>
      </c>
      <c r="GP181" s="1">
        <v>557262.45288672682</v>
      </c>
      <c r="GQ181" s="1">
        <v>428420.45288672682</v>
      </c>
      <c r="GS181" s="1">
        <v>1973</v>
      </c>
      <c r="GT181" s="1">
        <v>28061</v>
      </c>
      <c r="GU181" s="1">
        <v>6684.4012208657032</v>
      </c>
      <c r="GV181" s="1">
        <v>7962</v>
      </c>
      <c r="GW181" s="1">
        <v>4651</v>
      </c>
      <c r="GX181" s="1">
        <v>14401</v>
      </c>
      <c r="GY181" s="1">
        <v>5408</v>
      </c>
      <c r="GZ181" s="1">
        <v>276</v>
      </c>
      <c r="HA181" s="1">
        <v>67443.401220865708</v>
      </c>
      <c r="HC181" s="1">
        <v>1973</v>
      </c>
      <c r="HD181" s="1">
        <v>2790.4409481854418</v>
      </c>
      <c r="HE181" s="1">
        <v>43940.755983617055</v>
      </c>
      <c r="HF181" s="1">
        <v>13107.365110172394</v>
      </c>
      <c r="HG181" s="1">
        <v>9692.7531860855361</v>
      </c>
      <c r="HH181" s="1">
        <v>30248.112880308876</v>
      </c>
      <c r="HI181" s="1">
        <v>35744.607952328588</v>
      </c>
      <c r="HJ181" s="1">
        <v>1297.3194915254239</v>
      </c>
      <c r="HK181" s="2">
        <v>136821.35555222331</v>
      </c>
      <c r="HL181" s="1">
        <v>101076.74759989473</v>
      </c>
      <c r="HN181" s="1">
        <v>1973</v>
      </c>
      <c r="HO181" s="1">
        <v>4197.1539932714832</v>
      </c>
      <c r="HP181" s="1">
        <v>1611.6002047569425</v>
      </c>
      <c r="HQ181" s="1">
        <v>2056.0306347668038</v>
      </c>
      <c r="HR181" s="1">
        <v>1111.0578447814003</v>
      </c>
      <c r="HS181" s="1">
        <v>4549.2573433497419</v>
      </c>
      <c r="HT181" s="1">
        <v>60.90359446749482</v>
      </c>
      <c r="HU181" s="2">
        <v>13586.003615393865</v>
      </c>
      <c r="HW181" s="1">
        <v>1973</v>
      </c>
      <c r="HX181" s="1">
        <v>1497.396762491303</v>
      </c>
      <c r="HY181" s="1">
        <v>13781.527483002654</v>
      </c>
      <c r="HZ181" s="1">
        <v>1464.8691824035395</v>
      </c>
      <c r="IA181" s="1">
        <v>5132.0659786521155</v>
      </c>
      <c r="IB181" s="1">
        <v>6044.7732059150712</v>
      </c>
      <c r="IC181" s="1">
        <v>3622.5653741732476</v>
      </c>
      <c r="ID181" s="1">
        <v>18314.100545542315</v>
      </c>
      <c r="IE181" s="2">
        <v>49857.298532180241</v>
      </c>
      <c r="IF181" s="1">
        <v>46234.733158006995</v>
      </c>
      <c r="IH181" s="1">
        <v>1973</v>
      </c>
      <c r="II181" s="1">
        <v>264.81984981256869</v>
      </c>
      <c r="IJ181" s="1">
        <v>26.708931660677305</v>
      </c>
      <c r="IK181" s="1">
        <v>7.9597376310264618</v>
      </c>
      <c r="IL181" s="1">
        <v>304.23384721168816</v>
      </c>
      <c r="IM181" s="1">
        <v>10.293580283142367</v>
      </c>
      <c r="IN181" s="1">
        <v>3.0676703725424321</v>
      </c>
      <c r="IO181" s="1">
        <v>0.60340679880681591</v>
      </c>
    </row>
    <row r="182" spans="1:249" x14ac:dyDescent="0.25">
      <c r="A182" s="1" t="s">
        <v>273</v>
      </c>
      <c r="B182" s="1">
        <v>3.639201831791226</v>
      </c>
      <c r="C182" s="1">
        <v>3.5420459780647349</v>
      </c>
      <c r="D182" s="1">
        <v>3.6883230284819035</v>
      </c>
      <c r="E182" s="1">
        <v>3.5901039057244049</v>
      </c>
      <c r="F182" s="1">
        <v>4.2317727975124626</v>
      </c>
      <c r="G182" s="1">
        <v>4.6050207775615348</v>
      </c>
      <c r="H182" s="1">
        <v>4.6137935273905128</v>
      </c>
      <c r="J182" s="1">
        <v>1974</v>
      </c>
      <c r="K182" s="2">
        <v>261765.10894562156</v>
      </c>
      <c r="L182" s="1">
        <v>236884.0151240768</v>
      </c>
      <c r="M182" s="1">
        <v>228672.84394715205</v>
      </c>
      <c r="N182" s="1">
        <v>203791.7501256073</v>
      </c>
      <c r="O182" s="1">
        <v>33092.264998469494</v>
      </c>
      <c r="P182" s="1">
        <v>24881.093821544753</v>
      </c>
      <c r="Q182" s="1">
        <v>243518.76691386334</v>
      </c>
      <c r="R182" s="1">
        <v>505283.87585948489</v>
      </c>
      <c r="S182" s="1">
        <v>480402.78203794011</v>
      </c>
      <c r="U182" s="1">
        <v>1974</v>
      </c>
      <c r="V182" s="1">
        <v>32076.920753195911</v>
      </c>
      <c r="W182" s="1">
        <v>157528.85394798583</v>
      </c>
      <c r="X182" s="1">
        <v>4.3003449581499922</v>
      </c>
      <c r="Y182" s="1">
        <v>29027.970196029335</v>
      </c>
      <c r="Z182" s="1">
        <v>143001.02010879654</v>
      </c>
      <c r="AA182" s="1">
        <v>3.3373390865181705</v>
      </c>
      <c r="AB182" s="1">
        <v>8160543.5559004275</v>
      </c>
      <c r="AC182" s="1">
        <v>0.29211391346193238</v>
      </c>
      <c r="AE182" s="1">
        <v>1974</v>
      </c>
      <c r="AF182" s="1">
        <v>12183.712527642316</v>
      </c>
      <c r="AG182" s="1">
        <v>74549.16638192987</v>
      </c>
      <c r="AH182" s="1">
        <v>17288.794674340032</v>
      </c>
      <c r="AI182" s="1">
        <v>18111.662378569461</v>
      </c>
      <c r="AJ182" s="1">
        <v>36760.190299511502</v>
      </c>
      <c r="AK182" s="1">
        <v>11253.007394047403</v>
      </c>
      <c r="AL182" s="1">
        <v>45422.558260794278</v>
      </c>
      <c r="AM182" s="1">
        <v>21314.92320724198</v>
      </c>
      <c r="AN182" s="2">
        <v>236884.01512407686</v>
      </c>
      <c r="AP182" s="1" t="s">
        <v>273</v>
      </c>
      <c r="AQ182" s="1">
        <v>4.2697407821365942</v>
      </c>
      <c r="AR182" s="1">
        <v>3.959037800023097</v>
      </c>
      <c r="AS182" s="1">
        <v>-8.3466830189770747</v>
      </c>
      <c r="AT182" s="1">
        <v>10.898764153004237</v>
      </c>
      <c r="AU182" s="1">
        <v>4.2937707202103752</v>
      </c>
      <c r="AV182" s="1">
        <v>6.4449802642161842</v>
      </c>
      <c r="AW182" s="1">
        <v>4.5814266029481985</v>
      </c>
      <c r="AX182" s="1">
        <v>2.5446212803124268</v>
      </c>
      <c r="AY182" s="1">
        <v>3.639201831791226</v>
      </c>
      <c r="BA182" s="1">
        <v>1974</v>
      </c>
      <c r="BB182" s="1">
        <v>138386.47241249916</v>
      </c>
      <c r="BC182" s="1">
        <v>62031.809024009795</v>
      </c>
      <c r="BD182" s="1">
        <v>34165.993230413937</v>
      </c>
      <c r="BE182" s="1">
        <v>23032.855561427416</v>
      </c>
      <c r="BF182" s="1">
        <v>82.131684949783278</v>
      </c>
      <c r="BG182" s="1">
        <v>6066</v>
      </c>
      <c r="BH182" s="1">
        <v>82464.540144259954</v>
      </c>
      <c r="BI182" s="1">
        <v>84464.693111938512</v>
      </c>
      <c r="BJ182" s="1">
        <v>261765.10894562156</v>
      </c>
      <c r="BL182" s="1" t="s">
        <v>273</v>
      </c>
      <c r="BM182" s="1">
        <v>3.3763420370379578</v>
      </c>
      <c r="BN182" s="1">
        <v>2.9992079394837106</v>
      </c>
      <c r="BO182" s="1">
        <v>15.293123532118827</v>
      </c>
      <c r="BP182" s="1">
        <v>5.3085171619404292</v>
      </c>
      <c r="BQ182" s="1">
        <v>9.9448458142433793</v>
      </c>
      <c r="BR182" s="1">
        <v>4.6050207775615348</v>
      </c>
      <c r="BT182" s="1" t="s">
        <v>273</v>
      </c>
      <c r="BU182" s="1">
        <v>10.317514537662831</v>
      </c>
      <c r="BV182" s="1">
        <v>12.131873752260873</v>
      </c>
      <c r="BW182" s="1">
        <v>13.505526487252027</v>
      </c>
      <c r="BX182" s="1">
        <v>26.075667683558862</v>
      </c>
      <c r="BY182" s="1">
        <v>37.468949290234889</v>
      </c>
      <c r="BZ182" s="1">
        <v>8.9477216404991253</v>
      </c>
      <c r="CB182" s="1">
        <v>1974</v>
      </c>
      <c r="CC182" s="1">
        <v>2427.9028965874249</v>
      </c>
      <c r="CD182" s="1">
        <v>21796.234380210226</v>
      </c>
      <c r="CE182" s="1">
        <v>985.00166113700629</v>
      </c>
      <c r="CF182" s="1">
        <v>8079.8522918371254</v>
      </c>
      <c r="CG182" s="1">
        <v>7425.2841033680888</v>
      </c>
      <c r="CH182" s="1">
        <v>8784.4379424241033</v>
      </c>
      <c r="CI182" s="1">
        <v>13848.267201227161</v>
      </c>
      <c r="CJ182" s="1">
        <v>63346.980476791141</v>
      </c>
      <c r="CL182" s="1">
        <v>1974</v>
      </c>
      <c r="CM182" s="1">
        <v>1782.9738277141457</v>
      </c>
      <c r="CN182" s="1">
        <v>11008.648518506021</v>
      </c>
      <c r="CO182" s="1">
        <v>869.95286122567711</v>
      </c>
      <c r="CP182" s="1">
        <v>5345.1157217046311</v>
      </c>
      <c r="CQ182" s="1">
        <v>2861.8331965547327</v>
      </c>
      <c r="CR182" s="1">
        <v>4241.625405120878</v>
      </c>
      <c r="CS182" s="1">
        <v>6982.115467643408</v>
      </c>
      <c r="CT182" s="2">
        <v>33092.264998469494</v>
      </c>
      <c r="CV182" s="1">
        <v>1974</v>
      </c>
      <c r="CW182" s="1">
        <v>234728.04112822458</v>
      </c>
      <c r="CX182" s="1">
        <v>288143.08074442158</v>
      </c>
      <c r="CY182" s="1">
        <v>116630.30393126057</v>
      </c>
      <c r="CZ182" s="1">
        <v>4528.7126539004803</v>
      </c>
      <c r="DA182" s="1">
        <v>94551.083300392362</v>
      </c>
      <c r="DB182" s="1">
        <v>738581.22175819962</v>
      </c>
      <c r="DC182" s="1">
        <v>614751.37267947313</v>
      </c>
      <c r="DD182" s="1">
        <v>217969.64640155202</v>
      </c>
      <c r="DF182" s="1">
        <v>1974</v>
      </c>
      <c r="DG182" s="1">
        <v>3.2287020128185304</v>
      </c>
      <c r="DH182" s="1">
        <v>2.9251518909208585</v>
      </c>
      <c r="DI182" s="1">
        <v>3.4772300141748786</v>
      </c>
      <c r="DJ182" s="1">
        <v>6.1860794307259823</v>
      </c>
      <c r="DK182" s="1">
        <v>1.8135768644770565</v>
      </c>
      <c r="DL182" s="1">
        <v>6.4155795875210515</v>
      </c>
      <c r="DM182" s="1">
        <v>4.1013854276971102</v>
      </c>
      <c r="DN182" s="1">
        <v>4.1880940459840872</v>
      </c>
      <c r="DO182" s="1">
        <v>4.4833778439465419</v>
      </c>
      <c r="DQ182" s="1">
        <v>1974</v>
      </c>
      <c r="DR182" s="1">
        <v>366576.75377568562</v>
      </c>
      <c r="DS182" s="1">
        <v>458608.35857996758</v>
      </c>
      <c r="DT182" s="1">
        <v>218250.73088029522</v>
      </c>
      <c r="DU182" s="1">
        <v>4528.7126539004803</v>
      </c>
      <c r="DV182" s="1">
        <v>94551.083300392362</v>
      </c>
      <c r="DW182" s="1">
        <v>1142515.6391902412</v>
      </c>
      <c r="DX182" s="1">
        <v>968968.41381188866</v>
      </c>
      <c r="DY182" s="1">
        <v>325320.13039922301</v>
      </c>
      <c r="EA182" s="1">
        <v>1974</v>
      </c>
      <c r="EB182" s="1">
        <v>3.5152506976369153</v>
      </c>
      <c r="EC182" s="1">
        <v>3.2462522680993828</v>
      </c>
      <c r="ED182" s="1">
        <v>3.7313447485315123</v>
      </c>
      <c r="EE182" s="1">
        <v>5.7665908811195692</v>
      </c>
      <c r="EF182" s="1">
        <v>1.8135768644770565</v>
      </c>
      <c r="EG182" s="1">
        <v>6.4155795875210515</v>
      </c>
      <c r="EH182" s="1">
        <v>4.1835109261861163</v>
      </c>
      <c r="EI182" s="1">
        <v>4.1394909378825702</v>
      </c>
      <c r="EJ182" s="1">
        <v>4.6147218326745048</v>
      </c>
      <c r="EL182" s="1">
        <v>1974</v>
      </c>
      <c r="EM182" s="1">
        <v>270800</v>
      </c>
      <c r="EN182" s="1">
        <v>1193529.032584497</v>
      </c>
      <c r="EO182" s="1">
        <v>331600</v>
      </c>
      <c r="EP182" s="1">
        <v>262115.17135107837</v>
      </c>
      <c r="EQ182" s="1">
        <v>682029.90249187429</v>
      </c>
      <c r="ER182" s="1">
        <v>314600</v>
      </c>
      <c r="ES182" s="1">
        <v>993900</v>
      </c>
      <c r="ET182" s="1">
        <v>49708.841463414632</v>
      </c>
      <c r="EU182" s="1">
        <v>4098282.9478908642</v>
      </c>
      <c r="EV182" s="1">
        <v>3104382.9478908642</v>
      </c>
      <c r="EX182" s="1">
        <v>1974</v>
      </c>
      <c r="EY182" s="1">
        <v>100900</v>
      </c>
      <c r="EZ182" s="1">
        <v>1158129.032584497</v>
      </c>
      <c r="FA182" s="1">
        <v>293400</v>
      </c>
      <c r="FB182" s="1">
        <v>236715.17135107837</v>
      </c>
      <c r="FC182" s="1">
        <v>618029.90249187429</v>
      </c>
      <c r="FD182" s="1">
        <v>274800</v>
      </c>
      <c r="FE182" s="1">
        <v>993900</v>
      </c>
      <c r="FF182" s="1">
        <v>47808.841463414632</v>
      </c>
      <c r="FG182" s="1">
        <v>3723682.9478908642</v>
      </c>
      <c r="FH182" s="1">
        <v>2729782.9478908642</v>
      </c>
      <c r="FJ182" s="1">
        <v>1974</v>
      </c>
      <c r="FK182" s="1">
        <v>169900</v>
      </c>
      <c r="FL182" s="1">
        <v>35400</v>
      </c>
      <c r="FM182" s="1">
        <v>38200</v>
      </c>
      <c r="FN182" s="1">
        <v>25400</v>
      </c>
      <c r="FO182" s="1">
        <v>64000</v>
      </c>
      <c r="FP182" s="1">
        <v>39800</v>
      </c>
      <c r="FQ182" s="1">
        <v>1900</v>
      </c>
      <c r="FR182" s="1">
        <v>374600</v>
      </c>
      <c r="FS182" s="1">
        <v>814134.72506245016</v>
      </c>
      <c r="FU182" s="1">
        <v>1974</v>
      </c>
      <c r="FV182" s="1">
        <v>40101</v>
      </c>
      <c r="FW182" s="1">
        <v>189854.13894539216</v>
      </c>
      <c r="FX182" s="1">
        <v>55151.241159934907</v>
      </c>
      <c r="FY182" s="1">
        <v>45764.541027646155</v>
      </c>
      <c r="FZ182" s="1">
        <v>112224.18354496494</v>
      </c>
      <c r="GA182" s="1">
        <v>45903.723514958554</v>
      </c>
      <c r="GB182" s="1">
        <v>134812</v>
      </c>
      <c r="GC182" s="1">
        <v>6207.3286611889798</v>
      </c>
      <c r="GD182" s="1">
        <v>630018.15685408562</v>
      </c>
      <c r="GE182" s="1">
        <v>495206.15685408574</v>
      </c>
      <c r="GG182" s="1">
        <v>1974</v>
      </c>
      <c r="GH182" s="1">
        <v>12272</v>
      </c>
      <c r="GI182" s="1">
        <v>183472.89421731225</v>
      </c>
      <c r="GJ182" s="1">
        <v>48424.241159934907</v>
      </c>
      <c r="GK182" s="1">
        <v>40948.541027646163</v>
      </c>
      <c r="GL182" s="1">
        <v>98268.183544964952</v>
      </c>
      <c r="GM182" s="1">
        <v>39786.723514958561</v>
      </c>
      <c r="GN182" s="1">
        <v>134812</v>
      </c>
      <c r="GO182" s="1">
        <v>5920.3286611889798</v>
      </c>
      <c r="GP182" s="1">
        <v>563904.91212600586</v>
      </c>
      <c r="GQ182" s="1">
        <v>429092.9121260058</v>
      </c>
      <c r="GS182" s="1">
        <v>1974</v>
      </c>
      <c r="GT182" s="1">
        <v>27829</v>
      </c>
      <c r="GU182" s="1">
        <v>6381.2447280799115</v>
      </c>
      <c r="GV182" s="1">
        <v>6727</v>
      </c>
      <c r="GW182" s="1">
        <v>4816</v>
      </c>
      <c r="GX182" s="1">
        <v>13956</v>
      </c>
      <c r="GY182" s="1">
        <v>6117</v>
      </c>
      <c r="GZ182" s="1">
        <v>287</v>
      </c>
      <c r="HA182" s="1">
        <v>66113.24472807991</v>
      </c>
      <c r="HC182" s="1">
        <v>1974</v>
      </c>
      <c r="HD182" s="1">
        <v>3268.0646108663732</v>
      </c>
      <c r="HE182" s="1">
        <v>52119.688243952391</v>
      </c>
      <c r="HF182" s="1">
        <v>14872.130608516953</v>
      </c>
      <c r="HG182" s="1">
        <v>11161.673545285501</v>
      </c>
      <c r="HH182" s="1">
        <v>34246.396278075699</v>
      </c>
      <c r="HI182" s="1">
        <v>41180.932855673396</v>
      </c>
      <c r="HJ182" s="1">
        <v>1508.9389830508476</v>
      </c>
      <c r="HK182" s="2">
        <v>158357.82512542116</v>
      </c>
      <c r="HL182" s="1">
        <v>117176.89226974777</v>
      </c>
      <c r="HN182" s="1">
        <v>1974</v>
      </c>
      <c r="HO182" s="1">
        <v>7132.6740890617966</v>
      </c>
      <c r="HP182" s="1">
        <v>1812.7390820028127</v>
      </c>
      <c r="HQ182" s="1">
        <v>2066.0070288570323</v>
      </c>
      <c r="HR182" s="1">
        <v>1312.7358983999663</v>
      </c>
      <c r="HS182" s="1">
        <v>5426.0335245074384</v>
      </c>
      <c r="HT182" s="1">
        <v>73.148893063078816</v>
      </c>
      <c r="HU182" s="2">
        <v>17823.338515892126</v>
      </c>
      <c r="HW182" s="1">
        <v>1974</v>
      </c>
      <c r="HX182" s="1">
        <v>1782.973827714146</v>
      </c>
      <c r="HY182" s="1">
        <v>20616.739055974664</v>
      </c>
      <c r="HZ182" s="1">
        <v>350.6570369660476</v>
      </c>
      <c r="IA182" s="1">
        <v>5637.2529348839944</v>
      </c>
      <c r="IB182" s="1">
        <v>8340.7678909757651</v>
      </c>
      <c r="IC182" s="1">
        <v>4241.6254051208798</v>
      </c>
      <c r="ID182" s="1">
        <v>19732.835331128055</v>
      </c>
      <c r="IE182" s="2">
        <v>60702.851482763552</v>
      </c>
      <c r="IF182" s="1">
        <v>56461.22607764267</v>
      </c>
      <c r="IH182" s="1">
        <v>1974</v>
      </c>
      <c r="II182" s="1">
        <v>258.75731835153817</v>
      </c>
      <c r="IJ182" s="1">
        <v>35.526537899623534</v>
      </c>
      <c r="IK182" s="1">
        <v>10.130617107263053</v>
      </c>
      <c r="IL182" s="1">
        <v>297.6570701749539</v>
      </c>
      <c r="IM182" s="1">
        <v>17.815053046656974</v>
      </c>
      <c r="IN182" s="1">
        <v>5.0800751165560207</v>
      </c>
      <c r="IO182" s="1">
        <v>5.4880516156995895</v>
      </c>
    </row>
    <row r="183" spans="1:249" x14ac:dyDescent="0.25">
      <c r="A183" s="1" t="s">
        <v>274</v>
      </c>
      <c r="B183" s="1">
        <v>1.0105130078418938</v>
      </c>
      <c r="C183" s="1">
        <v>0.95615782438190422</v>
      </c>
      <c r="D183" s="1">
        <v>1.0341907108183648</v>
      </c>
      <c r="E183" s="1">
        <v>0.98684085381491116</v>
      </c>
      <c r="F183" s="1">
        <v>1.0119702239027646</v>
      </c>
      <c r="G183" s="1">
        <v>1.6512971126965965</v>
      </c>
      <c r="H183" s="1">
        <v>1.2895547431876793</v>
      </c>
      <c r="J183" s="1">
        <v>1975</v>
      </c>
      <c r="K183" s="2">
        <v>305362.33783619537</v>
      </c>
      <c r="L183" s="1">
        <v>276086.21133281186</v>
      </c>
      <c r="M183" s="1">
        <v>266909.75894139218</v>
      </c>
      <c r="N183" s="1">
        <v>237633.63243800867</v>
      </c>
      <c r="O183" s="1">
        <v>38452.57889480317</v>
      </c>
      <c r="P183" s="1">
        <v>29276.126503383508</v>
      </c>
      <c r="Q183" s="1">
        <v>264018.76271223504</v>
      </c>
      <c r="R183" s="1">
        <v>569381.10054843035</v>
      </c>
      <c r="S183" s="1">
        <v>540104.97404504684</v>
      </c>
      <c r="U183" s="1">
        <v>1975</v>
      </c>
      <c r="V183" s="1">
        <v>37273.168446311793</v>
      </c>
      <c r="W183" s="1">
        <v>159504.50933619548</v>
      </c>
      <c r="X183" s="1">
        <v>1.2541546127555705</v>
      </c>
      <c r="Y183" s="1">
        <v>33699.662943476986</v>
      </c>
      <c r="Z183" s="1">
        <v>143881.7262026894</v>
      </c>
      <c r="AA183" s="1">
        <v>0.61587399392173836</v>
      </c>
      <c r="AB183" s="1">
        <v>8192551.1182672521</v>
      </c>
      <c r="AC183" s="1">
        <v>0.3922234119280148</v>
      </c>
      <c r="AE183" s="1">
        <v>1975</v>
      </c>
      <c r="AF183" s="1">
        <v>13685.255040737035</v>
      </c>
      <c r="AG183" s="1">
        <v>85305.602229891723</v>
      </c>
      <c r="AH183" s="1">
        <v>20375.584602260395</v>
      </c>
      <c r="AI183" s="1">
        <v>19871.490872425347</v>
      </c>
      <c r="AJ183" s="1">
        <v>44432.778139814298</v>
      </c>
      <c r="AK183" s="1">
        <v>13413.782391176006</v>
      </c>
      <c r="AL183" s="1">
        <v>55123.84607929406</v>
      </c>
      <c r="AM183" s="1">
        <v>23877.871977213003</v>
      </c>
      <c r="AN183" s="2">
        <v>276086.21133281186</v>
      </c>
      <c r="AP183" s="1" t="s">
        <v>274</v>
      </c>
      <c r="AQ183" s="1">
        <v>-6.7969311822893701</v>
      </c>
      <c r="AR183" s="1">
        <v>-1.0392159068387201</v>
      </c>
      <c r="AS183" s="1">
        <v>5.4129722337716117</v>
      </c>
      <c r="AT183" s="1">
        <v>-3.6973686268658241</v>
      </c>
      <c r="AU183" s="1">
        <v>2.3209471722738186</v>
      </c>
      <c r="AV183" s="1">
        <v>4.9195879713288946</v>
      </c>
      <c r="AW183" s="1">
        <v>4.1681208347381045</v>
      </c>
      <c r="AX183" s="1">
        <v>2.1442673671479042</v>
      </c>
      <c r="AY183" s="1">
        <v>1.0105130078418938</v>
      </c>
      <c r="BA183" s="1">
        <v>1975</v>
      </c>
      <c r="BB183" s="1">
        <v>157776.16431099307</v>
      </c>
      <c r="BC183" s="1">
        <v>74676.150422818697</v>
      </c>
      <c r="BD183" s="1">
        <v>37860.911037635669</v>
      </c>
      <c r="BE183" s="1">
        <v>25578.160821071953</v>
      </c>
      <c r="BF183" s="1">
        <v>84.990035140027857</v>
      </c>
      <c r="BG183" s="1">
        <v>10013</v>
      </c>
      <c r="BH183" s="1">
        <v>84649.78598033516</v>
      </c>
      <c r="BI183" s="1">
        <v>85276.824771799176</v>
      </c>
      <c r="BJ183" s="1">
        <v>305362.33783619537</v>
      </c>
      <c r="BL183" s="1" t="s">
        <v>274</v>
      </c>
      <c r="BM183" s="1">
        <v>2.7981243431158589</v>
      </c>
      <c r="BN183" s="1">
        <v>4.6312524069423091</v>
      </c>
      <c r="BO183" s="1">
        <v>3.9045691036730972</v>
      </c>
      <c r="BP183" s="1">
        <v>-9.2823418319168951</v>
      </c>
      <c r="BQ183" s="1">
        <v>-3.4694837104895981</v>
      </c>
      <c r="BR183" s="1">
        <v>1.6512971126965965</v>
      </c>
      <c r="BT183" s="1" t="s">
        <v>274</v>
      </c>
      <c r="BU183" s="1">
        <v>10.907920953989418</v>
      </c>
      <c r="BV183" s="1">
        <v>15.055146965057745</v>
      </c>
      <c r="BW183" s="1">
        <v>11.723802888345986</v>
      </c>
      <c r="BX183" s="1">
        <v>13.153187465836311</v>
      </c>
      <c r="BY183" s="1">
        <v>4.5902458466827909</v>
      </c>
      <c r="BZ183" s="1">
        <v>14.760065849912451</v>
      </c>
      <c r="CB183" s="1">
        <v>1975</v>
      </c>
      <c r="CC183" s="1">
        <v>3816.9272655482318</v>
      </c>
      <c r="CD183" s="1">
        <v>30378.12015218856</v>
      </c>
      <c r="CE183" s="1">
        <v>1265.4885887333089</v>
      </c>
      <c r="CF183" s="1">
        <v>6985.5232942824932</v>
      </c>
      <c r="CG183" s="1">
        <v>6108.2686884032846</v>
      </c>
      <c r="CH183" s="1">
        <v>9719.0517052637733</v>
      </c>
      <c r="CI183" s="1">
        <v>15263.682199427996</v>
      </c>
      <c r="CJ183" s="1">
        <v>73537.061893847655</v>
      </c>
      <c r="CL183" s="1">
        <v>1975</v>
      </c>
      <c r="CM183" s="1">
        <v>2025.9770653366916</v>
      </c>
      <c r="CN183" s="1">
        <v>13003.442915570366</v>
      </c>
      <c r="CO183" s="1">
        <v>1019.7441837917617</v>
      </c>
      <c r="CP183" s="1">
        <v>6180.935164000437</v>
      </c>
      <c r="CQ183" s="1">
        <v>3379.5047337579354</v>
      </c>
      <c r="CR183" s="1">
        <v>4860.1423230425307</v>
      </c>
      <c r="CS183" s="1">
        <v>7982.8325093034473</v>
      </c>
      <c r="CT183" s="2">
        <v>38452.57889480317</v>
      </c>
      <c r="CV183" s="1">
        <v>1975</v>
      </c>
      <c r="CW183" s="1">
        <v>268592.04128008272</v>
      </c>
      <c r="CX183" s="1">
        <v>328139.59416316292</v>
      </c>
      <c r="CY183" s="1">
        <v>139513.64590579225</v>
      </c>
      <c r="CZ183" s="1">
        <v>5402.8081893592616</v>
      </c>
      <c r="DA183" s="1">
        <v>114020.90372033061</v>
      </c>
      <c r="DB183" s="1">
        <v>855668.99325872771</v>
      </c>
      <c r="DC183" s="1">
        <v>714141.16179918975</v>
      </c>
      <c r="DD183" s="1">
        <v>254693.04820359329</v>
      </c>
      <c r="DF183" s="1">
        <v>1975</v>
      </c>
      <c r="DG183" s="1">
        <v>3.0391088185259605</v>
      </c>
      <c r="DH183" s="1">
        <v>2.7107466235502642</v>
      </c>
      <c r="DI183" s="1">
        <v>3.3143652998355293</v>
      </c>
      <c r="DJ183" s="1">
        <v>4.8528347852491436</v>
      </c>
      <c r="DK183" s="1">
        <v>1.5730714872945981</v>
      </c>
      <c r="DL183" s="1">
        <v>8.7817230641846038</v>
      </c>
      <c r="DM183" s="1">
        <v>4.0492832778908934</v>
      </c>
      <c r="DN183" s="1">
        <v>4.1722051288770388</v>
      </c>
      <c r="DO183" s="1">
        <v>5.0816872693875155</v>
      </c>
      <c r="DQ183" s="1">
        <v>1975</v>
      </c>
      <c r="DR183" s="1">
        <v>420771.06378433789</v>
      </c>
      <c r="DS183" s="1">
        <v>523594.90616053308</v>
      </c>
      <c r="DT183" s="1">
        <v>260105.38162475341</v>
      </c>
      <c r="DU183" s="1">
        <v>5402.8081893592616</v>
      </c>
      <c r="DV183" s="1">
        <v>114020.90372033061</v>
      </c>
      <c r="DW183" s="1">
        <v>1323895.0634793143</v>
      </c>
      <c r="DX183" s="1">
        <v>1124095.5532619634</v>
      </c>
      <c r="DY183" s="1">
        <v>380223.78427482373</v>
      </c>
      <c r="EA183" s="1">
        <v>1975</v>
      </c>
      <c r="EB183" s="1">
        <v>3.3814485012958642</v>
      </c>
      <c r="EC183" s="1">
        <v>3.0945884850468417</v>
      </c>
      <c r="ED183" s="1">
        <v>3.6175710484459103</v>
      </c>
      <c r="EE183" s="1">
        <v>5.0118638073841453</v>
      </c>
      <c r="EF183" s="1">
        <v>1.5730714872945981</v>
      </c>
      <c r="EG183" s="1">
        <v>8.7817230641846038</v>
      </c>
      <c r="EH183" s="1">
        <v>4.1319569737202357</v>
      </c>
      <c r="EI183" s="1">
        <v>4.1154806204555854</v>
      </c>
      <c r="EJ183" s="1">
        <v>5.0012218997430864</v>
      </c>
      <c r="EL183" s="1">
        <v>1975</v>
      </c>
      <c r="EM183" s="1">
        <v>261700</v>
      </c>
      <c r="EN183" s="1">
        <v>1201074.9443432502</v>
      </c>
      <c r="EO183" s="1">
        <v>325300</v>
      </c>
      <c r="EP183" s="1">
        <v>267456.71652386582</v>
      </c>
      <c r="EQ183" s="1">
        <v>705986.2405200433</v>
      </c>
      <c r="ER183" s="1">
        <v>322600</v>
      </c>
      <c r="ES183" s="1">
        <v>1044500</v>
      </c>
      <c r="ET183" s="1">
        <v>49814.329268292684</v>
      </c>
      <c r="EU183" s="1">
        <v>4178432.2306554518</v>
      </c>
      <c r="EV183" s="1">
        <v>3133932.2306554518</v>
      </c>
      <c r="EX183" s="1">
        <v>1975</v>
      </c>
      <c r="EY183" s="1">
        <v>96500</v>
      </c>
      <c r="EZ183" s="1">
        <v>1166274.9443432502</v>
      </c>
      <c r="FA183" s="1">
        <v>289900</v>
      </c>
      <c r="FB183" s="1">
        <v>243256.71652386579</v>
      </c>
      <c r="FC183" s="1">
        <v>643186.2405200433</v>
      </c>
      <c r="FD183" s="1">
        <v>282200</v>
      </c>
      <c r="FE183" s="1">
        <v>1044500</v>
      </c>
      <c r="FF183" s="1">
        <v>48114.329268292684</v>
      </c>
      <c r="FG183" s="1">
        <v>3813932.2306554518</v>
      </c>
      <c r="FH183" s="1">
        <v>2769432.2306554518</v>
      </c>
      <c r="FJ183" s="1">
        <v>1975</v>
      </c>
      <c r="FK183" s="1">
        <v>165200</v>
      </c>
      <c r="FL183" s="1">
        <v>34800</v>
      </c>
      <c r="FM183" s="1">
        <v>35400</v>
      </c>
      <c r="FN183" s="1">
        <v>24200</v>
      </c>
      <c r="FO183" s="1">
        <v>62800</v>
      </c>
      <c r="FP183" s="1">
        <v>40400</v>
      </c>
      <c r="FQ183" s="1">
        <v>1700</v>
      </c>
      <c r="FR183" s="1">
        <v>364500</v>
      </c>
      <c r="FS183" s="1">
        <v>764890.59609904548</v>
      </c>
      <c r="FU183" s="1">
        <v>1975</v>
      </c>
      <c r="FV183" s="1">
        <v>37958</v>
      </c>
      <c r="FW183" s="1">
        <v>187297.90126091024</v>
      </c>
      <c r="FX183" s="1">
        <v>54157.889480692415</v>
      </c>
      <c r="FY183" s="1">
        <v>46312.267536890729</v>
      </c>
      <c r="FZ183" s="1">
        <v>114306.4374880933</v>
      </c>
      <c r="GA183" s="1">
        <v>46207.412149942465</v>
      </c>
      <c r="GB183" s="1">
        <v>140455</v>
      </c>
      <c r="GC183" s="1">
        <v>6136.9149347510865</v>
      </c>
      <c r="GD183" s="1">
        <v>632831.82285128022</v>
      </c>
      <c r="GE183" s="1">
        <v>492376.82285128033</v>
      </c>
      <c r="GG183" s="1">
        <v>1975</v>
      </c>
      <c r="GH183" s="1">
        <v>11749</v>
      </c>
      <c r="GI183" s="1">
        <v>181102.1404396006</v>
      </c>
      <c r="GJ183" s="1">
        <v>48185.889480692415</v>
      </c>
      <c r="GK183" s="1">
        <v>41726.267536890722</v>
      </c>
      <c r="GL183" s="1">
        <v>100979.4374880933</v>
      </c>
      <c r="GM183" s="1">
        <v>40053.412149942473</v>
      </c>
      <c r="GN183" s="1">
        <v>140455</v>
      </c>
      <c r="GO183" s="1">
        <v>5895.9149347510875</v>
      </c>
      <c r="GP183" s="1">
        <v>570147.06202997069</v>
      </c>
      <c r="GQ183" s="1">
        <v>429692.06202997058</v>
      </c>
      <c r="GS183" s="1">
        <v>1975</v>
      </c>
      <c r="GT183" s="1">
        <v>26209</v>
      </c>
      <c r="GU183" s="1">
        <v>6195.7608213096555</v>
      </c>
      <c r="GV183" s="1">
        <v>5972</v>
      </c>
      <c r="GW183" s="1">
        <v>4586</v>
      </c>
      <c r="GX183" s="1">
        <v>13327</v>
      </c>
      <c r="GY183" s="1">
        <v>6154</v>
      </c>
      <c r="GZ183" s="1">
        <v>241</v>
      </c>
      <c r="HA183" s="1">
        <v>62684.760821309646</v>
      </c>
      <c r="HC183" s="1">
        <v>1975</v>
      </c>
      <c r="HD183" s="1">
        <v>3904.8961611076147</v>
      </c>
      <c r="HE183" s="1">
        <v>62352.773955800163</v>
      </c>
      <c r="HF183" s="1">
        <v>17068.066560109601</v>
      </c>
      <c r="HG183" s="1">
        <v>13303.0094335344</v>
      </c>
      <c r="HH183" s="1">
        <v>41007.973083485209</v>
      </c>
      <c r="HI183" s="1">
        <v>50263.703756251554</v>
      </c>
      <c r="HJ183" s="1">
        <v>1817.167372881356</v>
      </c>
      <c r="HK183" s="2">
        <v>189717.59032316986</v>
      </c>
      <c r="HL183" s="1">
        <v>139453.88656691831</v>
      </c>
      <c r="HN183" s="1">
        <v>1975</v>
      </c>
      <c r="HO183" s="1">
        <v>7754.3818142927275</v>
      </c>
      <c r="HP183" s="1">
        <v>2133.1767423486986</v>
      </c>
      <c r="HQ183" s="1">
        <v>2115.359799217093</v>
      </c>
      <c r="HR183" s="1">
        <v>1462.0910247543986</v>
      </c>
      <c r="HS183" s="1">
        <v>6401.0615330868568</v>
      </c>
      <c r="HT183" s="1">
        <v>74.278096226111103</v>
      </c>
      <c r="HU183" s="2">
        <v>19940.349009925885</v>
      </c>
      <c r="HW183" s="1">
        <v>1975</v>
      </c>
      <c r="HX183" s="1">
        <v>2025.9770653366922</v>
      </c>
      <c r="HY183" s="1">
        <v>20819.651531742864</v>
      </c>
      <c r="HZ183" s="1">
        <v>1192.1582429336995</v>
      </c>
      <c r="IA183" s="1">
        <v>5106.3904141365492</v>
      </c>
      <c r="IB183" s="1">
        <v>10437.525914418238</v>
      </c>
      <c r="IC183" s="1">
        <v>4860.1423230425062</v>
      </c>
      <c r="ID183" s="1">
        <v>21986.426508105535</v>
      </c>
      <c r="IE183" s="2">
        <v>66428.271999716089</v>
      </c>
      <c r="IF183" s="1">
        <v>61568.129676673576</v>
      </c>
      <c r="IH183" s="1">
        <v>1975</v>
      </c>
      <c r="II183" s="1">
        <v>263.63540535503654</v>
      </c>
      <c r="IJ183" s="1">
        <v>29.559499147132701</v>
      </c>
      <c r="IK183" s="1">
        <v>8.6541431876877493</v>
      </c>
      <c r="IL183" s="1">
        <v>304.63993477785704</v>
      </c>
      <c r="IM183" s="1">
        <v>12.120793027863156</v>
      </c>
      <c r="IN183" s="1">
        <v>3.5486081103518972</v>
      </c>
      <c r="IO183" s="1">
        <v>7.1142888949533756</v>
      </c>
    </row>
    <row r="184" spans="1:249" x14ac:dyDescent="0.25">
      <c r="A184" s="1" t="s">
        <v>275</v>
      </c>
      <c r="B184" s="1">
        <v>2.0895339930578842</v>
      </c>
      <c r="C184" s="1">
        <v>1.9311370315316054</v>
      </c>
      <c r="D184" s="1">
        <v>2.0657944547610469</v>
      </c>
      <c r="E184" s="1">
        <v>2.1132790529467655</v>
      </c>
      <c r="F184" s="1">
        <v>2.6305059239253694</v>
      </c>
      <c r="G184" s="1">
        <v>0.90617809131516935</v>
      </c>
      <c r="H184" s="1">
        <v>0.50726645552406069</v>
      </c>
      <c r="J184" s="1">
        <v>1976</v>
      </c>
      <c r="K184" s="2">
        <v>342979.31983645225</v>
      </c>
      <c r="L184" s="1">
        <v>311851.47244173067</v>
      </c>
      <c r="M184" s="1">
        <v>298100.67073920835</v>
      </c>
      <c r="N184" s="1">
        <v>266972.82334448677</v>
      </c>
      <c r="O184" s="1">
        <v>44878.649097243877</v>
      </c>
      <c r="P184" s="1">
        <v>31127.847394721583</v>
      </c>
      <c r="Q184" s="1">
        <v>302741.83965553518</v>
      </c>
      <c r="R184" s="1">
        <v>645721.15949198743</v>
      </c>
      <c r="S184" s="1">
        <v>614593.31209726585</v>
      </c>
      <c r="U184" s="1">
        <v>1976</v>
      </c>
      <c r="V184" s="1">
        <v>41713.312543132364</v>
      </c>
      <c r="W184" s="1">
        <v>160367.59907521759</v>
      </c>
      <c r="X184" s="1">
        <v>0.54110679542165485</v>
      </c>
      <c r="Y184" s="1">
        <v>37927.528526212322</v>
      </c>
      <c r="Z184" s="1">
        <v>146356.75289570502</v>
      </c>
      <c r="AA184" s="1">
        <v>1.720181400610258</v>
      </c>
      <c r="AB184" s="1">
        <v>8222298.8040521853</v>
      </c>
      <c r="AC184" s="1">
        <v>0.36310650193691174</v>
      </c>
      <c r="AE184" s="1">
        <v>1976</v>
      </c>
      <c r="AF184" s="1">
        <v>15481.835198558434</v>
      </c>
      <c r="AG184" s="1">
        <v>89309.737120851365</v>
      </c>
      <c r="AH184" s="1">
        <v>25417.011962072567</v>
      </c>
      <c r="AI184" s="1">
        <v>22130.549667385654</v>
      </c>
      <c r="AJ184" s="1">
        <v>51518.692067528551</v>
      </c>
      <c r="AK184" s="1">
        <v>15912.681397369393</v>
      </c>
      <c r="AL184" s="1">
        <v>65501.139917030981</v>
      </c>
      <c r="AM184" s="1">
        <v>26579.825110933722</v>
      </c>
      <c r="AN184" s="2">
        <v>311851.47244173067</v>
      </c>
      <c r="AP184" s="1" t="s">
        <v>275</v>
      </c>
      <c r="AQ184" s="1">
        <v>0.59836156649448924</v>
      </c>
      <c r="AR184" s="1">
        <v>0.1497387989788308</v>
      </c>
      <c r="AS184" s="1">
        <v>2.024137469378374</v>
      </c>
      <c r="AT184" s="1">
        <v>2.6003102986256152</v>
      </c>
      <c r="AU184" s="1">
        <v>4.1557620422868098</v>
      </c>
      <c r="AV184" s="1">
        <v>-0.2157021027621937</v>
      </c>
      <c r="AW184" s="1">
        <v>4.2239150223411883</v>
      </c>
      <c r="AX184" s="1">
        <v>1.8168869517597273</v>
      </c>
      <c r="AY184" s="1">
        <v>2.0895339930578842</v>
      </c>
      <c r="BA184" s="1">
        <v>1976</v>
      </c>
      <c r="BB184" s="1">
        <v>182468.03146130245</v>
      </c>
      <c r="BC184" s="1">
        <v>88277.903492527374</v>
      </c>
      <c r="BD184" s="1">
        <v>41329.460362596787</v>
      </c>
      <c r="BE184" s="1">
        <v>28649.783439490446</v>
      </c>
      <c r="BF184" s="1">
        <v>133.77281768863926</v>
      </c>
      <c r="BG184" s="1">
        <v>7865</v>
      </c>
      <c r="BH184" s="1">
        <v>94040.545076442446</v>
      </c>
      <c r="BI184" s="1">
        <v>99785.176813595957</v>
      </c>
      <c r="BJ184" s="1">
        <v>342979.31983645225</v>
      </c>
      <c r="BL184" s="1" t="s">
        <v>275</v>
      </c>
      <c r="BM184" s="1">
        <v>4.1560034919111928</v>
      </c>
      <c r="BN184" s="1">
        <v>3.5512826031466602</v>
      </c>
      <c r="BO184" s="1">
        <v>-3.4255463602331702</v>
      </c>
      <c r="BP184" s="1">
        <v>4.3184657020922259</v>
      </c>
      <c r="BQ184" s="1">
        <v>9.0078482822553383</v>
      </c>
      <c r="BR184" s="1">
        <v>0.90617809131516935</v>
      </c>
      <c r="BT184" s="1" t="s">
        <v>275</v>
      </c>
      <c r="BU184" s="1">
        <v>11.035303886958104</v>
      </c>
      <c r="BV184" s="1">
        <v>14.160169839835362</v>
      </c>
      <c r="BW184" s="1">
        <v>9.8003313664486598</v>
      </c>
      <c r="BX184" s="1">
        <v>6.494721559917437</v>
      </c>
      <c r="BY184" s="1">
        <v>7.3438685621625837</v>
      </c>
      <c r="BZ184" s="1">
        <v>11.310134023990301</v>
      </c>
      <c r="CB184" s="1">
        <v>1976</v>
      </c>
      <c r="CC184" s="1">
        <v>4332.7803022831486</v>
      </c>
      <c r="CD184" s="1">
        <v>28957.98624343389</v>
      </c>
      <c r="CE184" s="1">
        <v>1553.5833376638604</v>
      </c>
      <c r="CF184" s="1">
        <v>6968.234434902568</v>
      </c>
      <c r="CG184" s="1">
        <v>9176.2604588115773</v>
      </c>
      <c r="CH184" s="1">
        <v>10386.640865365003</v>
      </c>
      <c r="CI184" s="1">
        <v>16602.530977315819</v>
      </c>
      <c r="CJ184" s="1">
        <v>77978.016619775866</v>
      </c>
      <c r="CL184" s="1">
        <v>1976</v>
      </c>
      <c r="CM184" s="1">
        <v>2402.5085256888806</v>
      </c>
      <c r="CN184" s="1">
        <v>15030.978376823798</v>
      </c>
      <c r="CO184" s="1">
        <v>1179.9818312035591</v>
      </c>
      <c r="CP184" s="1">
        <v>7113.5724524827574</v>
      </c>
      <c r="CQ184" s="1">
        <v>3938.070799606392</v>
      </c>
      <c r="CR184" s="1">
        <v>5605.3077246427965</v>
      </c>
      <c r="CS184" s="1">
        <v>9608.2293867956923</v>
      </c>
      <c r="CT184" s="2">
        <v>44878.649097243877</v>
      </c>
      <c r="CV184" s="1">
        <v>1976</v>
      </c>
      <c r="CW184" s="1">
        <v>324294.30268464697</v>
      </c>
      <c r="CX184" s="1">
        <v>379979.66609543731</v>
      </c>
      <c r="CY184" s="1">
        <v>162253.60972150974</v>
      </c>
      <c r="CZ184" s="1">
        <v>6490.2037997443931</v>
      </c>
      <c r="DA184" s="1">
        <v>124607.86326786803</v>
      </c>
      <c r="DB184" s="1">
        <v>997625.64556920645</v>
      </c>
      <c r="DC184" s="1">
        <v>833347.73383077164</v>
      </c>
      <c r="DD184" s="1">
        <v>287948.60898480407</v>
      </c>
      <c r="DF184" s="1">
        <v>1976</v>
      </c>
      <c r="DG184" s="1">
        <v>2.5786207292499483</v>
      </c>
      <c r="DH184" s="1">
        <v>2.1567759694260076</v>
      </c>
      <c r="DI184" s="1">
        <v>2.9445883248010034</v>
      </c>
      <c r="DJ184" s="1">
        <v>4.3095666582368324</v>
      </c>
      <c r="DK184" s="1">
        <v>2.0611497237406979</v>
      </c>
      <c r="DL184" s="1">
        <v>6.3118007112381775</v>
      </c>
      <c r="DM184" s="1">
        <v>3.2993053547834705</v>
      </c>
      <c r="DN184" s="1">
        <v>3.3766726238491458</v>
      </c>
      <c r="DO184" s="1">
        <v>4.2583933121245678</v>
      </c>
      <c r="DQ184" s="1">
        <v>1976</v>
      </c>
      <c r="DR184" s="1">
        <v>509931.72049362352</v>
      </c>
      <c r="DS184" s="1">
        <v>607929.52890484664</v>
      </c>
      <c r="DT184" s="1">
        <v>303235.65058106743</v>
      </c>
      <c r="DU184" s="1">
        <v>6490.2037997443931</v>
      </c>
      <c r="DV184" s="1">
        <v>124607.86326786803</v>
      </c>
      <c r="DW184" s="1">
        <v>1552194.96704715</v>
      </c>
      <c r="DX184" s="1">
        <v>1318651.636108936</v>
      </c>
      <c r="DY184" s="1">
        <v>433750.91292314674</v>
      </c>
      <c r="EA184" s="1">
        <v>1976</v>
      </c>
      <c r="EB184" s="1">
        <v>3.0715851425076721</v>
      </c>
      <c r="EC184" s="1">
        <v>2.7194718837399137</v>
      </c>
      <c r="ED184" s="1">
        <v>3.3719734602935603</v>
      </c>
      <c r="EE184" s="1">
        <v>4.6610457587445921</v>
      </c>
      <c r="EF184" s="1">
        <v>2.0611497237406979</v>
      </c>
      <c r="EG184" s="1">
        <v>6.3118007112381775</v>
      </c>
      <c r="EH184" s="1">
        <v>3.6220399062192286</v>
      </c>
      <c r="EI184" s="1">
        <v>3.5874764258042404</v>
      </c>
      <c r="EJ184" s="1">
        <v>4.4397416896399875</v>
      </c>
      <c r="EL184" s="1">
        <v>1976</v>
      </c>
      <c r="EM184" s="1">
        <v>250700</v>
      </c>
      <c r="EN184" s="1">
        <v>1197502.9447480268</v>
      </c>
      <c r="EO184" s="1">
        <v>314900</v>
      </c>
      <c r="EP184" s="1">
        <v>268793.79829062097</v>
      </c>
      <c r="EQ184" s="1">
        <v>707279.84832069336</v>
      </c>
      <c r="ER184" s="1">
        <v>317800</v>
      </c>
      <c r="ES184" s="1">
        <v>1094200</v>
      </c>
      <c r="ET184" s="1">
        <v>48334.146341463413</v>
      </c>
      <c r="EU184" s="1">
        <v>4199510.7377008051</v>
      </c>
      <c r="EV184" s="1">
        <v>3105310.7377008046</v>
      </c>
      <c r="EX184" s="1">
        <v>1976</v>
      </c>
      <c r="EY184" s="1">
        <v>92500</v>
      </c>
      <c r="EZ184" s="1">
        <v>1164002.9447480268</v>
      </c>
      <c r="FA184" s="1">
        <v>274500</v>
      </c>
      <c r="FB184" s="1">
        <v>244993.79829062094</v>
      </c>
      <c r="FC184" s="1">
        <v>647879.84832069336</v>
      </c>
      <c r="FD184" s="1">
        <v>277400</v>
      </c>
      <c r="FE184" s="1">
        <v>1094200</v>
      </c>
      <c r="FF184" s="1">
        <v>46434.146341463413</v>
      </c>
      <c r="FG184" s="1">
        <v>3841910.7377008046</v>
      </c>
      <c r="FH184" s="1">
        <v>2747710.7377008046</v>
      </c>
      <c r="FJ184" s="1">
        <v>1976</v>
      </c>
      <c r="FK184" s="1">
        <v>158200</v>
      </c>
      <c r="FL184" s="1">
        <v>33500</v>
      </c>
      <c r="FM184" s="1">
        <v>40400</v>
      </c>
      <c r="FN184" s="1">
        <v>23800</v>
      </c>
      <c r="FO184" s="1">
        <v>59400</v>
      </c>
      <c r="FP184" s="1">
        <v>40400</v>
      </c>
      <c r="FQ184" s="1">
        <v>1900</v>
      </c>
      <c r="FR184" s="1">
        <v>357600</v>
      </c>
      <c r="FS184" s="1">
        <v>740100</v>
      </c>
      <c r="FU184" s="1">
        <v>1976</v>
      </c>
      <c r="FV184" s="1">
        <v>37251</v>
      </c>
      <c r="FW184" s="1">
        <v>184879.17428704994</v>
      </c>
      <c r="FX184" s="1">
        <v>54647.036987720079</v>
      </c>
      <c r="FY184" s="1">
        <v>46352.993947954143</v>
      </c>
      <c r="FZ184" s="1">
        <v>114563.09586812845</v>
      </c>
      <c r="GA184" s="1">
        <v>45370.130892526111</v>
      </c>
      <c r="GB184" s="1">
        <v>146469</v>
      </c>
      <c r="GC184" s="1">
        <v>6214.009666505558</v>
      </c>
      <c r="GD184" s="1">
        <v>635746.44164988445</v>
      </c>
      <c r="GE184" s="1">
        <v>489277.44164988433</v>
      </c>
      <c r="GG184" s="1">
        <v>1976</v>
      </c>
      <c r="GH184" s="1">
        <v>11712</v>
      </c>
      <c r="GI184" s="1">
        <v>178659.48005841509</v>
      </c>
      <c r="GJ184" s="1">
        <v>47832.036987720079</v>
      </c>
      <c r="GK184" s="1">
        <v>41849.993947954143</v>
      </c>
      <c r="GL184" s="1">
        <v>102111.09586812842</v>
      </c>
      <c r="GM184" s="1">
        <v>39367.130892526111</v>
      </c>
      <c r="GN184" s="1">
        <v>146469</v>
      </c>
      <c r="GO184" s="1">
        <v>5931.009666505558</v>
      </c>
      <c r="GP184" s="1">
        <v>573931.74742124928</v>
      </c>
      <c r="GQ184" s="1">
        <v>427462.7474212494</v>
      </c>
      <c r="GS184" s="1">
        <v>1976</v>
      </c>
      <c r="GT184" s="1">
        <v>25539</v>
      </c>
      <c r="GU184" s="1">
        <v>6219.6942286348494</v>
      </c>
      <c r="GV184" s="1">
        <v>6815</v>
      </c>
      <c r="GW184" s="1">
        <v>4503</v>
      </c>
      <c r="GX184" s="1">
        <v>12452</v>
      </c>
      <c r="GY184" s="1">
        <v>6003</v>
      </c>
      <c r="GZ184" s="1">
        <v>283</v>
      </c>
      <c r="HA184" s="1">
        <v>61814.694228634849</v>
      </c>
      <c r="HC184" s="1">
        <v>1976</v>
      </c>
      <c r="HD184" s="1">
        <v>4577.2267673589258</v>
      </c>
      <c r="HE184" s="1">
        <v>72561.417583941293</v>
      </c>
      <c r="HF184" s="1">
        <v>20280.178102523118</v>
      </c>
      <c r="HG184" s="1">
        <v>15412.527552269945</v>
      </c>
      <c r="HH184" s="1">
        <v>49983.165578678076</v>
      </c>
      <c r="HI184" s="1">
        <v>59895.832192388181</v>
      </c>
      <c r="HJ184" s="1">
        <v>2146.8644067796613</v>
      </c>
      <c r="HK184" s="2">
        <v>224857.21218393921</v>
      </c>
      <c r="HL184" s="1">
        <v>164961.37999155102</v>
      </c>
      <c r="HN184" s="1">
        <v>1976</v>
      </c>
      <c r="HO184" s="1">
        <v>8502.0999055106258</v>
      </c>
      <c r="HP184" s="1">
        <v>2526.0894637152264</v>
      </c>
      <c r="HQ184" s="1">
        <v>2889.473718298419</v>
      </c>
      <c r="HR184" s="1">
        <v>1658.3661076315245</v>
      </c>
      <c r="HS184" s="1">
        <v>7036.7061340215996</v>
      </c>
      <c r="HT184" s="1">
        <v>102.43831342069096</v>
      </c>
      <c r="HU184" s="2">
        <v>22715.173642598085</v>
      </c>
      <c r="HW184" s="1">
        <v>1976</v>
      </c>
      <c r="HX184" s="1">
        <v>2402.5085256888815</v>
      </c>
      <c r="HY184" s="1">
        <v>14222.230073194834</v>
      </c>
      <c r="HZ184" s="1">
        <v>2247.3601412510325</v>
      </c>
      <c r="IA184" s="1">
        <v>5059.6560074841836</v>
      </c>
      <c r="IB184" s="1">
        <v>10411.501752198263</v>
      </c>
      <c r="IC184" s="1">
        <v>5605.3077246427993</v>
      </c>
      <c r="ID184" s="1">
        <v>24330.522390733371</v>
      </c>
      <c r="IE184" s="2">
        <v>64279.086615193366</v>
      </c>
      <c r="IF184" s="1">
        <v>58673.778890550566</v>
      </c>
      <c r="IH184" s="1">
        <v>1976</v>
      </c>
      <c r="II184" s="1">
        <v>286.2467006109477</v>
      </c>
      <c r="IJ184" s="1">
        <v>16.300743699399405</v>
      </c>
      <c r="IK184" s="1">
        <v>4.8964851028100194</v>
      </c>
      <c r="IL184" s="1">
        <v>336.5317387762762</v>
      </c>
      <c r="IM184" s="1">
        <v>-1.0770743835131815</v>
      </c>
      <c r="IN184" s="1">
        <v>-0.32353607729473682</v>
      </c>
      <c r="IO184" s="1">
        <v>5.0112336541757259</v>
      </c>
    </row>
    <row r="185" spans="1:249" x14ac:dyDescent="0.25">
      <c r="A185" s="1" t="s">
        <v>276</v>
      </c>
      <c r="B185" s="1">
        <v>-1.4406266978413527</v>
      </c>
      <c r="C185" s="1">
        <v>-1.7309413550430861</v>
      </c>
      <c r="D185" s="1">
        <v>-1.4894171061961003</v>
      </c>
      <c r="E185" s="1">
        <v>-1.3918121245301194</v>
      </c>
      <c r="F185" s="1">
        <v>-0.77667419211184097</v>
      </c>
      <c r="G185" s="1">
        <v>-1.5105543097537577</v>
      </c>
      <c r="H185" s="1">
        <v>-2.2051691097273505</v>
      </c>
      <c r="J185" s="1">
        <v>1977</v>
      </c>
      <c r="K185" s="2">
        <v>373644.18824242812</v>
      </c>
      <c r="L185" s="1">
        <v>336939.46506564727</v>
      </c>
      <c r="M185" s="1">
        <v>322506.05294784415</v>
      </c>
      <c r="N185" s="1">
        <v>285801.32977106329</v>
      </c>
      <c r="O185" s="1">
        <v>51138.135294583975</v>
      </c>
      <c r="P185" s="1">
        <v>36704.723176780855</v>
      </c>
      <c r="Q185" s="1">
        <v>327344.05909677071</v>
      </c>
      <c r="R185" s="1">
        <v>700988.24733919883</v>
      </c>
      <c r="S185" s="1">
        <v>664283.52416241798</v>
      </c>
      <c r="U185" s="1">
        <v>1977</v>
      </c>
      <c r="V185" s="1">
        <v>45281.241686235378</v>
      </c>
      <c r="W185" s="1">
        <v>157383.67120629331</v>
      </c>
      <c r="X185" s="1">
        <v>-1.8606800164942996</v>
      </c>
      <c r="Y185" s="1">
        <v>40833.064801664608</v>
      </c>
      <c r="Z185" s="1">
        <v>143735.50199625146</v>
      </c>
      <c r="AA185" s="1">
        <v>-1.7910009942086305</v>
      </c>
      <c r="AB185" s="1">
        <v>8251633.0013982086</v>
      </c>
      <c r="AC185" s="1">
        <v>0.35676394211759543</v>
      </c>
      <c r="AE185" s="1">
        <v>1977</v>
      </c>
      <c r="AF185" s="1">
        <v>15161.378507789046</v>
      </c>
      <c r="AG185" s="1">
        <v>88699.105799403929</v>
      </c>
      <c r="AH185" s="1">
        <v>26965.102231192654</v>
      </c>
      <c r="AI185" s="1">
        <v>24857.940202381411</v>
      </c>
      <c r="AJ185" s="1">
        <v>55096.711147788687</v>
      </c>
      <c r="AK185" s="1">
        <v>17917.489562596769</v>
      </c>
      <c r="AL185" s="1">
        <v>78971.534561221328</v>
      </c>
      <c r="AM185" s="1">
        <v>29270.20305327345</v>
      </c>
      <c r="AN185" s="2">
        <v>336939.46506564727</v>
      </c>
      <c r="AP185" s="1" t="s">
        <v>276</v>
      </c>
      <c r="AQ185" s="1">
        <v>-5.6223135206507209</v>
      </c>
      <c r="AR185" s="1">
        <v>-5.8167325010614661</v>
      </c>
      <c r="AS185" s="1">
        <v>-1.3357465126084094</v>
      </c>
      <c r="AT185" s="1">
        <v>1.9265686640775499</v>
      </c>
      <c r="AU185" s="1">
        <v>-1.2076503441102489</v>
      </c>
      <c r="AV185" s="1">
        <v>0.33640233069193926</v>
      </c>
      <c r="AW185" s="1">
        <v>2.3707116216405808</v>
      </c>
      <c r="AX185" s="1">
        <v>1.185527135964648</v>
      </c>
      <c r="AY185" s="1">
        <v>-1.4406266978413527</v>
      </c>
      <c r="BA185" s="1">
        <v>1977</v>
      </c>
      <c r="BB185" s="1">
        <v>200029.66445446719</v>
      </c>
      <c r="BC185" s="1">
        <v>106001.57698616831</v>
      </c>
      <c r="BD185" s="1">
        <v>45692.008716577948</v>
      </c>
      <c r="BE185" s="1">
        <v>30374.335604817396</v>
      </c>
      <c r="BF185" s="1">
        <v>173.99337462045605</v>
      </c>
      <c r="BG185" s="1">
        <v>-2399</v>
      </c>
      <c r="BH185" s="1">
        <v>101297.04074161625</v>
      </c>
      <c r="BI185" s="1">
        <v>107525.43163583954</v>
      </c>
      <c r="BJ185" s="1">
        <v>373644.188242428</v>
      </c>
      <c r="BL185" s="1" t="s">
        <v>276</v>
      </c>
      <c r="BM185" s="1">
        <v>-1.0382420410252848</v>
      </c>
      <c r="BN185" s="1">
        <v>2.8752609740256787</v>
      </c>
      <c r="BO185" s="1">
        <v>-14.19501144887542</v>
      </c>
      <c r="BP185" s="1">
        <v>1.4559817066833034</v>
      </c>
      <c r="BQ185" s="1">
        <v>-3.7540989513891532</v>
      </c>
      <c r="BR185" s="1">
        <v>-1.5105543097537577</v>
      </c>
      <c r="BT185" s="1" t="s">
        <v>276</v>
      </c>
      <c r="BU185" s="1">
        <v>10.774607064446684</v>
      </c>
      <c r="BV185" s="1">
        <v>16.721098395104846</v>
      </c>
      <c r="BW185" s="1">
        <v>10.360798304951004</v>
      </c>
      <c r="BX185" s="1">
        <v>6.1705245275444724</v>
      </c>
      <c r="BY185" s="1">
        <v>11.960007966747611</v>
      </c>
      <c r="BZ185" s="1">
        <v>10.611581943609494</v>
      </c>
      <c r="CB185" s="1">
        <v>1977</v>
      </c>
      <c r="CC185" s="1">
        <v>3960.7807703128528</v>
      </c>
      <c r="CD185" s="1">
        <v>19685.262430155795</v>
      </c>
      <c r="CE185" s="1">
        <v>1391.3526611739435</v>
      </c>
      <c r="CF185" s="1">
        <v>9499.6078519833154</v>
      </c>
      <c r="CG185" s="1">
        <v>8278.2707405209439</v>
      </c>
      <c r="CH185" s="1">
        <v>12498.64488594859</v>
      </c>
      <c r="CI185" s="1">
        <v>18527.418355920359</v>
      </c>
      <c r="CJ185" s="1">
        <v>73841.337696015806</v>
      </c>
      <c r="CL185" s="1">
        <v>1977</v>
      </c>
      <c r="CM185" s="1">
        <v>2793.8815373615357</v>
      </c>
      <c r="CN185" s="1">
        <v>17068.01815831734</v>
      </c>
      <c r="CO185" s="1">
        <v>1331.318643719349</v>
      </c>
      <c r="CP185" s="1">
        <v>7623.9802520768608</v>
      </c>
      <c r="CQ185" s="1">
        <v>4567.3677192207206</v>
      </c>
      <c r="CR185" s="1">
        <v>6462.3350790803588</v>
      </c>
      <c r="CS185" s="1">
        <v>11291.23390480781</v>
      </c>
      <c r="CT185" s="2">
        <v>51138.135294583975</v>
      </c>
      <c r="CV185" s="1">
        <v>1977</v>
      </c>
      <c r="CW185" s="1">
        <v>380992.04165864288</v>
      </c>
      <c r="CX185" s="1">
        <v>435430.11862783582</v>
      </c>
      <c r="CY185" s="1">
        <v>182916.40527364111</v>
      </c>
      <c r="CZ185" s="1">
        <v>7321.2055240035679</v>
      </c>
      <c r="DA185" s="1">
        <v>133876.05803143332</v>
      </c>
      <c r="DB185" s="1">
        <v>1140535.8291155568</v>
      </c>
      <c r="DC185" s="1">
        <v>952201.40735046694</v>
      </c>
      <c r="DD185" s="1">
        <v>324000.50549891271</v>
      </c>
      <c r="DF185" s="1">
        <v>1977</v>
      </c>
      <c r="DG185" s="1">
        <v>2.3101432179450683</v>
      </c>
      <c r="DH185" s="1">
        <v>1.8993006834499511</v>
      </c>
      <c r="DI185" s="1">
        <v>2.6784243405390384</v>
      </c>
      <c r="DJ185" s="1">
        <v>3.3006074640881309</v>
      </c>
      <c r="DK185" s="1">
        <v>2.3765672750204203</v>
      </c>
      <c r="DL185" s="1">
        <v>-1.7919559593222516</v>
      </c>
      <c r="DM185" s="1">
        <v>2.0035349793226658</v>
      </c>
      <c r="DN185" s="1">
        <v>1.7682280987543493</v>
      </c>
      <c r="DO185" s="1">
        <v>0.95042975984942757</v>
      </c>
      <c r="DQ185" s="1">
        <v>1977</v>
      </c>
      <c r="DR185" s="1">
        <v>602385.08877358132</v>
      </c>
      <c r="DS185" s="1">
        <v>698888.4025344234</v>
      </c>
      <c r="DT185" s="1">
        <v>342770.13369529502</v>
      </c>
      <c r="DU185" s="1">
        <v>7321.2055240035679</v>
      </c>
      <c r="DV185" s="1">
        <v>133876.05803143332</v>
      </c>
      <c r="DW185" s="1">
        <v>1785240.8885587365</v>
      </c>
      <c r="DX185" s="1">
        <v>1515220.3199233171</v>
      </c>
      <c r="DY185" s="1">
        <v>493243.88911079697</v>
      </c>
      <c r="EA185" s="1">
        <v>1977</v>
      </c>
      <c r="EB185" s="1">
        <v>2.881824970883315</v>
      </c>
      <c r="EC185" s="1">
        <v>2.5331572977752757</v>
      </c>
      <c r="ED185" s="1">
        <v>3.1898556018264514</v>
      </c>
      <c r="EE185" s="1">
        <v>4.0140963415285853</v>
      </c>
      <c r="EF185" s="1">
        <v>2.3765672750204203</v>
      </c>
      <c r="EG185" s="1">
        <v>-1.7919559593222516</v>
      </c>
      <c r="EH185" s="1">
        <v>2.7603736229221028</v>
      </c>
      <c r="EI185" s="1">
        <v>2.5426553890522712</v>
      </c>
      <c r="EJ185" s="1">
        <v>2.1964917973523228</v>
      </c>
      <c r="EL185" s="1">
        <v>1977</v>
      </c>
      <c r="EM185" s="1">
        <v>242600</v>
      </c>
      <c r="EN185" s="1">
        <v>1158418.2554138838</v>
      </c>
      <c r="EO185" s="1">
        <v>298300</v>
      </c>
      <c r="EP185" s="1">
        <v>271211.98652551876</v>
      </c>
      <c r="EQ185" s="1">
        <v>709855.36294691218</v>
      </c>
      <c r="ER185" s="1">
        <v>320000</v>
      </c>
      <c r="ES185" s="1">
        <v>1139500</v>
      </c>
      <c r="ET185" s="1">
        <v>50519.817073170729</v>
      </c>
      <c r="EU185" s="1">
        <v>4190405.4219594854</v>
      </c>
      <c r="EV185" s="1">
        <v>3050905.4219594854</v>
      </c>
      <c r="EX185" s="1">
        <v>1977</v>
      </c>
      <c r="EY185" s="1">
        <v>90000</v>
      </c>
      <c r="EZ185" s="1">
        <v>1126018.2554138838</v>
      </c>
      <c r="FA185" s="1">
        <v>256200</v>
      </c>
      <c r="FB185" s="1">
        <v>246311.98652551879</v>
      </c>
      <c r="FC185" s="1">
        <v>652255.36294691218</v>
      </c>
      <c r="FD185" s="1">
        <v>280700</v>
      </c>
      <c r="FE185" s="1">
        <v>1139500</v>
      </c>
      <c r="FF185" s="1">
        <v>48419.817073170729</v>
      </c>
      <c r="FG185" s="1">
        <v>3839405.4219594854</v>
      </c>
      <c r="FH185" s="1">
        <v>2699905.4219594854</v>
      </c>
      <c r="FJ185" s="1">
        <v>1977</v>
      </c>
      <c r="FK185" s="1">
        <v>152600</v>
      </c>
      <c r="FL185" s="1">
        <v>32400</v>
      </c>
      <c r="FM185" s="1">
        <v>42100</v>
      </c>
      <c r="FN185" s="1">
        <v>24900</v>
      </c>
      <c r="FO185" s="1">
        <v>57600</v>
      </c>
      <c r="FP185" s="1">
        <v>39300</v>
      </c>
      <c r="FQ185" s="1">
        <v>2100</v>
      </c>
      <c r="FR185" s="1">
        <v>351000</v>
      </c>
      <c r="FS185" s="1">
        <v>683200</v>
      </c>
      <c r="FU185" s="1">
        <v>1977</v>
      </c>
      <c r="FV185" s="1">
        <v>35375</v>
      </c>
      <c r="FW185" s="1">
        <v>177314.34835670097</v>
      </c>
      <c r="FX185" s="1">
        <v>51177.112738570795</v>
      </c>
      <c r="FY185" s="1">
        <v>46198.897665962475</v>
      </c>
      <c r="FZ185" s="1">
        <v>113206.30082372409</v>
      </c>
      <c r="GA185" s="1">
        <v>44920.604148229439</v>
      </c>
      <c r="GB185" s="1">
        <v>149738</v>
      </c>
      <c r="GC185" s="1">
        <v>6278.3199613339784</v>
      </c>
      <c r="GD185" s="1">
        <v>624208.58369452192</v>
      </c>
      <c r="GE185" s="1">
        <v>474470.58369452169</v>
      </c>
      <c r="GG185" s="1">
        <v>1977</v>
      </c>
      <c r="GH185" s="1">
        <v>11157</v>
      </c>
      <c r="GI185" s="1">
        <v>171615.2057373891</v>
      </c>
      <c r="GJ185" s="1">
        <v>44390.112738570795</v>
      </c>
      <c r="GK185" s="1">
        <v>41594.897665962475</v>
      </c>
      <c r="GL185" s="1">
        <v>101440.30082372407</v>
      </c>
      <c r="GM185" s="1">
        <v>39226.604148229439</v>
      </c>
      <c r="GN185" s="1">
        <v>149738</v>
      </c>
      <c r="GO185" s="1">
        <v>5949.3199613339784</v>
      </c>
      <c r="GP185" s="1">
        <v>565111.44107520999</v>
      </c>
      <c r="GQ185" s="1">
        <v>415373.44107520988</v>
      </c>
      <c r="GS185" s="1">
        <v>1977</v>
      </c>
      <c r="GT185" s="1">
        <v>24218</v>
      </c>
      <c r="GU185" s="1">
        <v>5699.142619311875</v>
      </c>
      <c r="GV185" s="1">
        <v>6787</v>
      </c>
      <c r="GW185" s="1">
        <v>4604</v>
      </c>
      <c r="GX185" s="1">
        <v>11766</v>
      </c>
      <c r="GY185" s="1">
        <v>5694</v>
      </c>
      <c r="GZ185" s="1">
        <v>329</v>
      </c>
      <c r="HA185" s="1">
        <v>59097.142619311875</v>
      </c>
      <c r="HC185" s="1">
        <v>1977</v>
      </c>
      <c r="HD185" s="1">
        <v>4921.4600377595971</v>
      </c>
      <c r="HE185" s="1">
        <v>75854.988363411408</v>
      </c>
      <c r="HF185" s="1">
        <v>21366.770978422192</v>
      </c>
      <c r="HG185" s="1">
        <v>17282.3518073382</v>
      </c>
      <c r="HH185" s="1">
        <v>58098.117487428775</v>
      </c>
      <c r="HI185" s="1">
        <v>72509.199482140961</v>
      </c>
      <c r="HJ185" s="1">
        <v>2407.555084745763</v>
      </c>
      <c r="HK185" s="2">
        <v>252440.44324124686</v>
      </c>
      <c r="HL185" s="1">
        <v>179931.24375910591</v>
      </c>
      <c r="HN185" s="1">
        <v>1977</v>
      </c>
      <c r="HO185" s="1">
        <v>7446.0369326679129</v>
      </c>
      <c r="HP185" s="1">
        <v>2519.0564857688423</v>
      </c>
      <c r="HQ185" s="1">
        <v>3266.8597956622457</v>
      </c>
      <c r="HR185" s="1">
        <v>1912.9256756435375</v>
      </c>
      <c r="HS185" s="1">
        <v>7389.2234331657055</v>
      </c>
      <c r="HT185" s="1">
        <v>133.13885083157498</v>
      </c>
      <c r="HU185" s="2">
        <v>22667.241173739818</v>
      </c>
      <c r="HW185" s="1">
        <v>1977</v>
      </c>
      <c r="HX185" s="1">
        <v>2793.8815373615362</v>
      </c>
      <c r="HY185" s="1">
        <v>10325.060950223677</v>
      </c>
      <c r="HZ185" s="1">
        <v>2331.471457108215</v>
      </c>
      <c r="IA185" s="1">
        <v>5662.6627193996719</v>
      </c>
      <c r="IB185" s="1">
        <v>7526.8597897909758</v>
      </c>
      <c r="IC185" s="1">
        <v>6462.3350790803624</v>
      </c>
      <c r="ID185" s="1">
        <v>26729.50911769611</v>
      </c>
      <c r="IE185" s="2">
        <v>61831.780650660541</v>
      </c>
      <c r="IF185" s="1">
        <v>55369.445571580189</v>
      </c>
      <c r="IH185" s="1">
        <v>1977</v>
      </c>
      <c r="II185" s="1">
        <v>319.78076096785145</v>
      </c>
      <c r="IJ185" s="1">
        <v>9.9118985749016222</v>
      </c>
      <c r="IK185" s="1">
        <v>2.8200694768931878</v>
      </c>
      <c r="IL185" s="1">
        <v>384.56323014735318</v>
      </c>
      <c r="IM185" s="1">
        <v>-8.6035590239977147</v>
      </c>
      <c r="IN185" s="1">
        <v>-2.4478291432139394</v>
      </c>
      <c r="IO185" s="1">
        <v>-2.4456102105936708</v>
      </c>
    </row>
    <row r="186" spans="1:249" x14ac:dyDescent="0.25">
      <c r="A186" s="1" t="s">
        <v>277</v>
      </c>
      <c r="B186" s="1">
        <v>-0.13075109159576925</v>
      </c>
      <c r="C186" s="1">
        <v>-0.45937407229314431</v>
      </c>
      <c r="D186" s="1">
        <v>-0.13449345289281212</v>
      </c>
      <c r="E186" s="1">
        <v>-0.12700859005744292</v>
      </c>
      <c r="F186" s="1">
        <v>0.45297191825062555</v>
      </c>
      <c r="G186" s="1">
        <v>1.5643063577253287</v>
      </c>
      <c r="H186" s="1">
        <v>1.522466379726751</v>
      </c>
      <c r="J186" s="1">
        <v>1978</v>
      </c>
      <c r="K186" s="2">
        <v>418053.19857018825</v>
      </c>
      <c r="L186" s="1">
        <v>373436.37637027714</v>
      </c>
      <c r="M186" s="1">
        <v>359628.63374011265</v>
      </c>
      <c r="N186" s="1">
        <v>315011.81154020154</v>
      </c>
      <c r="O186" s="1">
        <v>58424.564830075571</v>
      </c>
      <c r="P186" s="1">
        <v>44616.822199911112</v>
      </c>
      <c r="Q186" s="1">
        <v>359535.00484135485</v>
      </c>
      <c r="R186" s="1">
        <v>777588.20341154304</v>
      </c>
      <c r="S186" s="1">
        <v>732971.38121163193</v>
      </c>
      <c r="U186" s="1">
        <v>1978</v>
      </c>
      <c r="V186" s="1">
        <v>50515.311461483398</v>
      </c>
      <c r="W186" s="1">
        <v>159379.39246227304</v>
      </c>
      <c r="X186" s="1">
        <v>1.2680611912806512</v>
      </c>
      <c r="Y186" s="1">
        <v>45124.053416912473</v>
      </c>
      <c r="Z186" s="1">
        <v>143128.86332834576</v>
      </c>
      <c r="AA186" s="1">
        <v>-0.42205207445653059</v>
      </c>
      <c r="AB186" s="1">
        <v>8275771.968444515</v>
      </c>
      <c r="AC186" s="1">
        <v>0.29253563557925588</v>
      </c>
      <c r="AE186" s="1">
        <v>1978</v>
      </c>
      <c r="AF186" s="1">
        <v>15105.325425725092</v>
      </c>
      <c r="AG186" s="1">
        <v>94581.615757409847</v>
      </c>
      <c r="AH186" s="1">
        <v>27901.502721808003</v>
      </c>
      <c r="AI186" s="1">
        <v>27436.221835178087</v>
      </c>
      <c r="AJ186" s="1">
        <v>63038.994836316473</v>
      </c>
      <c r="AK186" s="1">
        <v>20006.131187432184</v>
      </c>
      <c r="AL186" s="1">
        <v>91456.88090763017</v>
      </c>
      <c r="AM186" s="1">
        <v>33909.703698777295</v>
      </c>
      <c r="AN186" s="2">
        <v>373436.3763702772</v>
      </c>
      <c r="AP186" s="1" t="s">
        <v>277</v>
      </c>
      <c r="AQ186" s="1">
        <v>1.4938154919635025</v>
      </c>
      <c r="AR186" s="1">
        <v>-2.511841480154601</v>
      </c>
      <c r="AS186" s="1">
        <v>-1.9702541661500845</v>
      </c>
      <c r="AT186" s="1">
        <v>0.58927564206901195</v>
      </c>
      <c r="AU186" s="1">
        <v>-0.96764827368200201</v>
      </c>
      <c r="AV186" s="1">
        <v>-0.51384359767911292</v>
      </c>
      <c r="AW186" s="1">
        <v>2.6732022734818202</v>
      </c>
      <c r="AX186" s="1">
        <v>1.4773932181603868</v>
      </c>
      <c r="AY186" s="1">
        <v>-0.13075109159576925</v>
      </c>
      <c r="BA186" s="1">
        <v>1978</v>
      </c>
      <c r="BB186" s="1">
        <v>221699.90508634201</v>
      </c>
      <c r="BC186" s="1">
        <v>120014.23004780554</v>
      </c>
      <c r="BD186" s="1">
        <v>51426.329209603879</v>
      </c>
      <c r="BE186" s="1">
        <v>27913.154841042469</v>
      </c>
      <c r="BF186" s="1">
        <v>254.92474837244035</v>
      </c>
      <c r="BG186" s="1">
        <v>-7423</v>
      </c>
      <c r="BH186" s="1">
        <v>116358.84266848961</v>
      </c>
      <c r="BI186" s="1">
        <v>112191.1880314677</v>
      </c>
      <c r="BJ186" s="1">
        <v>418053.19857018825</v>
      </c>
      <c r="BL186" s="1" t="s">
        <v>277</v>
      </c>
      <c r="BM186" s="1">
        <v>-0.70776527463674199</v>
      </c>
      <c r="BN186" s="1">
        <v>3.2802607283639844</v>
      </c>
      <c r="BO186" s="1">
        <v>-13.228205406199706</v>
      </c>
      <c r="BP186" s="1">
        <v>7.8007761436234375</v>
      </c>
      <c r="BQ186" s="1">
        <v>-5.474892546388503</v>
      </c>
      <c r="BR186" s="1">
        <v>1.5643063577253287</v>
      </c>
      <c r="BT186" s="1" t="s">
        <v>277</v>
      </c>
      <c r="BU186" s="1">
        <v>11.623546162660375</v>
      </c>
      <c r="BV186" s="1">
        <v>9.6233554752896993</v>
      </c>
      <c r="BW186" s="1">
        <v>12.638549100901855</v>
      </c>
      <c r="BX186" s="1">
        <v>6.5566962996455942</v>
      </c>
      <c r="BY186" s="1">
        <v>10.382537271196426</v>
      </c>
      <c r="BZ186" s="1">
        <v>10.162101543082741</v>
      </c>
      <c r="CB186" s="1">
        <v>1978</v>
      </c>
      <c r="CC186" s="1">
        <v>3871.6920923064217</v>
      </c>
      <c r="CD186" s="1">
        <v>14637.592115697102</v>
      </c>
      <c r="CE186" s="1">
        <v>1484.2793670085086</v>
      </c>
      <c r="CF186" s="1">
        <v>7658.9528632251277</v>
      </c>
      <c r="CG186" s="1">
        <v>7014.7815332470918</v>
      </c>
      <c r="CH186" s="1">
        <v>13922.760160109103</v>
      </c>
      <c r="CI186" s="1">
        <v>23581.350667425435</v>
      </c>
      <c r="CJ186" s="1">
        <v>72171.408799018784</v>
      </c>
      <c r="CL186" s="1">
        <v>1978</v>
      </c>
      <c r="CM186" s="1">
        <v>3168.0219690163149</v>
      </c>
      <c r="CN186" s="1">
        <v>18995.004729313448</v>
      </c>
      <c r="CO186" s="1">
        <v>1450.5281794559746</v>
      </c>
      <c r="CP186" s="1">
        <v>9231.4221675389163</v>
      </c>
      <c r="CQ186" s="1">
        <v>5150.7600734562584</v>
      </c>
      <c r="CR186" s="1">
        <v>7294.9325871250358</v>
      </c>
      <c r="CS186" s="1">
        <v>13133.895124169629</v>
      </c>
      <c r="CT186" s="2">
        <v>58424.564830075571</v>
      </c>
      <c r="CV186" s="1">
        <v>1978</v>
      </c>
      <c r="CW186" s="1">
        <v>440081.61708281277</v>
      </c>
      <c r="CX186" s="1">
        <v>482938.77324081335</v>
      </c>
      <c r="CY186" s="1">
        <v>216187.08257411545</v>
      </c>
      <c r="CZ186" s="1">
        <v>7875.6354317813921</v>
      </c>
      <c r="DA186" s="1">
        <v>137466.95140584896</v>
      </c>
      <c r="DB186" s="1">
        <v>1284550.0597353717</v>
      </c>
      <c r="DC186" s="1">
        <v>1073394.7663683947</v>
      </c>
      <c r="DD186" s="1">
        <v>352732.35739052523</v>
      </c>
      <c r="DF186" s="1">
        <v>1978</v>
      </c>
      <c r="DG186" s="1">
        <v>2.2919054442913449</v>
      </c>
      <c r="DH186" s="1">
        <v>2.3739813565741201</v>
      </c>
      <c r="DI186" s="1">
        <v>2.2155945094313552</v>
      </c>
      <c r="DJ186" s="1">
        <v>-2.946997980659205E-2</v>
      </c>
      <c r="DK186" s="1">
        <v>3.2368784789569673</v>
      </c>
      <c r="DL186" s="1">
        <v>-5.3998433253130003</v>
      </c>
      <c r="DM186" s="1">
        <v>1.1174145636842781</v>
      </c>
      <c r="DN186" s="1">
        <v>0.71914687006935196</v>
      </c>
      <c r="DO186" s="1">
        <v>-0.96876074457878758</v>
      </c>
      <c r="DQ186" s="1">
        <v>1978</v>
      </c>
      <c r="DR186" s="1">
        <v>700139.63521054329</v>
      </c>
      <c r="DS186" s="1">
        <v>778354.25034963759</v>
      </c>
      <c r="DT186" s="1">
        <v>408902.15613610548</v>
      </c>
      <c r="DU186" s="1">
        <v>7875.6354317813921</v>
      </c>
      <c r="DV186" s="1">
        <v>137466.95140584896</v>
      </c>
      <c r="DW186" s="1">
        <v>2032738.628533917</v>
      </c>
      <c r="DX186" s="1">
        <v>1727699.9063889149</v>
      </c>
      <c r="DY186" s="1">
        <v>546294.66951014881</v>
      </c>
      <c r="EA186" s="1">
        <v>1978</v>
      </c>
      <c r="EB186" s="1">
        <v>2.8488201890395857</v>
      </c>
      <c r="EC186" s="1">
        <v>2.8180747789220391</v>
      </c>
      <c r="ED186" s="1">
        <v>2.8770603088562865</v>
      </c>
      <c r="EE186" s="1">
        <v>1.9913922147745353</v>
      </c>
      <c r="EF186" s="1">
        <v>3.2368784789569673</v>
      </c>
      <c r="EG186" s="1">
        <v>-5.3998433253130003</v>
      </c>
      <c r="EH186" s="1">
        <v>2.1395416175422355</v>
      </c>
      <c r="EI186" s="1">
        <v>1.8251423644773439</v>
      </c>
      <c r="EJ186" s="1">
        <v>0.86895016088057275</v>
      </c>
      <c r="EL186" s="1">
        <v>1978</v>
      </c>
      <c r="EM186" s="1">
        <v>242600</v>
      </c>
      <c r="EN186" s="1">
        <v>1126249.564865412</v>
      </c>
      <c r="EO186" s="1">
        <v>297200</v>
      </c>
      <c r="EP186" s="1">
        <v>271631.59264655667</v>
      </c>
      <c r="EQ186" s="1">
        <v>701625.56879739976</v>
      </c>
      <c r="ER186" s="1">
        <v>323300</v>
      </c>
      <c r="ES186" s="1">
        <v>1197600</v>
      </c>
      <c r="ET186" s="1">
        <v>52705.487804878052</v>
      </c>
      <c r="EU186" s="1">
        <v>4212912.2141142469</v>
      </c>
      <c r="EV186" s="1">
        <v>3015312.2141142464</v>
      </c>
      <c r="EX186" s="1">
        <v>1978</v>
      </c>
      <c r="EY186" s="1">
        <v>88200</v>
      </c>
      <c r="EZ186" s="1">
        <v>1094849.564865412</v>
      </c>
      <c r="FA186" s="1">
        <v>255400</v>
      </c>
      <c r="FB186" s="1">
        <v>245531.59264655667</v>
      </c>
      <c r="FC186" s="1">
        <v>642025.56879739976</v>
      </c>
      <c r="FD186" s="1">
        <v>281700</v>
      </c>
      <c r="FE186" s="1">
        <v>1197600</v>
      </c>
      <c r="FF186" s="1">
        <v>50405.487804878052</v>
      </c>
      <c r="FG186" s="1">
        <v>3855712.2141142464</v>
      </c>
      <c r="FH186" s="1">
        <v>2658112.2141142464</v>
      </c>
      <c r="FJ186" s="1">
        <v>1978</v>
      </c>
      <c r="FK186" s="1">
        <v>154400</v>
      </c>
      <c r="FL186" s="1">
        <v>31400</v>
      </c>
      <c r="FM186" s="1">
        <v>41800</v>
      </c>
      <c r="FN186" s="1">
        <v>26100</v>
      </c>
      <c r="FO186" s="1">
        <v>59600</v>
      </c>
      <c r="FP186" s="1">
        <v>41600</v>
      </c>
      <c r="FQ186" s="1">
        <v>2300</v>
      </c>
      <c r="FR186" s="1">
        <v>357200</v>
      </c>
      <c r="FS186" s="1">
        <v>623800</v>
      </c>
      <c r="FU186" s="1">
        <v>1978</v>
      </c>
      <c r="FV186" s="1">
        <v>33643</v>
      </c>
      <c r="FW186" s="1">
        <v>168102.60105983671</v>
      </c>
      <c r="FX186" s="1">
        <v>49335.350347684565</v>
      </c>
      <c r="FY186" s="1">
        <v>45453.954292801456</v>
      </c>
      <c r="FZ186" s="1">
        <v>109626.84562070144</v>
      </c>
      <c r="GA186" s="1">
        <v>44988.439788643322</v>
      </c>
      <c r="GB186" s="1">
        <v>153566</v>
      </c>
      <c r="GC186" s="1">
        <v>6436.3368777187061</v>
      </c>
      <c r="GD186" s="1">
        <v>611152.52798738622</v>
      </c>
      <c r="GE186" s="1">
        <v>457586.52798738616</v>
      </c>
      <c r="GG186" s="1">
        <v>1978</v>
      </c>
      <c r="GH186" s="1">
        <v>9981</v>
      </c>
      <c r="GI186" s="1">
        <v>162600.90905095771</v>
      </c>
      <c r="GJ186" s="1">
        <v>42631.350347684565</v>
      </c>
      <c r="GK186" s="1">
        <v>40643.954292801456</v>
      </c>
      <c r="GL186" s="1">
        <v>97489.845620701439</v>
      </c>
      <c r="GM186" s="1">
        <v>38809.439788643314</v>
      </c>
      <c r="GN186" s="1">
        <v>153566</v>
      </c>
      <c r="GO186" s="1">
        <v>6068.3368777187052</v>
      </c>
      <c r="GP186" s="1">
        <v>551790.83597850718</v>
      </c>
      <c r="GQ186" s="1">
        <v>398224.83597850718</v>
      </c>
      <c r="GS186" s="1">
        <v>1978</v>
      </c>
      <c r="GT186" s="1">
        <v>23662</v>
      </c>
      <c r="GU186" s="1">
        <v>5501.692008879023</v>
      </c>
      <c r="GV186" s="1">
        <v>6704</v>
      </c>
      <c r="GW186" s="1">
        <v>4810</v>
      </c>
      <c r="GX186" s="1">
        <v>12137</v>
      </c>
      <c r="GY186" s="1">
        <v>6179</v>
      </c>
      <c r="GZ186" s="1">
        <v>368</v>
      </c>
      <c r="HA186" s="1">
        <v>59361.692008879014</v>
      </c>
      <c r="HC186" s="1">
        <v>1978</v>
      </c>
      <c r="HD186" s="1">
        <v>5001.0639815397526</v>
      </c>
      <c r="HE186" s="1">
        <v>81502.128119800342</v>
      </c>
      <c r="HF186" s="1">
        <v>23244.204132891882</v>
      </c>
      <c r="HG186" s="1">
        <v>18915.663975690506</v>
      </c>
      <c r="HH186" s="1">
        <v>65280.434922203298</v>
      </c>
      <c r="HI186" s="1">
        <v>84161.948320505093</v>
      </c>
      <c r="HJ186" s="1">
        <v>2826.1936440677969</v>
      </c>
      <c r="HK186" s="2">
        <v>280931.63709669869</v>
      </c>
      <c r="HL186" s="1">
        <v>196769.68877619359</v>
      </c>
      <c r="HN186" s="1">
        <v>1978</v>
      </c>
      <c r="HO186" s="1">
        <v>6936.2394751690254</v>
      </c>
      <c r="HP186" s="1">
        <v>2757.6697424416943</v>
      </c>
      <c r="HQ186" s="1">
        <v>3655.2711381653608</v>
      </c>
      <c r="HR186" s="1">
        <v>2238.5701712883233</v>
      </c>
      <c r="HS186" s="1">
        <v>8970.2282261526889</v>
      </c>
      <c r="HT186" s="1">
        <v>171.38785831678078</v>
      </c>
      <c r="HU186" s="2">
        <v>24729.366611533875</v>
      </c>
      <c r="HW186" s="1">
        <v>1978</v>
      </c>
      <c r="HX186" s="1">
        <v>3168.021969016314</v>
      </c>
      <c r="HY186" s="1">
        <v>10321.817895167813</v>
      </c>
      <c r="HZ186" s="1">
        <v>1002.0274507507602</v>
      </c>
      <c r="IA186" s="1">
        <v>6281.9876881992568</v>
      </c>
      <c r="IB186" s="1">
        <v>8794.4628753926736</v>
      </c>
      <c r="IC186" s="1">
        <v>7294.9325871250758</v>
      </c>
      <c r="ID186" s="1">
        <v>30912.122196392716</v>
      </c>
      <c r="IE186" s="2">
        <v>67775.37266204461</v>
      </c>
      <c r="IF186" s="1">
        <v>60480.440074919534</v>
      </c>
      <c r="IH186" s="1">
        <v>1978</v>
      </c>
      <c r="II186" s="1">
        <v>321.99180402271253</v>
      </c>
      <c r="IJ186" s="1">
        <v>8.5242833263098188</v>
      </c>
      <c r="IK186" s="1">
        <v>2.4394174847476444</v>
      </c>
      <c r="IL186" s="1">
        <v>389.5357152224513</v>
      </c>
      <c r="IM186" s="1">
        <v>-10.293386708956502</v>
      </c>
      <c r="IN186" s="1">
        <v>-2.9456866406114188</v>
      </c>
      <c r="IO186" s="1">
        <v>-1.0034707699741148</v>
      </c>
    </row>
    <row r="187" spans="1:249" x14ac:dyDescent="0.25">
      <c r="A187" s="1" t="s">
        <v>278</v>
      </c>
      <c r="B187" s="1">
        <v>3.1959870871192351</v>
      </c>
      <c r="C187" s="1">
        <v>3.0291315307343609</v>
      </c>
      <c r="D187" s="1">
        <v>3.2064423252088119</v>
      </c>
      <c r="E187" s="1">
        <v>3.1855329081883923</v>
      </c>
      <c r="F187" s="1">
        <v>3.931555095922306</v>
      </c>
      <c r="G187" s="1">
        <v>4.1370371285137821</v>
      </c>
      <c r="H187" s="1">
        <v>4.4859902959177447</v>
      </c>
      <c r="J187" s="1">
        <v>1979</v>
      </c>
      <c r="K187" s="2">
        <v>468577.65559852682</v>
      </c>
      <c r="L187" s="1">
        <v>420438.10362841852</v>
      </c>
      <c r="M187" s="1">
        <v>404865.4297785713</v>
      </c>
      <c r="N187" s="1">
        <v>356725.877808463</v>
      </c>
      <c r="O187" s="1">
        <v>63712.225819955529</v>
      </c>
      <c r="P187" s="1">
        <v>48139.551970108296</v>
      </c>
      <c r="Q187" s="1">
        <v>419649.2832171137</v>
      </c>
      <c r="R187" s="1">
        <v>888226.93881564052</v>
      </c>
      <c r="S187" s="1">
        <v>840087.38684553222</v>
      </c>
      <c r="U187" s="1">
        <v>1979</v>
      </c>
      <c r="V187" s="1">
        <v>56497.898601805748</v>
      </c>
      <c r="W187" s="1">
        <v>165613.83707445872</v>
      </c>
      <c r="X187" s="1">
        <v>3.9117005755066003</v>
      </c>
      <c r="Y187" s="1">
        <v>50693.559676447723</v>
      </c>
      <c r="Z187" s="1">
        <v>147383.63618678169</v>
      </c>
      <c r="AA187" s="1">
        <v>2.9726868218573372</v>
      </c>
      <c r="AB187" s="1">
        <v>8293718.3009413816</v>
      </c>
      <c r="AC187" s="1">
        <v>0.21685387859035643</v>
      </c>
      <c r="AE187" s="1">
        <v>1979</v>
      </c>
      <c r="AF187" s="1">
        <v>15062.827075637973</v>
      </c>
      <c r="AG187" s="1">
        <v>108073.74968332586</v>
      </c>
      <c r="AH187" s="1">
        <v>30715.900390566505</v>
      </c>
      <c r="AI187" s="1">
        <v>30998.272449800836</v>
      </c>
      <c r="AJ187" s="1">
        <v>72083.842195448975</v>
      </c>
      <c r="AK187" s="1">
        <v>22118.20161918494</v>
      </c>
      <c r="AL187" s="1">
        <v>103566.56212584904</v>
      </c>
      <c r="AM187" s="1">
        <v>37818.74808860445</v>
      </c>
      <c r="AN187" s="2">
        <v>420438.10362841852</v>
      </c>
      <c r="AP187" s="1" t="s">
        <v>278</v>
      </c>
      <c r="AQ187" s="1">
        <v>-0.83889215447472054</v>
      </c>
      <c r="AR187" s="1">
        <v>4.8033393947247873</v>
      </c>
      <c r="AS187" s="1">
        <v>0.81852319849618027</v>
      </c>
      <c r="AT187" s="1">
        <v>3.0115079866064036</v>
      </c>
      <c r="AU187" s="1">
        <v>4.0106758843580224</v>
      </c>
      <c r="AV187" s="1">
        <v>1.1039739526885057</v>
      </c>
      <c r="AW187" s="1">
        <v>3.5387997258097528</v>
      </c>
      <c r="AX187" s="1">
        <v>1.3455834676383347</v>
      </c>
      <c r="AY187" s="1">
        <v>3.1959870871192351</v>
      </c>
      <c r="BA187" s="1">
        <v>1979</v>
      </c>
      <c r="BB187" s="1">
        <v>245103.68452613067</v>
      </c>
      <c r="BC187" s="1">
        <v>136292.45335083935</v>
      </c>
      <c r="BD187" s="1">
        <v>57999.360576996361</v>
      </c>
      <c r="BE187" s="1">
        <v>32579.907323450057</v>
      </c>
      <c r="BF187" s="1">
        <v>340.28785982478104</v>
      </c>
      <c r="BG187" s="1">
        <v>962</v>
      </c>
      <c r="BH187" s="1">
        <v>140519.50443065877</v>
      </c>
      <c r="BI187" s="1">
        <v>145219.54246937306</v>
      </c>
      <c r="BJ187" s="1">
        <v>468577.65559852694</v>
      </c>
      <c r="BL187" s="1" t="s">
        <v>278</v>
      </c>
      <c r="BM187" s="1">
        <v>2.4159935081701178</v>
      </c>
      <c r="BN187" s="1">
        <v>4.751065246888885</v>
      </c>
      <c r="BO187" s="1">
        <v>17.055195731505563</v>
      </c>
      <c r="BP187" s="1">
        <v>6.136552840954451</v>
      </c>
      <c r="BQ187" s="1">
        <v>11.622417009613059</v>
      </c>
      <c r="BR187" s="1">
        <v>4.1370371285137821</v>
      </c>
      <c r="BT187" s="1" t="s">
        <v>278</v>
      </c>
      <c r="BU187" s="1">
        <v>7.9484846803636628</v>
      </c>
      <c r="BV187" s="1">
        <v>8.4128141308609088</v>
      </c>
      <c r="BW187" s="1">
        <v>8.7608171183545664</v>
      </c>
      <c r="BX187" s="1">
        <v>13.78165283892308</v>
      </c>
      <c r="BY187" s="1">
        <v>15.961785828903459</v>
      </c>
      <c r="BZ187" s="1">
        <v>7.632841911656314</v>
      </c>
      <c r="CB187" s="1">
        <v>1979</v>
      </c>
      <c r="CC187" s="1">
        <v>3986.9751649077516</v>
      </c>
      <c r="CD187" s="1">
        <v>20176.396704487652</v>
      </c>
      <c r="CE187" s="1">
        <v>1713.8132064384872</v>
      </c>
      <c r="CF187" s="1">
        <v>10095.644235697615</v>
      </c>
      <c r="CG187" s="1">
        <v>12966.01285329764</v>
      </c>
      <c r="CH187" s="1">
        <v>15029.180478634291</v>
      </c>
      <c r="CI187" s="1">
        <v>27913.533116807757</v>
      </c>
      <c r="CJ187" s="1">
        <v>91881.555760271192</v>
      </c>
      <c r="CL187" s="1">
        <v>1979</v>
      </c>
      <c r="CM187" s="1">
        <v>3472.4043297024737</v>
      </c>
      <c r="CN187" s="1">
        <v>20503.446585980586</v>
      </c>
      <c r="CO187" s="1">
        <v>1580.1010245777811</v>
      </c>
      <c r="CP187" s="1">
        <v>8650.2036133084457</v>
      </c>
      <c r="CQ187" s="1">
        <v>5839.3117452696406</v>
      </c>
      <c r="CR187" s="1">
        <v>8269.298443374666</v>
      </c>
      <c r="CS187" s="1">
        <v>15397.460077741938</v>
      </c>
      <c r="CT187" s="2">
        <v>63712.225819955529</v>
      </c>
      <c r="CV187" s="1">
        <v>1979</v>
      </c>
      <c r="CW187" s="1">
        <v>514140.96360129985</v>
      </c>
      <c r="CX187" s="1">
        <v>541033.63983525895</v>
      </c>
      <c r="CY187" s="1">
        <v>220397.27081376151</v>
      </c>
      <c r="CZ187" s="1">
        <v>8688.3531379182332</v>
      </c>
      <c r="DA187" s="1">
        <v>134769.89034558501</v>
      </c>
      <c r="DB187" s="1">
        <v>1419030.1177338236</v>
      </c>
      <c r="DC187" s="1">
        <v>1179768.1137639766</v>
      </c>
      <c r="DD187" s="1">
        <v>374036.99821602728</v>
      </c>
      <c r="DF187" s="1">
        <v>1979</v>
      </c>
      <c r="DG187" s="1">
        <v>2.2195534948774736</v>
      </c>
      <c r="DH187" s="1">
        <v>2.4343660445565547</v>
      </c>
      <c r="DI187" s="1">
        <v>2.0117721366642769</v>
      </c>
      <c r="DJ187" s="1">
        <v>1.5697287542536316</v>
      </c>
      <c r="DK187" s="1">
        <v>3.9165979377573308</v>
      </c>
      <c r="DL187" s="1">
        <v>0.71380929192208953</v>
      </c>
      <c r="DM187" s="1">
        <v>1.9908842997784006</v>
      </c>
      <c r="DN187" s="1">
        <v>1.8220289918003942</v>
      </c>
      <c r="DO187" s="1">
        <v>0.36151296542072942</v>
      </c>
      <c r="DQ187" s="1">
        <v>1979</v>
      </c>
      <c r="DR187" s="1">
        <v>821511.25448793033</v>
      </c>
      <c r="DS187" s="1">
        <v>877229.74613934103</v>
      </c>
      <c r="DT187" s="1">
        <v>424043.13003969332</v>
      </c>
      <c r="DU187" s="1">
        <v>8688.3531379182332</v>
      </c>
      <c r="DV187" s="1">
        <v>134769.89034558501</v>
      </c>
      <c r="DW187" s="1">
        <v>2266242.374150468</v>
      </c>
      <c r="DX187" s="1">
        <v>1918149.9464752194</v>
      </c>
      <c r="DY187" s="1">
        <v>592112.04018738365</v>
      </c>
      <c r="EA187" s="1">
        <v>1979</v>
      </c>
      <c r="EB187" s="1">
        <v>2.7815126309579767</v>
      </c>
      <c r="EC187" s="1">
        <v>2.8401671155274641</v>
      </c>
      <c r="ED187" s="1">
        <v>2.7255955327948982</v>
      </c>
      <c r="EE187" s="1">
        <v>2.7419130153969746</v>
      </c>
      <c r="EF187" s="1">
        <v>3.9165979377573308</v>
      </c>
      <c r="EG187" s="1">
        <v>0.71380929192208953</v>
      </c>
      <c r="EH187" s="1">
        <v>2.6582144938465291</v>
      </c>
      <c r="EI187" s="1">
        <v>2.4761686592277528</v>
      </c>
      <c r="EJ187" s="1">
        <v>1.6591883885045178</v>
      </c>
      <c r="EL187" s="1">
        <v>1979</v>
      </c>
      <c r="EM187" s="1">
        <v>237000</v>
      </c>
      <c r="EN187" s="1">
        <v>1127824.3472981178</v>
      </c>
      <c r="EO187" s="1">
        <v>290100</v>
      </c>
      <c r="EP187" s="1">
        <v>274415.55241565232</v>
      </c>
      <c r="EQ187" s="1">
        <v>713135.10292524379</v>
      </c>
      <c r="ER187" s="1">
        <v>321100</v>
      </c>
      <c r="ES187" s="1">
        <v>1251200</v>
      </c>
      <c r="ET187" s="1">
        <v>51741.768292682929</v>
      </c>
      <c r="EU187" s="1">
        <v>4266516.7709316965</v>
      </c>
      <c r="EV187" s="1">
        <v>3015316.7709316965</v>
      </c>
      <c r="EX187" s="1">
        <v>1979</v>
      </c>
      <c r="EY187" s="1">
        <v>85400</v>
      </c>
      <c r="EZ187" s="1">
        <v>1097224.3472981178</v>
      </c>
      <c r="FA187" s="1">
        <v>248100</v>
      </c>
      <c r="FB187" s="1">
        <v>246915.55241565232</v>
      </c>
      <c r="FC187" s="1">
        <v>649335.10292524379</v>
      </c>
      <c r="FD187" s="1">
        <v>279200</v>
      </c>
      <c r="FE187" s="1">
        <v>1251200</v>
      </c>
      <c r="FF187" s="1">
        <v>49641.768292682929</v>
      </c>
      <c r="FG187" s="1">
        <v>3907016.7709316965</v>
      </c>
      <c r="FH187" s="1">
        <v>2655816.7709316965</v>
      </c>
      <c r="FJ187" s="1">
        <v>1979</v>
      </c>
      <c r="FK187" s="1">
        <v>151600</v>
      </c>
      <c r="FL187" s="1">
        <v>30600</v>
      </c>
      <c r="FM187" s="1">
        <v>42000</v>
      </c>
      <c r="FN187" s="1">
        <v>27500</v>
      </c>
      <c r="FO187" s="1">
        <v>63800</v>
      </c>
      <c r="FP187" s="1">
        <v>41900</v>
      </c>
      <c r="FQ187" s="1">
        <v>2100</v>
      </c>
      <c r="FR187" s="1">
        <v>359500</v>
      </c>
      <c r="FS187" s="1">
        <v>582000</v>
      </c>
      <c r="FU187" s="1">
        <v>1979</v>
      </c>
      <c r="FV187" s="1">
        <v>32881</v>
      </c>
      <c r="FW187" s="1">
        <v>165966.38915555924</v>
      </c>
      <c r="FX187" s="1">
        <v>47687.739162598016</v>
      </c>
      <c r="FY187" s="1">
        <v>45615.798472995084</v>
      </c>
      <c r="FZ187" s="1">
        <v>111424.50607153398</v>
      </c>
      <c r="GA187" s="1">
        <v>44237.017206569792</v>
      </c>
      <c r="GB187" s="1">
        <v>158965</v>
      </c>
      <c r="GC187" s="1">
        <v>6476.681488641856</v>
      </c>
      <c r="GD187" s="1">
        <v>613254.1315578979</v>
      </c>
      <c r="GE187" s="1">
        <v>454289.13155789796</v>
      </c>
      <c r="GG187" s="1">
        <v>1979</v>
      </c>
      <c r="GH187" s="1">
        <v>9501</v>
      </c>
      <c r="GI187" s="1">
        <v>160441.76096466021</v>
      </c>
      <c r="GJ187" s="1">
        <v>41043.739162598016</v>
      </c>
      <c r="GK187" s="1">
        <v>40533.798472995084</v>
      </c>
      <c r="GL187" s="1">
        <v>98561.506071533979</v>
      </c>
      <c r="GM187" s="1">
        <v>38139.017206569784</v>
      </c>
      <c r="GN187" s="1">
        <v>158965</v>
      </c>
      <c r="GO187" s="1">
        <v>6147.681488641856</v>
      </c>
      <c r="GP187" s="1">
        <v>553333.50336699898</v>
      </c>
      <c r="GQ187" s="1">
        <v>394368.50336699892</v>
      </c>
      <c r="GS187" s="1">
        <v>1979</v>
      </c>
      <c r="GT187" s="1">
        <v>23380</v>
      </c>
      <c r="GU187" s="1">
        <v>5524.6281908990004</v>
      </c>
      <c r="GV187" s="1">
        <v>6644</v>
      </c>
      <c r="GW187" s="1">
        <v>5082</v>
      </c>
      <c r="GX187" s="1">
        <v>12863</v>
      </c>
      <c r="GY187" s="1">
        <v>6098</v>
      </c>
      <c r="GZ187" s="1">
        <v>329</v>
      </c>
      <c r="HA187" s="1">
        <v>59920.628190898991</v>
      </c>
      <c r="HC187" s="1">
        <v>1979</v>
      </c>
      <c r="HD187" s="1">
        <v>5013.9727291797781</v>
      </c>
      <c r="HE187" s="1">
        <v>87230.741488544736</v>
      </c>
      <c r="HF187" s="1">
        <v>25024.13643109944</v>
      </c>
      <c r="HG187" s="1">
        <v>20655.035375754003</v>
      </c>
      <c r="HH187" s="1">
        <v>72147.735802553274</v>
      </c>
      <c r="HI187" s="1">
        <v>95297.263682474368</v>
      </c>
      <c r="HJ187" s="1">
        <v>3229.4974576271188</v>
      </c>
      <c r="HK187" s="2">
        <v>308598.38296723267</v>
      </c>
      <c r="HL187" s="1">
        <v>213301.11928475834</v>
      </c>
      <c r="HN187" s="1">
        <v>1979</v>
      </c>
      <c r="HO187" s="1">
        <v>6576.4500167557208</v>
      </c>
      <c r="HP187" s="1">
        <v>3003.6906266990363</v>
      </c>
      <c r="HQ187" s="1">
        <v>4050.8093521784426</v>
      </c>
      <c r="HR187" s="1">
        <v>2589.6632867880735</v>
      </c>
      <c r="HS187" s="1">
        <v>9978.095475771408</v>
      </c>
      <c r="HT187" s="1">
        <v>172.83014182214089</v>
      </c>
      <c r="HU187" s="2">
        <v>26371.538900014824</v>
      </c>
      <c r="HW187" s="1">
        <v>1979</v>
      </c>
      <c r="HX187" s="1">
        <v>3472.4043297024746</v>
      </c>
      <c r="HY187" s="1">
        <v>17839.3175680821</v>
      </c>
      <c r="HZ187" s="1">
        <v>1640.9546072886224</v>
      </c>
      <c r="IA187" s="1">
        <v>7753.5737872587597</v>
      </c>
      <c r="IB187" s="1">
        <v>12076.212536309238</v>
      </c>
      <c r="IC187" s="1">
        <v>8269.2984433746697</v>
      </c>
      <c r="ID187" s="1">
        <v>34416.420489155193</v>
      </c>
      <c r="IE187" s="2">
        <v>85468.181761171058</v>
      </c>
      <c r="IF187" s="1">
        <v>77198.883317796397</v>
      </c>
      <c r="IH187" s="1">
        <v>1979</v>
      </c>
      <c r="II187" s="1">
        <v>300.44952097063367</v>
      </c>
      <c r="IJ187" s="1">
        <v>16.182349468862608</v>
      </c>
      <c r="IK187" s="1">
        <v>4.6358556574727157</v>
      </c>
      <c r="IL187" s="1">
        <v>359.68895917960089</v>
      </c>
      <c r="IM187" s="1">
        <v>-2.9524528003855197</v>
      </c>
      <c r="IN187" s="1">
        <v>-0.84580703465986817</v>
      </c>
      <c r="IO187" s="1">
        <v>-1.0665670771664679</v>
      </c>
    </row>
    <row r="188" spans="1:249" x14ac:dyDescent="0.25">
      <c r="A188" s="1" t="s">
        <v>279</v>
      </c>
      <c r="B188" s="1">
        <v>0.7810945905385438</v>
      </c>
      <c r="C188" s="1">
        <v>0.5670684654688074</v>
      </c>
      <c r="D188" s="1">
        <v>0.80052028105566819</v>
      </c>
      <c r="E188" s="1">
        <v>0.76167264362760534</v>
      </c>
      <c r="F188" s="1">
        <v>1.461157201219379</v>
      </c>
      <c r="G188" s="1">
        <v>1.538491543078834</v>
      </c>
      <c r="H188" s="1">
        <v>1.3933017703775334</v>
      </c>
      <c r="J188" s="1">
        <v>1980</v>
      </c>
      <c r="K188" s="2">
        <v>531884.43309960002</v>
      </c>
      <c r="L188" s="1">
        <v>475039.94071690657</v>
      </c>
      <c r="M188" s="1">
        <v>459455.75470450503</v>
      </c>
      <c r="N188" s="1">
        <v>402611.26232181158</v>
      </c>
      <c r="O188" s="1">
        <v>72428.67839509499</v>
      </c>
      <c r="P188" s="1">
        <v>56844.492382693454</v>
      </c>
      <c r="Q188" s="1">
        <v>477614</v>
      </c>
      <c r="R188" s="1">
        <v>1009498.4330996</v>
      </c>
      <c r="S188" s="1">
        <v>952653.94071690657</v>
      </c>
      <c r="U188" s="1">
        <v>1980</v>
      </c>
      <c r="V188" s="1">
        <v>64001.725966219768</v>
      </c>
      <c r="W188" s="1">
        <v>167822.81946714575</v>
      </c>
      <c r="X188" s="1">
        <v>1.3338151157586537</v>
      </c>
      <c r="Y188" s="1">
        <v>57161.620488861794</v>
      </c>
      <c r="Z188" s="1">
        <v>148235.43237745046</v>
      </c>
      <c r="AA188" s="1">
        <v>0.57794488771418173</v>
      </c>
      <c r="AB188" s="1">
        <v>8310470.1485758312</v>
      </c>
      <c r="AC188" s="1">
        <v>0.20198235612305382</v>
      </c>
      <c r="AE188" s="1">
        <v>1980</v>
      </c>
      <c r="AF188" s="1">
        <v>17339.577398054338</v>
      </c>
      <c r="AG188" s="1">
        <v>120127.28825377622</v>
      </c>
      <c r="AH188" s="1">
        <v>34309.205806744292</v>
      </c>
      <c r="AI188" s="1">
        <v>36256.818942487022</v>
      </c>
      <c r="AJ188" s="1">
        <v>80236.51660870004</v>
      </c>
      <c r="AK188" s="1">
        <v>24582.643900062161</v>
      </c>
      <c r="AL188" s="1">
        <v>119797.94071690655</v>
      </c>
      <c r="AM188" s="1">
        <v>42389.949090175913</v>
      </c>
      <c r="AN188" s="2">
        <v>475039.94071690657</v>
      </c>
      <c r="AP188" s="1" t="s">
        <v>279</v>
      </c>
      <c r="AQ188" s="1">
        <v>0.7527751583414215</v>
      </c>
      <c r="AR188" s="1">
        <v>-2.2583150130500087</v>
      </c>
      <c r="AS188" s="1">
        <v>-0.30368897454742694</v>
      </c>
      <c r="AT188" s="1">
        <v>3.8568742535517657</v>
      </c>
      <c r="AU188" s="1">
        <v>1.1611129807641163</v>
      </c>
      <c r="AV188" s="1">
        <v>1.4404206034127611</v>
      </c>
      <c r="AW188" s="1">
        <v>2.9249539470271486</v>
      </c>
      <c r="AX188" s="1">
        <v>0.92022537473934563</v>
      </c>
      <c r="AY188" s="1">
        <v>0.7810945905385438</v>
      </c>
      <c r="BA188" s="1">
        <v>1980</v>
      </c>
      <c r="BB188" s="1">
        <v>273330</v>
      </c>
      <c r="BC188" s="1">
        <v>158009.9407169066</v>
      </c>
      <c r="BD188" s="1">
        <v>65565.492382693483</v>
      </c>
      <c r="BE188" s="1">
        <v>38776</v>
      </c>
      <c r="BF188" s="1">
        <v>358</v>
      </c>
      <c r="BG188" s="1">
        <v>5923</v>
      </c>
      <c r="BH188" s="1">
        <v>156469</v>
      </c>
      <c r="BI188" s="1">
        <v>166547</v>
      </c>
      <c r="BJ188" s="1">
        <v>531884.43309960002</v>
      </c>
      <c r="BL188" s="1" t="s">
        <v>279</v>
      </c>
      <c r="BM188" s="1">
        <v>-0.79968906816489493</v>
      </c>
      <c r="BN188" s="1">
        <v>2.285429653357852</v>
      </c>
      <c r="BO188" s="1">
        <v>8.2496790113971485</v>
      </c>
      <c r="BP188" s="1">
        <v>-0.63537316533312094</v>
      </c>
      <c r="BQ188" s="1">
        <v>0.43362241494328657</v>
      </c>
      <c r="BR188" s="1">
        <v>1.538491543078834</v>
      </c>
      <c r="BT188" s="1" t="s">
        <v>279</v>
      </c>
      <c r="BU188" s="1">
        <v>12.41504226920047</v>
      </c>
      <c r="BV188" s="1">
        <v>13.344076209486857</v>
      </c>
      <c r="BW188" s="1">
        <v>11.221431825932143</v>
      </c>
      <c r="BX188" s="1">
        <v>12.062392837032078</v>
      </c>
      <c r="BY188" s="1">
        <v>14.191196372641699</v>
      </c>
      <c r="BZ188" s="1">
        <v>11.790525434491258</v>
      </c>
      <c r="CB188" s="1">
        <v>1980</v>
      </c>
      <c r="CC188" s="1">
        <v>4229.7891725365625</v>
      </c>
      <c r="CD188" s="1">
        <v>32011.003855344468</v>
      </c>
      <c r="CE188" s="1">
        <v>2164.2717199818012</v>
      </c>
      <c r="CF188" s="1">
        <v>10900.745419623723</v>
      </c>
      <c r="CG188" s="1">
        <v>14387.030997428919</v>
      </c>
      <c r="CH188" s="1">
        <v>16900.863331868695</v>
      </c>
      <c r="CI188" s="1">
        <v>30028.787885909314</v>
      </c>
      <c r="CJ188" s="1">
        <v>110622.49238269348</v>
      </c>
      <c r="CL188" s="1">
        <v>1980</v>
      </c>
      <c r="CM188" s="1">
        <v>3889.2531697436925</v>
      </c>
      <c r="CN188" s="1">
        <v>22950.009374106296</v>
      </c>
      <c r="CO188" s="1">
        <v>1768.1136184064108</v>
      </c>
      <c r="CP188" s="1">
        <v>9204.9066292367406</v>
      </c>
      <c r="CQ188" s="1">
        <v>6761.2202602445632</v>
      </c>
      <c r="CR188" s="1">
        <v>9612.940716906598</v>
      </c>
      <c r="CS188" s="1">
        <v>18242.234626450696</v>
      </c>
      <c r="CT188" s="2">
        <v>72428.67839509499</v>
      </c>
      <c r="CV188" s="1">
        <v>1980</v>
      </c>
      <c r="CW188" s="1">
        <v>609885.02975414461</v>
      </c>
      <c r="CX188" s="1">
        <v>616805.42097090534</v>
      </c>
      <c r="CY188" s="1">
        <v>241647.04629951602</v>
      </c>
      <c r="CZ188" s="1">
        <v>9843.5066472469152</v>
      </c>
      <c r="DA188" s="1">
        <v>145746.97399460161</v>
      </c>
      <c r="DB188" s="1">
        <v>1623927.9776664143</v>
      </c>
      <c r="DC188" s="1">
        <v>1347066.4003541842</v>
      </c>
      <c r="DD188" s="1">
        <v>412701.59679477697</v>
      </c>
      <c r="DF188" s="1">
        <v>1980</v>
      </c>
      <c r="DG188" s="1">
        <v>2.0657903078041642</v>
      </c>
      <c r="DH188" s="1">
        <v>1.9325860915474493</v>
      </c>
      <c r="DI188" s="1">
        <v>2.1977473285283793</v>
      </c>
      <c r="DJ188" s="1">
        <v>2.7206642105267491</v>
      </c>
      <c r="DK188" s="1">
        <v>3.6369153070072429</v>
      </c>
      <c r="DL188" s="1">
        <v>4.0638922631898851</v>
      </c>
      <c r="DM188" s="1">
        <v>2.3458450244516342</v>
      </c>
      <c r="DN188" s="1">
        <v>2.2869615695777981</v>
      </c>
      <c r="DO188" s="1">
        <v>2.2115472408215311</v>
      </c>
      <c r="DQ188" s="1">
        <v>1980</v>
      </c>
      <c r="DR188" s="1">
        <v>978354.78488893353</v>
      </c>
      <c r="DS188" s="1">
        <v>1006262.0444038995</v>
      </c>
      <c r="DT188" s="1">
        <v>469888.11168240354</v>
      </c>
      <c r="DU188" s="1">
        <v>9843.5066472469152</v>
      </c>
      <c r="DV188" s="1">
        <v>145746.97399460161</v>
      </c>
      <c r="DW188" s="1">
        <v>2610095.4216170846</v>
      </c>
      <c r="DX188" s="1">
        <v>2204161.2918377896</v>
      </c>
      <c r="DY188" s="1">
        <v>663276.19452139572</v>
      </c>
      <c r="EA188" s="1">
        <v>1980</v>
      </c>
      <c r="EB188" s="1">
        <v>2.6634686293997021</v>
      </c>
      <c r="EC188" s="1">
        <v>2.5035439759779905</v>
      </c>
      <c r="ED188" s="1">
        <v>2.8192461240222002</v>
      </c>
      <c r="EE188" s="1">
        <v>3.2792671388043146</v>
      </c>
      <c r="EF188" s="1">
        <v>3.6369153070072429</v>
      </c>
      <c r="EG188" s="1">
        <v>4.0638922631898851</v>
      </c>
      <c r="EH188" s="1">
        <v>2.8528643094036852</v>
      </c>
      <c r="EI188" s="1">
        <v>2.7339427695804517</v>
      </c>
      <c r="EJ188" s="1">
        <v>2.7845865513525183</v>
      </c>
      <c r="EL188" s="1">
        <v>1980</v>
      </c>
      <c r="EM188" s="1">
        <v>231300</v>
      </c>
      <c r="EN188" s="1">
        <v>1125100</v>
      </c>
      <c r="EO188" s="1">
        <v>301700</v>
      </c>
      <c r="EP188" s="1">
        <v>280400</v>
      </c>
      <c r="EQ188" s="1">
        <v>710000</v>
      </c>
      <c r="ER188" s="1">
        <v>320200</v>
      </c>
      <c r="ES188" s="1">
        <v>1299700</v>
      </c>
      <c r="ET188" s="1">
        <v>51900</v>
      </c>
      <c r="EU188" s="1">
        <v>4320300</v>
      </c>
      <c r="EV188" s="1">
        <v>3020600</v>
      </c>
      <c r="EX188" s="1">
        <v>1980</v>
      </c>
      <c r="EY188" s="1">
        <v>79800</v>
      </c>
      <c r="EZ188" s="1">
        <v>1094600</v>
      </c>
      <c r="FA188" s="1">
        <v>259500</v>
      </c>
      <c r="FB188" s="1">
        <v>252500</v>
      </c>
      <c r="FC188" s="1">
        <v>643900</v>
      </c>
      <c r="FD188" s="1">
        <v>278500</v>
      </c>
      <c r="FE188" s="1">
        <v>1299700</v>
      </c>
      <c r="FF188" s="1">
        <v>50100</v>
      </c>
      <c r="FG188" s="1">
        <v>3958600</v>
      </c>
      <c r="FH188" s="1">
        <v>2658900</v>
      </c>
      <c r="FJ188" s="1">
        <v>1980</v>
      </c>
      <c r="FK188" s="1">
        <v>151500</v>
      </c>
      <c r="FL188" s="1">
        <v>30500</v>
      </c>
      <c r="FM188" s="1">
        <v>42200</v>
      </c>
      <c r="FN188" s="1">
        <v>27900</v>
      </c>
      <c r="FO188" s="1">
        <v>66100</v>
      </c>
      <c r="FP188" s="1">
        <v>41700</v>
      </c>
      <c r="FQ188" s="1">
        <v>1800</v>
      </c>
      <c r="FR188" s="1">
        <v>361700</v>
      </c>
      <c r="FS188" s="1">
        <v>540900</v>
      </c>
      <c r="FU188" s="1">
        <v>1980</v>
      </c>
      <c r="FV188" s="1">
        <v>31495</v>
      </c>
      <c r="FW188" s="1">
        <v>163793</v>
      </c>
      <c r="FX188" s="1">
        <v>49182</v>
      </c>
      <c r="FY188" s="1">
        <v>46330</v>
      </c>
      <c r="FZ188" s="1">
        <v>110312</v>
      </c>
      <c r="GA188" s="1">
        <v>43016</v>
      </c>
      <c r="GB188" s="1">
        <v>163495</v>
      </c>
      <c r="GC188" s="1">
        <v>6628</v>
      </c>
      <c r="GD188" s="1">
        <v>614251</v>
      </c>
      <c r="GE188" s="1">
        <v>450756</v>
      </c>
      <c r="GG188" s="1">
        <v>1980</v>
      </c>
      <c r="GH188" s="1">
        <v>8750</v>
      </c>
      <c r="GI188" s="1">
        <v>158402</v>
      </c>
      <c r="GJ188" s="1">
        <v>42582</v>
      </c>
      <c r="GK188" s="1">
        <v>41301</v>
      </c>
      <c r="GL188" s="1">
        <v>97376</v>
      </c>
      <c r="GM188" s="1">
        <v>37242</v>
      </c>
      <c r="GN188" s="1">
        <v>163495</v>
      </c>
      <c r="GO188" s="1">
        <v>6314</v>
      </c>
      <c r="GP188" s="1">
        <v>555462</v>
      </c>
      <c r="GQ188" s="1">
        <v>391967</v>
      </c>
      <c r="GS188" s="1">
        <v>1980</v>
      </c>
      <c r="GT188" s="1">
        <v>22745</v>
      </c>
      <c r="GU188" s="1">
        <v>5391</v>
      </c>
      <c r="GV188" s="1">
        <v>6600</v>
      </c>
      <c r="GW188" s="1">
        <v>5029</v>
      </c>
      <c r="GX188" s="1">
        <v>12936</v>
      </c>
      <c r="GY188" s="1">
        <v>5774</v>
      </c>
      <c r="GZ188" s="1">
        <v>314</v>
      </c>
      <c r="HA188" s="1">
        <v>58789</v>
      </c>
      <c r="HC188" s="1">
        <v>1980</v>
      </c>
      <c r="HD188" s="1">
        <v>5128</v>
      </c>
      <c r="HE188" s="1">
        <v>95483</v>
      </c>
      <c r="HF188" s="1">
        <v>28467</v>
      </c>
      <c r="HG188" s="1">
        <v>23385</v>
      </c>
      <c r="HH188" s="1">
        <v>80369</v>
      </c>
      <c r="HI188" s="1">
        <v>110185</v>
      </c>
      <c r="HJ188" s="1">
        <v>3619</v>
      </c>
      <c r="HK188" s="2">
        <v>346636</v>
      </c>
      <c r="HL188" s="1">
        <v>236451</v>
      </c>
      <c r="HN188" s="1">
        <v>1980</v>
      </c>
      <c r="HO188" s="1">
        <v>8322.3242283106447</v>
      </c>
      <c r="HP188" s="1">
        <v>3249.6360715142487</v>
      </c>
      <c r="HQ188" s="1">
        <v>4412.2446103987595</v>
      </c>
      <c r="HR188" s="1">
        <v>2847.4653156097916</v>
      </c>
      <c r="HS188" s="1">
        <v>10953.216283673293</v>
      </c>
      <c r="HT188" s="1">
        <v>179.97560975609758</v>
      </c>
      <c r="HU188" s="2">
        <v>29964.862119262834</v>
      </c>
      <c r="HW188" s="1">
        <v>1980</v>
      </c>
      <c r="HX188" s="1">
        <v>3889.2531697436934</v>
      </c>
      <c r="HY188" s="1">
        <v>21394.652182261983</v>
      </c>
      <c r="HZ188" s="1">
        <v>1429.9611963455391</v>
      </c>
      <c r="IA188" s="1">
        <v>10024.353626877233</v>
      </c>
      <c r="IB188" s="1">
        <v>13496.944225088904</v>
      </c>
      <c r="IC188" s="1">
        <v>9612.9407169065562</v>
      </c>
      <c r="ID188" s="1">
        <v>38590.973480419816</v>
      </c>
      <c r="IE188" s="2">
        <v>98439.078597643733</v>
      </c>
      <c r="IF188" s="1">
        <v>88826.137880737166</v>
      </c>
      <c r="IH188" s="1">
        <v>1980</v>
      </c>
      <c r="II188" s="1">
        <v>296.16272885879522</v>
      </c>
      <c r="IJ188" s="1">
        <v>17.830649374964633</v>
      </c>
      <c r="IK188" s="1">
        <v>5.1095009694138396</v>
      </c>
      <c r="IL188" s="1">
        <v>354.55586406422162</v>
      </c>
      <c r="IM188" s="1">
        <v>-1.575322257898323</v>
      </c>
      <c r="IN188" s="1">
        <v>-0.45141993623474774</v>
      </c>
      <c r="IO188" s="1">
        <v>-2.3950022728758285</v>
      </c>
    </row>
    <row r="189" spans="1:249" x14ac:dyDescent="0.25">
      <c r="A189" s="1" t="s">
        <v>280</v>
      </c>
      <c r="B189" s="1">
        <v>-0.5909531774047565</v>
      </c>
      <c r="C189" s="1">
        <v>-0.84163328952044481</v>
      </c>
      <c r="D189" s="1">
        <v>-0.60990732587009688</v>
      </c>
      <c r="E189" s="1">
        <v>-0.57199541429601197</v>
      </c>
      <c r="F189" s="1">
        <v>0.17514609884116794</v>
      </c>
      <c r="G189" s="1">
        <v>3.0029301762567684E-2</v>
      </c>
      <c r="H189" s="1">
        <v>-0.28625917991725203</v>
      </c>
      <c r="J189" s="1">
        <v>1981</v>
      </c>
      <c r="K189" s="2">
        <v>583656.38612205361</v>
      </c>
      <c r="L189" s="1">
        <v>517325.54760895181</v>
      </c>
      <c r="M189" s="1">
        <v>503024.45684713428</v>
      </c>
      <c r="N189" s="1">
        <v>436693.61833403248</v>
      </c>
      <c r="O189" s="1">
        <v>80631.929274919326</v>
      </c>
      <c r="P189" s="1">
        <v>66330.8385131018</v>
      </c>
      <c r="Q189" s="1">
        <v>522854</v>
      </c>
      <c r="R189" s="1">
        <v>1106510.3861220535</v>
      </c>
      <c r="S189" s="1">
        <v>1040179.5476089518</v>
      </c>
      <c r="U189" s="1">
        <v>1981</v>
      </c>
      <c r="V189" s="1">
        <v>70146.922143259377</v>
      </c>
      <c r="W189" s="1">
        <v>167671.16477872385</v>
      </c>
      <c r="X189" s="1">
        <v>-9.0365951962553481E-2</v>
      </c>
      <c r="Y189" s="1">
        <v>62174.929930871156</v>
      </c>
      <c r="Z189" s="1">
        <v>147182.06987980235</v>
      </c>
      <c r="AA189" s="1">
        <v>-0.71060102214019594</v>
      </c>
      <c r="AB189" s="1">
        <v>8320484.609860233</v>
      </c>
      <c r="AC189" s="1">
        <v>0.12050414844601676</v>
      </c>
      <c r="AE189" s="1">
        <v>1981</v>
      </c>
      <c r="AF189" s="1">
        <v>19224.357033233377</v>
      </c>
      <c r="AG189" s="1">
        <v>124562.59196923065</v>
      </c>
      <c r="AH189" s="1">
        <v>36214.689145857104</v>
      </c>
      <c r="AI189" s="1">
        <v>39804.532695999085</v>
      </c>
      <c r="AJ189" s="1">
        <v>88610.246194128209</v>
      </c>
      <c r="AK189" s="1">
        <v>28537.881186215222</v>
      </c>
      <c r="AL189" s="1">
        <v>131290.54760895186</v>
      </c>
      <c r="AM189" s="1">
        <v>49080.701775336362</v>
      </c>
      <c r="AN189" s="2">
        <v>517325.54760895181</v>
      </c>
      <c r="AP189" s="1" t="s">
        <v>280</v>
      </c>
      <c r="AQ189" s="1">
        <v>-1.1086127031659601</v>
      </c>
      <c r="AR189" s="1">
        <v>-4.1891700043491795</v>
      </c>
      <c r="AS189" s="1">
        <v>-5.1789635215106955</v>
      </c>
      <c r="AT189" s="1">
        <v>-0.37794508050352249</v>
      </c>
      <c r="AU189" s="1">
        <v>0.62929278214163276</v>
      </c>
      <c r="AV189" s="1">
        <v>4.4463905447370138</v>
      </c>
      <c r="AW189" s="1">
        <v>1.8517630137653782</v>
      </c>
      <c r="AX189" s="1">
        <v>1.1824813855244543</v>
      </c>
      <c r="AY189" s="1">
        <v>-0.5909531774047565</v>
      </c>
      <c r="BA189" s="1">
        <v>1981</v>
      </c>
      <c r="BB189" s="1">
        <v>305552</v>
      </c>
      <c r="BC189" s="1">
        <v>174945.54760895186</v>
      </c>
      <c r="BD189" s="1">
        <v>68089.838513101771</v>
      </c>
      <c r="BE189" s="1">
        <v>39940</v>
      </c>
      <c r="BF189" s="1">
        <v>394</v>
      </c>
      <c r="BG189" s="1">
        <v>-4073</v>
      </c>
      <c r="BH189" s="1">
        <v>174107</v>
      </c>
      <c r="BI189" s="1">
        <v>175299</v>
      </c>
      <c r="BJ189" s="1">
        <v>583656.38612205361</v>
      </c>
      <c r="BL189" s="1" t="s">
        <v>280</v>
      </c>
      <c r="BM189" s="1">
        <v>-0.257921050442107</v>
      </c>
      <c r="BN189" s="1">
        <v>2.3383797803399773</v>
      </c>
      <c r="BO189" s="1">
        <v>-13.639891854461567</v>
      </c>
      <c r="BP189" s="1">
        <v>2.0668127685342625</v>
      </c>
      <c r="BQ189" s="1">
        <v>-5.3604867259763722</v>
      </c>
      <c r="BR189" s="1">
        <v>3.0029301762567684E-2</v>
      </c>
      <c r="BT189" s="1" t="s">
        <v>280</v>
      </c>
      <c r="BU189" s="1">
        <v>12.077752466233164</v>
      </c>
      <c r="BV189" s="1">
        <v>8.1882129069666547</v>
      </c>
      <c r="BW189" s="1">
        <v>9.2293442877950298</v>
      </c>
      <c r="BX189" s="1">
        <v>9.0192957114278727</v>
      </c>
      <c r="BY189" s="1">
        <v>11.216731182782638</v>
      </c>
      <c r="BZ189" s="1">
        <v>9.7007422082767079</v>
      </c>
      <c r="CB189" s="1">
        <v>1981</v>
      </c>
      <c r="CC189" s="1">
        <v>4912.6982600782521</v>
      </c>
      <c r="CD189" s="1">
        <v>28859.925341917024</v>
      </c>
      <c r="CE189" s="1">
        <v>2266.9823950513196</v>
      </c>
      <c r="CF189" s="1">
        <v>10589.600894716114</v>
      </c>
      <c r="CG189" s="1">
        <v>8737.073551338297</v>
      </c>
      <c r="CH189" s="1">
        <v>18015.517027788384</v>
      </c>
      <c r="CI189" s="1">
        <v>30969.041042212368</v>
      </c>
      <c r="CJ189" s="1">
        <v>104350.83851310176</v>
      </c>
      <c r="CL189" s="1">
        <v>1981</v>
      </c>
      <c r="CM189" s="1">
        <v>4236.8352801632827</v>
      </c>
      <c r="CN189" s="1">
        <v>25403.352573380052</v>
      </c>
      <c r="CO189" s="1">
        <v>1929.1529895027561</v>
      </c>
      <c r="CP189" s="1">
        <v>9959.0951755943388</v>
      </c>
      <c r="CQ189" s="1">
        <v>7684.0760818340368</v>
      </c>
      <c r="CR189" s="1">
        <v>10902.547608951869</v>
      </c>
      <c r="CS189" s="1">
        <v>20516.869565492987</v>
      </c>
      <c r="CT189" s="2">
        <v>80631.929274919326</v>
      </c>
      <c r="CV189" s="1">
        <v>1981</v>
      </c>
      <c r="CW189" s="1">
        <v>686308.00160741492</v>
      </c>
      <c r="CX189" s="1">
        <v>693287.57444381097</v>
      </c>
      <c r="CY189" s="1">
        <v>267491.93716385233</v>
      </c>
      <c r="CZ189" s="1">
        <v>11418.731872202514</v>
      </c>
      <c r="DA189" s="1">
        <v>154858</v>
      </c>
      <c r="DB189" s="1">
        <v>1813364.2450872809</v>
      </c>
      <c r="DC189" s="1">
        <v>1500903.9581252586</v>
      </c>
      <c r="DD189" s="1">
        <v>453773.20989228989</v>
      </c>
      <c r="DF189" s="1">
        <v>1981</v>
      </c>
      <c r="DG189" s="1">
        <v>1.6585874655337278</v>
      </c>
      <c r="DH189" s="1">
        <v>1.5229563770550811</v>
      </c>
      <c r="DI189" s="1">
        <v>1.7924072390191839</v>
      </c>
      <c r="DJ189" s="1">
        <v>1.6915096270205794</v>
      </c>
      <c r="DK189" s="1">
        <v>3.4504707213516781</v>
      </c>
      <c r="DL189" s="1">
        <v>-2.6301514936264141</v>
      </c>
      <c r="DM189" s="1">
        <v>1.3025962754461489</v>
      </c>
      <c r="DN189" s="1">
        <v>1.1004635994950007</v>
      </c>
      <c r="DO189" s="1">
        <v>0.39784298810354812</v>
      </c>
      <c r="DQ189" s="1">
        <v>1981</v>
      </c>
      <c r="DR189" s="1">
        <v>1107116.4424128493</v>
      </c>
      <c r="DS189" s="1">
        <v>1137973.0604944795</v>
      </c>
      <c r="DT189" s="1">
        <v>522816.79177113663</v>
      </c>
      <c r="DU189" s="1">
        <v>11418.731872202514</v>
      </c>
      <c r="DV189" s="1">
        <v>154858</v>
      </c>
      <c r="DW189" s="1">
        <v>2934183.0265506678</v>
      </c>
      <c r="DX189" s="1">
        <v>2472234.7769450624</v>
      </c>
      <c r="DY189" s="1">
        <v>737571.53808893147</v>
      </c>
      <c r="EA189" s="1">
        <v>1981</v>
      </c>
      <c r="EB189" s="1">
        <v>2.384517716511894</v>
      </c>
      <c r="EC189" s="1">
        <v>2.2233542326945752</v>
      </c>
      <c r="ED189" s="1">
        <v>2.5407645533365866</v>
      </c>
      <c r="EE189" s="1">
        <v>2.6454175733918532</v>
      </c>
      <c r="EF189" s="1">
        <v>3.4504707213516781</v>
      </c>
      <c r="EG189" s="1">
        <v>-2.6301514936264141</v>
      </c>
      <c r="EH189" s="1">
        <v>2.1668659678742586</v>
      </c>
      <c r="EI189" s="1">
        <v>1.9718584174804477</v>
      </c>
      <c r="EJ189" s="1">
        <v>1.6094606306325403</v>
      </c>
      <c r="EL189" s="1">
        <v>1981</v>
      </c>
      <c r="EM189" s="1">
        <v>222800</v>
      </c>
      <c r="EN189" s="1">
        <v>1094000</v>
      </c>
      <c r="EO189" s="1">
        <v>299100</v>
      </c>
      <c r="EP189" s="1">
        <v>281700</v>
      </c>
      <c r="EQ189" s="1">
        <v>709600</v>
      </c>
      <c r="ER189" s="1">
        <v>323900</v>
      </c>
      <c r="ES189" s="1">
        <v>1331500</v>
      </c>
      <c r="ET189" s="1">
        <v>48200</v>
      </c>
      <c r="EU189" s="1">
        <v>4310800</v>
      </c>
      <c r="EV189" s="1">
        <v>2979300</v>
      </c>
      <c r="EX189" s="1">
        <v>1981</v>
      </c>
      <c r="EY189" s="1">
        <v>79900</v>
      </c>
      <c r="EZ189" s="1">
        <v>1062400</v>
      </c>
      <c r="FA189" s="1">
        <v>254900</v>
      </c>
      <c r="FB189" s="1">
        <v>254600</v>
      </c>
      <c r="FC189" s="1">
        <v>643600</v>
      </c>
      <c r="FD189" s="1">
        <v>280800</v>
      </c>
      <c r="FE189" s="1">
        <v>1331500</v>
      </c>
      <c r="FF189" s="1">
        <v>46800</v>
      </c>
      <c r="FG189" s="1">
        <v>3954500</v>
      </c>
      <c r="FH189" s="1">
        <v>2623000</v>
      </c>
      <c r="FJ189" s="1">
        <v>1981</v>
      </c>
      <c r="FK189" s="1">
        <v>142900</v>
      </c>
      <c r="FL189" s="1">
        <v>31600</v>
      </c>
      <c r="FM189" s="1">
        <v>44200</v>
      </c>
      <c r="FN189" s="1">
        <v>27100</v>
      </c>
      <c r="FO189" s="1">
        <v>66000</v>
      </c>
      <c r="FP189" s="1">
        <v>43100</v>
      </c>
      <c r="FQ189" s="1">
        <v>1400</v>
      </c>
      <c r="FR189" s="1">
        <v>356300</v>
      </c>
      <c r="FS189" s="1">
        <v>466800</v>
      </c>
      <c r="FU189" s="1">
        <v>1981</v>
      </c>
      <c r="FV189" s="1">
        <v>30395</v>
      </c>
      <c r="FW189" s="1">
        <v>160007</v>
      </c>
      <c r="FX189" s="1">
        <v>49081</v>
      </c>
      <c r="FY189" s="1">
        <v>46736</v>
      </c>
      <c r="FZ189" s="1">
        <v>110090</v>
      </c>
      <c r="GA189" s="1">
        <v>43919</v>
      </c>
      <c r="GB189" s="1">
        <v>166317</v>
      </c>
      <c r="GC189" s="1">
        <v>6073</v>
      </c>
      <c r="GD189" s="1">
        <v>612618</v>
      </c>
      <c r="GE189" s="1">
        <v>446301</v>
      </c>
      <c r="GG189" s="1">
        <v>1981</v>
      </c>
      <c r="GH189" s="1">
        <v>8850</v>
      </c>
      <c r="GI189" s="1">
        <v>154448</v>
      </c>
      <c r="GJ189" s="1">
        <v>42168</v>
      </c>
      <c r="GK189" s="1">
        <v>41850</v>
      </c>
      <c r="GL189" s="1">
        <v>97233</v>
      </c>
      <c r="GM189" s="1">
        <v>37947</v>
      </c>
      <c r="GN189" s="1">
        <v>166317</v>
      </c>
      <c r="GO189" s="1">
        <v>5829</v>
      </c>
      <c r="GP189" s="1">
        <v>554642</v>
      </c>
      <c r="GQ189" s="1">
        <v>388325</v>
      </c>
      <c r="GS189" s="1">
        <v>1981</v>
      </c>
      <c r="GT189" s="1">
        <v>21545</v>
      </c>
      <c r="GU189" s="1">
        <v>5559</v>
      </c>
      <c r="GV189" s="1">
        <v>6913</v>
      </c>
      <c r="GW189" s="1">
        <v>4886</v>
      </c>
      <c r="GX189" s="1">
        <v>12857</v>
      </c>
      <c r="GY189" s="1">
        <v>5972</v>
      </c>
      <c r="GZ189" s="1">
        <v>244</v>
      </c>
      <c r="HA189" s="1">
        <v>57976</v>
      </c>
      <c r="HC189" s="1">
        <v>1981</v>
      </c>
      <c r="HD189" s="1">
        <v>5790</v>
      </c>
      <c r="HE189" s="1">
        <v>102672</v>
      </c>
      <c r="HF189" s="1">
        <v>31479</v>
      </c>
      <c r="HG189" s="1">
        <v>25629</v>
      </c>
      <c r="HH189" s="1">
        <v>87800</v>
      </c>
      <c r="HI189" s="1">
        <v>120388</v>
      </c>
      <c r="HJ189" s="1">
        <v>3704</v>
      </c>
      <c r="HK189" s="2">
        <v>377462</v>
      </c>
      <c r="HL189" s="1">
        <v>257074</v>
      </c>
      <c r="HN189" s="1">
        <v>1981</v>
      </c>
      <c r="HO189" s="1">
        <v>9197.5217530700938</v>
      </c>
      <c r="HP189" s="1">
        <v>3695.4421423391691</v>
      </c>
      <c r="HQ189" s="1">
        <v>5160.6508964143422</v>
      </c>
      <c r="HR189" s="1">
        <v>2992.1934050179211</v>
      </c>
      <c r="HS189" s="1">
        <v>11943.921352710202</v>
      </c>
      <c r="HT189" s="1">
        <v>155.04820723966375</v>
      </c>
      <c r="HU189" s="2">
        <v>33144.777756791394</v>
      </c>
      <c r="HW189" s="1">
        <v>1981</v>
      </c>
      <c r="HX189" s="1">
        <v>4236.8352801632827</v>
      </c>
      <c r="HY189" s="1">
        <v>18195.149826891473</v>
      </c>
      <c r="HZ189" s="1">
        <v>-424.9617505572387</v>
      </c>
      <c r="IA189" s="1">
        <v>11183.339290981166</v>
      </c>
      <c r="IB189" s="1">
        <v>17404.206027633241</v>
      </c>
      <c r="IC189" s="1">
        <v>10902.547608951874</v>
      </c>
      <c r="ID189" s="1">
        <v>45221.653568096699</v>
      </c>
      <c r="IE189" s="2">
        <v>106718.76985216051</v>
      </c>
      <c r="IF189" s="1">
        <v>95816.222243208627</v>
      </c>
      <c r="IH189" s="1">
        <v>1981</v>
      </c>
      <c r="II189" s="1">
        <v>310.87664525659903</v>
      </c>
      <c r="IJ189" s="1">
        <v>12.866121797924476</v>
      </c>
      <c r="IK189" s="1">
        <v>3.6668737640652962</v>
      </c>
      <c r="IL189" s="1">
        <v>376.38059811212889</v>
      </c>
      <c r="IM189" s="1">
        <v>-6.7767002771794402</v>
      </c>
      <c r="IN189" s="1">
        <v>-1.9313748807610327</v>
      </c>
      <c r="IO189" s="1">
        <v>-1.1506234153108466</v>
      </c>
    </row>
    <row r="190" spans="1:249" x14ac:dyDescent="0.25">
      <c r="A190" s="1" t="s">
        <v>281</v>
      </c>
      <c r="B190" s="1">
        <v>1.1788588295476075</v>
      </c>
      <c r="C190" s="1">
        <v>0.96377398858642493</v>
      </c>
      <c r="D190" s="1">
        <v>1.2214846506343804</v>
      </c>
      <c r="E190" s="1">
        <v>1.1362509588063148</v>
      </c>
      <c r="F190" s="1">
        <v>1.8701687305811276</v>
      </c>
      <c r="G190" s="1">
        <v>1.0239627557814543</v>
      </c>
      <c r="H190" s="1">
        <v>0.89771980838190757</v>
      </c>
      <c r="J190" s="1">
        <v>1982</v>
      </c>
      <c r="K190" s="2">
        <v>637318.10170431377</v>
      </c>
      <c r="L190" s="1">
        <v>569881.26623813459</v>
      </c>
      <c r="M190" s="1">
        <v>548122.04265035572</v>
      </c>
      <c r="N190" s="1">
        <v>480685.20718417654</v>
      </c>
      <c r="O190" s="1">
        <v>89196.059053958044</v>
      </c>
      <c r="P190" s="1">
        <v>67436.835466179182</v>
      </c>
      <c r="Q190" s="1">
        <v>585723</v>
      </c>
      <c r="R190" s="1">
        <v>1223041.1017043139</v>
      </c>
      <c r="S190" s="1">
        <v>1155604.2662381346</v>
      </c>
      <c r="U190" s="1">
        <v>1982</v>
      </c>
      <c r="V190" s="1">
        <v>76552.352635719275</v>
      </c>
      <c r="W190" s="1">
        <v>169290.93019314916</v>
      </c>
      <c r="X190" s="1">
        <v>0.96603695487111452</v>
      </c>
      <c r="Y190" s="1">
        <v>68452.083091454755</v>
      </c>
      <c r="Z190" s="1">
        <v>148831.75159303896</v>
      </c>
      <c r="AA190" s="1">
        <v>1.1208442132821119</v>
      </c>
      <c r="AB190" s="1">
        <v>8325258.2025407478</v>
      </c>
      <c r="AC190" s="1">
        <v>5.7371570339270761E-2</v>
      </c>
      <c r="AE190" s="1">
        <v>1982</v>
      </c>
      <c r="AF190" s="1">
        <v>21124.414921892108</v>
      </c>
      <c r="AG190" s="1">
        <v>137099.62517678615</v>
      </c>
      <c r="AH190" s="1">
        <v>39612.426305103203</v>
      </c>
      <c r="AI190" s="1">
        <v>42135.659604695356</v>
      </c>
      <c r="AJ190" s="1">
        <v>97672.745840066767</v>
      </c>
      <c r="AK190" s="1">
        <v>31460.050493449977</v>
      </c>
      <c r="AL190" s="1">
        <v>142806.26623813462</v>
      </c>
      <c r="AM190" s="1">
        <v>57970.077658006427</v>
      </c>
      <c r="AN190" s="2">
        <v>569881.26623813459</v>
      </c>
      <c r="AP190" s="1" t="s">
        <v>281</v>
      </c>
      <c r="AQ190" s="1">
        <v>2.691862147235824</v>
      </c>
      <c r="AR190" s="1">
        <v>-1.7955941377848177</v>
      </c>
      <c r="AS190" s="1">
        <v>1.9679774931219356</v>
      </c>
      <c r="AT190" s="1">
        <v>0.6936474544766611</v>
      </c>
      <c r="AU190" s="1">
        <v>3.6560119169608782</v>
      </c>
      <c r="AV190" s="1">
        <v>0.82110173322223545</v>
      </c>
      <c r="AW190" s="1">
        <v>2.0736528626504622</v>
      </c>
      <c r="AX190" s="1">
        <v>1.473308976063862</v>
      </c>
      <c r="AY190" s="1">
        <v>1.1788588295476075</v>
      </c>
      <c r="BA190" s="1">
        <v>1982</v>
      </c>
      <c r="BB190" s="1">
        <v>340036</v>
      </c>
      <c r="BC190" s="1">
        <v>190782.26623813456</v>
      </c>
      <c r="BD190" s="1">
        <v>71274.835466179167</v>
      </c>
      <c r="BE190" s="1">
        <v>44621</v>
      </c>
      <c r="BF190" s="1">
        <v>368</v>
      </c>
      <c r="BG190" s="1">
        <v>-6286</v>
      </c>
      <c r="BH190" s="1">
        <v>204756</v>
      </c>
      <c r="BI190" s="1">
        <v>208234</v>
      </c>
      <c r="BJ190" s="1">
        <v>637318.10170431377</v>
      </c>
      <c r="BL190" s="1" t="s">
        <v>281</v>
      </c>
      <c r="BM190" s="1">
        <v>0.72177144157123507</v>
      </c>
      <c r="BN190" s="1">
        <v>0.90642986387345559</v>
      </c>
      <c r="BO190" s="1">
        <v>-2.4899650074637663</v>
      </c>
      <c r="BP190" s="1">
        <v>5.7955404250510441</v>
      </c>
      <c r="BQ190" s="1">
        <v>3.0217052064122498</v>
      </c>
      <c r="BR190" s="1">
        <v>1.0239627557814543</v>
      </c>
      <c r="BT190" s="1" t="s">
        <v>281</v>
      </c>
      <c r="BU190" s="1">
        <v>10.488330834758571</v>
      </c>
      <c r="BV190" s="1">
        <v>8.0727663772462108</v>
      </c>
      <c r="BW190" s="1">
        <v>8.0836275790557579</v>
      </c>
      <c r="BX190" s="1">
        <v>11.161153085062935</v>
      </c>
      <c r="BY190" s="1">
        <v>15.303759818046345</v>
      </c>
      <c r="BZ190" s="1">
        <v>8.0872859764190395</v>
      </c>
      <c r="CB190" s="1">
        <v>1982</v>
      </c>
      <c r="CC190" s="1">
        <v>5880.6263859331293</v>
      </c>
      <c r="CD190" s="1">
        <v>24634.242113427412</v>
      </c>
      <c r="CE190" s="1">
        <v>2235.2687394350828</v>
      </c>
      <c r="CF190" s="1">
        <v>13156.180909815641</v>
      </c>
      <c r="CG190" s="1">
        <v>13392.094702334636</v>
      </c>
      <c r="CH190" s="1">
        <v>18408.386037096694</v>
      </c>
      <c r="CI190" s="1">
        <v>32271.036578136565</v>
      </c>
      <c r="CJ190" s="1">
        <v>109977.83546617917</v>
      </c>
      <c r="CL190" s="1">
        <v>1982</v>
      </c>
      <c r="CM190" s="1">
        <v>4639.6635055111237</v>
      </c>
      <c r="CN190" s="1">
        <v>28424.178124603</v>
      </c>
      <c r="CO190" s="1">
        <v>2105.4230124067403</v>
      </c>
      <c r="CP190" s="1">
        <v>10953.286697584508</v>
      </c>
      <c r="CQ190" s="1">
        <v>8827.2413458624324</v>
      </c>
      <c r="CR190" s="1">
        <v>12025.266238134547</v>
      </c>
      <c r="CS190" s="1">
        <v>22221.000129855685</v>
      </c>
      <c r="CT190" s="2">
        <v>89196.059053958044</v>
      </c>
      <c r="CV190" s="1">
        <v>1982</v>
      </c>
      <c r="CW190" s="1">
        <v>741434.73405758117</v>
      </c>
      <c r="CX190" s="1">
        <v>755988.57207402342</v>
      </c>
      <c r="CY190" s="1">
        <v>301853.10080904537</v>
      </c>
      <c r="CZ190" s="1">
        <v>12733.411298973328</v>
      </c>
      <c r="DA190" s="1">
        <v>167812</v>
      </c>
      <c r="DB190" s="1">
        <v>1979821.8182396232</v>
      </c>
      <c r="DC190" s="1">
        <v>1638845.4750500715</v>
      </c>
      <c r="DD190" s="1">
        <v>501078.45802107017</v>
      </c>
      <c r="DF190" s="1">
        <v>1982</v>
      </c>
      <c r="DG190" s="1">
        <v>1.4736408767832785</v>
      </c>
      <c r="DH190" s="1">
        <v>1.3554849788707628</v>
      </c>
      <c r="DI190" s="1">
        <v>1.5894207482235174</v>
      </c>
      <c r="DJ190" s="1">
        <v>1.539071714987287</v>
      </c>
      <c r="DK190" s="1">
        <v>2.8900346604658012</v>
      </c>
      <c r="DL190" s="1">
        <v>-3.7458584606583685</v>
      </c>
      <c r="DM190" s="1">
        <v>1.0413863530637713</v>
      </c>
      <c r="DN190" s="1">
        <v>0.86877105080571937</v>
      </c>
      <c r="DO190" s="1">
        <v>-0.33995999963673285</v>
      </c>
      <c r="DQ190" s="1">
        <v>1982</v>
      </c>
      <c r="DR190" s="1">
        <v>1204295.4270734785</v>
      </c>
      <c r="DS190" s="1">
        <v>1250419.0682601209</v>
      </c>
      <c r="DT190" s="1">
        <v>595389.41503634676</v>
      </c>
      <c r="DU190" s="1">
        <v>12733.411298973328</v>
      </c>
      <c r="DV190" s="1">
        <v>167812</v>
      </c>
      <c r="DW190" s="1">
        <v>3230649.3216689196</v>
      </c>
      <c r="DX190" s="1">
        <v>2721724.1726986268</v>
      </c>
      <c r="DY190" s="1">
        <v>824025.49635397783</v>
      </c>
      <c r="EA190" s="1">
        <v>1982</v>
      </c>
      <c r="EB190" s="1">
        <v>2.2431975625941476</v>
      </c>
      <c r="EC190" s="1">
        <v>2.0946853014615954</v>
      </c>
      <c r="ED190" s="1">
        <v>2.3860700919826456</v>
      </c>
      <c r="EE190" s="1">
        <v>2.4663974424171613</v>
      </c>
      <c r="EF190" s="1">
        <v>2.8900346604658012</v>
      </c>
      <c r="EG190" s="1">
        <v>-3.7458584606583685</v>
      </c>
      <c r="EH190" s="1">
        <v>1.9699071083655042</v>
      </c>
      <c r="EI190" s="1">
        <v>1.7963807091284849</v>
      </c>
      <c r="EJ190" s="1">
        <v>1.0953378439015893</v>
      </c>
      <c r="EL190" s="1">
        <v>1982</v>
      </c>
      <c r="EM190" s="1">
        <v>218700</v>
      </c>
      <c r="EN190" s="1">
        <v>1058100</v>
      </c>
      <c r="EO190" s="1">
        <v>293000</v>
      </c>
      <c r="EP190" s="1">
        <v>288100</v>
      </c>
      <c r="EQ190" s="1">
        <v>704700</v>
      </c>
      <c r="ER190" s="1">
        <v>332500</v>
      </c>
      <c r="ES190" s="1">
        <v>1345200</v>
      </c>
      <c r="ET190" s="1">
        <v>48300</v>
      </c>
      <c r="EU190" s="1">
        <v>4288600</v>
      </c>
      <c r="EV190" s="1">
        <v>2943400</v>
      </c>
      <c r="EX190" s="1">
        <v>1982</v>
      </c>
      <c r="EY190" s="1">
        <v>79200</v>
      </c>
      <c r="EZ190" s="1">
        <v>1024400</v>
      </c>
      <c r="FA190" s="1">
        <v>248100</v>
      </c>
      <c r="FB190" s="1">
        <v>261900</v>
      </c>
      <c r="FC190" s="1">
        <v>633900</v>
      </c>
      <c r="FD190" s="1">
        <v>284400</v>
      </c>
      <c r="FE190" s="1">
        <v>1345200</v>
      </c>
      <c r="FF190" s="1">
        <v>46800</v>
      </c>
      <c r="FG190" s="1">
        <v>3923900</v>
      </c>
      <c r="FH190" s="1">
        <v>2578700</v>
      </c>
      <c r="FJ190" s="1">
        <v>1982</v>
      </c>
      <c r="FK190" s="1">
        <v>139500</v>
      </c>
      <c r="FL190" s="1">
        <v>33700</v>
      </c>
      <c r="FM190" s="1">
        <v>44900</v>
      </c>
      <c r="FN190" s="1">
        <v>26200</v>
      </c>
      <c r="FO190" s="1">
        <v>70800</v>
      </c>
      <c r="FP190" s="1">
        <v>48100</v>
      </c>
      <c r="FQ190" s="1">
        <v>1500</v>
      </c>
      <c r="FR190" s="1">
        <v>364700</v>
      </c>
      <c r="FS190" s="1">
        <v>430500</v>
      </c>
      <c r="FU190" s="1">
        <v>1982</v>
      </c>
      <c r="FV190" s="1">
        <v>29696</v>
      </c>
      <c r="FW190" s="1">
        <v>155647</v>
      </c>
      <c r="FX190" s="1">
        <v>48350</v>
      </c>
      <c r="FY190" s="1">
        <v>46719</v>
      </c>
      <c r="FZ190" s="1">
        <v>110460</v>
      </c>
      <c r="GA190" s="1">
        <v>45608</v>
      </c>
      <c r="GB190" s="1">
        <v>169658</v>
      </c>
      <c r="GC190" s="1">
        <v>6526</v>
      </c>
      <c r="GD190" s="1">
        <v>612664</v>
      </c>
      <c r="GE190" s="1">
        <v>443006</v>
      </c>
      <c r="GG190" s="1">
        <v>1982</v>
      </c>
      <c r="GH190" s="1">
        <v>8643</v>
      </c>
      <c r="GI190" s="1">
        <v>149780</v>
      </c>
      <c r="GJ190" s="1">
        <v>41328</v>
      </c>
      <c r="GK190" s="1">
        <v>41996</v>
      </c>
      <c r="GL190" s="1">
        <v>96713</v>
      </c>
      <c r="GM190" s="1">
        <v>38899</v>
      </c>
      <c r="GN190" s="1">
        <v>169658</v>
      </c>
      <c r="GO190" s="1">
        <v>6264</v>
      </c>
      <c r="GP190" s="1">
        <v>553281</v>
      </c>
      <c r="GQ190" s="1">
        <v>383623</v>
      </c>
      <c r="GS190" s="1">
        <v>1982</v>
      </c>
      <c r="GT190" s="1">
        <v>21053</v>
      </c>
      <c r="GU190" s="1">
        <v>5867</v>
      </c>
      <c r="GV190" s="1">
        <v>7022</v>
      </c>
      <c r="GW190" s="1">
        <v>4723</v>
      </c>
      <c r="GX190" s="1">
        <v>13747</v>
      </c>
      <c r="GY190" s="1">
        <v>6709</v>
      </c>
      <c r="GZ190" s="1">
        <v>262</v>
      </c>
      <c r="HA190" s="1">
        <v>59383</v>
      </c>
      <c r="HC190" s="1">
        <v>1982</v>
      </c>
      <c r="HD190" s="1">
        <v>5930</v>
      </c>
      <c r="HE190" s="1">
        <v>106451</v>
      </c>
      <c r="HF190" s="1">
        <v>32756</v>
      </c>
      <c r="HG190" s="1">
        <v>26857</v>
      </c>
      <c r="HH190" s="1">
        <v>92719</v>
      </c>
      <c r="HI190" s="1">
        <v>130781</v>
      </c>
      <c r="HJ190" s="1">
        <v>4029</v>
      </c>
      <c r="HK190" s="2">
        <v>399523</v>
      </c>
      <c r="HL190" s="1">
        <v>268742</v>
      </c>
      <c r="HN190" s="1">
        <v>1982</v>
      </c>
      <c r="HO190" s="1">
        <v>10554.751416380983</v>
      </c>
      <c r="HP190" s="1">
        <v>4169.7691080251034</v>
      </c>
      <c r="HQ190" s="1">
        <v>5565.5398761130473</v>
      </c>
      <c r="HR190" s="1">
        <v>3020.4212544051811</v>
      </c>
      <c r="HS190" s="1">
        <v>13874.841537823588</v>
      </c>
      <c r="HT190" s="1">
        <v>168.5181992337165</v>
      </c>
      <c r="HU190" s="2">
        <v>37353.841391981623</v>
      </c>
      <c r="HW190" s="1">
        <v>1982</v>
      </c>
      <c r="HX190" s="1">
        <v>4639.6635055111255</v>
      </c>
      <c r="HY190" s="1">
        <v>26478.856068761059</v>
      </c>
      <c r="HZ190" s="1">
        <v>1290.8864289901612</v>
      </c>
      <c r="IA190" s="1">
        <v>12258.238350290176</v>
      </c>
      <c r="IB190" s="1">
        <v>22538.954795693153</v>
      </c>
      <c r="IC190" s="1">
        <v>12025.266238134607</v>
      </c>
      <c r="ID190" s="1">
        <v>53772.55945877271</v>
      </c>
      <c r="IE190" s="2">
        <v>133004.42484615298</v>
      </c>
      <c r="IF190" s="1">
        <v>120979.15860801838</v>
      </c>
      <c r="IH190" s="1">
        <v>1982</v>
      </c>
      <c r="II190" s="1">
        <v>315.64355356441388</v>
      </c>
      <c r="IJ190" s="1">
        <v>19.668293420779463</v>
      </c>
      <c r="IK190" s="1">
        <v>5.2070369192053327</v>
      </c>
      <c r="IL190" s="1">
        <v>384.48664555848825</v>
      </c>
      <c r="IM190" s="1">
        <v>-1.7585504707007285</v>
      </c>
      <c r="IN190" s="1">
        <v>-0.46556338312252604</v>
      </c>
      <c r="IO190" s="1">
        <v>-2.680514748394188</v>
      </c>
    </row>
    <row r="191" spans="1:249" x14ac:dyDescent="0.25">
      <c r="A191" s="1" t="s">
        <v>282</v>
      </c>
      <c r="B191" s="1">
        <v>1.7784743044716436</v>
      </c>
      <c r="C191" s="1">
        <v>1.5443538287400145</v>
      </c>
      <c r="D191" s="1">
        <v>1.7776374682025136</v>
      </c>
      <c r="E191" s="1">
        <v>1.7793111476214278</v>
      </c>
      <c r="F191" s="1">
        <v>2.3879950441372415</v>
      </c>
      <c r="G191" s="1">
        <v>2.0786363290903154</v>
      </c>
      <c r="H191" s="1">
        <v>2.1051678116192249</v>
      </c>
      <c r="J191" s="1">
        <v>1983</v>
      </c>
      <c r="K191" s="2">
        <v>713763.1722241051</v>
      </c>
      <c r="L191" s="1">
        <v>634617.80171831592</v>
      </c>
      <c r="M191" s="1">
        <v>613716.51278778166</v>
      </c>
      <c r="N191" s="1">
        <v>534571.14228199248</v>
      </c>
      <c r="O191" s="1">
        <v>100046.6594363234</v>
      </c>
      <c r="P191" s="1">
        <v>79145.370505789178</v>
      </c>
      <c r="Q191" s="1">
        <v>660798</v>
      </c>
      <c r="R191" s="1">
        <v>1374561.1722241051</v>
      </c>
      <c r="S191" s="1">
        <v>1295415.801718316</v>
      </c>
      <c r="U191" s="1">
        <v>1983</v>
      </c>
      <c r="V191" s="1">
        <v>85695.850902177874</v>
      </c>
      <c r="W191" s="1">
        <v>172731.65017494687</v>
      </c>
      <c r="X191" s="1">
        <v>2.0324301945013161</v>
      </c>
      <c r="Y191" s="1">
        <v>76193.497552498171</v>
      </c>
      <c r="Z191" s="1">
        <v>151410.11886884461</v>
      </c>
      <c r="AA191" s="1">
        <v>1.7324040389283795</v>
      </c>
      <c r="AB191" s="1">
        <v>8329028.3567972081</v>
      </c>
      <c r="AC191" s="1">
        <v>4.5285733664201189E-2</v>
      </c>
      <c r="AE191" s="1">
        <v>1983</v>
      </c>
      <c r="AF191" s="1">
        <v>23871.362397525623</v>
      </c>
      <c r="AG191" s="1">
        <v>157264.68782015177</v>
      </c>
      <c r="AH191" s="1">
        <v>41252.240470885248</v>
      </c>
      <c r="AI191" s="1">
        <v>45416.454768305914</v>
      </c>
      <c r="AJ191" s="1">
        <v>112404.25781873846</v>
      </c>
      <c r="AK191" s="1">
        <v>34637.730547301937</v>
      </c>
      <c r="AL191" s="1">
        <v>155027.80171831595</v>
      </c>
      <c r="AM191" s="1">
        <v>64743.266177091071</v>
      </c>
      <c r="AN191" s="2">
        <v>634617.80171831592</v>
      </c>
      <c r="AP191" s="1" t="s">
        <v>282</v>
      </c>
      <c r="AQ191" s="1">
        <v>4.7304527128505072</v>
      </c>
      <c r="AR191" s="1">
        <v>3.0705921998883241</v>
      </c>
      <c r="AS191" s="1">
        <v>-2.867939086296829</v>
      </c>
      <c r="AT191" s="1">
        <v>-2.0489833405591327</v>
      </c>
      <c r="AU191" s="1">
        <v>3.113548778101034</v>
      </c>
      <c r="AV191" s="1">
        <v>1.2693209169184883</v>
      </c>
      <c r="AW191" s="1">
        <v>2.0297855285570563</v>
      </c>
      <c r="AX191" s="1">
        <v>0.96107789441602165</v>
      </c>
      <c r="AY191" s="1">
        <v>1.7784743044716436</v>
      </c>
      <c r="BA191" s="1">
        <v>1983</v>
      </c>
      <c r="BB191" s="1">
        <v>369442</v>
      </c>
      <c r="BC191" s="1">
        <v>209193.80171831595</v>
      </c>
      <c r="BD191" s="1">
        <v>76604.370505789149</v>
      </c>
      <c r="BE191" s="1">
        <v>53256</v>
      </c>
      <c r="BF191" s="1">
        <v>412</v>
      </c>
      <c r="BG191" s="1">
        <v>-10263</v>
      </c>
      <c r="BH191" s="1">
        <v>253260</v>
      </c>
      <c r="BI191" s="1">
        <v>238142</v>
      </c>
      <c r="BJ191" s="1">
        <v>713763.1722241051</v>
      </c>
      <c r="BL191" s="1" t="s">
        <v>282</v>
      </c>
      <c r="BM191" s="1">
        <v>-1.9894324576236642</v>
      </c>
      <c r="BN191" s="1">
        <v>0.851055913521364</v>
      </c>
      <c r="BO191" s="1">
        <v>-0.18764256492772802</v>
      </c>
      <c r="BP191" s="1">
        <v>9.7837951511631474</v>
      </c>
      <c r="BQ191" s="1">
        <v>0.78708199857948102</v>
      </c>
      <c r="BR191" s="1">
        <v>2.0786363290903154</v>
      </c>
      <c r="BT191" s="1" t="s">
        <v>282</v>
      </c>
      <c r="BU191" s="1">
        <v>10.853258575003238</v>
      </c>
      <c r="BV191" s="1">
        <v>8.7252361305505417</v>
      </c>
      <c r="BW191" s="1">
        <v>9.3265583935666854</v>
      </c>
      <c r="BX191" s="1">
        <v>12.665701659524615</v>
      </c>
      <c r="BY191" s="1">
        <v>13.469589417532802</v>
      </c>
      <c r="BZ191" s="1">
        <v>9.7142459229448264</v>
      </c>
      <c r="CB191" s="1">
        <v>1983</v>
      </c>
      <c r="CC191" s="1">
        <v>6371.0553705716165</v>
      </c>
      <c r="CD191" s="1">
        <v>27586.109199367042</v>
      </c>
      <c r="CE191" s="1">
        <v>3016.0443742873076</v>
      </c>
      <c r="CF191" s="1">
        <v>12576.630539033398</v>
      </c>
      <c r="CG191" s="1">
        <v>15913.989899696586</v>
      </c>
      <c r="CH191" s="1">
        <v>19816.892519601464</v>
      </c>
      <c r="CI191" s="1">
        <v>34728.648603231741</v>
      </c>
      <c r="CJ191" s="1">
        <v>120009.37050578915</v>
      </c>
      <c r="CL191" s="1">
        <v>1983</v>
      </c>
      <c r="CM191" s="1">
        <v>5332.9119652187164</v>
      </c>
      <c r="CN191" s="1">
        <v>31951.60877051673</v>
      </c>
      <c r="CO191" s="1">
        <v>2315.4485893197129</v>
      </c>
      <c r="CP191" s="1">
        <v>12009.48091345632</v>
      </c>
      <c r="CQ191" s="1">
        <v>10478.582910938028</v>
      </c>
      <c r="CR191" s="1">
        <v>13484.801718315946</v>
      </c>
      <c r="CS191" s="1">
        <v>24473.824568557946</v>
      </c>
      <c r="CT191" s="2">
        <v>100046.6594363234</v>
      </c>
      <c r="CV191" s="1">
        <v>1983</v>
      </c>
      <c r="CW191" s="1">
        <v>813937.22397093067</v>
      </c>
      <c r="CX191" s="1">
        <v>833285.00826668914</v>
      </c>
      <c r="CY191" s="1">
        <v>343408.31568368297</v>
      </c>
      <c r="CZ191" s="1">
        <v>13936.774886809126</v>
      </c>
      <c r="DA191" s="1">
        <v>183858</v>
      </c>
      <c r="DB191" s="1">
        <v>2188425.322808112</v>
      </c>
      <c r="DC191" s="1">
        <v>1811458.1008946255</v>
      </c>
      <c r="DD191" s="1">
        <v>554013.66315236781</v>
      </c>
      <c r="DF191" s="1">
        <v>1983</v>
      </c>
      <c r="DG191" s="1">
        <v>1.3550567563561202</v>
      </c>
      <c r="DH191" s="1">
        <v>1.2599035567686627</v>
      </c>
      <c r="DI191" s="1">
        <v>1.4480848128897321</v>
      </c>
      <c r="DJ191" s="1">
        <v>2.1797050464550836</v>
      </c>
      <c r="DK191" s="1">
        <v>2.9562076114894467</v>
      </c>
      <c r="DL191" s="1">
        <v>-5.5820252586234886</v>
      </c>
      <c r="DM191" s="1">
        <v>0.90467835718438039</v>
      </c>
      <c r="DN191" s="1">
        <v>0.74370674347257193</v>
      </c>
      <c r="DO191" s="1">
        <v>-0.37678484093943609</v>
      </c>
      <c r="DQ191" s="1">
        <v>1983</v>
      </c>
      <c r="DR191" s="1">
        <v>1331701.5309659848</v>
      </c>
      <c r="DS191" s="1">
        <v>1389785.3278027973</v>
      </c>
      <c r="DT191" s="1">
        <v>683116.04477852106</v>
      </c>
      <c r="DU191" s="1">
        <v>13936.774886809126</v>
      </c>
      <c r="DV191" s="1">
        <v>183858</v>
      </c>
      <c r="DW191" s="1">
        <v>3602397.6784341126</v>
      </c>
      <c r="DX191" s="1">
        <v>3033813.065567832</v>
      </c>
      <c r="DY191" s="1">
        <v>922299.87117105839</v>
      </c>
      <c r="EA191" s="1">
        <v>1983</v>
      </c>
      <c r="EB191" s="1">
        <v>2.1431072527190622</v>
      </c>
      <c r="EC191" s="1">
        <v>2.0112467864366437</v>
      </c>
      <c r="ED191" s="1">
        <v>2.26955364434356</v>
      </c>
      <c r="EE191" s="1">
        <v>2.7275144762024723</v>
      </c>
      <c r="EF191" s="1">
        <v>2.9562076114894467</v>
      </c>
      <c r="EG191" s="1">
        <v>-5.5820252586234886</v>
      </c>
      <c r="EH191" s="1">
        <v>1.8574155224200695</v>
      </c>
      <c r="EI191" s="1">
        <v>1.694191522195581</v>
      </c>
      <c r="EJ191" s="1">
        <v>1.0365937103638032</v>
      </c>
      <c r="EL191" s="1">
        <v>1983</v>
      </c>
      <c r="EM191" s="1">
        <v>214000</v>
      </c>
      <c r="EN191" s="1">
        <v>1036500</v>
      </c>
      <c r="EO191" s="1">
        <v>279900</v>
      </c>
      <c r="EP191" s="1">
        <v>283500</v>
      </c>
      <c r="EQ191" s="1">
        <v>710000</v>
      </c>
      <c r="ER191" s="1">
        <v>339800</v>
      </c>
      <c r="ES191" s="1">
        <v>1359100</v>
      </c>
      <c r="ET191" s="1">
        <v>53700</v>
      </c>
      <c r="EU191" s="1">
        <v>4276500</v>
      </c>
      <c r="EV191" s="1">
        <v>2917400</v>
      </c>
      <c r="EX191" s="1">
        <v>1983</v>
      </c>
      <c r="EY191" s="1">
        <v>78700</v>
      </c>
      <c r="EZ191" s="1">
        <v>1001800</v>
      </c>
      <c r="FA191" s="1">
        <v>236300</v>
      </c>
      <c r="FB191" s="1">
        <v>260300</v>
      </c>
      <c r="FC191" s="1">
        <v>638700</v>
      </c>
      <c r="FD191" s="1">
        <v>293900</v>
      </c>
      <c r="FE191" s="1">
        <v>1359100</v>
      </c>
      <c r="FF191" s="1">
        <v>52100</v>
      </c>
      <c r="FG191" s="1">
        <v>3920900</v>
      </c>
      <c r="FH191" s="1">
        <v>2561800</v>
      </c>
      <c r="FJ191" s="1">
        <v>1983</v>
      </c>
      <c r="FK191" s="1">
        <v>135300</v>
      </c>
      <c r="FL191" s="1">
        <v>34700</v>
      </c>
      <c r="FM191" s="1">
        <v>43600</v>
      </c>
      <c r="FN191" s="1">
        <v>23200</v>
      </c>
      <c r="FO191" s="1">
        <v>71300</v>
      </c>
      <c r="FP191" s="1">
        <v>45900</v>
      </c>
      <c r="FQ191" s="1">
        <v>1600</v>
      </c>
      <c r="FR191" s="1">
        <v>355600</v>
      </c>
      <c r="FS191" s="1">
        <v>392600</v>
      </c>
      <c r="FU191" s="1">
        <v>1983</v>
      </c>
      <c r="FV191" s="1">
        <v>29023</v>
      </c>
      <c r="FW191" s="1">
        <v>154174</v>
      </c>
      <c r="FX191" s="1">
        <v>46352</v>
      </c>
      <c r="FY191" s="1">
        <v>45989</v>
      </c>
      <c r="FZ191" s="1">
        <v>111573</v>
      </c>
      <c r="GA191" s="1">
        <v>46316</v>
      </c>
      <c r="GB191" s="1">
        <v>173007</v>
      </c>
      <c r="GC191" s="1">
        <v>6976</v>
      </c>
      <c r="GD191" s="1">
        <v>613410</v>
      </c>
      <c r="GE191" s="1">
        <v>440403</v>
      </c>
      <c r="GG191" s="1">
        <v>1983</v>
      </c>
      <c r="GH191" s="1">
        <v>8518</v>
      </c>
      <c r="GI191" s="1">
        <v>148113</v>
      </c>
      <c r="GJ191" s="1">
        <v>39533</v>
      </c>
      <c r="GK191" s="1">
        <v>41806</v>
      </c>
      <c r="GL191" s="1">
        <v>97641</v>
      </c>
      <c r="GM191" s="1">
        <v>39816</v>
      </c>
      <c r="GN191" s="1">
        <v>173007</v>
      </c>
      <c r="GO191" s="1">
        <v>6697</v>
      </c>
      <c r="GP191" s="1">
        <v>555131</v>
      </c>
      <c r="GQ191" s="1">
        <v>382124</v>
      </c>
      <c r="GS191" s="1">
        <v>1983</v>
      </c>
      <c r="GT191" s="1">
        <v>20505</v>
      </c>
      <c r="GU191" s="1">
        <v>6061</v>
      </c>
      <c r="GV191" s="1">
        <v>6819</v>
      </c>
      <c r="GW191" s="1">
        <v>4183</v>
      </c>
      <c r="GX191" s="1">
        <v>13932</v>
      </c>
      <c r="GY191" s="1">
        <v>6500</v>
      </c>
      <c r="GZ191" s="1">
        <v>279</v>
      </c>
      <c r="HA191" s="1">
        <v>58279</v>
      </c>
      <c r="HC191" s="1">
        <v>1983</v>
      </c>
      <c r="HD191" s="1">
        <v>6251</v>
      </c>
      <c r="HE191" s="1">
        <v>114434</v>
      </c>
      <c r="HF191" s="1">
        <v>33615</v>
      </c>
      <c r="HG191" s="1">
        <v>28374</v>
      </c>
      <c r="HH191" s="1">
        <v>102669</v>
      </c>
      <c r="HI191" s="1">
        <v>141543</v>
      </c>
      <c r="HJ191" s="1">
        <v>4831</v>
      </c>
      <c r="HK191" s="2">
        <v>431717</v>
      </c>
      <c r="HL191" s="1">
        <v>290174</v>
      </c>
      <c r="HN191" s="1">
        <v>1983</v>
      </c>
      <c r="HO191" s="1">
        <v>12287.450432306905</v>
      </c>
      <c r="HP191" s="1">
        <v>4682.8061952698272</v>
      </c>
      <c r="HQ191" s="1">
        <v>5798.2112412414945</v>
      </c>
      <c r="HR191" s="1">
        <v>2839.0288953738695</v>
      </c>
      <c r="HS191" s="1">
        <v>15013.626094063449</v>
      </c>
      <c r="HT191" s="1">
        <v>201.26160967597431</v>
      </c>
      <c r="HU191" s="2">
        <v>40822.384467931523</v>
      </c>
      <c r="HW191" s="1">
        <v>1983</v>
      </c>
      <c r="HX191" s="1">
        <v>5332.9119652187183</v>
      </c>
      <c r="HY191" s="1">
        <v>38147.881624881935</v>
      </c>
      <c r="HZ191" s="1">
        <v>1839.0292296437547</v>
      </c>
      <c r="IA191" s="1">
        <v>14203.425872932046</v>
      </c>
      <c r="IB191" s="1">
        <v>29359.362271976945</v>
      </c>
      <c r="IC191" s="1">
        <v>13484.801718315954</v>
      </c>
      <c r="ID191" s="1">
        <v>59711.004567415097</v>
      </c>
      <c r="IE191" s="2">
        <v>162078.41725038446</v>
      </c>
      <c r="IF191" s="1">
        <v>148593.61553206851</v>
      </c>
      <c r="IH191" s="1">
        <v>1983</v>
      </c>
      <c r="II191" s="1">
        <v>302.38010411271358</v>
      </c>
      <c r="IJ191" s="1">
        <v>27.423414220821385</v>
      </c>
      <c r="IK191" s="1">
        <v>7.1173623039955487</v>
      </c>
      <c r="IL191" s="1">
        <v>366.25122763938936</v>
      </c>
      <c r="IM191" s="1">
        <v>5.2018460301962497</v>
      </c>
      <c r="IN191" s="1">
        <v>1.3500661350327936</v>
      </c>
      <c r="IO191" s="1">
        <v>-0.83796932774021116</v>
      </c>
    </row>
    <row r="192" spans="1:249" x14ac:dyDescent="0.25">
      <c r="A192" s="1" t="s">
        <v>283</v>
      </c>
      <c r="B192" s="1">
        <v>3.1371091705858021</v>
      </c>
      <c r="C192" s="1">
        <v>3.0781157559175369</v>
      </c>
      <c r="D192" s="1">
        <v>3.1413149563019402</v>
      </c>
      <c r="E192" s="1">
        <v>3.1329035563686887</v>
      </c>
      <c r="F192" s="1">
        <v>3.6073751053470744</v>
      </c>
      <c r="G192" s="1">
        <v>3.8926662002526626</v>
      </c>
      <c r="H192" s="1">
        <v>4.1237518381223879</v>
      </c>
      <c r="J192" s="1">
        <v>1984</v>
      </c>
      <c r="K192" s="2">
        <v>799473.60429837927</v>
      </c>
      <c r="L192" s="1">
        <v>708723.34348180401</v>
      </c>
      <c r="M192" s="1">
        <v>691998.954694947</v>
      </c>
      <c r="N192" s="1">
        <v>601248.69387837173</v>
      </c>
      <c r="O192" s="1">
        <v>107474.64960343229</v>
      </c>
      <c r="P192" s="1">
        <v>90750.260816575261</v>
      </c>
      <c r="Q192" s="1">
        <v>736933</v>
      </c>
      <c r="R192" s="1">
        <v>1536406.6042983793</v>
      </c>
      <c r="S192" s="1">
        <v>1445656.343481804</v>
      </c>
      <c r="U192" s="1">
        <v>1984</v>
      </c>
      <c r="V192" s="1">
        <v>95899.29956067256</v>
      </c>
      <c r="W192" s="1">
        <v>179292.63918141992</v>
      </c>
      <c r="X192" s="1">
        <v>3.7983710569706943</v>
      </c>
      <c r="Y192" s="1">
        <v>85013.528722877876</v>
      </c>
      <c r="Z192" s="1">
        <v>156018.28551346093</v>
      </c>
      <c r="AA192" s="1">
        <v>3.0434997865684323</v>
      </c>
      <c r="AB192" s="1">
        <v>8336594.8235375453</v>
      </c>
      <c r="AC192" s="1">
        <v>9.0844530912931987E-2</v>
      </c>
      <c r="AE192" s="1">
        <v>1984</v>
      </c>
      <c r="AF192" s="1">
        <v>26298.132785015856</v>
      </c>
      <c r="AG192" s="1">
        <v>182593.1015574912</v>
      </c>
      <c r="AH192" s="1">
        <v>45969.81888785823</v>
      </c>
      <c r="AI192" s="1">
        <v>48302.962269020747</v>
      </c>
      <c r="AJ192" s="1">
        <v>128528.37091675284</v>
      </c>
      <c r="AK192" s="1">
        <v>38343.469098346832</v>
      </c>
      <c r="AL192" s="1">
        <v>168106.34348180407</v>
      </c>
      <c r="AM192" s="1">
        <v>70581.144485514378</v>
      </c>
      <c r="AN192" s="2">
        <v>708723.34348180413</v>
      </c>
      <c r="AP192" s="1" t="s">
        <v>283</v>
      </c>
      <c r="AQ192" s="1">
        <v>-0.2412781200084595</v>
      </c>
      <c r="AR192" s="1">
        <v>4.8354329637077456</v>
      </c>
      <c r="AS192" s="1">
        <v>5.0084736158816838</v>
      </c>
      <c r="AT192" s="1">
        <v>4.1422052931125393</v>
      </c>
      <c r="AU192" s="1">
        <v>3.6488032055009114</v>
      </c>
      <c r="AV192" s="1">
        <v>-0.27063704468859839</v>
      </c>
      <c r="AW192" s="1">
        <v>2.3889685424071274</v>
      </c>
      <c r="AX192" s="1">
        <v>1.0734064466724362</v>
      </c>
      <c r="AY192" s="1">
        <v>3.1371091705858021</v>
      </c>
      <c r="BA192" s="1">
        <v>1984</v>
      </c>
      <c r="BB192" s="1">
        <v>403775</v>
      </c>
      <c r="BC192" s="1">
        <v>227151.3434818041</v>
      </c>
      <c r="BD192" s="1">
        <v>85702.260816575261</v>
      </c>
      <c r="BE192" s="1">
        <v>61061</v>
      </c>
      <c r="BF192" s="1">
        <v>421</v>
      </c>
      <c r="BG192" s="1">
        <v>-7757</v>
      </c>
      <c r="BH192" s="1">
        <v>289819</v>
      </c>
      <c r="BI192" s="1">
        <v>260699</v>
      </c>
      <c r="BJ192" s="1">
        <v>799473.60429837927</v>
      </c>
      <c r="BL192" s="1" t="s">
        <v>283</v>
      </c>
      <c r="BM192" s="1">
        <v>1.4731977563270391</v>
      </c>
      <c r="BN192" s="1">
        <v>2.1838377987358939</v>
      </c>
      <c r="BO192" s="1">
        <v>11.100935843054742</v>
      </c>
      <c r="BP192" s="1">
        <v>6.8093296481770409</v>
      </c>
      <c r="BQ192" s="1">
        <v>5.3450209975263192</v>
      </c>
      <c r="BR192" s="1">
        <v>3.8926662002526626</v>
      </c>
      <c r="BT192" s="1" t="s">
        <v>283</v>
      </c>
      <c r="BU192" s="1">
        <v>7.7064749732882944</v>
      </c>
      <c r="BV192" s="1">
        <v>6.2635419180496541</v>
      </c>
      <c r="BW192" s="1">
        <v>4.5718570203877107</v>
      </c>
      <c r="BX192" s="1">
        <v>7.1398568319277871</v>
      </c>
      <c r="BY192" s="1">
        <v>3.9176589903767223</v>
      </c>
      <c r="BZ192" s="1">
        <v>7.8115032807113636</v>
      </c>
      <c r="CB192" s="1">
        <v>1984</v>
      </c>
      <c r="CC192" s="1">
        <v>6376.9149887636358</v>
      </c>
      <c r="CD192" s="1">
        <v>33518.581849038979</v>
      </c>
      <c r="CE192" s="1">
        <v>3335.7056380922368</v>
      </c>
      <c r="CF192" s="1">
        <v>16761.195291516589</v>
      </c>
      <c r="CG192" s="1">
        <v>18127.954521803782</v>
      </c>
      <c r="CH192" s="1">
        <v>20502.378056780253</v>
      </c>
      <c r="CI192" s="1">
        <v>40804.530470579783</v>
      </c>
      <c r="CJ192" s="1">
        <v>139427.26081657526</v>
      </c>
      <c r="CL192" s="1">
        <v>1984</v>
      </c>
      <c r="CM192" s="1">
        <v>5613.0887031330585</v>
      </c>
      <c r="CN192" s="1">
        <v>33715.747623410316</v>
      </c>
      <c r="CO192" s="1">
        <v>2530.3416781517212</v>
      </c>
      <c r="CP192" s="1">
        <v>12836.653388710332</v>
      </c>
      <c r="CQ192" s="1">
        <v>11585.718965992814</v>
      </c>
      <c r="CR192" s="1">
        <v>14600.34348180411</v>
      </c>
      <c r="CS192" s="1">
        <v>26592.755762229932</v>
      </c>
      <c r="CT192" s="2">
        <v>107474.64960343229</v>
      </c>
      <c r="CV192" s="1">
        <v>1984</v>
      </c>
      <c r="CW192" s="1">
        <v>878188.48373313621</v>
      </c>
      <c r="CX192" s="1">
        <v>899111.25105018308</v>
      </c>
      <c r="CY192" s="1">
        <v>361281.27394918405</v>
      </c>
      <c r="CZ192" s="1">
        <v>15231.625561459392</v>
      </c>
      <c r="DA192" s="1">
        <v>187418</v>
      </c>
      <c r="DB192" s="1">
        <v>2341230.6342939627</v>
      </c>
      <c r="DC192" s="1">
        <v>1934690.7665478985</v>
      </c>
      <c r="DD192" s="1">
        <v>582533.72605118784</v>
      </c>
      <c r="DF192" s="1">
        <v>1984</v>
      </c>
      <c r="DG192" s="1">
        <v>1.5091104720921749</v>
      </c>
      <c r="DH192" s="1">
        <v>1.6183057477520322</v>
      </c>
      <c r="DI192" s="1">
        <v>1.4024153888588984</v>
      </c>
      <c r="DJ192" s="1">
        <v>3.4513179296664447</v>
      </c>
      <c r="DK192" s="1">
        <v>2.763986012532115</v>
      </c>
      <c r="DL192" s="1">
        <v>-4.1388767354256402</v>
      </c>
      <c r="DM192" s="1">
        <v>1.3622063129997741</v>
      </c>
      <c r="DN192" s="1">
        <v>1.3435940177529062</v>
      </c>
      <c r="DO192" s="1">
        <v>0.1141467778333265</v>
      </c>
      <c r="DQ192" s="1">
        <v>1984</v>
      </c>
      <c r="DR192" s="1">
        <v>1447485.667437335</v>
      </c>
      <c r="DS192" s="1">
        <v>1512116.9776270422</v>
      </c>
      <c r="DT192" s="1">
        <v>722628.91655504727</v>
      </c>
      <c r="DU192" s="1">
        <v>15231.625561459392</v>
      </c>
      <c r="DV192" s="1">
        <v>187418</v>
      </c>
      <c r="DW192" s="1">
        <v>3884881.1871808837</v>
      </c>
      <c r="DX192" s="1">
        <v>3265524.3225749307</v>
      </c>
      <c r="DY192" s="1">
        <v>980013.08438870008</v>
      </c>
      <c r="EA192" s="1">
        <v>1984</v>
      </c>
      <c r="EB192" s="1">
        <v>2.2112240721965577</v>
      </c>
      <c r="EC192" s="1">
        <v>2.2107628118948242</v>
      </c>
      <c r="ED192" s="1">
        <v>2.2116655445502715</v>
      </c>
      <c r="EE192" s="1">
        <v>3.3569034429066278</v>
      </c>
      <c r="EF192" s="1">
        <v>2.763986012532115</v>
      </c>
      <c r="EG192" s="1">
        <v>-4.1388767354256402</v>
      </c>
      <c r="EH192" s="1">
        <v>2.1183872272834208</v>
      </c>
      <c r="EI192" s="1">
        <v>2.0397770306748839</v>
      </c>
      <c r="EJ192" s="1">
        <v>1.3058585368334548</v>
      </c>
      <c r="EL192" s="1">
        <v>1984</v>
      </c>
      <c r="EM192" s="1">
        <v>211600</v>
      </c>
      <c r="EN192" s="1">
        <v>1041400</v>
      </c>
      <c r="EO192" s="1">
        <v>272200</v>
      </c>
      <c r="EP192" s="1">
        <v>282400</v>
      </c>
      <c r="EQ192" s="1">
        <v>720000</v>
      </c>
      <c r="ER192" s="1">
        <v>340400</v>
      </c>
      <c r="ES192" s="1">
        <v>1398400</v>
      </c>
      <c r="ET192" s="1">
        <v>53500</v>
      </c>
      <c r="EU192" s="1">
        <v>4319900</v>
      </c>
      <c r="EV192" s="1">
        <v>2921500</v>
      </c>
      <c r="EX192" s="1">
        <v>1984</v>
      </c>
      <c r="EY192" s="1">
        <v>77500</v>
      </c>
      <c r="EZ192" s="1">
        <v>1005900</v>
      </c>
      <c r="FA192" s="1">
        <v>231800</v>
      </c>
      <c r="FB192" s="1">
        <v>261000</v>
      </c>
      <c r="FC192" s="1">
        <v>649700</v>
      </c>
      <c r="FD192" s="1">
        <v>295300</v>
      </c>
      <c r="FE192" s="1">
        <v>1398400</v>
      </c>
      <c r="FF192" s="1">
        <v>51600</v>
      </c>
      <c r="FG192" s="1">
        <v>3971200</v>
      </c>
      <c r="FH192" s="1">
        <v>2572800</v>
      </c>
      <c r="FJ192" s="1">
        <v>1984</v>
      </c>
      <c r="FK192" s="1">
        <v>134100</v>
      </c>
      <c r="FL192" s="1">
        <v>35500</v>
      </c>
      <c r="FM192" s="1">
        <v>40400</v>
      </c>
      <c r="FN192" s="1">
        <v>21400</v>
      </c>
      <c r="FO192" s="1">
        <v>70300</v>
      </c>
      <c r="FP192" s="1">
        <v>45100</v>
      </c>
      <c r="FQ192" s="1">
        <v>1900</v>
      </c>
      <c r="FR192" s="1">
        <v>348700</v>
      </c>
      <c r="FS192" s="1">
        <v>360900</v>
      </c>
      <c r="FU192" s="1">
        <v>1984</v>
      </c>
      <c r="FV192" s="1">
        <v>28652</v>
      </c>
      <c r="FW192" s="1">
        <v>157684</v>
      </c>
      <c r="FX192" s="1">
        <v>47649</v>
      </c>
      <c r="FY192" s="1">
        <v>45948</v>
      </c>
      <c r="FZ192" s="1">
        <v>113146</v>
      </c>
      <c r="GA192" s="1">
        <v>47599</v>
      </c>
      <c r="GB192" s="1">
        <v>177128</v>
      </c>
      <c r="GC192" s="1">
        <v>6835</v>
      </c>
      <c r="GD192" s="1">
        <v>624641</v>
      </c>
      <c r="GE192" s="1">
        <v>447513</v>
      </c>
      <c r="GG192" s="1">
        <v>1984</v>
      </c>
      <c r="GH192" s="1">
        <v>8436</v>
      </c>
      <c r="GI192" s="1">
        <v>151508</v>
      </c>
      <c r="GJ192" s="1">
        <v>40877</v>
      </c>
      <c r="GK192" s="1">
        <v>42090</v>
      </c>
      <c r="GL192" s="1">
        <v>99492</v>
      </c>
      <c r="GM192" s="1">
        <v>41169</v>
      </c>
      <c r="GN192" s="1">
        <v>177128</v>
      </c>
      <c r="GO192" s="1">
        <v>6504</v>
      </c>
      <c r="GP192" s="1">
        <v>567204</v>
      </c>
      <c r="GQ192" s="1">
        <v>390076</v>
      </c>
      <c r="GS192" s="1">
        <v>1984</v>
      </c>
      <c r="GT192" s="1">
        <v>20216</v>
      </c>
      <c r="GU192" s="1">
        <v>6176</v>
      </c>
      <c r="GV192" s="1">
        <v>6772</v>
      </c>
      <c r="GW192" s="1">
        <v>3858</v>
      </c>
      <c r="GX192" s="1">
        <v>13654</v>
      </c>
      <c r="GY192" s="1">
        <v>6430</v>
      </c>
      <c r="GZ192" s="1">
        <v>331</v>
      </c>
      <c r="HA192" s="1">
        <v>57437</v>
      </c>
      <c r="HC192" s="1">
        <v>1984</v>
      </c>
      <c r="HD192" s="1">
        <v>6715</v>
      </c>
      <c r="HE192" s="1">
        <v>127594</v>
      </c>
      <c r="HF192" s="1">
        <v>35848</v>
      </c>
      <c r="HG192" s="1">
        <v>31611</v>
      </c>
      <c r="HH192" s="1">
        <v>115818</v>
      </c>
      <c r="HI192" s="1">
        <v>153506</v>
      </c>
      <c r="HJ192" s="1">
        <v>5860</v>
      </c>
      <c r="HK192" s="2">
        <v>476952</v>
      </c>
      <c r="HL192" s="1">
        <v>323446</v>
      </c>
      <c r="HN192" s="1">
        <v>1984</v>
      </c>
      <c r="HO192" s="1">
        <v>13970.044081882799</v>
      </c>
      <c r="HP192" s="1">
        <v>5201.181086147265</v>
      </c>
      <c r="HQ192" s="1">
        <v>5938.8569611272851</v>
      </c>
      <c r="HR192" s="1">
        <v>2897.4872416250892</v>
      </c>
      <c r="HS192" s="1">
        <v>16277.360388126173</v>
      </c>
      <c r="HT192" s="1">
        <v>298.22570725707254</v>
      </c>
      <c r="HU192" s="2">
        <v>44583.155466165685</v>
      </c>
      <c r="HW192" s="1">
        <v>1984</v>
      </c>
      <c r="HX192" s="1">
        <v>5613.0887031330567</v>
      </c>
      <c r="HY192" s="1">
        <v>49797.920471343939</v>
      </c>
      <c r="HZ192" s="1">
        <v>4182.9619267309463</v>
      </c>
      <c r="IA192" s="1">
        <v>13794.47502739566</v>
      </c>
      <c r="IB192" s="1">
        <v>34776.479626973509</v>
      </c>
      <c r="IC192" s="1">
        <v>14600.343481804055</v>
      </c>
      <c r="ID192" s="1">
        <v>64422.918778257306</v>
      </c>
      <c r="IE192" s="2">
        <v>187188.18801563847</v>
      </c>
      <c r="IF192" s="1">
        <v>172587.8445338344</v>
      </c>
      <c r="IH192" s="1">
        <v>1984</v>
      </c>
      <c r="II192" s="1">
        <v>273.17713663933279</v>
      </c>
      <c r="IJ192" s="1">
        <v>33.165081952005629</v>
      </c>
      <c r="IK192" s="1">
        <v>9.116882667011792</v>
      </c>
      <c r="IL192" s="1">
        <v>324.48033634415225</v>
      </c>
      <c r="IM192" s="1">
        <v>12.110509369689215</v>
      </c>
      <c r="IN192" s="1">
        <v>3.329106592318448</v>
      </c>
      <c r="IO192" s="1">
        <v>3.1002172523756428</v>
      </c>
    </row>
    <row r="193" spans="1:249" x14ac:dyDescent="0.25">
      <c r="A193" s="1" t="s">
        <v>284</v>
      </c>
      <c r="B193" s="1">
        <v>1.7180344901367874</v>
      </c>
      <c r="C193" s="1">
        <v>1.5978154678776519</v>
      </c>
      <c r="D193" s="1">
        <v>1.74485129987481</v>
      </c>
      <c r="E193" s="1">
        <v>1.6912247484840179</v>
      </c>
      <c r="F193" s="1">
        <v>2.2680637656275167</v>
      </c>
      <c r="G193" s="1">
        <v>2.3309825991520086</v>
      </c>
      <c r="H193" s="1">
        <v>2.2100909283492314</v>
      </c>
      <c r="J193" s="1">
        <v>1985</v>
      </c>
      <c r="K193" s="2">
        <v>868853.01232078183</v>
      </c>
      <c r="L193" s="1">
        <v>763610.01232078183</v>
      </c>
      <c r="M193" s="1">
        <v>751815.50893115683</v>
      </c>
      <c r="N193" s="1">
        <v>646572.50893115683</v>
      </c>
      <c r="O193" s="1">
        <v>117037.50338962501</v>
      </c>
      <c r="P193" s="1">
        <v>105243</v>
      </c>
      <c r="Q193" s="1">
        <v>799594</v>
      </c>
      <c r="R193" s="1">
        <v>1668447.0123207818</v>
      </c>
      <c r="S193" s="1">
        <v>1563204.0123207818</v>
      </c>
      <c r="U193" s="1">
        <v>1985</v>
      </c>
      <c r="V193" s="1">
        <v>104049.56270177237</v>
      </c>
      <c r="W193" s="1">
        <v>183169.11491847012</v>
      </c>
      <c r="X193" s="1">
        <v>2.1620941912332086</v>
      </c>
      <c r="Y193" s="1">
        <v>91446.178732172135</v>
      </c>
      <c r="Z193" s="1">
        <v>158436.81497958233</v>
      </c>
      <c r="AA193" s="1">
        <v>1.5501576998887998</v>
      </c>
      <c r="AB193" s="1">
        <v>8350376.3952482408</v>
      </c>
      <c r="AC193" s="1">
        <v>0.16531416006671407</v>
      </c>
      <c r="AE193" s="1">
        <v>1985</v>
      </c>
      <c r="AF193" s="1">
        <v>27509.476876351218</v>
      </c>
      <c r="AG193" s="1">
        <v>197977.56686164919</v>
      </c>
      <c r="AH193" s="1">
        <v>48781.868743805389</v>
      </c>
      <c r="AI193" s="1">
        <v>51985.468074932331</v>
      </c>
      <c r="AJ193" s="1">
        <v>139566.53557807673</v>
      </c>
      <c r="AK193" s="1">
        <v>41987.550321549003</v>
      </c>
      <c r="AL193" s="1">
        <v>179398.01232078185</v>
      </c>
      <c r="AM193" s="1">
        <v>76403.533543636149</v>
      </c>
      <c r="AN193" s="2">
        <v>763610.01232078183</v>
      </c>
      <c r="AP193" s="1" t="s">
        <v>284</v>
      </c>
      <c r="AQ193" s="1">
        <v>-3.3167705949001913</v>
      </c>
      <c r="AR193" s="1">
        <v>2.2374925222048034</v>
      </c>
      <c r="AS193" s="1">
        <v>-0.30192495161958277</v>
      </c>
      <c r="AT193" s="1">
        <v>0.46679139802942871</v>
      </c>
      <c r="AU193" s="1">
        <v>4.5328248780344182</v>
      </c>
      <c r="AV193" s="1">
        <v>0.34127706439210215</v>
      </c>
      <c r="AW193" s="1">
        <v>1.1963187298176905</v>
      </c>
      <c r="AX193" s="1">
        <v>1.3743529722527938</v>
      </c>
      <c r="AY193" s="1">
        <v>1.7180344901367874</v>
      </c>
      <c r="BA193" s="1">
        <v>1985</v>
      </c>
      <c r="BB193" s="1">
        <v>443671</v>
      </c>
      <c r="BC193" s="1">
        <v>245802.01232078183</v>
      </c>
      <c r="BD193" s="1">
        <v>90602</v>
      </c>
      <c r="BE193" s="1">
        <v>74199</v>
      </c>
      <c r="BF193" s="1">
        <v>383</v>
      </c>
      <c r="BG193" s="1">
        <v>-484</v>
      </c>
      <c r="BH193" s="1">
        <v>305866</v>
      </c>
      <c r="BI193" s="1">
        <v>291186</v>
      </c>
      <c r="BJ193" s="1">
        <v>868853.01232078183</v>
      </c>
      <c r="BL193" s="1" t="s">
        <v>284</v>
      </c>
      <c r="BM193" s="1">
        <v>2.6790878232089881</v>
      </c>
      <c r="BN193" s="1">
        <v>2.1991916323021741</v>
      </c>
      <c r="BO193" s="1">
        <v>11.945822989452665</v>
      </c>
      <c r="BP193" s="1">
        <v>1.4136790384932993</v>
      </c>
      <c r="BQ193" s="1">
        <v>6.9100391134289367</v>
      </c>
      <c r="BR193" s="1">
        <v>2.3309825991520086</v>
      </c>
      <c r="BT193" s="1" t="s">
        <v>284</v>
      </c>
      <c r="BU193" s="1">
        <v>7.013757861894419</v>
      </c>
      <c r="BV193" s="1">
        <v>5.8821286076936872</v>
      </c>
      <c r="BW193" s="1">
        <v>5.5207842659071815</v>
      </c>
      <c r="BX193" s="1">
        <v>4.0657483963804282</v>
      </c>
      <c r="BY193" s="1">
        <v>4.4750618389079619</v>
      </c>
      <c r="BZ193" s="1">
        <v>6.2025726807329704</v>
      </c>
      <c r="CB193" s="1">
        <v>1985</v>
      </c>
      <c r="CC193" s="1">
        <v>6483</v>
      </c>
      <c r="CD193" s="1">
        <v>48944.772956132976</v>
      </c>
      <c r="CE193" s="1">
        <v>2887</v>
      </c>
      <c r="CF193" s="1">
        <v>17471</v>
      </c>
      <c r="CG193" s="1">
        <v>24552.298912148904</v>
      </c>
      <c r="CH193" s="1">
        <v>21817</v>
      </c>
      <c r="CI193" s="1">
        <v>42544.928131718116</v>
      </c>
      <c r="CJ193" s="1">
        <v>164700</v>
      </c>
      <c r="CL193" s="1">
        <v>1985</v>
      </c>
      <c r="CM193" s="1">
        <v>5995.6806120643469</v>
      </c>
      <c r="CN193" s="1">
        <v>36501.047752012746</v>
      </c>
      <c r="CO193" s="1">
        <v>2698.068517079887</v>
      </c>
      <c r="CP193" s="1">
        <v>14111.148548668771</v>
      </c>
      <c r="CQ193" s="1">
        <v>13269.444218828914</v>
      </c>
      <c r="CR193" s="1">
        <v>15835.012320781834</v>
      </c>
      <c r="CS193" s="1">
        <v>28627.101420188508</v>
      </c>
      <c r="CT193" s="2">
        <v>117037.50338962501</v>
      </c>
      <c r="CV193" s="1">
        <v>1985</v>
      </c>
      <c r="CW193" s="1">
        <v>943611.81286940153</v>
      </c>
      <c r="CX193" s="1">
        <v>963299.96786661132</v>
      </c>
      <c r="CY193" s="1">
        <v>394373.76748169458</v>
      </c>
      <c r="CZ193" s="1">
        <v>16418.276290655111</v>
      </c>
      <c r="DA193" s="1">
        <v>191913</v>
      </c>
      <c r="DB193" s="1">
        <v>2509616.8245083624</v>
      </c>
      <c r="DC193" s="1">
        <v>2073478.1138312824</v>
      </c>
      <c r="DD193" s="1">
        <v>615955.27718597895</v>
      </c>
      <c r="DF193" s="1">
        <v>1985</v>
      </c>
      <c r="DG193" s="1">
        <v>1.4292072795649489</v>
      </c>
      <c r="DH193" s="1">
        <v>1.4749525728389585</v>
      </c>
      <c r="DI193" s="1">
        <v>1.384193616253043</v>
      </c>
      <c r="DJ193" s="1">
        <v>5.1834443798817347</v>
      </c>
      <c r="DK193" s="1">
        <v>2.3327662004201812</v>
      </c>
      <c r="DL193" s="1">
        <v>-0.25219761037553212</v>
      </c>
      <c r="DM193" s="1">
        <v>1.8969500512001787</v>
      </c>
      <c r="DN193" s="1">
        <v>2.0086792352479677</v>
      </c>
      <c r="DO193" s="1">
        <v>1.9506294314191877</v>
      </c>
      <c r="DQ193" s="1">
        <v>1985</v>
      </c>
      <c r="DR193" s="1">
        <v>1564388.3869673295</v>
      </c>
      <c r="DS193" s="1">
        <v>1633663.5030711512</v>
      </c>
      <c r="DT193" s="1">
        <v>788324.28581392136</v>
      </c>
      <c r="DU193" s="1">
        <v>16418.276290655111</v>
      </c>
      <c r="DV193" s="1">
        <v>191913</v>
      </c>
      <c r="DW193" s="1">
        <v>4194707.4521430572</v>
      </c>
      <c r="DX193" s="1">
        <v>3523260.721800765</v>
      </c>
      <c r="DY193" s="1">
        <v>1047205.0717317432</v>
      </c>
      <c r="EA193" s="1">
        <v>1985</v>
      </c>
      <c r="EB193" s="1">
        <v>2.1376298497373369</v>
      </c>
      <c r="EC193" s="1">
        <v>2.1021039211122456</v>
      </c>
      <c r="ED193" s="1">
        <v>2.1718162002847095</v>
      </c>
      <c r="EE193" s="1">
        <v>4.2813372840401911</v>
      </c>
      <c r="EF193" s="1">
        <v>2.3327662004201812</v>
      </c>
      <c r="EG193" s="1">
        <v>-0.25219761037553212</v>
      </c>
      <c r="EH193" s="1">
        <v>2.4325136385365624</v>
      </c>
      <c r="EI193" s="1">
        <v>2.4304530919868625</v>
      </c>
      <c r="EJ193" s="1">
        <v>2.3936614263146367</v>
      </c>
      <c r="EL193" s="1">
        <v>1985</v>
      </c>
      <c r="EM193" s="1">
        <v>206900</v>
      </c>
      <c r="EN193" s="1">
        <v>1053000</v>
      </c>
      <c r="EO193" s="1">
        <v>272000</v>
      </c>
      <c r="EP193" s="1">
        <v>288900</v>
      </c>
      <c r="EQ193" s="1">
        <v>727100</v>
      </c>
      <c r="ER193" s="1">
        <v>350700</v>
      </c>
      <c r="ES193" s="1">
        <v>1412500</v>
      </c>
      <c r="ET193" s="1">
        <v>53500</v>
      </c>
      <c r="EU193" s="1">
        <v>4364600</v>
      </c>
      <c r="EV193" s="1">
        <v>2952100</v>
      </c>
      <c r="EX193" s="1">
        <v>1985</v>
      </c>
      <c r="EY193" s="1">
        <v>74900</v>
      </c>
      <c r="EZ193" s="1">
        <v>1020000</v>
      </c>
      <c r="FA193" s="1">
        <v>231600</v>
      </c>
      <c r="FB193" s="1">
        <v>266200</v>
      </c>
      <c r="FC193" s="1">
        <v>660500</v>
      </c>
      <c r="FD193" s="1">
        <v>302900</v>
      </c>
      <c r="FE193" s="1">
        <v>1412500</v>
      </c>
      <c r="FF193" s="1">
        <v>51200</v>
      </c>
      <c r="FG193" s="1">
        <v>4019800</v>
      </c>
      <c r="FH193" s="1">
        <v>2607300</v>
      </c>
      <c r="FJ193" s="1">
        <v>1985</v>
      </c>
      <c r="FK193" s="1">
        <v>132000</v>
      </c>
      <c r="FL193" s="1">
        <v>33000</v>
      </c>
      <c r="FM193" s="1">
        <v>40400</v>
      </c>
      <c r="FN193" s="1">
        <v>22700</v>
      </c>
      <c r="FO193" s="1">
        <v>66600</v>
      </c>
      <c r="FP193" s="1">
        <v>47800</v>
      </c>
      <c r="FQ193" s="1">
        <v>2300</v>
      </c>
      <c r="FR193" s="1">
        <v>344800</v>
      </c>
      <c r="FS193" s="1">
        <v>327700</v>
      </c>
      <c r="FU193" s="1">
        <v>1985</v>
      </c>
      <c r="FV193" s="1">
        <v>27227</v>
      </c>
      <c r="FW193" s="1">
        <v>158219</v>
      </c>
      <c r="FX193" s="1">
        <v>47458</v>
      </c>
      <c r="FY193" s="1">
        <v>46790</v>
      </c>
      <c r="FZ193" s="1">
        <v>113078</v>
      </c>
      <c r="GA193" s="1">
        <v>49701</v>
      </c>
      <c r="GB193" s="1">
        <v>178983</v>
      </c>
      <c r="GC193" s="1">
        <v>7586</v>
      </c>
      <c r="GD193" s="1">
        <v>629042</v>
      </c>
      <c r="GE193" s="1">
        <v>450059</v>
      </c>
      <c r="GG193" s="1">
        <v>1985</v>
      </c>
      <c r="GH193" s="1">
        <v>8182</v>
      </c>
      <c r="GI193" s="1">
        <v>152561</v>
      </c>
      <c r="GJ193" s="1">
        <v>41139</v>
      </c>
      <c r="GK193" s="1">
        <v>42698</v>
      </c>
      <c r="GL193" s="1">
        <v>101167</v>
      </c>
      <c r="GM193" s="1">
        <v>42908</v>
      </c>
      <c r="GN193" s="1">
        <v>178983</v>
      </c>
      <c r="GO193" s="1">
        <v>7185</v>
      </c>
      <c r="GP193" s="1">
        <v>574823</v>
      </c>
      <c r="GQ193" s="1">
        <v>395840</v>
      </c>
      <c r="GS193" s="1">
        <v>1985</v>
      </c>
      <c r="GT193" s="1">
        <v>19045</v>
      </c>
      <c r="GU193" s="1">
        <v>5658</v>
      </c>
      <c r="GV193" s="1">
        <v>6319</v>
      </c>
      <c r="GW193" s="1">
        <v>4092</v>
      </c>
      <c r="GX193" s="1">
        <v>11911</v>
      </c>
      <c r="GY193" s="1">
        <v>6793</v>
      </c>
      <c r="GZ193" s="1">
        <v>401</v>
      </c>
      <c r="HA193" s="1">
        <v>54219</v>
      </c>
      <c r="HC193" s="1">
        <v>1985</v>
      </c>
      <c r="HD193" s="1">
        <v>6945</v>
      </c>
      <c r="HE193" s="1">
        <v>141325</v>
      </c>
      <c r="HF193" s="1">
        <v>39812</v>
      </c>
      <c r="HG193" s="1">
        <v>34713</v>
      </c>
      <c r="HH193" s="1">
        <v>128941</v>
      </c>
      <c r="HI193" s="1">
        <v>163563</v>
      </c>
      <c r="HJ193" s="1">
        <v>5724</v>
      </c>
      <c r="HK193" s="2">
        <v>521023</v>
      </c>
      <c r="HL193" s="1">
        <v>357460</v>
      </c>
      <c r="HN193" s="1">
        <v>1985</v>
      </c>
      <c r="HO193" s="1">
        <v>14568.796264286873</v>
      </c>
      <c r="HP193" s="1">
        <v>5241.2926632625631</v>
      </c>
      <c r="HQ193" s="1">
        <v>6115.1712000777852</v>
      </c>
      <c r="HR193" s="1">
        <v>3326.7505737973675</v>
      </c>
      <c r="HS193" s="1">
        <v>16918.625623668773</v>
      </c>
      <c r="HT193" s="1">
        <v>319.46054279749478</v>
      </c>
      <c r="HU193" s="2">
        <v>46490.096867890861</v>
      </c>
      <c r="HW193" s="1">
        <v>1985</v>
      </c>
      <c r="HX193" s="1">
        <v>5995.680612064345</v>
      </c>
      <c r="HY193" s="1">
        <v>51411.274198386614</v>
      </c>
      <c r="HZ193" s="1">
        <v>2854.6975437276051</v>
      </c>
      <c r="IA193" s="1">
        <v>13945.717501134961</v>
      </c>
      <c r="IB193" s="1">
        <v>35694.460275956975</v>
      </c>
      <c r="IC193" s="1">
        <v>15835.012320781841</v>
      </c>
      <c r="ID193" s="1">
        <v>70360.07300083866</v>
      </c>
      <c r="IE193" s="2">
        <v>196096.91545289103</v>
      </c>
      <c r="IF193" s="1">
        <v>180261.90313210918</v>
      </c>
      <c r="IH193" s="1">
        <v>1985</v>
      </c>
      <c r="II193" s="1">
        <v>263.63177017553272</v>
      </c>
      <c r="IJ193" s="1">
        <v>30.571756141967921</v>
      </c>
      <c r="IK193" s="1">
        <v>8.8812356945587343</v>
      </c>
      <c r="IL193" s="1">
        <v>312.44365873564533</v>
      </c>
      <c r="IM193" s="1">
        <v>10.173025581420859</v>
      </c>
      <c r="IN193" s="1">
        <v>2.9553106957877975</v>
      </c>
      <c r="IO193" s="1">
        <v>2.071327508348773</v>
      </c>
    </row>
    <row r="194" spans="1:249" x14ac:dyDescent="0.25">
      <c r="A194" s="1" t="s">
        <v>285</v>
      </c>
      <c r="B194" s="1">
        <v>2.6898435273420063</v>
      </c>
      <c r="C194" s="1">
        <v>2.7467345476636069</v>
      </c>
      <c r="D194" s="1">
        <v>2.6772927260523716</v>
      </c>
      <c r="E194" s="1">
        <v>2.7023958627840017</v>
      </c>
      <c r="F194" s="1">
        <v>2.7129992027539913</v>
      </c>
      <c r="G194" s="1">
        <v>2.2640558894870821</v>
      </c>
      <c r="H194" s="1">
        <v>2.125440979190401</v>
      </c>
      <c r="J194" s="1">
        <v>1986</v>
      </c>
      <c r="K194" s="2">
        <v>951808.84620321449</v>
      </c>
      <c r="L194" s="1">
        <v>840303.84620321449</v>
      </c>
      <c r="M194" s="1">
        <v>826016.1339016112</v>
      </c>
      <c r="N194" s="1">
        <v>714511.1339016112</v>
      </c>
      <c r="O194" s="1">
        <v>125792.71230160324</v>
      </c>
      <c r="P194" s="1">
        <v>111505</v>
      </c>
      <c r="Q194" s="1">
        <v>835968</v>
      </c>
      <c r="R194" s="1">
        <v>1787776.8462032145</v>
      </c>
      <c r="S194" s="1">
        <v>1676271.8462032145</v>
      </c>
      <c r="U194" s="1">
        <v>1986</v>
      </c>
      <c r="V194" s="1">
        <v>113719.16937418375</v>
      </c>
      <c r="W194" s="1">
        <v>186881.04503916166</v>
      </c>
      <c r="X194" s="1">
        <v>2.0265043712984721</v>
      </c>
      <c r="Y194" s="1">
        <v>100396.89775247088</v>
      </c>
      <c r="Z194" s="1">
        <v>162320.58127893359</v>
      </c>
      <c r="AA194" s="1">
        <v>2.4513029372950683</v>
      </c>
      <c r="AB194" s="1">
        <v>8369818.8391735815</v>
      </c>
      <c r="AC194" s="1">
        <v>0.23283314434070235</v>
      </c>
      <c r="AE194" s="1">
        <v>1986</v>
      </c>
      <c r="AF194" s="1">
        <v>28812.940474635136</v>
      </c>
      <c r="AG194" s="1">
        <v>219089.98131726898</v>
      </c>
      <c r="AH194" s="1">
        <v>50725.928003978472</v>
      </c>
      <c r="AI194" s="1">
        <v>57398.247444969369</v>
      </c>
      <c r="AJ194" s="1">
        <v>160196.84300206086</v>
      </c>
      <c r="AK194" s="1">
        <v>46537.172675743437</v>
      </c>
      <c r="AL194" s="1">
        <v>194349.84620321449</v>
      </c>
      <c r="AM194" s="1">
        <v>83192.887081343739</v>
      </c>
      <c r="AN194" s="2">
        <v>840303.84620321449</v>
      </c>
      <c r="AP194" s="1" t="s">
        <v>285</v>
      </c>
      <c r="AQ194" s="1">
        <v>-1.0496453061509783</v>
      </c>
      <c r="AR194" s="1">
        <v>2.8605097652625773</v>
      </c>
      <c r="AS194" s="1">
        <v>2.0232983057919967</v>
      </c>
      <c r="AT194" s="1">
        <v>2.757928334134931</v>
      </c>
      <c r="AU194" s="1">
        <v>6.5614509047661471</v>
      </c>
      <c r="AV194" s="1">
        <v>2.1017144962406178</v>
      </c>
      <c r="AW194" s="1">
        <v>1.001045313494302</v>
      </c>
      <c r="AX194" s="1">
        <v>1.1605905890995842</v>
      </c>
      <c r="AY194" s="1">
        <v>2.6898435273420063</v>
      </c>
      <c r="BA194" s="1">
        <v>1986</v>
      </c>
      <c r="BB194" s="1">
        <v>487328</v>
      </c>
      <c r="BC194" s="1">
        <v>264355.84620321449</v>
      </c>
      <c r="BD194" s="1">
        <v>96259</v>
      </c>
      <c r="BE194" s="1">
        <v>79111</v>
      </c>
      <c r="BF194" s="1">
        <v>494</v>
      </c>
      <c r="BG194" s="1">
        <v>-5840</v>
      </c>
      <c r="BH194" s="1">
        <v>311134</v>
      </c>
      <c r="BI194" s="1">
        <v>281033</v>
      </c>
      <c r="BJ194" s="1">
        <v>951808.84620321449</v>
      </c>
      <c r="BL194" s="1" t="s">
        <v>285</v>
      </c>
      <c r="BM194" s="1">
        <v>4.4266943485588683</v>
      </c>
      <c r="BN194" s="1">
        <v>1.185142272667278</v>
      </c>
      <c r="BO194" s="1">
        <v>-0.8900903248843548</v>
      </c>
      <c r="BP194" s="1">
        <v>3.7268981159192407</v>
      </c>
      <c r="BQ194" s="1">
        <v>4.4876133316306976</v>
      </c>
      <c r="BR194" s="1">
        <v>2.2640558894870821</v>
      </c>
      <c r="BT194" s="1" t="s">
        <v>285</v>
      </c>
      <c r="BU194" s="1">
        <v>5.1837843344631125</v>
      </c>
      <c r="BV194" s="1">
        <v>6.288612685349932</v>
      </c>
      <c r="BW194" s="1">
        <v>4.1596590672191098</v>
      </c>
      <c r="BX194" s="1">
        <v>-1.9325510596288495</v>
      </c>
      <c r="BY194" s="1">
        <v>-7.6318980342491329</v>
      </c>
      <c r="BZ194" s="1">
        <v>7.1224291717087169</v>
      </c>
      <c r="CB194" s="1">
        <v>1986</v>
      </c>
      <c r="CC194" s="1">
        <v>6444</v>
      </c>
      <c r="CD194" s="1">
        <v>41896.382298132798</v>
      </c>
      <c r="CE194" s="1">
        <v>3169</v>
      </c>
      <c r="CF194" s="1">
        <v>20912</v>
      </c>
      <c r="CG194" s="1">
        <v>30597.024981977887</v>
      </c>
      <c r="CH194" s="1">
        <v>22196</v>
      </c>
      <c r="CI194" s="1">
        <v>44809.592719889311</v>
      </c>
      <c r="CJ194" s="1">
        <v>170024</v>
      </c>
      <c r="CL194" s="1">
        <v>1986</v>
      </c>
      <c r="CM194" s="1">
        <v>6418.7324514881393</v>
      </c>
      <c r="CN194" s="1">
        <v>38673.356483257754</v>
      </c>
      <c r="CO194" s="1">
        <v>2871.8038305295349</v>
      </c>
      <c r="CP194" s="1">
        <v>15281.58624423306</v>
      </c>
      <c r="CQ194" s="1">
        <v>15120.874733404387</v>
      </c>
      <c r="CR194" s="1">
        <v>16877.846203214474</v>
      </c>
      <c r="CS194" s="1">
        <v>30548.512355475887</v>
      </c>
      <c r="CT194" s="2">
        <v>125792.71230160324</v>
      </c>
      <c r="CV194" s="1">
        <v>1986</v>
      </c>
      <c r="CW194" s="1">
        <v>1004356.9813456777</v>
      </c>
      <c r="CX194" s="1">
        <v>1015076.6133404989</v>
      </c>
      <c r="CY194" s="1">
        <v>431528.17677889473</v>
      </c>
      <c r="CZ194" s="1">
        <v>16733.529208837954</v>
      </c>
      <c r="DA194" s="1">
        <v>196457</v>
      </c>
      <c r="DB194" s="1">
        <v>2664152.3006739095</v>
      </c>
      <c r="DC194" s="1">
        <v>2202897.934676188</v>
      </c>
      <c r="DD194" s="1">
        <v>646678.72862079437</v>
      </c>
      <c r="DF194" s="1">
        <v>1986</v>
      </c>
      <c r="DG194" s="1">
        <v>1.4356079628276461</v>
      </c>
      <c r="DH194" s="1">
        <v>1.4199214651055172</v>
      </c>
      <c r="DI194" s="1">
        <v>1.4512116277525848</v>
      </c>
      <c r="DJ194" s="1">
        <v>4.773527693848024</v>
      </c>
      <c r="DK194" s="1">
        <v>2.9521566779773423</v>
      </c>
      <c r="DL194" s="1">
        <v>-2.9726606840173702</v>
      </c>
      <c r="DM194" s="1">
        <v>1.6639411129360013</v>
      </c>
      <c r="DN194" s="1">
        <v>1.7729214070479884</v>
      </c>
      <c r="DO194" s="1">
        <v>0.59984702947859603</v>
      </c>
      <c r="DQ194" s="1">
        <v>1986</v>
      </c>
      <c r="DR194" s="1">
        <v>1675387.0386170095</v>
      </c>
      <c r="DS194" s="1">
        <v>1733960.2918389158</v>
      </c>
      <c r="DT194" s="1">
        <v>855671.71230959508</v>
      </c>
      <c r="DU194" s="1">
        <v>16733.529208837954</v>
      </c>
      <c r="DV194" s="1">
        <v>196457</v>
      </c>
      <c r="DW194" s="1">
        <v>4478209.5719743585</v>
      </c>
      <c r="DX194" s="1">
        <v>3760787.2152394541</v>
      </c>
      <c r="DY194" s="1">
        <v>1104867.3292977605</v>
      </c>
      <c r="EA194" s="1">
        <v>1986</v>
      </c>
      <c r="EB194" s="1">
        <v>2.1185700349315226</v>
      </c>
      <c r="EC194" s="1">
        <v>2.0477791579733378</v>
      </c>
      <c r="ED194" s="1">
        <v>2.1873251000571514</v>
      </c>
      <c r="EE194" s="1">
        <v>4.1208988037094088</v>
      </c>
      <c r="EF194" s="1">
        <v>2.9521566779773423</v>
      </c>
      <c r="EG194" s="1">
        <v>-2.9726606840173702</v>
      </c>
      <c r="EH194" s="1">
        <v>2.2828624273123523</v>
      </c>
      <c r="EI194" s="1">
        <v>2.2865848283296799</v>
      </c>
      <c r="EJ194" s="1">
        <v>1.5708484360953179</v>
      </c>
      <c r="EL194" s="1">
        <v>1986</v>
      </c>
      <c r="EM194" s="1">
        <v>201400</v>
      </c>
      <c r="EN194" s="1">
        <v>1050300</v>
      </c>
      <c r="EO194" s="1">
        <v>273100</v>
      </c>
      <c r="EP194" s="1">
        <v>288300</v>
      </c>
      <c r="EQ194" s="1">
        <v>755200</v>
      </c>
      <c r="ER194" s="1">
        <v>352000</v>
      </c>
      <c r="ES194" s="1">
        <v>1405500</v>
      </c>
      <c r="ET194" s="1">
        <v>60800</v>
      </c>
      <c r="EU194" s="1">
        <v>4386600</v>
      </c>
      <c r="EV194" s="1">
        <v>2981100</v>
      </c>
      <c r="EX194" s="1">
        <v>1986</v>
      </c>
      <c r="EY194" s="1">
        <v>70300</v>
      </c>
      <c r="EZ194" s="1">
        <v>1017700</v>
      </c>
      <c r="FA194" s="1">
        <v>232700</v>
      </c>
      <c r="FB194" s="1">
        <v>265100</v>
      </c>
      <c r="FC194" s="1">
        <v>686100</v>
      </c>
      <c r="FD194" s="1">
        <v>305100</v>
      </c>
      <c r="FE194" s="1">
        <v>1405500</v>
      </c>
      <c r="FF194" s="1">
        <v>58300</v>
      </c>
      <c r="FG194" s="1">
        <v>4040800</v>
      </c>
      <c r="FH194" s="1">
        <v>2635300</v>
      </c>
      <c r="FJ194" s="1">
        <v>1986</v>
      </c>
      <c r="FK194" s="1">
        <v>131100</v>
      </c>
      <c r="FL194" s="1">
        <v>32600</v>
      </c>
      <c r="FM194" s="1">
        <v>40400</v>
      </c>
      <c r="FN194" s="1">
        <v>23200</v>
      </c>
      <c r="FO194" s="1">
        <v>69100</v>
      </c>
      <c r="FP194" s="1">
        <v>46900</v>
      </c>
      <c r="FQ194" s="1">
        <v>2500</v>
      </c>
      <c r="FR194" s="1">
        <v>345800</v>
      </c>
      <c r="FS194" s="1">
        <v>302200</v>
      </c>
      <c r="FU194" s="1">
        <v>1986</v>
      </c>
      <c r="FV194" s="1">
        <v>26605</v>
      </c>
      <c r="FW194" s="1">
        <v>157436</v>
      </c>
      <c r="FX194" s="1">
        <v>47790</v>
      </c>
      <c r="FY194" s="1">
        <v>48409</v>
      </c>
      <c r="FZ194" s="1">
        <v>115715</v>
      </c>
      <c r="GA194" s="1">
        <v>51604</v>
      </c>
      <c r="GB194" s="1">
        <v>180490</v>
      </c>
      <c r="GC194" s="1">
        <v>7877</v>
      </c>
      <c r="GD194" s="1">
        <v>635926</v>
      </c>
      <c r="GE194" s="1">
        <v>455436</v>
      </c>
      <c r="GG194" s="1">
        <v>1986</v>
      </c>
      <c r="GH194" s="1">
        <v>8139</v>
      </c>
      <c r="GI194" s="1">
        <v>151746</v>
      </c>
      <c r="GJ194" s="1">
        <v>41471</v>
      </c>
      <c r="GK194" s="1">
        <v>44227</v>
      </c>
      <c r="GL194" s="1">
        <v>102820</v>
      </c>
      <c r="GM194" s="1">
        <v>44930</v>
      </c>
      <c r="GN194" s="1">
        <v>180490</v>
      </c>
      <c r="GO194" s="1">
        <v>7441</v>
      </c>
      <c r="GP194" s="1">
        <v>581264</v>
      </c>
      <c r="GQ194" s="1">
        <v>400774</v>
      </c>
      <c r="GS194" s="1">
        <v>1986</v>
      </c>
      <c r="GT194" s="1">
        <v>18466</v>
      </c>
      <c r="GU194" s="1">
        <v>5690</v>
      </c>
      <c r="GV194" s="1">
        <v>6319</v>
      </c>
      <c r="GW194" s="1">
        <v>4182</v>
      </c>
      <c r="GX194" s="1">
        <v>12895</v>
      </c>
      <c r="GY194" s="1">
        <v>6674</v>
      </c>
      <c r="GZ194" s="1">
        <v>436</v>
      </c>
      <c r="HA194" s="1">
        <v>54662</v>
      </c>
      <c r="HC194" s="1">
        <v>1986</v>
      </c>
      <c r="HD194" s="1">
        <v>7465</v>
      </c>
      <c r="HE194" s="1">
        <v>151470</v>
      </c>
      <c r="HF194" s="1">
        <v>42882</v>
      </c>
      <c r="HG194" s="1">
        <v>38785</v>
      </c>
      <c r="HH194" s="1">
        <v>142037</v>
      </c>
      <c r="HI194" s="1">
        <v>177472</v>
      </c>
      <c r="HJ194" s="1">
        <v>6559</v>
      </c>
      <c r="HK194" s="2">
        <v>566670</v>
      </c>
      <c r="HL194" s="1">
        <v>389198</v>
      </c>
      <c r="HN194" s="1">
        <v>1986</v>
      </c>
      <c r="HO194" s="1">
        <v>14929.208023146995</v>
      </c>
      <c r="HP194" s="1">
        <v>5679.6508639436952</v>
      </c>
      <c r="HQ194" s="1">
        <v>6533.9962383352231</v>
      </c>
      <c r="HR194" s="1">
        <v>3667.4174147014269</v>
      </c>
      <c r="HS194" s="1">
        <v>19264.559474666159</v>
      </c>
      <c r="HT194" s="1">
        <v>384.31984948259645</v>
      </c>
      <c r="HU194" s="2">
        <v>50459.1518642761</v>
      </c>
      <c r="HW194" s="1">
        <v>1986</v>
      </c>
      <c r="HX194" s="1">
        <v>6418.7324514881402</v>
      </c>
      <c r="HY194" s="1">
        <v>61940.330453325296</v>
      </c>
      <c r="HZ194" s="1">
        <v>1309.931765643254</v>
      </c>
      <c r="IA194" s="1">
        <v>14945.830030267942</v>
      </c>
      <c r="IB194" s="1">
        <v>45432.456203138136</v>
      </c>
      <c r="IC194" s="1">
        <v>16877.846203214485</v>
      </c>
      <c r="ID194" s="1">
        <v>76249.567231861147</v>
      </c>
      <c r="IE194" s="2">
        <v>223174.6943389384</v>
      </c>
      <c r="IF194" s="1">
        <v>206296.84813572391</v>
      </c>
      <c r="IH194" s="1">
        <v>1986</v>
      </c>
      <c r="II194" s="1">
        <v>251.71466543911905</v>
      </c>
      <c r="IJ194" s="1">
        <v>35.150182912751262</v>
      </c>
      <c r="IK194" s="1">
        <v>10.332429062161179</v>
      </c>
      <c r="IL194" s="1">
        <v>296.32072226940943</v>
      </c>
      <c r="IM194" s="1">
        <v>14.805616074967624</v>
      </c>
      <c r="IN194" s="1">
        <v>4.3521246588079938</v>
      </c>
      <c r="IO194" s="1">
        <v>2.1266853561057815</v>
      </c>
    </row>
    <row r="195" spans="1:249" x14ac:dyDescent="0.25">
      <c r="A195" s="1" t="s">
        <v>286</v>
      </c>
      <c r="B195" s="1">
        <v>3.154838733869596</v>
      </c>
      <c r="C195" s="1">
        <v>3.1842713521595698</v>
      </c>
      <c r="D195" s="1">
        <v>3.1629248095867979</v>
      </c>
      <c r="E195" s="1">
        <v>3.1467532919519954</v>
      </c>
      <c r="F195" s="1">
        <v>3.3473652089137431</v>
      </c>
      <c r="G195" s="1">
        <v>3.1903401841325945</v>
      </c>
      <c r="H195" s="1">
        <v>3.1397968298433767</v>
      </c>
      <c r="J195" s="1">
        <v>1987</v>
      </c>
      <c r="K195" s="2">
        <v>1027765.8870641375</v>
      </c>
      <c r="L195" s="1">
        <v>904391.88706413761</v>
      </c>
      <c r="M195" s="1">
        <v>891719.62773731246</v>
      </c>
      <c r="N195" s="1">
        <v>768345.62773731258</v>
      </c>
      <c r="O195" s="1">
        <v>136046.25932682506</v>
      </c>
      <c r="P195" s="1">
        <v>123374</v>
      </c>
      <c r="Q195" s="1">
        <v>905807</v>
      </c>
      <c r="R195" s="1">
        <v>1933572.8870641375</v>
      </c>
      <c r="S195" s="1">
        <v>1810198.8870641375</v>
      </c>
      <c r="U195" s="1">
        <v>1987</v>
      </c>
      <c r="V195" s="1">
        <v>122385.3797030081</v>
      </c>
      <c r="W195" s="1">
        <v>192201.02393808094</v>
      </c>
      <c r="X195" s="1">
        <v>2.8467193651471945</v>
      </c>
      <c r="Y195" s="1">
        <v>107694.12167866324</v>
      </c>
      <c r="Z195" s="1">
        <v>166883.95843282231</v>
      </c>
      <c r="AA195" s="1">
        <v>2.8113361336767042</v>
      </c>
      <c r="AB195" s="1">
        <v>8397783.2119997591</v>
      </c>
      <c r="AC195" s="1">
        <v>0.33410965474300269</v>
      </c>
      <c r="AE195" s="1">
        <v>1987</v>
      </c>
      <c r="AF195" s="1">
        <v>29392.953481010198</v>
      </c>
      <c r="AG195" s="1">
        <v>233487.78954690197</v>
      </c>
      <c r="AH195" s="1">
        <v>56369.485958416262</v>
      </c>
      <c r="AI195" s="1">
        <v>62473.031287705213</v>
      </c>
      <c r="AJ195" s="1">
        <v>177332.44050068632</v>
      </c>
      <c r="AK195" s="1">
        <v>52208.854124071135</v>
      </c>
      <c r="AL195" s="1">
        <v>203154.88706413758</v>
      </c>
      <c r="AM195" s="1">
        <v>89972.445101208898</v>
      </c>
      <c r="AN195" s="2">
        <v>904391.8870641375</v>
      </c>
      <c r="AP195" s="1" t="s">
        <v>286</v>
      </c>
      <c r="AQ195" s="1">
        <v>-3.028645747559878</v>
      </c>
      <c r="AR195" s="1">
        <v>3.45652451947862</v>
      </c>
      <c r="AS195" s="1">
        <v>4.0574805366614015</v>
      </c>
      <c r="AT195" s="1">
        <v>3.4720841140980241</v>
      </c>
      <c r="AU195" s="1">
        <v>6.9927486729624206</v>
      </c>
      <c r="AV195" s="1">
        <v>6.1700905077859858</v>
      </c>
      <c r="AW195" s="1">
        <v>0.17860259433801673</v>
      </c>
      <c r="AX195" s="1">
        <v>1.6503347111458879</v>
      </c>
      <c r="AY195" s="1">
        <v>3.154838733869596</v>
      </c>
      <c r="BA195" s="1">
        <v>1987</v>
      </c>
      <c r="BB195" s="1">
        <v>537868</v>
      </c>
      <c r="BC195" s="1">
        <v>277678.88706413755</v>
      </c>
      <c r="BD195" s="1">
        <v>107092</v>
      </c>
      <c r="BE195" s="1">
        <v>90068</v>
      </c>
      <c r="BF195" s="1">
        <v>681</v>
      </c>
      <c r="BG195" s="1">
        <v>-4764</v>
      </c>
      <c r="BH195" s="1">
        <v>332449</v>
      </c>
      <c r="BI195" s="1">
        <v>313307</v>
      </c>
      <c r="BJ195" s="1">
        <v>1027765.8870641375</v>
      </c>
      <c r="BL195" s="1" t="s">
        <v>286</v>
      </c>
      <c r="BM195" s="1">
        <v>4.5597160132278702</v>
      </c>
      <c r="BN195" s="1">
        <v>0.91250227321101818</v>
      </c>
      <c r="BO195" s="1">
        <v>8.2586064807456836</v>
      </c>
      <c r="BP195" s="1">
        <v>4.2568161829375555</v>
      </c>
      <c r="BQ195" s="1">
        <v>7.7021787550756642</v>
      </c>
      <c r="BR195" s="1">
        <v>3.1903401841325945</v>
      </c>
      <c r="BT195" s="1" t="s">
        <v>286</v>
      </c>
      <c r="BU195" s="1">
        <v>5.5577068684708308</v>
      </c>
      <c r="BV195" s="1">
        <v>4.0899896888746383</v>
      </c>
      <c r="BW195" s="1">
        <v>4.8957471014002891</v>
      </c>
      <c r="BX195" s="1">
        <v>2.4880193860345088</v>
      </c>
      <c r="BY195" s="1">
        <v>3.5114255620341908</v>
      </c>
      <c r="BZ195" s="1">
        <v>4.6418520817595521</v>
      </c>
      <c r="CB195" s="1">
        <v>1987</v>
      </c>
      <c r="CC195" s="1">
        <v>7124</v>
      </c>
      <c r="CD195" s="1">
        <v>48448.7423579202</v>
      </c>
      <c r="CE195" s="1">
        <v>3982</v>
      </c>
      <c r="CF195" s="1">
        <v>23578</v>
      </c>
      <c r="CG195" s="1">
        <v>34176.377294233986</v>
      </c>
      <c r="CH195" s="1">
        <v>23493</v>
      </c>
      <c r="CI195" s="1">
        <v>52274.880347845814</v>
      </c>
      <c r="CJ195" s="1">
        <v>193077</v>
      </c>
      <c r="CL195" s="1">
        <v>1987</v>
      </c>
      <c r="CM195" s="1">
        <v>6747.8596924526228</v>
      </c>
      <c r="CN195" s="1">
        <v>41021.687499661188</v>
      </c>
      <c r="CO195" s="1">
        <v>3085.4339015260325</v>
      </c>
      <c r="CP195" s="1">
        <v>16415.768532605354</v>
      </c>
      <c r="CQ195" s="1">
        <v>17400.941628594905</v>
      </c>
      <c r="CR195" s="1">
        <v>18117.887064137569</v>
      </c>
      <c r="CS195" s="1">
        <v>33256.681007847386</v>
      </c>
      <c r="CT195" s="2">
        <v>136046.25932682506</v>
      </c>
      <c r="CV195" s="1">
        <v>1987</v>
      </c>
      <c r="CW195" s="1">
        <v>1087035.2928507868</v>
      </c>
      <c r="CX195" s="1">
        <v>1088097.3842661958</v>
      </c>
      <c r="CY195" s="1">
        <v>463806.0728802628</v>
      </c>
      <c r="CZ195" s="1">
        <v>18907.616619480144</v>
      </c>
      <c r="DA195" s="1">
        <v>188680</v>
      </c>
      <c r="DB195" s="1">
        <v>2846526.3666167259</v>
      </c>
      <c r="DC195" s="1">
        <v>2355354.0539337769</v>
      </c>
      <c r="DD195" s="1">
        <v>670937.15930918988</v>
      </c>
      <c r="DF195" s="1">
        <v>1987</v>
      </c>
      <c r="DG195" s="1">
        <v>1.579210642372189</v>
      </c>
      <c r="DH195" s="1">
        <v>1.7495475505788392</v>
      </c>
      <c r="DI195" s="1">
        <v>1.4057743909839076</v>
      </c>
      <c r="DJ195" s="1">
        <v>5.7698358767688518</v>
      </c>
      <c r="DK195" s="1">
        <v>3.6017231241000474</v>
      </c>
      <c r="DL195" s="1">
        <v>-2.5249099003603988</v>
      </c>
      <c r="DM195" s="1">
        <v>1.9968179921719127</v>
      </c>
      <c r="DN195" s="1">
        <v>2.1874524535082003</v>
      </c>
      <c r="DO195" s="1">
        <v>1.0684636977476032</v>
      </c>
      <c r="DQ195" s="1">
        <v>1987</v>
      </c>
      <c r="DR195" s="1">
        <v>1824529.8833423089</v>
      </c>
      <c r="DS195" s="1">
        <v>1871700.8487052694</v>
      </c>
      <c r="DT195" s="1">
        <v>913957.03916569497</v>
      </c>
      <c r="DU195" s="1">
        <v>18907.616619480144</v>
      </c>
      <c r="DV195" s="1">
        <v>188680</v>
      </c>
      <c r="DW195" s="1">
        <v>4817775.3878327534</v>
      </c>
      <c r="DX195" s="1">
        <v>4045742.7901894199</v>
      </c>
      <c r="DY195" s="1">
        <v>1161382.0605341264</v>
      </c>
      <c r="EA195" s="1">
        <v>1987</v>
      </c>
      <c r="EB195" s="1">
        <v>2.182758575515038</v>
      </c>
      <c r="EC195" s="1">
        <v>2.2288168389426204</v>
      </c>
      <c r="ED195" s="1">
        <v>2.1370007150535173</v>
      </c>
      <c r="EE195" s="1">
        <v>4.7230746425838106</v>
      </c>
      <c r="EF195" s="1">
        <v>3.6017231241000474</v>
      </c>
      <c r="EG195" s="1">
        <v>-2.5249099003603988</v>
      </c>
      <c r="EH195" s="1">
        <v>2.4810654354529902</v>
      </c>
      <c r="EI195" s="1">
        <v>2.5362074702250652</v>
      </c>
      <c r="EJ195" s="1">
        <v>1.8445595558447536</v>
      </c>
      <c r="EL195" s="1">
        <v>1987</v>
      </c>
      <c r="EM195" s="1">
        <v>181000</v>
      </c>
      <c r="EN195" s="1">
        <v>1043300</v>
      </c>
      <c r="EO195" s="1">
        <v>279900</v>
      </c>
      <c r="EP195" s="1">
        <v>289100</v>
      </c>
      <c r="EQ195" s="1">
        <v>782400</v>
      </c>
      <c r="ER195" s="1">
        <v>361500</v>
      </c>
      <c r="ES195" s="1">
        <v>1387800</v>
      </c>
      <c r="ET195" s="1">
        <v>57300</v>
      </c>
      <c r="EU195" s="1">
        <v>4382300</v>
      </c>
      <c r="EV195" s="1">
        <v>2994500</v>
      </c>
      <c r="EX195" s="1">
        <v>1987</v>
      </c>
      <c r="EY195" s="1">
        <v>62400</v>
      </c>
      <c r="EZ195" s="1">
        <v>1009800</v>
      </c>
      <c r="FA195" s="1">
        <v>237800</v>
      </c>
      <c r="FB195" s="1">
        <v>269100</v>
      </c>
      <c r="FC195" s="1">
        <v>707000</v>
      </c>
      <c r="FD195" s="1">
        <v>315900</v>
      </c>
      <c r="FE195" s="1">
        <v>1387800</v>
      </c>
      <c r="FF195" s="1">
        <v>54800</v>
      </c>
      <c r="FG195" s="1">
        <v>4044600</v>
      </c>
      <c r="FH195" s="1">
        <v>2656800</v>
      </c>
      <c r="FJ195" s="1">
        <v>1987</v>
      </c>
      <c r="FK195" s="1">
        <v>118600</v>
      </c>
      <c r="FL195" s="1">
        <v>33500</v>
      </c>
      <c r="FM195" s="1">
        <v>42100</v>
      </c>
      <c r="FN195" s="1">
        <v>20000</v>
      </c>
      <c r="FO195" s="1">
        <v>75400</v>
      </c>
      <c r="FP195" s="1">
        <v>45600</v>
      </c>
      <c r="FQ195" s="1">
        <v>2500</v>
      </c>
      <c r="FR195" s="1">
        <v>337700</v>
      </c>
      <c r="FS195" s="1">
        <v>264500</v>
      </c>
      <c r="FU195" s="1">
        <v>1987</v>
      </c>
      <c r="FV195" s="1">
        <v>24847</v>
      </c>
      <c r="FW195" s="1">
        <v>157988</v>
      </c>
      <c r="FX195" s="1">
        <v>48521</v>
      </c>
      <c r="FY195" s="1">
        <v>48744</v>
      </c>
      <c r="FZ195" s="1">
        <v>119841</v>
      </c>
      <c r="GA195" s="1">
        <v>53773</v>
      </c>
      <c r="GB195" s="1">
        <v>180362</v>
      </c>
      <c r="GC195" s="1">
        <v>7763</v>
      </c>
      <c r="GD195" s="1">
        <v>641839</v>
      </c>
      <c r="GE195" s="1">
        <v>461477</v>
      </c>
      <c r="GG195" s="1">
        <v>1987</v>
      </c>
      <c r="GH195" s="1">
        <v>8284</v>
      </c>
      <c r="GI195" s="1">
        <v>152148</v>
      </c>
      <c r="GJ195" s="1">
        <v>41942</v>
      </c>
      <c r="GK195" s="1">
        <v>45138</v>
      </c>
      <c r="GL195" s="1">
        <v>105468</v>
      </c>
      <c r="GM195" s="1">
        <v>47274</v>
      </c>
      <c r="GN195" s="1">
        <v>180362</v>
      </c>
      <c r="GO195" s="1">
        <v>7327</v>
      </c>
      <c r="GP195" s="1">
        <v>587943</v>
      </c>
      <c r="GQ195" s="1">
        <v>407581</v>
      </c>
      <c r="GS195" s="1">
        <v>1987</v>
      </c>
      <c r="GT195" s="1">
        <v>16563</v>
      </c>
      <c r="GU195" s="1">
        <v>5840</v>
      </c>
      <c r="GV195" s="1">
        <v>6579</v>
      </c>
      <c r="GW195" s="1">
        <v>3606</v>
      </c>
      <c r="GX195" s="1">
        <v>14373</v>
      </c>
      <c r="GY195" s="1">
        <v>6499</v>
      </c>
      <c r="GZ195" s="1">
        <v>436</v>
      </c>
      <c r="HA195" s="1">
        <v>53896</v>
      </c>
      <c r="HC195" s="1">
        <v>1987</v>
      </c>
      <c r="HD195" s="1">
        <v>7979</v>
      </c>
      <c r="HE195" s="1">
        <v>162258</v>
      </c>
      <c r="HF195" s="1">
        <v>48667</v>
      </c>
      <c r="HG195" s="1">
        <v>41957</v>
      </c>
      <c r="HH195" s="1">
        <v>160416</v>
      </c>
      <c r="HI195" s="1">
        <v>185037</v>
      </c>
      <c r="HJ195" s="1">
        <v>6907</v>
      </c>
      <c r="HK195" s="2">
        <v>613221</v>
      </c>
      <c r="HL195" s="1">
        <v>428184</v>
      </c>
      <c r="HN195" s="1">
        <v>1987</v>
      </c>
      <c r="HO195" s="1">
        <v>14666.093788557577</v>
      </c>
      <c r="HP195" s="1">
        <v>6228.0589951888951</v>
      </c>
      <c r="HQ195" s="1">
        <v>7633.8799532688008</v>
      </c>
      <c r="HR195" s="1">
        <v>3351.8751827728306</v>
      </c>
      <c r="HS195" s="1">
        <v>22730.467842581362</v>
      </c>
      <c r="HT195" s="1">
        <v>411.00750648287163</v>
      </c>
      <c r="HU195" s="2">
        <v>55021.38326885234</v>
      </c>
      <c r="HW195" s="1">
        <v>1987</v>
      </c>
      <c r="HX195" s="1">
        <v>6747.8596924526209</v>
      </c>
      <c r="HY195" s="1">
        <v>65001.730551713088</v>
      </c>
      <c r="HZ195" s="1">
        <v>68.606005147456017</v>
      </c>
      <c r="IA195" s="1">
        <v>17164.156104932386</v>
      </c>
      <c r="IB195" s="1">
        <v>46394.826782176082</v>
      </c>
      <c r="IC195" s="1">
        <v>18117.88706413758</v>
      </c>
      <c r="ID195" s="1">
        <v>82654.437594726027</v>
      </c>
      <c r="IE195" s="2">
        <v>236149.50379528524</v>
      </c>
      <c r="IF195" s="1">
        <v>218031.61673114769</v>
      </c>
      <c r="IH195" s="1">
        <v>1987</v>
      </c>
      <c r="II195" s="1">
        <v>244.36183130701599</v>
      </c>
      <c r="IJ195" s="1">
        <v>34.297348572729511</v>
      </c>
      <c r="IK195" s="1">
        <v>10.451045479139442</v>
      </c>
      <c r="IL195" s="1">
        <v>287.28339922794316</v>
      </c>
      <c r="IM195" s="1">
        <v>14.232657108287308</v>
      </c>
      <c r="IN195" s="1">
        <v>4.3369576051129188</v>
      </c>
      <c r="IO195" s="1">
        <v>2.2760517482455214</v>
      </c>
    </row>
    <row r="196" spans="1:249" x14ac:dyDescent="0.25">
      <c r="A196" s="1" t="s">
        <v>287</v>
      </c>
      <c r="B196" s="1">
        <v>2.7950856197936957</v>
      </c>
      <c r="C196" s="1">
        <v>2.7602733719626542</v>
      </c>
      <c r="D196" s="1">
        <v>2.8047297322808049</v>
      </c>
      <c r="E196" s="1">
        <v>2.7854424120208279</v>
      </c>
      <c r="F196" s="1">
        <v>2.9562675830709964</v>
      </c>
      <c r="G196" s="1">
        <v>1.949901792201004</v>
      </c>
      <c r="H196" s="1">
        <v>1.6702444236481142</v>
      </c>
      <c r="J196" s="1">
        <v>1988</v>
      </c>
      <c r="K196" s="2">
        <v>1119771.3610184104</v>
      </c>
      <c r="L196" s="1">
        <v>988046.36101841053</v>
      </c>
      <c r="M196" s="1">
        <v>968310.00411027926</v>
      </c>
      <c r="N196" s="1">
        <v>836585.00411027938</v>
      </c>
      <c r="O196" s="1">
        <v>151461.35690813119</v>
      </c>
      <c r="P196" s="1">
        <v>131725</v>
      </c>
      <c r="Q196" s="1">
        <v>1002557</v>
      </c>
      <c r="R196" s="1">
        <v>2122328.3610184104</v>
      </c>
      <c r="S196" s="1">
        <v>1990603.3610184104</v>
      </c>
      <c r="U196" s="1">
        <v>1988</v>
      </c>
      <c r="V196" s="1">
        <v>132730.06976271159</v>
      </c>
      <c r="W196" s="1">
        <v>195050.52998888912</v>
      </c>
      <c r="X196" s="1">
        <v>1.4825654892068485</v>
      </c>
      <c r="Y196" s="1">
        <v>117116.28551340562</v>
      </c>
      <c r="Z196" s="1">
        <v>170762.13304038116</v>
      </c>
      <c r="AA196" s="1">
        <v>2.3238750111023876</v>
      </c>
      <c r="AB196" s="1">
        <v>8436455.7558078859</v>
      </c>
      <c r="AC196" s="1">
        <v>0.46050895613578291</v>
      </c>
      <c r="AE196" s="1">
        <v>1988</v>
      </c>
      <c r="AF196" s="1">
        <v>30611.977344315925</v>
      </c>
      <c r="AG196" s="1">
        <v>251378.64274277096</v>
      </c>
      <c r="AH196" s="1">
        <v>63917.679539665856</v>
      </c>
      <c r="AI196" s="1">
        <v>70443.375930599359</v>
      </c>
      <c r="AJ196" s="1">
        <v>198883.77642832106</v>
      </c>
      <c r="AK196" s="1">
        <v>57050.679532027483</v>
      </c>
      <c r="AL196" s="1">
        <v>217849.36101841056</v>
      </c>
      <c r="AM196" s="1">
        <v>97910.868482299338</v>
      </c>
      <c r="AN196" s="2">
        <v>988046.36101841053</v>
      </c>
      <c r="AP196" s="1" t="s">
        <v>287</v>
      </c>
      <c r="AQ196" s="1">
        <v>-0.66692449961756495</v>
      </c>
      <c r="AR196" s="1">
        <v>2.6542707732489959</v>
      </c>
      <c r="AS196" s="1">
        <v>2.5642641306236555</v>
      </c>
      <c r="AT196" s="1">
        <v>3.998688662524458</v>
      </c>
      <c r="AU196" s="1">
        <v>5.7995212022101725</v>
      </c>
      <c r="AV196" s="1">
        <v>1.9669494090899633</v>
      </c>
      <c r="AW196" s="1">
        <v>1.2803608753709312</v>
      </c>
      <c r="AX196" s="1">
        <v>1.5706207806421588</v>
      </c>
      <c r="AY196" s="1">
        <v>2.7950856197936957</v>
      </c>
      <c r="BA196" s="1">
        <v>1988</v>
      </c>
      <c r="BB196" s="1">
        <v>584354</v>
      </c>
      <c r="BC196" s="1">
        <v>295537.36101841053</v>
      </c>
      <c r="BD196" s="1">
        <v>122461</v>
      </c>
      <c r="BE196" s="1">
        <v>101634</v>
      </c>
      <c r="BF196" s="1">
        <v>1008</v>
      </c>
      <c r="BG196" s="1">
        <v>-3559</v>
      </c>
      <c r="BH196" s="1">
        <v>359690</v>
      </c>
      <c r="BI196" s="1">
        <v>341354</v>
      </c>
      <c r="BJ196" s="1">
        <v>1119771.3610184104</v>
      </c>
      <c r="BL196" s="1" t="s">
        <v>287</v>
      </c>
      <c r="BM196" s="1">
        <v>2.432565287497269</v>
      </c>
      <c r="BN196" s="1">
        <v>0.84562686745248072</v>
      </c>
      <c r="BO196" s="1">
        <v>6.6548834237206762</v>
      </c>
      <c r="BP196" s="1">
        <v>2.4973069784947768</v>
      </c>
      <c r="BQ196" s="1">
        <v>5.3445898793212052</v>
      </c>
      <c r="BR196" s="1">
        <v>1.949901792201004</v>
      </c>
      <c r="BT196" s="1" t="s">
        <v>287</v>
      </c>
      <c r="BU196" s="1">
        <v>6.0625989795676674</v>
      </c>
      <c r="BV196" s="1">
        <v>5.5388751391222115</v>
      </c>
      <c r="BW196" s="1">
        <v>7.5842521077339455</v>
      </c>
      <c r="BX196" s="1">
        <v>5.5579331538893939</v>
      </c>
      <c r="BY196" s="1">
        <v>3.4243169772692426</v>
      </c>
      <c r="BZ196" s="1">
        <v>6.8681632896447269</v>
      </c>
      <c r="CB196" s="1">
        <v>1988</v>
      </c>
      <c r="CC196" s="1">
        <v>8081</v>
      </c>
      <c r="CD196" s="1">
        <v>55482.626612347929</v>
      </c>
      <c r="CE196" s="1">
        <v>4545</v>
      </c>
      <c r="CF196" s="1">
        <v>23562</v>
      </c>
      <c r="CG196" s="1">
        <v>39988.488103664466</v>
      </c>
      <c r="CH196" s="1">
        <v>26704</v>
      </c>
      <c r="CI196" s="1">
        <v>63180.885283987598</v>
      </c>
      <c r="CJ196" s="1">
        <v>221544</v>
      </c>
      <c r="CL196" s="1">
        <v>1988</v>
      </c>
      <c r="CM196" s="1">
        <v>7254.9631546522369</v>
      </c>
      <c r="CN196" s="1">
        <v>44634.701661813815</v>
      </c>
      <c r="CO196" s="1">
        <v>3344.4117665032095</v>
      </c>
      <c r="CP196" s="1">
        <v>17833.703253986903</v>
      </c>
      <c r="CQ196" s="1">
        <v>20222.68127501382</v>
      </c>
      <c r="CR196" s="1">
        <v>19980.361018410538</v>
      </c>
      <c r="CS196" s="1">
        <v>38190.534777750676</v>
      </c>
      <c r="CT196" s="2">
        <v>151461.35690813119</v>
      </c>
      <c r="CV196" s="1">
        <v>1988</v>
      </c>
      <c r="CW196" s="1">
        <v>1242702.4825058824</v>
      </c>
      <c r="CX196" s="1">
        <v>1193262.5572296211</v>
      </c>
      <c r="CY196" s="1">
        <v>511035.97395402088</v>
      </c>
      <c r="CZ196" s="1">
        <v>21453.252376461223</v>
      </c>
      <c r="DA196" s="1">
        <v>188783</v>
      </c>
      <c r="DB196" s="1">
        <v>3157237.2660659859</v>
      </c>
      <c r="DC196" s="1">
        <v>2620131.043445833</v>
      </c>
      <c r="DD196" s="1">
        <v>716212.46963847661</v>
      </c>
      <c r="DF196" s="1">
        <v>1988</v>
      </c>
      <c r="DG196" s="1">
        <v>1.6801422401610608</v>
      </c>
      <c r="DH196" s="1">
        <v>2.0109681004132796</v>
      </c>
      <c r="DI196" s="1">
        <v>1.3279145167586677</v>
      </c>
      <c r="DJ196" s="1">
        <v>6.2290870521453741</v>
      </c>
      <c r="DK196" s="1">
        <v>4.6985882714268001</v>
      </c>
      <c r="DL196" s="1">
        <v>-1.8852333102027217</v>
      </c>
      <c r="DM196" s="1">
        <v>2.2039736482447552</v>
      </c>
      <c r="DN196" s="1">
        <v>2.4010897822192305</v>
      </c>
      <c r="DO196" s="1">
        <v>1.4858566275162417</v>
      </c>
      <c r="DQ196" s="1">
        <v>1988</v>
      </c>
      <c r="DR196" s="1">
        <v>2095633.5852729869</v>
      </c>
      <c r="DS196" s="1">
        <v>2066043.5622126986</v>
      </c>
      <c r="DT196" s="1">
        <v>997443.26201572909</v>
      </c>
      <c r="DU196" s="1">
        <v>21453.252376461223</v>
      </c>
      <c r="DV196" s="1">
        <v>188783</v>
      </c>
      <c r="DW196" s="1">
        <v>5369356.6618778761</v>
      </c>
      <c r="DX196" s="1">
        <v>4516325.2845426602</v>
      </c>
      <c r="DY196" s="1">
        <v>1251854.4805455918</v>
      </c>
      <c r="EA196" s="1">
        <v>1988</v>
      </c>
      <c r="EB196" s="1">
        <v>2.2225301489858822</v>
      </c>
      <c r="EC196" s="1">
        <v>2.3709964474251137</v>
      </c>
      <c r="ED196" s="1">
        <v>2.0685611543741516</v>
      </c>
      <c r="EE196" s="1">
        <v>5.0733267642699076</v>
      </c>
      <c r="EF196" s="1">
        <v>4.6985882714268001</v>
      </c>
      <c r="EG196" s="1">
        <v>-1.8852333102027217</v>
      </c>
      <c r="EH196" s="1">
        <v>2.6035692096595398</v>
      </c>
      <c r="EI196" s="1">
        <v>2.6671852494936701</v>
      </c>
      <c r="EJ196" s="1">
        <v>2.0870303253060598</v>
      </c>
      <c r="EL196" s="1">
        <v>1988</v>
      </c>
      <c r="EM196" s="1">
        <v>178400</v>
      </c>
      <c r="EN196" s="1">
        <v>1060100</v>
      </c>
      <c r="EO196" s="1">
        <v>280900</v>
      </c>
      <c r="EP196" s="1">
        <v>289100</v>
      </c>
      <c r="EQ196" s="1">
        <v>807500</v>
      </c>
      <c r="ER196" s="1">
        <v>358900</v>
      </c>
      <c r="ES196" s="1">
        <v>1398400</v>
      </c>
      <c r="ET196" s="1">
        <v>57000</v>
      </c>
      <c r="EU196" s="1">
        <v>4430300</v>
      </c>
      <c r="EV196" s="1">
        <v>3031900</v>
      </c>
      <c r="EX196" s="1">
        <v>1988</v>
      </c>
      <c r="EY196" s="1">
        <v>64500</v>
      </c>
      <c r="EZ196" s="1">
        <v>1029700</v>
      </c>
      <c r="FA196" s="1">
        <v>239500</v>
      </c>
      <c r="FB196" s="1">
        <v>268500</v>
      </c>
      <c r="FC196" s="1">
        <v>729500</v>
      </c>
      <c r="FD196" s="1">
        <v>311500</v>
      </c>
      <c r="FE196" s="1">
        <v>1398400</v>
      </c>
      <c r="FF196" s="1">
        <v>53800</v>
      </c>
      <c r="FG196" s="1">
        <v>4095400</v>
      </c>
      <c r="FH196" s="1">
        <v>2697000</v>
      </c>
      <c r="FJ196" s="1">
        <v>1988</v>
      </c>
      <c r="FK196" s="1">
        <v>113900</v>
      </c>
      <c r="FL196" s="1">
        <v>30400</v>
      </c>
      <c r="FM196" s="1">
        <v>41400</v>
      </c>
      <c r="FN196" s="1">
        <v>20600</v>
      </c>
      <c r="FO196" s="1">
        <v>78000</v>
      </c>
      <c r="FP196" s="1">
        <v>47400</v>
      </c>
      <c r="FQ196" s="1">
        <v>3200</v>
      </c>
      <c r="FR196" s="1">
        <v>334900</v>
      </c>
      <c r="FS196" s="1">
        <v>253200</v>
      </c>
      <c r="FU196" s="1">
        <v>1988</v>
      </c>
      <c r="FV196" s="1">
        <v>24594</v>
      </c>
      <c r="FW196" s="1">
        <v>160109</v>
      </c>
      <c r="FX196" s="1">
        <v>48958</v>
      </c>
      <c r="FY196" s="1">
        <v>49321</v>
      </c>
      <c r="FZ196" s="1">
        <v>124468</v>
      </c>
      <c r="GA196" s="1">
        <v>55837</v>
      </c>
      <c r="GB196" s="1">
        <v>182359</v>
      </c>
      <c r="GC196" s="1">
        <v>8140</v>
      </c>
      <c r="GD196" s="1">
        <v>653786</v>
      </c>
      <c r="GE196" s="1">
        <v>471427</v>
      </c>
      <c r="GG196" s="1">
        <v>1988</v>
      </c>
      <c r="GH196" s="1">
        <v>8186</v>
      </c>
      <c r="GI196" s="1">
        <v>154791</v>
      </c>
      <c r="GJ196" s="1">
        <v>42487</v>
      </c>
      <c r="GK196" s="1">
        <v>45487</v>
      </c>
      <c r="GL196" s="1">
        <v>109622</v>
      </c>
      <c r="GM196" s="1">
        <v>49087</v>
      </c>
      <c r="GN196" s="1">
        <v>182359</v>
      </c>
      <c r="GO196" s="1">
        <v>7572</v>
      </c>
      <c r="GP196" s="1">
        <v>599591</v>
      </c>
      <c r="GQ196" s="1">
        <v>417232</v>
      </c>
      <c r="GS196" s="1">
        <v>1988</v>
      </c>
      <c r="GT196" s="1">
        <v>16408</v>
      </c>
      <c r="GU196" s="1">
        <v>5318</v>
      </c>
      <c r="GV196" s="1">
        <v>6471</v>
      </c>
      <c r="GW196" s="1">
        <v>3834</v>
      </c>
      <c r="GX196" s="1">
        <v>14846</v>
      </c>
      <c r="GY196" s="1">
        <v>6750</v>
      </c>
      <c r="GZ196" s="1">
        <v>568</v>
      </c>
      <c r="HA196" s="1">
        <v>54195</v>
      </c>
      <c r="HC196" s="1">
        <v>1988</v>
      </c>
      <c r="HD196" s="1">
        <v>8180</v>
      </c>
      <c r="HE196" s="1">
        <v>178123</v>
      </c>
      <c r="HF196" s="1">
        <v>54442</v>
      </c>
      <c r="HG196" s="1">
        <v>44560</v>
      </c>
      <c r="HH196" s="1">
        <v>179231</v>
      </c>
      <c r="HI196" s="1">
        <v>197869</v>
      </c>
      <c r="HJ196" s="1">
        <v>7702</v>
      </c>
      <c r="HK196" s="2">
        <v>670107</v>
      </c>
      <c r="HL196" s="1">
        <v>472238</v>
      </c>
      <c r="HN196" s="1">
        <v>1988</v>
      </c>
      <c r="HO196" s="1">
        <v>15177.014189663689</v>
      </c>
      <c r="HP196" s="1">
        <v>6119.5942528958394</v>
      </c>
      <c r="HQ196" s="1">
        <v>8291.8111893049627</v>
      </c>
      <c r="HR196" s="1">
        <v>3755.865192252732</v>
      </c>
      <c r="HS196" s="1">
        <v>25396.176890075858</v>
      </c>
      <c r="HT196" s="1">
        <v>577.75171685155829</v>
      </c>
      <c r="HU196" s="2">
        <v>59318.213431044634</v>
      </c>
      <c r="HW196" s="1">
        <v>1988</v>
      </c>
      <c r="HX196" s="1">
        <v>7254.963154652236</v>
      </c>
      <c r="HY196" s="1">
        <v>67136.048489875102</v>
      </c>
      <c r="HZ196" s="1">
        <v>1183.8683503608918</v>
      </c>
      <c r="IA196" s="1">
        <v>22127.510738346624</v>
      </c>
      <c r="IB196" s="1">
        <v>51307.279070272671</v>
      </c>
      <c r="IC196" s="1">
        <v>19980.361018410553</v>
      </c>
      <c r="ID196" s="1">
        <v>89631.116765447776</v>
      </c>
      <c r="IE196" s="2">
        <v>258621.14758736588</v>
      </c>
      <c r="IF196" s="1">
        <v>238640.78656895531</v>
      </c>
      <c r="IH196" s="1">
        <v>1988</v>
      </c>
      <c r="II196" s="1">
        <v>243.30237210042367</v>
      </c>
      <c r="IJ196" s="1">
        <v>32.268373236451467</v>
      </c>
      <c r="IK196" s="1">
        <v>10.027085456690196</v>
      </c>
      <c r="IL196" s="1">
        <v>286.7870949159099</v>
      </c>
      <c r="IM196" s="1">
        <v>12.212890791786938</v>
      </c>
      <c r="IN196" s="1">
        <v>3.7950379074002316</v>
      </c>
      <c r="IO196" s="1">
        <v>1.5023906514253724</v>
      </c>
    </row>
    <row r="197" spans="1:249" x14ac:dyDescent="0.25">
      <c r="A197" s="1" t="s">
        <v>288</v>
      </c>
      <c r="B197" s="1">
        <v>3.0683492773917891</v>
      </c>
      <c r="C197" s="1">
        <v>3.0072793397550157</v>
      </c>
      <c r="D197" s="1">
        <v>3.0688234732164403</v>
      </c>
      <c r="E197" s="1">
        <v>3.0678750837487883</v>
      </c>
      <c r="F197" s="1">
        <v>3.2093651823744409</v>
      </c>
      <c r="G197" s="1">
        <v>2.5004822876769026</v>
      </c>
      <c r="H197" s="1">
        <v>2.1868554171188208</v>
      </c>
      <c r="J197" s="1">
        <v>1989</v>
      </c>
      <c r="K197" s="2">
        <v>1238391.0215721233</v>
      </c>
      <c r="L197" s="1">
        <v>1096193.0215721233</v>
      </c>
      <c r="M197" s="1">
        <v>1067649.204856331</v>
      </c>
      <c r="N197" s="1">
        <v>925451.20485633099</v>
      </c>
      <c r="O197" s="1">
        <v>170741.81671579229</v>
      </c>
      <c r="P197" s="1">
        <v>142198</v>
      </c>
      <c r="Q197" s="1">
        <v>1122374</v>
      </c>
      <c r="R197" s="1">
        <v>2360765.0215721233</v>
      </c>
      <c r="S197" s="1">
        <v>2218567.0215721233</v>
      </c>
      <c r="U197" s="1">
        <v>1989</v>
      </c>
      <c r="V197" s="1">
        <v>145814.9687342156</v>
      </c>
      <c r="W197" s="1">
        <v>198599.15264635722</v>
      </c>
      <c r="X197" s="1">
        <v>1.8193350500868917</v>
      </c>
      <c r="Y197" s="1">
        <v>129071.79427406353</v>
      </c>
      <c r="Z197" s="1">
        <v>174832.12619685766</v>
      </c>
      <c r="AA197" s="1">
        <v>2.3834283889590608</v>
      </c>
      <c r="AB197" s="1">
        <v>8492893.6468066052</v>
      </c>
      <c r="AC197" s="1">
        <v>0.66897631697844417</v>
      </c>
      <c r="AE197" s="1">
        <v>1989</v>
      </c>
      <c r="AF197" s="1">
        <v>33748.312774766848</v>
      </c>
      <c r="AG197" s="1">
        <v>273051.02275627485</v>
      </c>
      <c r="AH197" s="1">
        <v>79207.614725786974</v>
      </c>
      <c r="AI197" s="1">
        <v>77700.011422812546</v>
      </c>
      <c r="AJ197" s="1">
        <v>219601.51953672245</v>
      </c>
      <c r="AK197" s="1">
        <v>64351.862341650529</v>
      </c>
      <c r="AL197" s="1">
        <v>242827.02157212331</v>
      </c>
      <c r="AM197" s="1">
        <v>105705.65644198578</v>
      </c>
      <c r="AN197" s="2">
        <v>1096193.0215721233</v>
      </c>
      <c r="AP197" s="1" t="s">
        <v>288</v>
      </c>
      <c r="AQ197" s="1">
        <v>6.6115613348324445</v>
      </c>
      <c r="AR197" s="1">
        <v>2.2362889191731625</v>
      </c>
      <c r="AS197" s="1">
        <v>8.3382808623906755</v>
      </c>
      <c r="AT197" s="1">
        <v>3.1594290946626984</v>
      </c>
      <c r="AU197" s="1">
        <v>3.7879609412069755</v>
      </c>
      <c r="AV197" s="1">
        <v>2.6040225165419315</v>
      </c>
      <c r="AW197" s="1">
        <v>2.2433391642604334</v>
      </c>
      <c r="AX197" s="1">
        <v>1.1509919236152086</v>
      </c>
      <c r="AY197" s="1">
        <v>3.0683492773917891</v>
      </c>
      <c r="BA197" s="1">
        <v>1989</v>
      </c>
      <c r="BB197" s="1">
        <v>632744</v>
      </c>
      <c r="BC197" s="1">
        <v>327697.02157212328</v>
      </c>
      <c r="BD197" s="1">
        <v>147716</v>
      </c>
      <c r="BE197" s="1">
        <v>122949</v>
      </c>
      <c r="BF197" s="1">
        <v>1057</v>
      </c>
      <c r="BG197" s="1">
        <v>-488</v>
      </c>
      <c r="BH197" s="1">
        <v>394467</v>
      </c>
      <c r="BI197" s="1">
        <v>387751</v>
      </c>
      <c r="BJ197" s="1">
        <v>1238391.0215721233</v>
      </c>
      <c r="BL197" s="1" t="s">
        <v>288</v>
      </c>
      <c r="BM197" s="1">
        <v>1.1655792233954401</v>
      </c>
      <c r="BN197" s="1">
        <v>1.8720111395374346</v>
      </c>
      <c r="BO197" s="1">
        <v>13.31555380908722</v>
      </c>
      <c r="BP197" s="1">
        <v>3.1075578156180654</v>
      </c>
      <c r="BQ197" s="1">
        <v>7.3887964324376867</v>
      </c>
      <c r="BR197" s="1">
        <v>2.5004822876769026</v>
      </c>
      <c r="BT197" s="1" t="s">
        <v>288</v>
      </c>
      <c r="BU197" s="1">
        <v>7.0333804490355902</v>
      </c>
      <c r="BV197" s="1">
        <v>8.844182816286434</v>
      </c>
      <c r="BW197" s="1">
        <v>8.0424964178586578</v>
      </c>
      <c r="BX197" s="1">
        <v>6.3633024029259104</v>
      </c>
      <c r="BY197" s="1">
        <v>5.7764421535122068</v>
      </c>
      <c r="BZ197" s="1">
        <v>7.8953007535145048</v>
      </c>
      <c r="CB197" s="1">
        <v>1989</v>
      </c>
      <c r="CC197" s="1">
        <v>9857</v>
      </c>
      <c r="CD197" s="1">
        <v>67534.992852626339</v>
      </c>
      <c r="CE197" s="1">
        <v>6954</v>
      </c>
      <c r="CF197" s="1">
        <v>29626</v>
      </c>
      <c r="CG197" s="1">
        <v>48829.248560049688</v>
      </c>
      <c r="CH197" s="1">
        <v>31604</v>
      </c>
      <c r="CI197" s="1">
        <v>76828.758587323973</v>
      </c>
      <c r="CJ197" s="1">
        <v>271234</v>
      </c>
      <c r="CL197" s="1">
        <v>1989</v>
      </c>
      <c r="CM197" s="1">
        <v>7610.5272071549971</v>
      </c>
      <c r="CN197" s="1">
        <v>49143.260878046844</v>
      </c>
      <c r="CO197" s="1">
        <v>3828.9379012770223</v>
      </c>
      <c r="CP197" s="1">
        <v>19535.086697978913</v>
      </c>
      <c r="CQ197" s="1">
        <v>23704.918832663698</v>
      </c>
      <c r="CR197" s="1">
        <v>22214.021572123303</v>
      </c>
      <c r="CS197" s="1">
        <v>44705.063626547533</v>
      </c>
      <c r="CT197" s="2">
        <v>170741.81671579229</v>
      </c>
      <c r="CV197" s="1">
        <v>1989</v>
      </c>
      <c r="CW197" s="1">
        <v>1450455.5286549111</v>
      </c>
      <c r="CX197" s="1">
        <v>1323448.836412299</v>
      </c>
      <c r="CY197" s="1">
        <v>561309.63922026753</v>
      </c>
      <c r="CZ197" s="1">
        <v>21937.750043387667</v>
      </c>
      <c r="DA197" s="1">
        <v>196532</v>
      </c>
      <c r="DB197" s="1">
        <v>3553683.7543308651</v>
      </c>
      <c r="DC197" s="1">
        <v>2961840.7472996032</v>
      </c>
      <c r="DD197" s="1">
        <v>779618.59357790113</v>
      </c>
      <c r="DF197" s="1">
        <v>1989</v>
      </c>
      <c r="DG197" s="1">
        <v>1.9672482394354205</v>
      </c>
      <c r="DH197" s="1">
        <v>2.2147314637468867</v>
      </c>
      <c r="DI197" s="1">
        <v>1.6906331185782477</v>
      </c>
      <c r="DJ197" s="1">
        <v>8.0731320011220475</v>
      </c>
      <c r="DK197" s="1">
        <v>4.8181787006849106</v>
      </c>
      <c r="DL197" s="1">
        <v>-0.24830561944111196</v>
      </c>
      <c r="DM197" s="1">
        <v>2.8005106803546767</v>
      </c>
      <c r="DN197" s="1">
        <v>3.0453525664141239</v>
      </c>
      <c r="DO197" s="1">
        <v>2.3016726022636647</v>
      </c>
      <c r="DQ197" s="1">
        <v>1989</v>
      </c>
      <c r="DR197" s="1">
        <v>2454610.9275761694</v>
      </c>
      <c r="DS197" s="1">
        <v>2307270.9647027031</v>
      </c>
      <c r="DT197" s="1">
        <v>1083688.051364647</v>
      </c>
      <c r="DU197" s="1">
        <v>21937.750043387667</v>
      </c>
      <c r="DV197" s="1">
        <v>196532</v>
      </c>
      <c r="DW197" s="1">
        <v>6064039.6936869072</v>
      </c>
      <c r="DX197" s="1">
        <v>5114980.4840066163</v>
      </c>
      <c r="DY197" s="1">
        <v>1370672.8701622749</v>
      </c>
      <c r="EA197" s="1">
        <v>1989</v>
      </c>
      <c r="EB197" s="1">
        <v>2.3762439707127214</v>
      </c>
      <c r="EC197" s="1">
        <v>2.4813073322731185</v>
      </c>
      <c r="ED197" s="1">
        <v>2.2622163963242201</v>
      </c>
      <c r="EE197" s="1">
        <v>6.2233121798042816</v>
      </c>
      <c r="EF197" s="1">
        <v>4.8181787006849106</v>
      </c>
      <c r="EG197" s="1">
        <v>-0.24830561944111196</v>
      </c>
      <c r="EH197" s="1">
        <v>2.9694576629363496</v>
      </c>
      <c r="EI197" s="1">
        <v>3.0649067578401201</v>
      </c>
      <c r="EJ197" s="1">
        <v>2.5733750025242159</v>
      </c>
      <c r="EL197" s="1">
        <v>1989</v>
      </c>
      <c r="EM197" s="1">
        <v>169800</v>
      </c>
      <c r="EN197" s="1">
        <v>1043500</v>
      </c>
      <c r="EO197" s="1">
        <v>297300</v>
      </c>
      <c r="EP197" s="1">
        <v>293100</v>
      </c>
      <c r="EQ197" s="1">
        <v>841300</v>
      </c>
      <c r="ER197" s="1">
        <v>366200</v>
      </c>
      <c r="ES197" s="1">
        <v>1426400</v>
      </c>
      <c r="ET197" s="1">
        <v>59500</v>
      </c>
      <c r="EU197" s="1">
        <v>4497100</v>
      </c>
      <c r="EV197" s="1">
        <v>3070700</v>
      </c>
      <c r="EX197" s="1">
        <v>1989</v>
      </c>
      <c r="EY197" s="1">
        <v>61700</v>
      </c>
      <c r="EZ197" s="1">
        <v>1014000</v>
      </c>
      <c r="FA197" s="1">
        <v>253400</v>
      </c>
      <c r="FB197" s="1">
        <v>269800</v>
      </c>
      <c r="FC197" s="1">
        <v>759800</v>
      </c>
      <c r="FD197" s="1">
        <v>315900</v>
      </c>
      <c r="FE197" s="1">
        <v>1426400</v>
      </c>
      <c r="FF197" s="1">
        <v>55800</v>
      </c>
      <c r="FG197" s="1">
        <v>4156800</v>
      </c>
      <c r="FH197" s="1">
        <v>2730400</v>
      </c>
      <c r="FJ197" s="1">
        <v>1989</v>
      </c>
      <c r="FK197" s="1">
        <v>108100</v>
      </c>
      <c r="FL197" s="1">
        <v>29500</v>
      </c>
      <c r="FM197" s="1">
        <v>43900</v>
      </c>
      <c r="FN197" s="1">
        <v>23300</v>
      </c>
      <c r="FO197" s="1">
        <v>81500</v>
      </c>
      <c r="FP197" s="1">
        <v>50300</v>
      </c>
      <c r="FQ197" s="1">
        <v>3700</v>
      </c>
      <c r="FR197" s="1">
        <v>340300</v>
      </c>
      <c r="FS197" s="1">
        <v>258700</v>
      </c>
      <c r="FU197" s="1">
        <v>1989</v>
      </c>
      <c r="FV197" s="1">
        <v>24299</v>
      </c>
      <c r="FW197" s="1">
        <v>157294</v>
      </c>
      <c r="FX197" s="1">
        <v>51734</v>
      </c>
      <c r="FY197" s="1">
        <v>50161</v>
      </c>
      <c r="FZ197" s="1">
        <v>128632</v>
      </c>
      <c r="GA197" s="1">
        <v>57342</v>
      </c>
      <c r="GB197" s="1">
        <v>186266</v>
      </c>
      <c r="GC197" s="1">
        <v>8739</v>
      </c>
      <c r="GD197" s="1">
        <v>664467</v>
      </c>
      <c r="GE197" s="1">
        <v>478201</v>
      </c>
      <c r="GG197" s="1">
        <v>1989</v>
      </c>
      <c r="GH197" s="1">
        <v>8100</v>
      </c>
      <c r="GI197" s="1">
        <v>152048</v>
      </c>
      <c r="GJ197" s="1">
        <v>44882</v>
      </c>
      <c r="GK197" s="1">
        <v>45589</v>
      </c>
      <c r="GL197" s="1">
        <v>113012</v>
      </c>
      <c r="GM197" s="1">
        <v>50343</v>
      </c>
      <c r="GN197" s="1">
        <v>186266</v>
      </c>
      <c r="GO197" s="1">
        <v>8098</v>
      </c>
      <c r="GP197" s="1">
        <v>608338</v>
      </c>
      <c r="GQ197" s="1">
        <v>422072</v>
      </c>
      <c r="GS197" s="1">
        <v>1989</v>
      </c>
      <c r="GT197" s="1">
        <v>16199</v>
      </c>
      <c r="GU197" s="1">
        <v>5246</v>
      </c>
      <c r="GV197" s="1">
        <v>6852</v>
      </c>
      <c r="GW197" s="1">
        <v>4572</v>
      </c>
      <c r="GX197" s="1">
        <v>15620</v>
      </c>
      <c r="GY197" s="1">
        <v>6999</v>
      </c>
      <c r="GZ197" s="1">
        <v>641</v>
      </c>
      <c r="HA197" s="1">
        <v>56129</v>
      </c>
      <c r="HC197" s="1">
        <v>1989</v>
      </c>
      <c r="HD197" s="1">
        <v>8951</v>
      </c>
      <c r="HE197" s="1">
        <v>193809</v>
      </c>
      <c r="HF197" s="1">
        <v>65029</v>
      </c>
      <c r="HG197" s="1">
        <v>50054</v>
      </c>
      <c r="HH197" s="1">
        <v>203817</v>
      </c>
      <c r="HI197" s="1">
        <v>220613</v>
      </c>
      <c r="HJ197" s="1">
        <v>8964</v>
      </c>
      <c r="HK197" s="2">
        <v>751237</v>
      </c>
      <c r="HL197" s="1">
        <v>530624</v>
      </c>
      <c r="HN197" s="1">
        <v>1989</v>
      </c>
      <c r="HO197" s="1">
        <v>17186.785567611849</v>
      </c>
      <c r="HP197" s="1">
        <v>6686.8489819004526</v>
      </c>
      <c r="HQ197" s="1">
        <v>9927.7819170268704</v>
      </c>
      <c r="HR197" s="1">
        <v>5019.7830178332488</v>
      </c>
      <c r="HS197" s="1">
        <v>29197.849010692582</v>
      </c>
      <c r="HT197" s="1">
        <v>709.54853050135841</v>
      </c>
      <c r="HU197" s="2">
        <v>68728.597025566371</v>
      </c>
      <c r="HW197" s="1">
        <v>1989</v>
      </c>
      <c r="HX197" s="1">
        <v>7610.5272071549989</v>
      </c>
      <c r="HY197" s="1">
        <v>72555.173774374387</v>
      </c>
      <c r="HZ197" s="1">
        <v>4250.8328087601112</v>
      </c>
      <c r="IA197" s="1">
        <v>22626.228404979302</v>
      </c>
      <c r="IB197" s="1">
        <v>50938.532867680398</v>
      </c>
      <c r="IC197" s="1">
        <v>22214.021572123322</v>
      </c>
      <c r="ID197" s="1">
        <v>96032.107911484418</v>
      </c>
      <c r="IE197" s="2">
        <v>276227.4245465569</v>
      </c>
      <c r="IF197" s="1">
        <v>254013.40297443361</v>
      </c>
      <c r="IH197" s="1">
        <v>1989</v>
      </c>
      <c r="II197" s="1">
        <v>244.73976143951711</v>
      </c>
      <c r="IJ197" s="1">
        <v>32.048328762745385</v>
      </c>
      <c r="IK197" s="1">
        <v>9.9167175947962996</v>
      </c>
      <c r="IL197" s="1">
        <v>289.38344206710747</v>
      </c>
      <c r="IM197" s="1">
        <v>11.677006289761655</v>
      </c>
      <c r="IN197" s="1">
        <v>3.6132172315592146</v>
      </c>
      <c r="IO197" s="1">
        <v>3.2303632157681221</v>
      </c>
    </row>
    <row r="198" spans="1:249" x14ac:dyDescent="0.25">
      <c r="A198" s="1" t="s">
        <v>289</v>
      </c>
      <c r="B198" s="1">
        <v>1.2271430647844142</v>
      </c>
      <c r="C198" s="1">
        <v>1.1427762958831948</v>
      </c>
      <c r="D198" s="1">
        <v>1.2526457009311258</v>
      </c>
      <c r="E198" s="1">
        <v>1.2016468520199766</v>
      </c>
      <c r="F198" s="1">
        <v>1.4655581864754623</v>
      </c>
      <c r="G198" s="1">
        <v>0.77862229938139649</v>
      </c>
      <c r="H198" s="1">
        <v>0.25098820808008782</v>
      </c>
      <c r="J198" s="1">
        <v>1990</v>
      </c>
      <c r="K198" s="2">
        <v>1365699.7234861588</v>
      </c>
      <c r="L198" s="1">
        <v>1196087.723486159</v>
      </c>
      <c r="M198" s="1">
        <v>1175610.5132521745</v>
      </c>
      <c r="N198" s="1">
        <v>1005998.5132521747</v>
      </c>
      <c r="O198" s="1">
        <v>190089.21023398428</v>
      </c>
      <c r="P198" s="1">
        <v>169612</v>
      </c>
      <c r="Q198" s="1">
        <v>1221505</v>
      </c>
      <c r="R198" s="1">
        <v>2587204.723486159</v>
      </c>
      <c r="S198" s="1">
        <v>2417592.723486159</v>
      </c>
      <c r="U198" s="1">
        <v>1990</v>
      </c>
      <c r="V198" s="1">
        <v>159567.21533213797</v>
      </c>
      <c r="W198" s="1">
        <v>198604.89046577306</v>
      </c>
      <c r="X198" s="1">
        <v>2.8891459703572764E-3</v>
      </c>
      <c r="Y198" s="1">
        <v>139749.89087824689</v>
      </c>
      <c r="Z198" s="1">
        <v>175615.2997636435</v>
      </c>
      <c r="AA198" s="1">
        <v>0.44795746858561358</v>
      </c>
      <c r="AB198" s="1">
        <v>8558773.9351311289</v>
      </c>
      <c r="AC198" s="1">
        <v>0.77571074199541101</v>
      </c>
      <c r="AE198" s="1">
        <v>1990</v>
      </c>
      <c r="AF198" s="1">
        <v>33603.151399779927</v>
      </c>
      <c r="AG198" s="1">
        <v>282013.39101818798</v>
      </c>
      <c r="AH198" s="1">
        <v>88601.703821849878</v>
      </c>
      <c r="AI198" s="1">
        <v>86935.344961536131</v>
      </c>
      <c r="AJ198" s="1">
        <v>240567.6048175731</v>
      </c>
      <c r="AK198" s="1">
        <v>68301.694891077292</v>
      </c>
      <c r="AL198" s="1">
        <v>279959.72348615888</v>
      </c>
      <c r="AM198" s="1">
        <v>116105.10908999572</v>
      </c>
      <c r="AN198" s="2">
        <v>1196087.723486159</v>
      </c>
      <c r="AP198" s="1" t="s">
        <v>289</v>
      </c>
      <c r="AQ198" s="1">
        <v>0.46087921015609368</v>
      </c>
      <c r="AR198" s="1">
        <v>0.35307429030612525</v>
      </c>
      <c r="AS198" s="1">
        <v>1.9269605267039651</v>
      </c>
      <c r="AT198" s="1">
        <v>5.5871786237326972</v>
      </c>
      <c r="AU198" s="1">
        <v>1.4272697925239868</v>
      </c>
      <c r="AV198" s="1">
        <v>-1.2237842198604483</v>
      </c>
      <c r="AW198" s="1">
        <v>1.0652904122661511</v>
      </c>
      <c r="AX198" s="1">
        <v>1.4131709375324988</v>
      </c>
      <c r="AY198" s="1">
        <v>1.2271430647844142</v>
      </c>
      <c r="BA198" s="1">
        <v>1990</v>
      </c>
      <c r="BB198" s="1">
        <v>692668</v>
      </c>
      <c r="BC198" s="1">
        <v>377854.72348615882</v>
      </c>
      <c r="BD198" s="1">
        <v>167026</v>
      </c>
      <c r="BE198" s="1">
        <v>124696</v>
      </c>
      <c r="BF198" s="1">
        <v>899</v>
      </c>
      <c r="BG198" s="1">
        <v>-2475</v>
      </c>
      <c r="BH198" s="1">
        <v>406831</v>
      </c>
      <c r="BI198" s="1">
        <v>401800</v>
      </c>
      <c r="BJ198" s="1">
        <v>1365699.7234861588</v>
      </c>
      <c r="BL198" s="1" t="s">
        <v>289</v>
      </c>
      <c r="BM198" s="1">
        <v>-0.40216433743229629</v>
      </c>
      <c r="BN198" s="1">
        <v>2.5808409188960297</v>
      </c>
      <c r="BO198" s="1">
        <v>-1.5555305314876477E-2</v>
      </c>
      <c r="BP198" s="1">
        <v>1.6264395906146802</v>
      </c>
      <c r="BQ198" s="1">
        <v>0.66978614989568541</v>
      </c>
      <c r="BR198" s="1">
        <v>0.77862229938139649</v>
      </c>
      <c r="BT198" s="1" t="s">
        <v>289</v>
      </c>
      <c r="BU198" s="1">
        <v>9.9125257378710927</v>
      </c>
      <c r="BV198" s="1">
        <v>12.40512336127837</v>
      </c>
      <c r="BW198" s="1">
        <v>6.9892196840521734</v>
      </c>
      <c r="BX198" s="1">
        <v>1.4837835454438277</v>
      </c>
      <c r="BY198" s="1">
        <v>2.9337653834481188</v>
      </c>
      <c r="BZ198" s="1">
        <v>9.4281380853283139</v>
      </c>
      <c r="CB198" s="1">
        <v>1990</v>
      </c>
      <c r="CC198" s="1">
        <v>8281</v>
      </c>
      <c r="CD198" s="1">
        <v>66422.452144726383</v>
      </c>
      <c r="CE198" s="1">
        <v>7864</v>
      </c>
      <c r="CF198" s="1">
        <v>31923</v>
      </c>
      <c r="CG198" s="1">
        <v>50696.951152845504</v>
      </c>
      <c r="CH198" s="1">
        <v>33142</v>
      </c>
      <c r="CI198" s="1">
        <v>91816.596702428098</v>
      </c>
      <c r="CJ198" s="1">
        <v>290146</v>
      </c>
      <c r="CL198" s="1">
        <v>1990</v>
      </c>
      <c r="CM198" s="1">
        <v>8114.6032959865106</v>
      </c>
      <c r="CN198" s="1">
        <v>53591.075052331988</v>
      </c>
      <c r="CO198" s="1">
        <v>4352.3769148527008</v>
      </c>
      <c r="CP198" s="1">
        <v>20871.319640301095</v>
      </c>
      <c r="CQ198" s="1">
        <v>26997.350096645336</v>
      </c>
      <c r="CR198" s="1">
        <v>24557.723486158848</v>
      </c>
      <c r="CS198" s="1">
        <v>51604.761747707773</v>
      </c>
      <c r="CT198" s="2">
        <v>190089.21023398428</v>
      </c>
      <c r="CV198" s="1">
        <v>1990</v>
      </c>
      <c r="CW198" s="1">
        <v>1670474.981149161</v>
      </c>
      <c r="CX198" s="1">
        <v>1457876.8586641105</v>
      </c>
      <c r="CY198" s="1">
        <v>624203.01045072346</v>
      </c>
      <c r="CZ198" s="1">
        <v>21773.377321796728</v>
      </c>
      <c r="DA198" s="1">
        <v>207409</v>
      </c>
      <c r="DB198" s="1">
        <v>3981737.2275857921</v>
      </c>
      <c r="DC198" s="1">
        <v>3328731.9289291897</v>
      </c>
      <c r="DD198" s="1">
        <v>850412.46199654788</v>
      </c>
      <c r="DF198" s="1">
        <v>1990</v>
      </c>
      <c r="DG198" s="1">
        <v>2.0020515428937955</v>
      </c>
      <c r="DH198" s="1">
        <v>2.4072096504586682</v>
      </c>
      <c r="DI198" s="1">
        <v>1.4979178708896654</v>
      </c>
      <c r="DJ198" s="1">
        <v>6.3161441623731207</v>
      </c>
      <c r="DK198" s="1">
        <v>4.1288955163608847</v>
      </c>
      <c r="DL198" s="1">
        <v>-1.1932944086322124</v>
      </c>
      <c r="DM198" s="1">
        <v>2.4960875333627399</v>
      </c>
      <c r="DN198" s="1">
        <v>2.7152535973535805</v>
      </c>
      <c r="DO198" s="1">
        <v>1.1346750045413785</v>
      </c>
      <c r="DQ198" s="1">
        <v>1990</v>
      </c>
      <c r="DR198" s="1">
        <v>2834323.2940219482</v>
      </c>
      <c r="DS198" s="1">
        <v>2553290.327452783</v>
      </c>
      <c r="DT198" s="1">
        <v>1185446.7111147079</v>
      </c>
      <c r="DU198" s="1">
        <v>21773.377321796728</v>
      </c>
      <c r="DV198" s="1">
        <v>207409</v>
      </c>
      <c r="DW198" s="1">
        <v>6802242.7099112365</v>
      </c>
      <c r="DX198" s="1">
        <v>5746402.4672249081</v>
      </c>
      <c r="DY198" s="1">
        <v>1499374.541038631</v>
      </c>
      <c r="EA198" s="1">
        <v>1990</v>
      </c>
      <c r="EB198" s="1">
        <v>2.3798539539209287</v>
      </c>
      <c r="EC198" s="1">
        <v>2.5873477241993044</v>
      </c>
      <c r="ED198" s="1">
        <v>2.1299589038781477</v>
      </c>
      <c r="EE198" s="1">
        <v>5.4086193792456356</v>
      </c>
      <c r="EF198" s="1">
        <v>4.1288955163608847</v>
      </c>
      <c r="EG198" s="1">
        <v>-1.1932944086322124</v>
      </c>
      <c r="EH198" s="1">
        <v>2.7834504466264889</v>
      </c>
      <c r="EI198" s="1">
        <v>2.8753947965919053</v>
      </c>
      <c r="EJ198" s="1">
        <v>1.8853057224599894</v>
      </c>
      <c r="EL198" s="1">
        <v>1990</v>
      </c>
      <c r="EM198" s="1">
        <v>167800</v>
      </c>
      <c r="EN198" s="1">
        <v>1011600</v>
      </c>
      <c r="EO198" s="1">
        <v>299200</v>
      </c>
      <c r="EP198" s="1">
        <v>297900</v>
      </c>
      <c r="EQ198" s="1">
        <v>851300</v>
      </c>
      <c r="ER198" s="1">
        <v>375200</v>
      </c>
      <c r="ES198" s="1">
        <v>1436600</v>
      </c>
      <c r="ET198" s="1">
        <v>64100</v>
      </c>
      <c r="EU198" s="1">
        <v>4503700</v>
      </c>
      <c r="EV198" s="1">
        <v>3067100</v>
      </c>
      <c r="EX198" s="1">
        <v>1990</v>
      </c>
      <c r="EY198" s="1">
        <v>62900</v>
      </c>
      <c r="EZ198" s="1">
        <v>982100</v>
      </c>
      <c r="FA198" s="1">
        <v>255300</v>
      </c>
      <c r="FB198" s="1">
        <v>275300</v>
      </c>
      <c r="FC198" s="1">
        <v>771200</v>
      </c>
      <c r="FD198" s="1">
        <v>323700</v>
      </c>
      <c r="FE198" s="1">
        <v>1436600</v>
      </c>
      <c r="FF198" s="1">
        <v>60500</v>
      </c>
      <c r="FG198" s="1">
        <v>4167600</v>
      </c>
      <c r="FH198" s="1">
        <v>2731000</v>
      </c>
      <c r="FJ198" s="1">
        <v>1990</v>
      </c>
      <c r="FK198" s="1">
        <v>104900</v>
      </c>
      <c r="FL198" s="1">
        <v>29500</v>
      </c>
      <c r="FM198" s="1">
        <v>43900</v>
      </c>
      <c r="FN198" s="1">
        <v>22600</v>
      </c>
      <c r="FO198" s="1">
        <v>80100</v>
      </c>
      <c r="FP198" s="1">
        <v>51500</v>
      </c>
      <c r="FQ198" s="1">
        <v>3600</v>
      </c>
      <c r="FR198" s="1">
        <v>336100</v>
      </c>
      <c r="FS198" s="1">
        <v>251200</v>
      </c>
      <c r="FU198" s="1">
        <v>1990</v>
      </c>
      <c r="FV198" s="1">
        <v>23897</v>
      </c>
      <c r="FW198" s="1">
        <v>154407</v>
      </c>
      <c r="FX198" s="1">
        <v>51734</v>
      </c>
      <c r="FY198" s="1">
        <v>53314</v>
      </c>
      <c r="FZ198" s="1">
        <v>128854</v>
      </c>
      <c r="GA198" s="1">
        <v>58911</v>
      </c>
      <c r="GB198" s="1">
        <v>187943</v>
      </c>
      <c r="GC198" s="1">
        <v>9311</v>
      </c>
      <c r="GD198" s="1">
        <v>668371</v>
      </c>
      <c r="GE198" s="1">
        <v>480428</v>
      </c>
      <c r="GG198" s="1">
        <v>1990</v>
      </c>
      <c r="GH198" s="1">
        <v>8079</v>
      </c>
      <c r="GI198" s="1">
        <v>149153</v>
      </c>
      <c r="GJ198" s="1">
        <v>44718</v>
      </c>
      <c r="GK198" s="1">
        <v>48797</v>
      </c>
      <c r="GL198" s="1">
        <v>114195</v>
      </c>
      <c r="GM198" s="1">
        <v>51637</v>
      </c>
      <c r="GN198" s="1">
        <v>187943</v>
      </c>
      <c r="GO198" s="1">
        <v>8685</v>
      </c>
      <c r="GP198" s="1">
        <v>613207</v>
      </c>
      <c r="GQ198" s="1">
        <v>425264</v>
      </c>
      <c r="GS198" s="1">
        <v>1990</v>
      </c>
      <c r="GT198" s="1">
        <v>15818</v>
      </c>
      <c r="GU198" s="1">
        <v>5254</v>
      </c>
      <c r="GV198" s="1">
        <v>7016</v>
      </c>
      <c r="GW198" s="1">
        <v>4517</v>
      </c>
      <c r="GX198" s="1">
        <v>14659</v>
      </c>
      <c r="GY198" s="1">
        <v>7274</v>
      </c>
      <c r="GZ198" s="1">
        <v>626</v>
      </c>
      <c r="HA198" s="1">
        <v>55164</v>
      </c>
      <c r="HC198" s="1">
        <v>1990</v>
      </c>
      <c r="HD198" s="1">
        <v>9526</v>
      </c>
      <c r="HE198" s="1">
        <v>208025</v>
      </c>
      <c r="HF198" s="1">
        <v>74624</v>
      </c>
      <c r="HG198" s="1">
        <v>55972</v>
      </c>
      <c r="HH198" s="1">
        <v>227815</v>
      </c>
      <c r="HI198" s="1">
        <v>255402</v>
      </c>
      <c r="HJ198" s="1">
        <v>10609</v>
      </c>
      <c r="HK198" s="2">
        <v>841973</v>
      </c>
      <c r="HL198" s="1">
        <v>586571</v>
      </c>
      <c r="HN198" s="1">
        <v>1990</v>
      </c>
      <c r="HO198" s="1">
        <v>15962.548103793415</v>
      </c>
      <c r="HP198" s="1">
        <v>7327.799977204616</v>
      </c>
      <c r="HQ198" s="1">
        <v>11708.081398989219</v>
      </c>
      <c r="HR198" s="1">
        <v>5181.1694161526329</v>
      </c>
      <c r="HS198" s="1">
        <v>31025.183283008897</v>
      </c>
      <c r="HT198" s="1">
        <v>764.67864133563614</v>
      </c>
      <c r="HU198" s="2">
        <v>71969.460820484412</v>
      </c>
      <c r="HW198" s="1">
        <v>1990</v>
      </c>
      <c r="HX198" s="1">
        <v>8114.6032959865115</v>
      </c>
      <c r="HY198" s="1">
        <v>66660.59104098336</v>
      </c>
      <c r="HZ198" s="1">
        <v>2269.6224228606588</v>
      </c>
      <c r="IA198" s="1">
        <v>25782.175545383499</v>
      </c>
      <c r="IB198" s="1">
        <v>50029.116425641507</v>
      </c>
      <c r="IC198" s="1">
        <v>24557.723486158866</v>
      </c>
      <c r="ID198" s="1">
        <v>104731.43044866009</v>
      </c>
      <c r="IE198" s="2">
        <v>282145.2626656745</v>
      </c>
      <c r="IF198" s="1">
        <v>257587.53917951562</v>
      </c>
      <c r="IH198" s="1">
        <v>1990</v>
      </c>
      <c r="II198" s="1">
        <v>254.44282212091213</v>
      </c>
      <c r="IJ198" s="1">
        <v>26.324235240507427</v>
      </c>
      <c r="IK198" s="1">
        <v>8.1899053283524808</v>
      </c>
      <c r="IL198" s="1">
        <v>303.03226629895892</v>
      </c>
      <c r="IM198" s="1">
        <v>6.0688860279665739</v>
      </c>
      <c r="IN198" s="1">
        <v>1.8881309015626804</v>
      </c>
      <c r="IO198" s="1">
        <v>0.82695371622317282</v>
      </c>
    </row>
    <row r="199" spans="1:249" x14ac:dyDescent="0.25">
      <c r="A199" s="1" t="s">
        <v>290</v>
      </c>
      <c r="B199" s="1">
        <v>-1.3011192567075227</v>
      </c>
      <c r="C199" s="1">
        <v>-1.3839951455929622</v>
      </c>
      <c r="D199" s="1">
        <v>-1.3081344541194966</v>
      </c>
      <c r="E199" s="1">
        <v>-1.2941035606425402</v>
      </c>
      <c r="F199" s="1">
        <v>-1.5261348423577914</v>
      </c>
      <c r="G199" s="1">
        <v>-1.066688079245651</v>
      </c>
      <c r="H199" s="1">
        <v>-1.6600784818327554</v>
      </c>
      <c r="J199" s="1">
        <v>1991</v>
      </c>
      <c r="K199" s="2">
        <v>1453208.3869856936</v>
      </c>
      <c r="L199" s="1">
        <v>1255284.3869856934</v>
      </c>
      <c r="M199" s="1">
        <v>1250677.7583594134</v>
      </c>
      <c r="N199" s="1">
        <v>1052753.7583594131</v>
      </c>
      <c r="O199" s="1">
        <v>202530.62862628017</v>
      </c>
      <c r="P199" s="1">
        <v>197924</v>
      </c>
      <c r="Q199" s="1">
        <v>1199372</v>
      </c>
      <c r="R199" s="1">
        <v>2652580.3869856936</v>
      </c>
      <c r="S199" s="1">
        <v>2454656.3869856931</v>
      </c>
      <c r="U199" s="1">
        <v>1991</v>
      </c>
      <c r="V199" s="1">
        <v>168637.83577342035</v>
      </c>
      <c r="W199" s="1">
        <v>195151.17299954849</v>
      </c>
      <c r="X199" s="1">
        <v>-1.7389891347211091</v>
      </c>
      <c r="Y199" s="1">
        <v>145669.70862349973</v>
      </c>
      <c r="Z199" s="1">
        <v>172152.46945276682</v>
      </c>
      <c r="AA199" s="1">
        <v>-1.9718272357461046</v>
      </c>
      <c r="AB199" s="1">
        <v>8617332.9983800668</v>
      </c>
      <c r="AC199" s="1">
        <v>0.68419920531574974</v>
      </c>
      <c r="AE199" s="1">
        <v>1991</v>
      </c>
      <c r="AF199" s="1">
        <v>29923.773886613453</v>
      </c>
      <c r="AG199" s="1">
        <v>279527.80252912833</v>
      </c>
      <c r="AH199" s="1">
        <v>93092.531573440167</v>
      </c>
      <c r="AI199" s="1">
        <v>93684.003809780057</v>
      </c>
      <c r="AJ199" s="1">
        <v>243691.98650582481</v>
      </c>
      <c r="AK199" s="1">
        <v>74512.906176662509</v>
      </c>
      <c r="AL199" s="1">
        <v>297772.38698569348</v>
      </c>
      <c r="AM199" s="1">
        <v>143078.99551855063</v>
      </c>
      <c r="AN199" s="2">
        <v>1255284.3869856936</v>
      </c>
      <c r="AP199" s="1" t="s">
        <v>290</v>
      </c>
      <c r="AQ199" s="1">
        <v>-8.1074732318747351</v>
      </c>
      <c r="AR199" s="1">
        <v>-5.2124407463672355</v>
      </c>
      <c r="AS199" s="1">
        <v>-1.9247970165538248</v>
      </c>
      <c r="AT199" s="1">
        <v>-1.1496824070771936</v>
      </c>
      <c r="AU199" s="1">
        <v>0.68535083919802275</v>
      </c>
      <c r="AV199" s="1">
        <v>0.56572926706577675</v>
      </c>
      <c r="AW199" s="1">
        <v>0.42465192404415575</v>
      </c>
      <c r="AX199" s="1">
        <v>0.93338449153310421</v>
      </c>
      <c r="AY199" s="1">
        <v>-1.3011192567075227</v>
      </c>
      <c r="BA199" s="1">
        <v>1991</v>
      </c>
      <c r="BB199" s="1">
        <v>771310</v>
      </c>
      <c r="BC199" s="1">
        <v>400356.38698569348</v>
      </c>
      <c r="BD199" s="1">
        <v>173403</v>
      </c>
      <c r="BE199" s="1">
        <v>105895</v>
      </c>
      <c r="BF199" s="1">
        <v>992</v>
      </c>
      <c r="BG199" s="1">
        <v>-21173</v>
      </c>
      <c r="BH199" s="1">
        <v>404184</v>
      </c>
      <c r="BI199" s="1">
        <v>381759</v>
      </c>
      <c r="BJ199" s="1">
        <v>1453208.3869856936</v>
      </c>
      <c r="BL199" s="1" t="s">
        <v>290</v>
      </c>
      <c r="BM199" s="1">
        <v>0.92219683825702248</v>
      </c>
      <c r="BN199" s="1">
        <v>2.7392789406222278</v>
      </c>
      <c r="BO199" s="1">
        <v>-14.348607801013941</v>
      </c>
      <c r="BP199" s="1">
        <v>-2.3165099367038096</v>
      </c>
      <c r="BQ199" s="1">
        <v>-4.9061538653149199</v>
      </c>
      <c r="BR199" s="1">
        <v>-1.066688079245651</v>
      </c>
      <c r="BT199" s="1" t="s">
        <v>290</v>
      </c>
      <c r="BU199" s="1">
        <v>10.335976254136185</v>
      </c>
      <c r="BV199" s="1">
        <v>3.1300889474108544</v>
      </c>
      <c r="BW199" s="1">
        <v>4.266523342069533</v>
      </c>
      <c r="BX199" s="1">
        <v>1.7053764339492403</v>
      </c>
      <c r="BY199" s="1">
        <v>-8.5863613738183631E-2</v>
      </c>
      <c r="BZ199" s="1">
        <v>7.5548815449467668</v>
      </c>
      <c r="CB199" s="1">
        <v>1991</v>
      </c>
      <c r="CC199" s="1">
        <v>6208</v>
      </c>
      <c r="CD199" s="1">
        <v>42397.772707102318</v>
      </c>
      <c r="CE199" s="1">
        <v>6245</v>
      </c>
      <c r="CF199" s="1">
        <v>30571</v>
      </c>
      <c r="CG199" s="1">
        <v>37817.173067818912</v>
      </c>
      <c r="CH199" s="1">
        <v>33288</v>
      </c>
      <c r="CI199" s="1">
        <v>102590.05422507875</v>
      </c>
      <c r="CJ199" s="1">
        <v>259117</v>
      </c>
      <c r="CL199" s="1">
        <v>1991</v>
      </c>
      <c r="CM199" s="1">
        <v>8390.288416029558</v>
      </c>
      <c r="CN199" s="1">
        <v>55136.140220088237</v>
      </c>
      <c r="CO199" s="1">
        <v>4456.9870654153201</v>
      </c>
      <c r="CP199" s="1">
        <v>20706.053625085951</v>
      </c>
      <c r="CQ199" s="1">
        <v>28441.798993144574</v>
      </c>
      <c r="CR199" s="1">
        <v>23565.386985693462</v>
      </c>
      <c r="CS199" s="1">
        <v>61833.973320823068</v>
      </c>
      <c r="CT199" s="2">
        <v>202530.62862628017</v>
      </c>
      <c r="CV199" s="1">
        <v>1991</v>
      </c>
      <c r="CW199" s="1">
        <v>2008336.3446687665</v>
      </c>
      <c r="CX199" s="1">
        <v>1470503.300722409</v>
      </c>
      <c r="CY199" s="1">
        <v>650625.51022165024</v>
      </c>
      <c r="CZ199" s="1">
        <v>23137.186879646779</v>
      </c>
      <c r="DA199" s="1">
        <v>217155</v>
      </c>
      <c r="DB199" s="1">
        <v>4369757.3424924724</v>
      </c>
      <c r="DC199" s="1">
        <v>3744873.3797462462</v>
      </c>
      <c r="DD199" s="1">
        <v>884875.8414098263</v>
      </c>
      <c r="DF199" s="1">
        <v>1991</v>
      </c>
      <c r="DG199" s="1">
        <v>1.6478113920735495</v>
      </c>
      <c r="DH199" s="1">
        <v>2.029345383926568</v>
      </c>
      <c r="DI199" s="1">
        <v>1.1245884833283242</v>
      </c>
      <c r="DJ199" s="1">
        <v>2.9442830935807081</v>
      </c>
      <c r="DK199" s="1">
        <v>4.2874702320558953</v>
      </c>
      <c r="DL199" s="1">
        <v>-9.7501784439685935</v>
      </c>
      <c r="DM199" s="1">
        <v>1.2877402320052909</v>
      </c>
      <c r="DN199" s="1">
        <v>1.2453827369483008</v>
      </c>
      <c r="DO199" s="1">
        <v>-1.4817838008475093</v>
      </c>
      <c r="DQ199" s="1">
        <v>1991</v>
      </c>
      <c r="DR199" s="1">
        <v>3413572.4688287987</v>
      </c>
      <c r="DS199" s="1">
        <v>2596784.9789800169</v>
      </c>
      <c r="DT199" s="1">
        <v>1227022.2682245343</v>
      </c>
      <c r="DU199" s="1">
        <v>23137.186879646779</v>
      </c>
      <c r="DV199" s="1">
        <v>217155</v>
      </c>
      <c r="DW199" s="1">
        <v>7477671.9029129967</v>
      </c>
      <c r="DX199" s="1">
        <v>6458385.8226120993</v>
      </c>
      <c r="DY199" s="1">
        <v>1567578.344504978</v>
      </c>
      <c r="EA199" s="1">
        <v>1991</v>
      </c>
      <c r="EB199" s="1">
        <v>2.1522158155909352</v>
      </c>
      <c r="EC199" s="1">
        <v>2.3522551332857802</v>
      </c>
      <c r="ED199" s="1">
        <v>1.8882784558137615</v>
      </c>
      <c r="EE199" s="1">
        <v>3.542625717146791</v>
      </c>
      <c r="EF199" s="1">
        <v>4.2874702320558953</v>
      </c>
      <c r="EG199" s="1">
        <v>-9.7501784439685935</v>
      </c>
      <c r="EH199" s="1">
        <v>2.04167330531142</v>
      </c>
      <c r="EI199" s="1">
        <v>1.9881303786367255</v>
      </c>
      <c r="EJ199" s="1">
        <v>0.32883798326879798</v>
      </c>
      <c r="EL199" s="1">
        <v>1991</v>
      </c>
      <c r="EM199" s="1">
        <v>160300</v>
      </c>
      <c r="EN199" s="1">
        <v>952700</v>
      </c>
      <c r="EO199" s="1">
        <v>297200</v>
      </c>
      <c r="EP199" s="1">
        <v>299700</v>
      </c>
      <c r="EQ199" s="1">
        <v>848100</v>
      </c>
      <c r="ER199" s="1">
        <v>371700</v>
      </c>
      <c r="ES199" s="1">
        <v>1426500</v>
      </c>
      <c r="ET199" s="1">
        <v>65300</v>
      </c>
      <c r="EU199" s="1">
        <v>4421500</v>
      </c>
      <c r="EV199" s="1">
        <v>2995000</v>
      </c>
      <c r="EX199" s="1">
        <v>1991</v>
      </c>
      <c r="EY199" s="1">
        <v>60600</v>
      </c>
      <c r="EZ199" s="1">
        <v>921100</v>
      </c>
      <c r="FA199" s="1">
        <v>254400</v>
      </c>
      <c r="FB199" s="1">
        <v>276600</v>
      </c>
      <c r="FC199" s="1">
        <v>765500</v>
      </c>
      <c r="FD199" s="1">
        <v>321200</v>
      </c>
      <c r="FE199" s="1">
        <v>1426500</v>
      </c>
      <c r="FF199" s="1">
        <v>61400</v>
      </c>
      <c r="FG199" s="1">
        <v>4087300</v>
      </c>
      <c r="FH199" s="1">
        <v>2660800</v>
      </c>
      <c r="FJ199" s="1">
        <v>1991</v>
      </c>
      <c r="FK199" s="1">
        <v>99700</v>
      </c>
      <c r="FL199" s="1">
        <v>31600</v>
      </c>
      <c r="FM199" s="1">
        <v>42800</v>
      </c>
      <c r="FN199" s="1">
        <v>23100</v>
      </c>
      <c r="FO199" s="1">
        <v>82600</v>
      </c>
      <c r="FP199" s="1">
        <v>50500</v>
      </c>
      <c r="FQ199" s="1">
        <v>3900</v>
      </c>
      <c r="FR199" s="1">
        <v>334200</v>
      </c>
      <c r="FS199" s="1">
        <v>228700</v>
      </c>
      <c r="FU199" s="1">
        <v>1991</v>
      </c>
      <c r="FV199" s="1">
        <v>22202</v>
      </c>
      <c r="FW199" s="1">
        <v>145215</v>
      </c>
      <c r="FX199" s="1">
        <v>50565</v>
      </c>
      <c r="FY199" s="1">
        <v>52193</v>
      </c>
      <c r="FZ199" s="1">
        <v>127210</v>
      </c>
      <c r="GA199" s="1">
        <v>57869</v>
      </c>
      <c r="GB199" s="1">
        <v>188248</v>
      </c>
      <c r="GC199" s="1">
        <v>9042</v>
      </c>
      <c r="GD199" s="1">
        <v>652544</v>
      </c>
      <c r="GE199" s="1">
        <v>464296</v>
      </c>
      <c r="GG199" s="1">
        <v>1991</v>
      </c>
      <c r="GH199" s="1">
        <v>7574</v>
      </c>
      <c r="GI199" s="1">
        <v>139775</v>
      </c>
      <c r="GJ199" s="1">
        <v>44153</v>
      </c>
      <c r="GK199" s="1">
        <v>47875</v>
      </c>
      <c r="GL199" s="1">
        <v>113018</v>
      </c>
      <c r="GM199" s="1">
        <v>50842</v>
      </c>
      <c r="GN199" s="1">
        <v>188248</v>
      </c>
      <c r="GO199" s="1">
        <v>8475</v>
      </c>
      <c r="GP199" s="1">
        <v>599960</v>
      </c>
      <c r="GQ199" s="1">
        <v>411712</v>
      </c>
      <c r="GS199" s="1">
        <v>1991</v>
      </c>
      <c r="GT199" s="1">
        <v>14628</v>
      </c>
      <c r="GU199" s="1">
        <v>5440</v>
      </c>
      <c r="GV199" s="1">
        <v>6412</v>
      </c>
      <c r="GW199" s="1">
        <v>4318</v>
      </c>
      <c r="GX199" s="1">
        <v>14192</v>
      </c>
      <c r="GY199" s="1">
        <v>7027</v>
      </c>
      <c r="GZ199" s="1">
        <v>567</v>
      </c>
      <c r="HA199" s="1">
        <v>52584</v>
      </c>
      <c r="HC199" s="1">
        <v>1991</v>
      </c>
      <c r="HD199" s="1">
        <v>9534</v>
      </c>
      <c r="HE199" s="1">
        <v>211973</v>
      </c>
      <c r="HF199" s="1">
        <v>78637</v>
      </c>
      <c r="HG199" s="1">
        <v>59461</v>
      </c>
      <c r="HH199" s="1">
        <v>240914</v>
      </c>
      <c r="HI199" s="1">
        <v>274207</v>
      </c>
      <c r="HJ199" s="1">
        <v>12359</v>
      </c>
      <c r="HK199" s="2">
        <v>887085</v>
      </c>
      <c r="HL199" s="1">
        <v>612878</v>
      </c>
      <c r="HN199" s="1">
        <v>1991</v>
      </c>
      <c r="HO199" s="1">
        <v>11999.485470583895</v>
      </c>
      <c r="HP199" s="1">
        <v>8249.9239492040779</v>
      </c>
      <c r="HQ199" s="1">
        <v>11419.845627703668</v>
      </c>
      <c r="HR199" s="1">
        <v>5362.9785483028718</v>
      </c>
      <c r="HS199" s="1">
        <v>31721.779186732398</v>
      </c>
      <c r="HT199" s="1">
        <v>826.84991150442477</v>
      </c>
      <c r="HU199" s="2">
        <v>69580.862694031341</v>
      </c>
      <c r="HW199" s="1">
        <v>1991</v>
      </c>
      <c r="HX199" s="1">
        <v>8390.288416029558</v>
      </c>
      <c r="HY199" s="1">
        <v>59304.878579924261</v>
      </c>
      <c r="HZ199" s="1">
        <v>3035.6859457365063</v>
      </c>
      <c r="IA199" s="1">
        <v>28860.025261477182</v>
      </c>
      <c r="IB199" s="1">
        <v>45569.113495754893</v>
      </c>
      <c r="IC199" s="1">
        <v>23565.386985693476</v>
      </c>
      <c r="ID199" s="1">
        <v>129893.1456070462</v>
      </c>
      <c r="IE199" s="2">
        <v>298618.52429166209</v>
      </c>
      <c r="IF199" s="1">
        <v>275053.13730596862</v>
      </c>
      <c r="IH199" s="1">
        <v>1991</v>
      </c>
      <c r="II199" s="1">
        <v>262.33465074825324</v>
      </c>
      <c r="IJ199" s="1">
        <v>21.802758731631343</v>
      </c>
      <c r="IK199" s="1">
        <v>6.8233659743906747</v>
      </c>
      <c r="IL199" s="1">
        <v>313.59461190093276</v>
      </c>
      <c r="IM199" s="1">
        <v>1.892962950940372</v>
      </c>
      <c r="IN199" s="1">
        <v>0.59241947999404643</v>
      </c>
      <c r="IO199" s="1">
        <v>-1.53161787016316</v>
      </c>
    </row>
    <row r="200" spans="1:249" x14ac:dyDescent="0.25">
      <c r="A200" s="1" t="s">
        <v>291</v>
      </c>
      <c r="B200" s="1">
        <v>-1.9580186468359813</v>
      </c>
      <c r="C200" s="1">
        <v>-1.9618871276391161</v>
      </c>
      <c r="D200" s="1">
        <v>-1.9856206923718247</v>
      </c>
      <c r="E200" s="1">
        <v>-1.9304088282272147</v>
      </c>
      <c r="F200" s="1">
        <v>-2.4961259961142446</v>
      </c>
      <c r="G200" s="1">
        <v>-1.4829355278274647</v>
      </c>
      <c r="H200" s="1">
        <v>-1.9146416314124224</v>
      </c>
      <c r="J200" s="1">
        <v>1992</v>
      </c>
      <c r="K200" s="2">
        <v>1447781.8449973299</v>
      </c>
      <c r="L200" s="1">
        <v>1269102.8449973301</v>
      </c>
      <c r="M200" s="1">
        <v>1246512.3525105973</v>
      </c>
      <c r="N200" s="1">
        <v>1067833.3525105976</v>
      </c>
      <c r="O200" s="1">
        <v>201269.49248673249</v>
      </c>
      <c r="P200" s="1">
        <v>178679</v>
      </c>
      <c r="Q200" s="1">
        <v>1134255</v>
      </c>
      <c r="R200" s="1">
        <v>2582036.8449973296</v>
      </c>
      <c r="S200" s="1">
        <v>2403357.8449973301</v>
      </c>
      <c r="U200" s="1">
        <v>1992</v>
      </c>
      <c r="V200" s="1">
        <v>167025.42066614184</v>
      </c>
      <c r="W200" s="1">
        <v>191132.68125122719</v>
      </c>
      <c r="X200" s="1">
        <v>-2.0591686365782635</v>
      </c>
      <c r="Y200" s="1">
        <v>146411.8625929222</v>
      </c>
      <c r="Z200" s="1">
        <v>167794.47623577749</v>
      </c>
      <c r="AA200" s="1">
        <v>-2.5314729616382436</v>
      </c>
      <c r="AB200" s="1">
        <v>8668032.9211157821</v>
      </c>
      <c r="AC200" s="1">
        <v>0.58834819015636697</v>
      </c>
      <c r="AE200" s="1">
        <v>1992</v>
      </c>
      <c r="AF200" s="1">
        <v>28513.164791535091</v>
      </c>
      <c r="AG200" s="1">
        <v>277838.17278608272</v>
      </c>
      <c r="AH200" s="1">
        <v>87852.674155556044</v>
      </c>
      <c r="AI200" s="1">
        <v>94395.921088962161</v>
      </c>
      <c r="AJ200" s="1">
        <v>228486.95925278257</v>
      </c>
      <c r="AK200" s="1">
        <v>81600.545531598968</v>
      </c>
      <c r="AL200" s="1">
        <v>302482.84499732999</v>
      </c>
      <c r="AM200" s="1">
        <v>167932.56239348248</v>
      </c>
      <c r="AN200" s="2">
        <v>1269102.8449973301</v>
      </c>
      <c r="AP200" s="1" t="s">
        <v>291</v>
      </c>
      <c r="AQ200" s="1">
        <v>-1.339957894886453</v>
      </c>
      <c r="AR200" s="1">
        <v>-2.5488584504884955</v>
      </c>
      <c r="AS200" s="1">
        <v>-5.759418084972566</v>
      </c>
      <c r="AT200" s="1">
        <v>0.53356833567312378</v>
      </c>
      <c r="AU200" s="1">
        <v>-3.7390524572347488</v>
      </c>
      <c r="AV200" s="1">
        <v>1.9289829283421227</v>
      </c>
      <c r="AW200" s="1">
        <v>-2.3218839302299017</v>
      </c>
      <c r="AX200" s="1">
        <v>1.3347095478206654</v>
      </c>
      <c r="AY200" s="1">
        <v>-1.9580186468359813</v>
      </c>
      <c r="BA200" s="1">
        <v>1992</v>
      </c>
      <c r="BB200" s="1">
        <v>777324</v>
      </c>
      <c r="BC200" s="1">
        <v>408566.84499732987</v>
      </c>
      <c r="BD200" s="1">
        <v>155632</v>
      </c>
      <c r="BE200" s="1">
        <v>87845</v>
      </c>
      <c r="BF200" s="1">
        <v>1126</v>
      </c>
      <c r="BG200" s="1">
        <v>-6657</v>
      </c>
      <c r="BH200" s="1">
        <v>401586</v>
      </c>
      <c r="BI200" s="1">
        <v>377641</v>
      </c>
      <c r="BJ200" s="1">
        <v>1447781.8449973299</v>
      </c>
      <c r="BL200" s="1" t="s">
        <v>291</v>
      </c>
      <c r="BM200" s="1">
        <v>-1.4006041669367733</v>
      </c>
      <c r="BN200" s="1">
        <v>-4.3684230346201502E-2</v>
      </c>
      <c r="BO200" s="1">
        <v>-6.0934082148703794</v>
      </c>
      <c r="BP200" s="1">
        <v>2.3442293608851372</v>
      </c>
      <c r="BQ200" s="1">
        <v>1.1371048226760792</v>
      </c>
      <c r="BR200" s="1">
        <v>-1.4829355278274647</v>
      </c>
      <c r="BT200" s="1" t="s">
        <v>291</v>
      </c>
      <c r="BU200" s="1">
        <v>2.2112879960342298</v>
      </c>
      <c r="BV200" s="1">
        <v>2.095386902119742</v>
      </c>
      <c r="BW200" s="1">
        <v>-2.2118065684850734</v>
      </c>
      <c r="BX200" s="1">
        <v>-2.9185875322427393</v>
      </c>
      <c r="BY200" s="1">
        <v>-2.1908831908831843</v>
      </c>
      <c r="BZ200" s="1">
        <v>1.1262186033975183</v>
      </c>
      <c r="CB200" s="1">
        <v>1992</v>
      </c>
      <c r="CC200" s="1">
        <v>6046</v>
      </c>
      <c r="CD200" s="1">
        <v>43006.506399471109</v>
      </c>
      <c r="CE200" s="1">
        <v>3697</v>
      </c>
      <c r="CF200" s="1">
        <v>26506</v>
      </c>
      <c r="CG200" s="1">
        <v>34992.405416597387</v>
      </c>
      <c r="CH200" s="1">
        <v>31996</v>
      </c>
      <c r="CI200" s="1">
        <v>91702.088183931497</v>
      </c>
      <c r="CJ200" s="1">
        <v>237946</v>
      </c>
      <c r="CL200" s="1">
        <v>1992</v>
      </c>
      <c r="CM200" s="1">
        <v>8337.1776564510255</v>
      </c>
      <c r="CN200" s="1">
        <v>54388.794837174552</v>
      </c>
      <c r="CO200" s="1">
        <v>4379.5631018983158</v>
      </c>
      <c r="CP200" s="1">
        <v>20798.554047591057</v>
      </c>
      <c r="CQ200" s="1">
        <v>28661.107241593556</v>
      </c>
      <c r="CR200" s="1">
        <v>23294.844997329885</v>
      </c>
      <c r="CS200" s="1">
        <v>61409.450604694095</v>
      </c>
      <c r="CT200" s="2">
        <v>201269.49248673249</v>
      </c>
      <c r="CV200" s="1">
        <v>1992</v>
      </c>
      <c r="CW200" s="1">
        <v>2003250.6856622144</v>
      </c>
      <c r="CX200" s="1">
        <v>1441870.6863704326</v>
      </c>
      <c r="CY200" s="1">
        <v>664552.44743140112</v>
      </c>
      <c r="CZ200" s="1">
        <v>26689.061322674137</v>
      </c>
      <c r="DA200" s="1">
        <v>193735</v>
      </c>
      <c r="DB200" s="1">
        <v>4330097.8807867225</v>
      </c>
      <c r="DC200" s="1">
        <v>3718632.4031385342</v>
      </c>
      <c r="DD200" s="1">
        <v>863831.05921304377</v>
      </c>
      <c r="DF200" s="1">
        <v>1992</v>
      </c>
      <c r="DG200" s="1">
        <v>1.1915352620888768</v>
      </c>
      <c r="DH200" s="1">
        <v>1.5121740776653496</v>
      </c>
      <c r="DI200" s="1">
        <v>0.75095214855839743</v>
      </c>
      <c r="DJ200" s="1">
        <v>0.1200958917268764</v>
      </c>
      <c r="DK200" s="1">
        <v>4.2189569216635903</v>
      </c>
      <c r="DL200" s="1">
        <v>-3.4361369912509332</v>
      </c>
      <c r="DM200" s="1">
        <v>0.82914142727767626</v>
      </c>
      <c r="DN200" s="1">
        <v>0.7302719435782592</v>
      </c>
      <c r="DO200" s="1">
        <v>-1.3576633273384573</v>
      </c>
      <c r="DQ200" s="1">
        <v>1992</v>
      </c>
      <c r="DR200" s="1">
        <v>3415704.5262976666</v>
      </c>
      <c r="DS200" s="1">
        <v>2567587.1711046789</v>
      </c>
      <c r="DT200" s="1">
        <v>1261612.9535982274</v>
      </c>
      <c r="DU200" s="1">
        <v>26689.061322674137</v>
      </c>
      <c r="DV200" s="1">
        <v>193735</v>
      </c>
      <c r="DW200" s="1">
        <v>7465328.7123232465</v>
      </c>
      <c r="DX200" s="1">
        <v>6459844.4426432494</v>
      </c>
      <c r="DY200" s="1">
        <v>1558792.9694755115</v>
      </c>
      <c r="EA200" s="1">
        <v>1992</v>
      </c>
      <c r="EB200" s="1">
        <v>1.862383017535123</v>
      </c>
      <c r="EC200" s="1">
        <v>2.0301078659490628</v>
      </c>
      <c r="ED200" s="1">
        <v>1.6419130838980749</v>
      </c>
      <c r="EE200" s="1">
        <v>1.8482396533396468</v>
      </c>
      <c r="EF200" s="1">
        <v>4.2189569216635903</v>
      </c>
      <c r="EG200" s="1">
        <v>-3.4361369912509332</v>
      </c>
      <c r="EH200" s="1">
        <v>1.7289350793288776</v>
      </c>
      <c r="EI200" s="1">
        <v>1.640538982772938</v>
      </c>
      <c r="EJ200" s="1">
        <v>0.32928887019190256</v>
      </c>
      <c r="EL200" s="1">
        <v>1992</v>
      </c>
      <c r="EM200" s="1">
        <v>154700</v>
      </c>
      <c r="EN200" s="1">
        <v>870500</v>
      </c>
      <c r="EO200" s="1">
        <v>267800</v>
      </c>
      <c r="EP200" s="1">
        <v>287600</v>
      </c>
      <c r="EQ200" s="1">
        <v>817000</v>
      </c>
      <c r="ER200" s="1">
        <v>366800</v>
      </c>
      <c r="ES200" s="1">
        <v>1372400</v>
      </c>
      <c r="ET200" s="1">
        <v>67100</v>
      </c>
      <c r="EU200" s="1">
        <v>4203900</v>
      </c>
      <c r="EV200" s="1">
        <v>2831500</v>
      </c>
      <c r="EX200" s="1">
        <v>1992</v>
      </c>
      <c r="EY200" s="1">
        <v>55700</v>
      </c>
      <c r="EZ200" s="1">
        <v>837500</v>
      </c>
      <c r="FA200" s="1">
        <v>222600</v>
      </c>
      <c r="FB200" s="1">
        <v>263400</v>
      </c>
      <c r="FC200" s="1">
        <v>733000</v>
      </c>
      <c r="FD200" s="1">
        <v>317900</v>
      </c>
      <c r="FE200" s="1">
        <v>1372400</v>
      </c>
      <c r="FF200" s="1">
        <v>63000</v>
      </c>
      <c r="FG200" s="1">
        <v>3865500</v>
      </c>
      <c r="FH200" s="1">
        <v>2493100</v>
      </c>
      <c r="FJ200" s="1">
        <v>1992</v>
      </c>
      <c r="FK200" s="1">
        <v>99000</v>
      </c>
      <c r="FL200" s="1">
        <v>33000</v>
      </c>
      <c r="FM200" s="1">
        <v>45200</v>
      </c>
      <c r="FN200" s="1">
        <v>24200</v>
      </c>
      <c r="FO200" s="1">
        <v>84000</v>
      </c>
      <c r="FP200" s="1">
        <v>48900</v>
      </c>
      <c r="FQ200" s="1">
        <v>4100</v>
      </c>
      <c r="FR200" s="1">
        <v>338400</v>
      </c>
      <c r="FS200" s="1">
        <v>187300</v>
      </c>
      <c r="FU200" s="1">
        <v>1992</v>
      </c>
      <c r="FV200" s="1">
        <v>21696</v>
      </c>
      <c r="FW200" s="1">
        <v>134075</v>
      </c>
      <c r="FX200" s="1">
        <v>45759</v>
      </c>
      <c r="FY200" s="1">
        <v>50672</v>
      </c>
      <c r="FZ200" s="1">
        <v>124352</v>
      </c>
      <c r="GA200" s="1">
        <v>57870</v>
      </c>
      <c r="GB200" s="1">
        <v>183014</v>
      </c>
      <c r="GC200" s="1">
        <v>9431</v>
      </c>
      <c r="GD200" s="1">
        <v>626869</v>
      </c>
      <c r="GE200" s="1">
        <v>443855</v>
      </c>
      <c r="GG200" s="1">
        <v>1992</v>
      </c>
      <c r="GH200" s="1">
        <v>7092</v>
      </c>
      <c r="GI200" s="1">
        <v>128448</v>
      </c>
      <c r="GJ200" s="1">
        <v>39337</v>
      </c>
      <c r="GK200" s="1">
        <v>46177</v>
      </c>
      <c r="GL200" s="1">
        <v>109683</v>
      </c>
      <c r="GM200" s="1">
        <v>51207</v>
      </c>
      <c r="GN200" s="1">
        <v>183014</v>
      </c>
      <c r="GO200" s="1">
        <v>8828</v>
      </c>
      <c r="GP200" s="1">
        <v>573786</v>
      </c>
      <c r="GQ200" s="1">
        <v>390772</v>
      </c>
      <c r="GS200" s="1">
        <v>1992</v>
      </c>
      <c r="GT200" s="1">
        <v>14604</v>
      </c>
      <c r="GU200" s="1">
        <v>5627</v>
      </c>
      <c r="GV200" s="1">
        <v>6422</v>
      </c>
      <c r="GW200" s="1">
        <v>4495</v>
      </c>
      <c r="GX200" s="1">
        <v>14669</v>
      </c>
      <c r="GY200" s="1">
        <v>6663</v>
      </c>
      <c r="GZ200" s="1">
        <v>603</v>
      </c>
      <c r="HA200" s="1">
        <v>53083</v>
      </c>
      <c r="HC200" s="1">
        <v>1992</v>
      </c>
      <c r="HD200" s="1">
        <v>9094</v>
      </c>
      <c r="HE200" s="1">
        <v>203459</v>
      </c>
      <c r="HF200" s="1">
        <v>70693</v>
      </c>
      <c r="HG200" s="1">
        <v>58338</v>
      </c>
      <c r="HH200" s="1">
        <v>240076</v>
      </c>
      <c r="HI200" s="1">
        <v>279188</v>
      </c>
      <c r="HJ200" s="1">
        <v>13373</v>
      </c>
      <c r="HK200" s="2">
        <v>874221</v>
      </c>
      <c r="HL200" s="1">
        <v>595033</v>
      </c>
      <c r="HN200" s="1">
        <v>1992</v>
      </c>
      <c r="HO200" s="1">
        <v>11081.987135084066</v>
      </c>
      <c r="HP200" s="1">
        <v>8913.0526983682103</v>
      </c>
      <c r="HQ200" s="1">
        <v>11541.054122073365</v>
      </c>
      <c r="HR200" s="1">
        <v>5678.786192260216</v>
      </c>
      <c r="HS200" s="1">
        <v>32052.93245828306</v>
      </c>
      <c r="HT200" s="1">
        <v>913.44800634345268</v>
      </c>
      <c r="HU200" s="2">
        <v>70181.260612412356</v>
      </c>
      <c r="HW200" s="1">
        <v>1992</v>
      </c>
      <c r="HX200" s="1">
        <v>8337.1776564510255</v>
      </c>
      <c r="HY200" s="1">
        <v>65466.120087714487</v>
      </c>
      <c r="HZ200" s="1">
        <v>5618.6200334826863</v>
      </c>
      <c r="IA200" s="1">
        <v>30379.134896701944</v>
      </c>
      <c r="IB200" s="1">
        <v>37958.572326098489</v>
      </c>
      <c r="IC200" s="1">
        <v>23294.844997329987</v>
      </c>
      <c r="ID200" s="1">
        <v>153646.11438713904</v>
      </c>
      <c r="IE200" s="2">
        <v>324700.58438491763</v>
      </c>
      <c r="IF200" s="1">
        <v>301405.73938758764</v>
      </c>
      <c r="IH200" s="1">
        <v>1992</v>
      </c>
      <c r="II200" s="1">
        <v>262.40602119842686</v>
      </c>
      <c r="IJ200" s="1">
        <v>26.039922236652696</v>
      </c>
      <c r="IK200" s="1">
        <v>7.8733174098869956</v>
      </c>
      <c r="IL200" s="1">
        <v>314.34035371985277</v>
      </c>
      <c r="IM200" s="1">
        <v>5.215999520555112</v>
      </c>
      <c r="IN200" s="1">
        <v>1.5770868845892443</v>
      </c>
      <c r="IO200" s="1">
        <v>3.2807694714132509</v>
      </c>
    </row>
    <row r="201" spans="1:249" x14ac:dyDescent="0.25">
      <c r="A201" s="1" t="s">
        <v>292</v>
      </c>
      <c r="B201" s="1">
        <v>-1.7838445611183147</v>
      </c>
      <c r="C201" s="1">
        <v>-1.8984063775256175</v>
      </c>
      <c r="D201" s="1">
        <v>-1.8026067789802198</v>
      </c>
      <c r="E201" s="1">
        <v>-1.765078758427876</v>
      </c>
      <c r="F201" s="1">
        <v>-1.7324450231767514</v>
      </c>
      <c r="G201" s="1">
        <v>-2.0651679475149365</v>
      </c>
      <c r="H201" s="1">
        <v>-2.3925473910642978</v>
      </c>
      <c r="J201" s="1">
        <v>1993</v>
      </c>
      <c r="K201" s="2">
        <v>1452506.7297933595</v>
      </c>
      <c r="L201" s="1">
        <v>1276769.7297933593</v>
      </c>
      <c r="M201" s="1">
        <v>1246705.6747895821</v>
      </c>
      <c r="N201" s="1">
        <v>1070968.6747895819</v>
      </c>
      <c r="O201" s="1">
        <v>205801.05500377738</v>
      </c>
      <c r="P201" s="1">
        <v>175737</v>
      </c>
      <c r="Q201" s="1">
        <v>1199116</v>
      </c>
      <c r="R201" s="1">
        <v>2651622.7297933595</v>
      </c>
      <c r="S201" s="1">
        <v>2475885.7297933595</v>
      </c>
      <c r="U201" s="1">
        <v>1993</v>
      </c>
      <c r="V201" s="1">
        <v>166600.13776015182</v>
      </c>
      <c r="W201" s="1">
        <v>186101.50708652736</v>
      </c>
      <c r="X201" s="1">
        <v>-2.6322940335288791</v>
      </c>
      <c r="Y201" s="1">
        <v>146443.39231517821</v>
      </c>
      <c r="Z201" s="1">
        <v>163846.94380879225</v>
      </c>
      <c r="AA201" s="1">
        <v>-2.3525997491349813</v>
      </c>
      <c r="AB201" s="1">
        <v>8718520.5806040857</v>
      </c>
      <c r="AC201" s="1">
        <v>0.58245809571526763</v>
      </c>
      <c r="AE201" s="1">
        <v>1993</v>
      </c>
      <c r="AF201" s="1">
        <v>26040.106282712379</v>
      </c>
      <c r="AG201" s="1">
        <v>279978.23244451318</v>
      </c>
      <c r="AH201" s="1">
        <v>74305.347114079195</v>
      </c>
      <c r="AI201" s="1">
        <v>88059.275287644879</v>
      </c>
      <c r="AJ201" s="1">
        <v>247747.0982193872</v>
      </c>
      <c r="AK201" s="1">
        <v>82834.884067836421</v>
      </c>
      <c r="AL201" s="1">
        <v>301424.72979335935</v>
      </c>
      <c r="AM201" s="1">
        <v>176380.05658382672</v>
      </c>
      <c r="AN201" s="2">
        <v>1276769.7297933593</v>
      </c>
      <c r="AP201" s="1" t="s">
        <v>292</v>
      </c>
      <c r="AQ201" s="1">
        <v>-0.73316263002028847</v>
      </c>
      <c r="AR201" s="1">
        <v>1.0050551591256607</v>
      </c>
      <c r="AS201" s="1">
        <v>-8.9253943500333435</v>
      </c>
      <c r="AT201" s="1">
        <v>-5.3460683731534999</v>
      </c>
      <c r="AU201" s="1">
        <v>-3.234207417978979</v>
      </c>
      <c r="AV201" s="1">
        <v>1.0271871266152743</v>
      </c>
      <c r="AW201" s="1">
        <v>-2.2822738422110405</v>
      </c>
      <c r="AX201" s="1">
        <v>0.59483882835789359</v>
      </c>
      <c r="AY201" s="1">
        <v>-1.7838445611183147</v>
      </c>
      <c r="BA201" s="1">
        <v>1993</v>
      </c>
      <c r="BB201" s="1">
        <v>796370</v>
      </c>
      <c r="BC201" s="1">
        <v>412365.72979335947</v>
      </c>
      <c r="BD201" s="1">
        <v>124207</v>
      </c>
      <c r="BE201" s="1">
        <v>80708</v>
      </c>
      <c r="BF201" s="1">
        <v>800</v>
      </c>
      <c r="BG201" s="1">
        <v>-13742</v>
      </c>
      <c r="BH201" s="1">
        <v>473292</v>
      </c>
      <c r="BI201" s="1">
        <v>421494</v>
      </c>
      <c r="BJ201" s="1">
        <v>1452506.7297933595</v>
      </c>
      <c r="BL201" s="1" t="s">
        <v>292</v>
      </c>
      <c r="BM201" s="1">
        <v>-3.0605898433544922</v>
      </c>
      <c r="BN201" s="1">
        <v>0.23301383403364184</v>
      </c>
      <c r="BO201" s="1">
        <v>-20.458566560675479</v>
      </c>
      <c r="BP201" s="1">
        <v>7.6410763454922943</v>
      </c>
      <c r="BQ201" s="1">
        <v>-2.502460502460508</v>
      </c>
      <c r="BR201" s="1">
        <v>-2.0651679475149365</v>
      </c>
      <c r="BT201" s="1" t="s">
        <v>292</v>
      </c>
      <c r="BU201" s="1">
        <v>5.6847785438950922</v>
      </c>
      <c r="BV201" s="1">
        <v>0.69517372414749445</v>
      </c>
      <c r="BW201" s="1">
        <v>1.4304448042732361</v>
      </c>
      <c r="BX201" s="1">
        <v>9.4895240203033921</v>
      </c>
      <c r="BY201" s="1">
        <v>14.477095512683462</v>
      </c>
      <c r="BZ201" s="1">
        <v>2.4419517185669832</v>
      </c>
      <c r="CB201" s="1">
        <v>1993</v>
      </c>
      <c r="CC201" s="1">
        <v>5590</v>
      </c>
      <c r="CD201" s="1">
        <v>38636.441776804066</v>
      </c>
      <c r="CE201" s="1">
        <v>3153</v>
      </c>
      <c r="CF201" s="1">
        <v>22406</v>
      </c>
      <c r="CG201" s="1">
        <v>25414.104909171187</v>
      </c>
      <c r="CH201" s="1">
        <v>34362</v>
      </c>
      <c r="CI201" s="1">
        <v>62411.453314024751</v>
      </c>
      <c r="CJ201" s="1">
        <v>191973</v>
      </c>
      <c r="CL201" s="1">
        <v>1993</v>
      </c>
      <c r="CM201" s="1">
        <v>8890.6194118777112</v>
      </c>
      <c r="CN201" s="1">
        <v>56995.385645409828</v>
      </c>
      <c r="CO201" s="1">
        <v>4534.1866077004206</v>
      </c>
      <c r="CP201" s="1">
        <v>21691.275981294802</v>
      </c>
      <c r="CQ201" s="1">
        <v>29539.660041741165</v>
      </c>
      <c r="CR201" s="1">
        <v>24037.729793359445</v>
      </c>
      <c r="CS201" s="1">
        <v>60112.197522393995</v>
      </c>
      <c r="CT201" s="2">
        <v>205801.05500377738</v>
      </c>
      <c r="CV201" s="1">
        <v>1993</v>
      </c>
      <c r="CW201" s="1">
        <v>1981642.8377849464</v>
      </c>
      <c r="CX201" s="1">
        <v>1447070.6674383213</v>
      </c>
      <c r="CY201" s="1">
        <v>714496.47443187027</v>
      </c>
      <c r="CZ201" s="1">
        <v>24684.355219285182</v>
      </c>
      <c r="DA201" s="1">
        <v>190548</v>
      </c>
      <c r="DB201" s="1">
        <v>4358442.3348744232</v>
      </c>
      <c r="DC201" s="1">
        <v>3739085.7952462654</v>
      </c>
      <c r="DD201" s="1">
        <v>879580.53754099144</v>
      </c>
      <c r="DF201" s="1">
        <v>1993</v>
      </c>
      <c r="DG201" s="1">
        <v>0.31862188642813294</v>
      </c>
      <c r="DH201" s="1">
        <v>0.1160277597854531</v>
      </c>
      <c r="DI201" s="1">
        <v>0.59324868505592576</v>
      </c>
      <c r="DJ201" s="1">
        <v>-1.6581722964681234</v>
      </c>
      <c r="DK201" s="1">
        <v>3.2409191688141874</v>
      </c>
      <c r="DL201" s="1">
        <v>-7.2118311396603474</v>
      </c>
      <c r="DM201" s="1">
        <v>-0.33285680567934151</v>
      </c>
      <c r="DN201" s="1">
        <v>-0.6633114152726165</v>
      </c>
      <c r="DO201" s="1">
        <v>-2.1039973566617789</v>
      </c>
      <c r="DQ201" s="1">
        <v>1993</v>
      </c>
      <c r="DR201" s="1">
        <v>3396100.9696032493</v>
      </c>
      <c r="DS201" s="1">
        <v>2603799.2361143529</v>
      </c>
      <c r="DT201" s="1">
        <v>1382301.1071356626</v>
      </c>
      <c r="DU201" s="1">
        <v>24684.355219285182</v>
      </c>
      <c r="DV201" s="1">
        <v>190548</v>
      </c>
      <c r="DW201" s="1">
        <v>7597433.6680725506</v>
      </c>
      <c r="DX201" s="1">
        <v>6570175.6141776051</v>
      </c>
      <c r="DY201" s="1">
        <v>1617450.6801277548</v>
      </c>
      <c r="EA201" s="1">
        <v>1993</v>
      </c>
      <c r="EB201" s="1">
        <v>1.3271424121861628</v>
      </c>
      <c r="EC201" s="1">
        <v>1.1782506505736023</v>
      </c>
      <c r="ED201" s="1">
        <v>1.5193183363400067</v>
      </c>
      <c r="EE201" s="1">
        <v>0.68466165261654055</v>
      </c>
      <c r="EF201" s="1">
        <v>3.2409191688141874</v>
      </c>
      <c r="EG201" s="1">
        <v>-7.2118311396603474</v>
      </c>
      <c r="EH201" s="1">
        <v>0.99327408392389316</v>
      </c>
      <c r="EI201" s="1">
        <v>0.77098399603477219</v>
      </c>
      <c r="EJ201" s="1">
        <v>-0.16298994214292861</v>
      </c>
      <c r="EL201" s="1">
        <v>1993</v>
      </c>
      <c r="EM201" s="1">
        <v>154000</v>
      </c>
      <c r="EN201" s="1">
        <v>806900</v>
      </c>
      <c r="EO201" s="1">
        <v>229600</v>
      </c>
      <c r="EP201" s="1">
        <v>273000</v>
      </c>
      <c r="EQ201" s="1">
        <v>768400</v>
      </c>
      <c r="ER201" s="1">
        <v>368900</v>
      </c>
      <c r="ES201" s="1">
        <v>1324400</v>
      </c>
      <c r="ET201" s="1">
        <v>63200</v>
      </c>
      <c r="EU201" s="1">
        <v>3988400</v>
      </c>
      <c r="EV201" s="1">
        <v>2664000</v>
      </c>
      <c r="EX201" s="1">
        <v>1993</v>
      </c>
      <c r="EY201" s="1">
        <v>51900</v>
      </c>
      <c r="EZ201" s="1">
        <v>774600</v>
      </c>
      <c r="FA201" s="1">
        <v>186400</v>
      </c>
      <c r="FB201" s="1">
        <v>249100</v>
      </c>
      <c r="FC201" s="1">
        <v>682300</v>
      </c>
      <c r="FD201" s="1">
        <v>311100</v>
      </c>
      <c r="FE201" s="1">
        <v>1324400</v>
      </c>
      <c r="FF201" s="1">
        <v>59200</v>
      </c>
      <c r="FG201" s="1">
        <v>3639000</v>
      </c>
      <c r="FH201" s="1">
        <v>2314600</v>
      </c>
      <c r="FJ201" s="1">
        <v>1993</v>
      </c>
      <c r="FK201" s="1">
        <v>102100</v>
      </c>
      <c r="FL201" s="1">
        <v>32300</v>
      </c>
      <c r="FM201" s="1">
        <v>43200</v>
      </c>
      <c r="FN201" s="1">
        <v>23900</v>
      </c>
      <c r="FO201" s="1">
        <v>86100</v>
      </c>
      <c r="FP201" s="1">
        <v>57800</v>
      </c>
      <c r="FQ201" s="1">
        <v>4000</v>
      </c>
      <c r="FR201" s="1">
        <v>349400</v>
      </c>
      <c r="FS201" s="1">
        <v>152700</v>
      </c>
      <c r="FU201" s="1">
        <v>1993</v>
      </c>
      <c r="FV201" s="1">
        <v>21183</v>
      </c>
      <c r="FW201" s="1">
        <v>127467</v>
      </c>
      <c r="FX201" s="1">
        <v>39582</v>
      </c>
      <c r="FY201" s="1">
        <v>48140</v>
      </c>
      <c r="FZ201" s="1">
        <v>118020</v>
      </c>
      <c r="GA201" s="1">
        <v>59036</v>
      </c>
      <c r="GB201" s="1">
        <v>178062</v>
      </c>
      <c r="GC201" s="1">
        <v>9494</v>
      </c>
      <c r="GD201" s="1">
        <v>600984</v>
      </c>
      <c r="GE201" s="1">
        <v>422922</v>
      </c>
      <c r="GG201" s="1">
        <v>1993</v>
      </c>
      <c r="GH201" s="1">
        <v>6661</v>
      </c>
      <c r="GI201" s="1">
        <v>121990</v>
      </c>
      <c r="GJ201" s="1">
        <v>33482</v>
      </c>
      <c r="GK201" s="1">
        <v>43788</v>
      </c>
      <c r="GL201" s="1">
        <v>103175</v>
      </c>
      <c r="GM201" s="1">
        <v>51098</v>
      </c>
      <c r="GN201" s="1">
        <v>178062</v>
      </c>
      <c r="GO201" s="1">
        <v>8801</v>
      </c>
      <c r="GP201" s="1">
        <v>547057</v>
      </c>
      <c r="GQ201" s="1">
        <v>368995</v>
      </c>
      <c r="GS201" s="1">
        <v>1993</v>
      </c>
      <c r="GT201" s="1">
        <v>14522</v>
      </c>
      <c r="GU201" s="1">
        <v>5477</v>
      </c>
      <c r="GV201" s="1">
        <v>6100</v>
      </c>
      <c r="GW201" s="1">
        <v>4352</v>
      </c>
      <c r="GX201" s="1">
        <v>14845</v>
      </c>
      <c r="GY201" s="1">
        <v>7938</v>
      </c>
      <c r="GZ201" s="1">
        <v>693</v>
      </c>
      <c r="HA201" s="1">
        <v>53927</v>
      </c>
      <c r="HC201" s="1">
        <v>1993</v>
      </c>
      <c r="HD201" s="1">
        <v>8543</v>
      </c>
      <c r="HE201" s="1">
        <v>192653</v>
      </c>
      <c r="HF201" s="1">
        <v>61920</v>
      </c>
      <c r="HG201" s="1">
        <v>58893</v>
      </c>
      <c r="HH201" s="1">
        <v>238340</v>
      </c>
      <c r="HI201" s="1">
        <v>277387</v>
      </c>
      <c r="HJ201" s="1">
        <v>13867</v>
      </c>
      <c r="HK201" s="2">
        <v>851603</v>
      </c>
      <c r="HL201" s="1">
        <v>574216</v>
      </c>
      <c r="HN201" s="1">
        <v>1993</v>
      </c>
      <c r="HO201" s="1">
        <v>8606.4868708346694</v>
      </c>
      <c r="HP201" s="1">
        <v>8649.5653824083947</v>
      </c>
      <c r="HQ201" s="1">
        <v>11281.046532465205</v>
      </c>
      <c r="HR201" s="1">
        <v>5853.2551383940809</v>
      </c>
      <c r="HS201" s="1">
        <v>34983.842806394307</v>
      </c>
      <c r="HT201" s="1">
        <v>1091.9021702079308</v>
      </c>
      <c r="HU201" s="2">
        <v>70466.098900704586</v>
      </c>
      <c r="HW201" s="1">
        <v>1993</v>
      </c>
      <c r="HX201" s="1">
        <v>8890.6194118777094</v>
      </c>
      <c r="HY201" s="1">
        <v>78675.667062104796</v>
      </c>
      <c r="HZ201" s="1">
        <v>1104.3005816139921</v>
      </c>
      <c r="IA201" s="1">
        <v>23313.020149250806</v>
      </c>
      <c r="IB201" s="1">
        <v>57258.139480829297</v>
      </c>
      <c r="IC201" s="1">
        <v>24037.729793359373</v>
      </c>
      <c r="ID201" s="1">
        <v>161421.15441361879</v>
      </c>
      <c r="IE201" s="2">
        <v>354700.63089265476</v>
      </c>
      <c r="IF201" s="1">
        <v>330662.90109929536</v>
      </c>
      <c r="IH201" s="1">
        <v>1993</v>
      </c>
      <c r="II201" s="1">
        <v>266.19711416215017</v>
      </c>
      <c r="IJ201" s="1">
        <v>33.85963189150408</v>
      </c>
      <c r="IK201" s="1">
        <v>9.5023114960193062</v>
      </c>
      <c r="IL201" s="1">
        <v>321.68500940108402</v>
      </c>
      <c r="IM201" s="1">
        <v>10.769997578277057</v>
      </c>
      <c r="IN201" s="1">
        <v>3.0224744358736175</v>
      </c>
      <c r="IO201" s="1">
        <v>-3.1290069120398982</v>
      </c>
    </row>
    <row r="202" spans="1:249" x14ac:dyDescent="0.25">
      <c r="A202" s="1" t="s">
        <v>293</v>
      </c>
      <c r="B202" s="1">
        <v>3.5593136283023341</v>
      </c>
      <c r="C202" s="1">
        <v>3.6721117491898667</v>
      </c>
      <c r="D202" s="1">
        <v>3.5573621735391043</v>
      </c>
      <c r="E202" s="1">
        <v>3.5612651198391347</v>
      </c>
      <c r="F202" s="1">
        <v>3.3795808946860433</v>
      </c>
      <c r="G202" s="1">
        <v>3.0905614553476113</v>
      </c>
      <c r="H202" s="1">
        <v>3.5664653740762304</v>
      </c>
      <c r="J202" s="1">
        <v>1994</v>
      </c>
      <c r="K202" s="2">
        <v>1535358.8323551377</v>
      </c>
      <c r="L202" s="1">
        <v>1355746.4276977526</v>
      </c>
      <c r="M202" s="1">
        <v>1329481.8143247438</v>
      </c>
      <c r="N202" s="1">
        <v>1149869.4096673587</v>
      </c>
      <c r="O202" s="1">
        <v>205877.01803039381</v>
      </c>
      <c r="P202" s="1">
        <v>179612.40465738508</v>
      </c>
      <c r="Q202" s="1">
        <v>1305921</v>
      </c>
      <c r="R202" s="1">
        <v>2841279.8323551379</v>
      </c>
      <c r="S202" s="1">
        <v>2661667.4276977526</v>
      </c>
      <c r="U202" s="1">
        <v>1994</v>
      </c>
      <c r="V202" s="1">
        <v>174856.62968453614</v>
      </c>
      <c r="W202" s="1">
        <v>190495.09764327412</v>
      </c>
      <c r="X202" s="1">
        <v>2.3608570535132571</v>
      </c>
      <c r="Y202" s="1">
        <v>154401.20319654697</v>
      </c>
      <c r="Z202" s="1">
        <v>168477.73566941739</v>
      </c>
      <c r="AA202" s="1">
        <v>2.8262912648704912</v>
      </c>
      <c r="AB202" s="1">
        <v>8780672.6866754927</v>
      </c>
      <c r="AC202" s="1">
        <v>0.71287445498123247</v>
      </c>
      <c r="AE202" s="1">
        <v>1994</v>
      </c>
      <c r="AF202" s="1">
        <v>29035.150532041062</v>
      </c>
      <c r="AG202" s="1">
        <v>323126.80191821384</v>
      </c>
      <c r="AH202" s="1">
        <v>70093.879585356903</v>
      </c>
      <c r="AI202" s="1">
        <v>93777.120497066178</v>
      </c>
      <c r="AJ202" s="1">
        <v>258454.08119315666</v>
      </c>
      <c r="AK202" s="1">
        <v>87262.843461010139</v>
      </c>
      <c r="AL202" s="1">
        <v>305382.42769775266</v>
      </c>
      <c r="AM202" s="1">
        <v>188614.12281315509</v>
      </c>
      <c r="AN202" s="2">
        <v>1355746.4276977526</v>
      </c>
      <c r="AP202" s="1" t="s">
        <v>293</v>
      </c>
      <c r="AQ202" s="1">
        <v>2.2910743791933612</v>
      </c>
      <c r="AR202" s="1">
        <v>11.324817629741133</v>
      </c>
      <c r="AS202" s="1">
        <v>-4.394112679883861</v>
      </c>
      <c r="AT202" s="1">
        <v>2.1538448333167253</v>
      </c>
      <c r="AU202" s="1">
        <v>5.5510987360392079</v>
      </c>
      <c r="AV202" s="1">
        <v>1.1757559782665368</v>
      </c>
      <c r="AW202" s="1">
        <v>-1.0837104871796868</v>
      </c>
      <c r="AX202" s="1">
        <v>1.6844044330528618</v>
      </c>
      <c r="AY202" s="1">
        <v>3.5593136283023341</v>
      </c>
      <c r="BA202" s="1">
        <v>1994</v>
      </c>
      <c r="BB202" s="1">
        <v>834502</v>
      </c>
      <c r="BC202" s="1">
        <v>422803.42769775266</v>
      </c>
      <c r="BD202" s="1">
        <v>111481</v>
      </c>
      <c r="BE202" s="1">
        <v>94572</v>
      </c>
      <c r="BF202" s="1">
        <v>787.40465738503053</v>
      </c>
      <c r="BG202" s="1">
        <v>7178</v>
      </c>
      <c r="BH202" s="1">
        <v>557757</v>
      </c>
      <c r="BI202" s="1">
        <v>493722</v>
      </c>
      <c r="BJ202" s="1">
        <v>1535358.8323551377</v>
      </c>
      <c r="BL202" s="1" t="s">
        <v>293</v>
      </c>
      <c r="BM202" s="1">
        <v>1.782209375351826</v>
      </c>
      <c r="BN202" s="1">
        <v>-0.61724340761270469</v>
      </c>
      <c r="BO202" s="1">
        <v>11.981464580102696</v>
      </c>
      <c r="BP202" s="1">
        <v>13.961061565308015</v>
      </c>
      <c r="BQ202" s="1">
        <v>13.151169648122661</v>
      </c>
      <c r="BR202" s="1">
        <v>3.0905614553476113</v>
      </c>
      <c r="BT202" s="1" t="s">
        <v>293</v>
      </c>
      <c r="BU202" s="1">
        <v>2.9533817561974161</v>
      </c>
      <c r="BV202" s="1">
        <v>3.1679724220409042</v>
      </c>
      <c r="BW202" s="1">
        <v>-0.4445986742783532</v>
      </c>
      <c r="BX202" s="1">
        <v>3.4092479470167518</v>
      </c>
      <c r="BY202" s="1">
        <v>3.5218525413882844</v>
      </c>
      <c r="BZ202" s="1">
        <v>2.5351647385997325</v>
      </c>
      <c r="CB202" s="1">
        <v>1994</v>
      </c>
      <c r="CC202" s="1">
        <v>6479.7</v>
      </c>
      <c r="CD202" s="1">
        <v>61702.984372281397</v>
      </c>
      <c r="CE202" s="1">
        <v>3314</v>
      </c>
      <c r="CF202" s="1">
        <v>26044</v>
      </c>
      <c r="CG202" s="1">
        <v>36101.088422453824</v>
      </c>
      <c r="CH202" s="1">
        <v>37632</v>
      </c>
      <c r="CI202" s="1">
        <v>42744.631862649796</v>
      </c>
      <c r="CJ202" s="1">
        <v>214018.40465738502</v>
      </c>
      <c r="CL202" s="1">
        <v>1994</v>
      </c>
      <c r="CM202" s="1">
        <v>8839.7343822166986</v>
      </c>
      <c r="CN202" s="1">
        <v>57863.900598569817</v>
      </c>
      <c r="CO202" s="1">
        <v>4406.5968520837205</v>
      </c>
      <c r="CP202" s="1">
        <v>22108.172334179169</v>
      </c>
      <c r="CQ202" s="1">
        <v>29577.113761337772</v>
      </c>
      <c r="CR202" s="1">
        <v>24508.427697752657</v>
      </c>
      <c r="CS202" s="1">
        <v>58573.07240425398</v>
      </c>
      <c r="CT202" s="2">
        <v>205877.01803039381</v>
      </c>
      <c r="CV202" s="1">
        <v>1994</v>
      </c>
      <c r="CW202" s="1">
        <v>1939895.0077209973</v>
      </c>
      <c r="CX202" s="1">
        <v>1452406.3556980698</v>
      </c>
      <c r="CY202" s="1">
        <v>711397.86190847075</v>
      </c>
      <c r="CZ202" s="1">
        <v>26618.159980383338</v>
      </c>
      <c r="DA202" s="1">
        <v>188805</v>
      </c>
      <c r="DB202" s="1">
        <v>4319122.3853079211</v>
      </c>
      <c r="DC202" s="1">
        <v>3694750.7030854919</v>
      </c>
      <c r="DD202" s="1">
        <v>875726.19811308756</v>
      </c>
      <c r="DF202" s="1">
        <v>1994</v>
      </c>
      <c r="DG202" s="1">
        <v>-3.0518565639496842E-2</v>
      </c>
      <c r="DH202" s="1">
        <v>-0.81594315561437725</v>
      </c>
      <c r="DI202" s="1">
        <v>1.0310228317982109</v>
      </c>
      <c r="DJ202" s="1">
        <v>0.13465401559878387</v>
      </c>
      <c r="DK202" s="1">
        <v>2.9581483391989565</v>
      </c>
      <c r="DL202" s="1">
        <v>4.8536850189348826</v>
      </c>
      <c r="DM202" s="1">
        <v>0.23266489948667868</v>
      </c>
      <c r="DN202" s="1">
        <v>-8.1940691199477556E-2</v>
      </c>
      <c r="DO202" s="1">
        <v>0.84215413885047496</v>
      </c>
      <c r="DQ202" s="1">
        <v>1994</v>
      </c>
      <c r="DR202" s="1">
        <v>3359827.6006341642</v>
      </c>
      <c r="DS202" s="1">
        <v>2639132.1184750199</v>
      </c>
      <c r="DT202" s="1">
        <v>1411160.730096804</v>
      </c>
      <c r="DU202" s="1">
        <v>26618.159980383338</v>
      </c>
      <c r="DV202" s="1">
        <v>188805</v>
      </c>
      <c r="DW202" s="1">
        <v>7625543.6091863718</v>
      </c>
      <c r="DX202" s="1">
        <v>6582345.043070741</v>
      </c>
      <c r="DY202" s="1">
        <v>1636329.1343455724</v>
      </c>
      <c r="EA202" s="1">
        <v>1994</v>
      </c>
      <c r="EB202" s="1">
        <v>1.098303510561351</v>
      </c>
      <c r="EC202" s="1">
        <v>0.60251801579580899</v>
      </c>
      <c r="ED202" s="1">
        <v>1.7368042490195137</v>
      </c>
      <c r="EE202" s="1">
        <v>1.4810851523453579</v>
      </c>
      <c r="EF202" s="1">
        <v>2.9581483391989565</v>
      </c>
      <c r="EG202" s="1">
        <v>4.8536850189348826</v>
      </c>
      <c r="EH202" s="1">
        <v>1.2696584950596872</v>
      </c>
      <c r="EI202" s="1">
        <v>1.0499448056819176</v>
      </c>
      <c r="EJ202" s="1">
        <v>1.3997324763596737</v>
      </c>
      <c r="EL202" s="1">
        <v>1994</v>
      </c>
      <c r="EM202" s="1">
        <v>154800</v>
      </c>
      <c r="EN202" s="1">
        <v>821100</v>
      </c>
      <c r="EO202" s="1">
        <v>214000</v>
      </c>
      <c r="EP202" s="1">
        <v>270000</v>
      </c>
      <c r="EQ202" s="1">
        <v>774000</v>
      </c>
      <c r="ER202" s="1">
        <v>378300</v>
      </c>
      <c r="ES202" s="1">
        <v>1283900</v>
      </c>
      <c r="ET202" s="1">
        <v>62500</v>
      </c>
      <c r="EU202" s="1">
        <v>3958600</v>
      </c>
      <c r="EV202" s="1">
        <v>2674700</v>
      </c>
      <c r="EX202" s="1">
        <v>1994</v>
      </c>
      <c r="EY202" s="1">
        <v>51600</v>
      </c>
      <c r="EZ202" s="1">
        <v>790100</v>
      </c>
      <c r="FA202" s="1">
        <v>173200</v>
      </c>
      <c r="FB202" s="1">
        <v>246300</v>
      </c>
      <c r="FC202" s="1">
        <v>683600</v>
      </c>
      <c r="FD202" s="1">
        <v>320800</v>
      </c>
      <c r="FE202" s="1">
        <v>1283900</v>
      </c>
      <c r="FF202" s="1">
        <v>57600</v>
      </c>
      <c r="FG202" s="1">
        <v>3607100</v>
      </c>
      <c r="FH202" s="1">
        <v>2323200</v>
      </c>
      <c r="FJ202" s="1">
        <v>1994</v>
      </c>
      <c r="FK202" s="1">
        <v>103200</v>
      </c>
      <c r="FL202" s="1">
        <v>31000</v>
      </c>
      <c r="FM202" s="1">
        <v>40800</v>
      </c>
      <c r="FN202" s="1">
        <v>23700</v>
      </c>
      <c r="FO202" s="1">
        <v>90400</v>
      </c>
      <c r="FP202" s="1">
        <v>57500</v>
      </c>
      <c r="FQ202" s="1">
        <v>4900</v>
      </c>
      <c r="FR202" s="1">
        <v>351500</v>
      </c>
      <c r="FS202" s="1">
        <v>168100</v>
      </c>
      <c r="FU202" s="1">
        <v>1994</v>
      </c>
      <c r="FV202" s="1">
        <v>21585</v>
      </c>
      <c r="FW202" s="1">
        <v>133364</v>
      </c>
      <c r="FX202" s="1">
        <v>38249</v>
      </c>
      <c r="FY202" s="1">
        <v>48055</v>
      </c>
      <c r="FZ202" s="1">
        <v>120962</v>
      </c>
      <c r="GA202" s="1">
        <v>61327</v>
      </c>
      <c r="GB202" s="1">
        <v>175511</v>
      </c>
      <c r="GC202" s="1">
        <v>9625</v>
      </c>
      <c r="GD202" s="1">
        <v>608678</v>
      </c>
      <c r="GE202" s="1">
        <v>433167</v>
      </c>
      <c r="GG202" s="1">
        <v>1994</v>
      </c>
      <c r="GH202" s="1">
        <v>6842</v>
      </c>
      <c r="GI202" s="1">
        <v>127511</v>
      </c>
      <c r="GJ202" s="1">
        <v>32344</v>
      </c>
      <c r="GK202" s="1">
        <v>43511</v>
      </c>
      <c r="GL202" s="1">
        <v>105624</v>
      </c>
      <c r="GM202" s="1">
        <v>53311</v>
      </c>
      <c r="GN202" s="1">
        <v>175511</v>
      </c>
      <c r="GO202" s="1">
        <v>8800</v>
      </c>
      <c r="GP202" s="1">
        <v>553454</v>
      </c>
      <c r="GQ202" s="1">
        <v>377943</v>
      </c>
      <c r="GS202" s="1">
        <v>1994</v>
      </c>
      <c r="GT202" s="1">
        <v>14743</v>
      </c>
      <c r="GU202" s="1">
        <v>5853</v>
      </c>
      <c r="GV202" s="1">
        <v>5905</v>
      </c>
      <c r="GW202" s="1">
        <v>4544</v>
      </c>
      <c r="GX202" s="1">
        <v>15338</v>
      </c>
      <c r="GY202" s="1">
        <v>8016</v>
      </c>
      <c r="GZ202" s="1">
        <v>825</v>
      </c>
      <c r="HA202" s="1">
        <v>55224</v>
      </c>
      <c r="HC202" s="1">
        <v>1994</v>
      </c>
      <c r="HD202" s="1">
        <v>8974</v>
      </c>
      <c r="HE202" s="1">
        <v>210138</v>
      </c>
      <c r="HF202" s="1">
        <v>59449</v>
      </c>
      <c r="HG202" s="1">
        <v>59199</v>
      </c>
      <c r="HH202" s="1">
        <v>255541</v>
      </c>
      <c r="HI202" s="1">
        <v>280874</v>
      </c>
      <c r="HJ202" s="1">
        <v>13335</v>
      </c>
      <c r="HK202" s="2">
        <v>887510</v>
      </c>
      <c r="HL202" s="1">
        <v>606636</v>
      </c>
      <c r="HN202" s="1">
        <v>1994</v>
      </c>
      <c r="HO202" s="1">
        <v>11221.416149824363</v>
      </c>
      <c r="HP202" s="1">
        <v>9645.7381245539582</v>
      </c>
      <c r="HQ202" s="1">
        <v>10853.522909967845</v>
      </c>
      <c r="HR202" s="1">
        <v>6182.3505780147543</v>
      </c>
      <c r="HS202" s="1">
        <v>37244.107517656608</v>
      </c>
      <c r="HT202" s="1">
        <v>1250.15625</v>
      </c>
      <c r="HU202" s="2">
        <v>76397.291530017537</v>
      </c>
      <c r="HW202" s="1">
        <v>1994</v>
      </c>
      <c r="HX202" s="1">
        <v>8839.7343822166986</v>
      </c>
      <c r="HY202" s="1">
        <v>103343.06379365991</v>
      </c>
      <c r="HZ202" s="1">
        <v>-208.64332461095182</v>
      </c>
      <c r="IA202" s="1">
        <v>28395.769919051425</v>
      </c>
      <c r="IB202" s="1">
        <v>52931.817136510166</v>
      </c>
      <c r="IC202" s="1">
        <v>24508.427697752675</v>
      </c>
      <c r="ID202" s="1">
        <v>174028.96656315509</v>
      </c>
      <c r="IE202" s="2">
        <v>391839.13616773498</v>
      </c>
      <c r="IF202" s="1">
        <v>367330.70846998238</v>
      </c>
      <c r="IH202" s="1">
        <v>1994</v>
      </c>
      <c r="II202" s="1">
        <v>231.43999332320902</v>
      </c>
      <c r="IJ202" s="1">
        <v>42.481659843378225</v>
      </c>
      <c r="IK202" s="1">
        <v>12.882617232067409</v>
      </c>
      <c r="IL202" s="1">
        <v>273.22247064415876</v>
      </c>
      <c r="IM202" s="1">
        <v>20.69268799555886</v>
      </c>
      <c r="IN202" s="1">
        <v>6.2750838816608328</v>
      </c>
      <c r="IO202" s="1">
        <v>3.8684456118645869</v>
      </c>
    </row>
    <row r="203" spans="1:249" x14ac:dyDescent="0.25">
      <c r="A203" s="1" t="s">
        <v>294</v>
      </c>
      <c r="B203" s="1">
        <v>3.6254610627953525</v>
      </c>
      <c r="C203" s="1">
        <v>3.8103956251369198</v>
      </c>
      <c r="D203" s="1">
        <v>3.6946325739552606</v>
      </c>
      <c r="E203" s="1">
        <v>3.5563356938304196</v>
      </c>
      <c r="F203" s="1">
        <v>3.3405102412215228</v>
      </c>
      <c r="G203" s="1">
        <v>4.0419014429459423</v>
      </c>
      <c r="H203" s="1">
        <v>4.4802125980486665</v>
      </c>
      <c r="J203" s="1">
        <v>1995</v>
      </c>
      <c r="K203" s="2">
        <v>1652876.9353093074</v>
      </c>
      <c r="L203" s="1">
        <v>1468283.3373837098</v>
      </c>
      <c r="M203" s="1">
        <v>1441612.4070271933</v>
      </c>
      <c r="N203" s="1">
        <v>1257018.8091015955</v>
      </c>
      <c r="O203" s="1">
        <v>211264.52828211419</v>
      </c>
      <c r="P203" s="1">
        <v>184593.59792559757</v>
      </c>
      <c r="Q203" s="1">
        <v>1438178.1302644592</v>
      </c>
      <c r="R203" s="1">
        <v>3091055.0655737668</v>
      </c>
      <c r="S203" s="1">
        <v>2906461.467648169</v>
      </c>
      <c r="U203" s="1">
        <v>1995</v>
      </c>
      <c r="V203" s="1">
        <v>187253.83864056965</v>
      </c>
      <c r="W203" s="1">
        <v>197156.03826139629</v>
      </c>
      <c r="X203" s="1">
        <v>3.4966467381725579</v>
      </c>
      <c r="Y203" s="1">
        <v>166341.29575148053</v>
      </c>
      <c r="Z203" s="1">
        <v>173670.87453492696</v>
      </c>
      <c r="AA203" s="1">
        <v>3.0823888063758176</v>
      </c>
      <c r="AB203" s="1">
        <v>8826932.1863247603</v>
      </c>
      <c r="AC203" s="1">
        <v>0.52683320857029514</v>
      </c>
      <c r="AE203" s="1">
        <v>1995</v>
      </c>
      <c r="AF203" s="1">
        <v>32179.699443051322</v>
      </c>
      <c r="AG203" s="1">
        <v>374998.82132109761</v>
      </c>
      <c r="AH203" s="1">
        <v>71835.977383802456</v>
      </c>
      <c r="AI203" s="1">
        <v>102306.16694536639</v>
      </c>
      <c r="AJ203" s="1">
        <v>287378.25640972418</v>
      </c>
      <c r="AK203" s="1">
        <v>95733.317415562051</v>
      </c>
      <c r="AL203" s="1">
        <v>311244.26834086853</v>
      </c>
      <c r="AM203" s="1">
        <v>192606.83012423734</v>
      </c>
      <c r="AN203" s="2">
        <v>1468283.3373837096</v>
      </c>
      <c r="AP203" s="1" t="s">
        <v>294</v>
      </c>
      <c r="AQ203" s="1">
        <v>0.1575663598450916</v>
      </c>
      <c r="AR203" s="1">
        <v>9.1799920303470515</v>
      </c>
      <c r="AS203" s="1">
        <v>-0.78649791601689856</v>
      </c>
      <c r="AT203" s="1">
        <v>4.9055724231586311</v>
      </c>
      <c r="AU203" s="1">
        <v>4.2996076187793619</v>
      </c>
      <c r="AV203" s="1">
        <v>5.5261468469597332</v>
      </c>
      <c r="AW203" s="1">
        <v>-0.57504051052363536</v>
      </c>
      <c r="AX203" s="1">
        <v>0.44427093016221875</v>
      </c>
      <c r="AY203" s="1">
        <v>3.6254610627953525</v>
      </c>
      <c r="BA203" s="1">
        <v>1995</v>
      </c>
      <c r="BB203" s="1">
        <v>866844.72440846567</v>
      </c>
      <c r="BC203" s="1">
        <v>436531.65836055519</v>
      </c>
      <c r="BD203" s="1">
        <v>114904.61378010217</v>
      </c>
      <c r="BE203" s="1">
        <v>114021.2391194332</v>
      </c>
      <c r="BF203" s="1">
        <v>547.43930183908219</v>
      </c>
      <c r="BG203" s="1">
        <v>14177</v>
      </c>
      <c r="BH203" s="1">
        <v>665357.11732495262</v>
      </c>
      <c r="BI203" s="1">
        <v>559506.85698604048</v>
      </c>
      <c r="BJ203" s="1">
        <v>1652876.9353093074</v>
      </c>
      <c r="BL203" s="1" t="s">
        <v>294</v>
      </c>
      <c r="BM203" s="1">
        <v>1.0599542847265013</v>
      </c>
      <c r="BN203" s="1">
        <v>-0.43768649752122712</v>
      </c>
      <c r="BO203" s="1">
        <v>12.062059131741904</v>
      </c>
      <c r="BP203" s="1">
        <v>11.541632581043572</v>
      </c>
      <c r="BQ203" s="1">
        <v>7.203285741934522</v>
      </c>
      <c r="BR203" s="1">
        <v>4.0419014429459423</v>
      </c>
      <c r="BT203" s="1" t="s">
        <v>294</v>
      </c>
      <c r="BU203" s="1">
        <v>2.7862048763387435</v>
      </c>
      <c r="BV203" s="1">
        <v>3.7008380586790963</v>
      </c>
      <c r="BW203" s="1">
        <v>1.5914632929305128</v>
      </c>
      <c r="BX203" s="1">
        <v>6.9480278868059315</v>
      </c>
      <c r="BY203" s="1">
        <v>5.709699249303597</v>
      </c>
      <c r="BZ203" s="1">
        <v>3.4718817134362183</v>
      </c>
      <c r="CB203" s="1">
        <v>1995</v>
      </c>
      <c r="CC203" s="1">
        <v>7455.6564761813024</v>
      </c>
      <c r="CD203" s="1">
        <v>84803.929156592552</v>
      </c>
      <c r="CE203" s="1">
        <v>2891.0412509112966</v>
      </c>
      <c r="CF203" s="1">
        <v>39265.041343094512</v>
      </c>
      <c r="CG203" s="1">
        <v>39807.175907266435</v>
      </c>
      <c r="CH203" s="1">
        <v>36975.545890058733</v>
      </c>
      <c r="CI203" s="1">
        <v>32451.902177269625</v>
      </c>
      <c r="CJ203" s="1">
        <v>243650.29220137448</v>
      </c>
      <c r="CL203" s="1">
        <v>1995</v>
      </c>
      <c r="CM203" s="1">
        <v>9041.3258530343774</v>
      </c>
      <c r="CN203" s="1">
        <v>60004.792947933529</v>
      </c>
      <c r="CO203" s="1">
        <v>4440.2467349741328</v>
      </c>
      <c r="CP203" s="1">
        <v>22274.39561680585</v>
      </c>
      <c r="CQ203" s="1">
        <v>29373.693011302905</v>
      </c>
      <c r="CR203" s="1">
        <v>25616.248068741486</v>
      </c>
      <c r="CS203" s="1">
        <v>60513.82604932192</v>
      </c>
      <c r="CT203" s="2">
        <v>211264.52828211419</v>
      </c>
      <c r="CV203" s="1">
        <v>1995</v>
      </c>
      <c r="CW203" s="1">
        <v>2006030.3044352354</v>
      </c>
      <c r="CX203" s="1">
        <v>1494057.3486855663</v>
      </c>
      <c r="CY203" s="1">
        <v>708656.79674062657</v>
      </c>
      <c r="CZ203" s="1">
        <v>26464.152112043499</v>
      </c>
      <c r="DA203" s="1">
        <v>212983</v>
      </c>
      <c r="DB203" s="1">
        <v>4448191.6019734722</v>
      </c>
      <c r="DC203" s="1">
        <v>3794435.4298379389</v>
      </c>
      <c r="DD203" s="1">
        <v>903115.89805072662</v>
      </c>
      <c r="DF203" s="1">
        <v>1995</v>
      </c>
      <c r="DG203" s="1">
        <v>-4.9713109031515046E-2</v>
      </c>
      <c r="DH203" s="1">
        <v>-1.3988783624060375</v>
      </c>
      <c r="DI203" s="1">
        <v>1.7831667342917683</v>
      </c>
      <c r="DJ203" s="1">
        <v>2.66812148983729</v>
      </c>
      <c r="DK203" s="1">
        <v>2.0686069953095085</v>
      </c>
      <c r="DL203" s="1">
        <v>6.6563998065573458</v>
      </c>
      <c r="DM203" s="1">
        <v>0.70466271880842157</v>
      </c>
      <c r="DN203" s="1">
        <v>0.52822589749781912</v>
      </c>
      <c r="DO203" s="1">
        <v>2.6940539579104978</v>
      </c>
      <c r="DQ203" s="1">
        <v>1995</v>
      </c>
      <c r="DR203" s="1">
        <v>3524059.5664766748</v>
      </c>
      <c r="DS203" s="1">
        <v>2735259.0227844408</v>
      </c>
      <c r="DT203" s="1">
        <v>1426800.6823605988</v>
      </c>
      <c r="DU203" s="1">
        <v>26464.152112043499</v>
      </c>
      <c r="DV203" s="1">
        <v>212983</v>
      </c>
      <c r="DW203" s="1">
        <v>7925566.4237337578</v>
      </c>
      <c r="DX203" s="1">
        <v>6827398.6174746798</v>
      </c>
      <c r="DY203" s="1">
        <v>1689324.6908426264</v>
      </c>
      <c r="EA203" s="1">
        <v>1995</v>
      </c>
      <c r="EB203" s="1">
        <v>1.0620923776731814</v>
      </c>
      <c r="EC203" s="1">
        <v>0.2389871786249671</v>
      </c>
      <c r="ED203" s="1">
        <v>2.134851537635825</v>
      </c>
      <c r="EE203" s="1">
        <v>2.7222957344825289</v>
      </c>
      <c r="EF203" s="1">
        <v>2.0686069953095085</v>
      </c>
      <c r="EG203" s="1">
        <v>6.6563998065573458</v>
      </c>
      <c r="EH203" s="1">
        <v>1.5070978119218807</v>
      </c>
      <c r="EI203" s="1">
        <v>1.362949149350186</v>
      </c>
      <c r="EJ203" s="1">
        <v>2.4123672589841476</v>
      </c>
      <c r="EL203" s="1">
        <v>1995</v>
      </c>
      <c r="EM203" s="1">
        <v>151572.59865971704</v>
      </c>
      <c r="EN203" s="1">
        <v>866307.48625785881</v>
      </c>
      <c r="EO203" s="1">
        <v>220363.54916067145</v>
      </c>
      <c r="EP203" s="1">
        <v>270232.73541883461</v>
      </c>
      <c r="EQ203" s="1">
        <v>805472.21772208181</v>
      </c>
      <c r="ER203" s="1">
        <v>383096.50211878732</v>
      </c>
      <c r="ES203" s="1">
        <v>1266988.0351262349</v>
      </c>
      <c r="ET203" s="1">
        <v>62972.054380664653</v>
      </c>
      <c r="EU203" s="1">
        <v>4027005.17884485</v>
      </c>
      <c r="EV203" s="1">
        <v>2760017.1437186156</v>
      </c>
      <c r="EX203" s="1">
        <v>1995</v>
      </c>
      <c r="EY203" s="1">
        <v>56638.044883973329</v>
      </c>
      <c r="EZ203" s="1">
        <v>830934.69028808549</v>
      </c>
      <c r="FA203" s="1">
        <v>179124.83948325209</v>
      </c>
      <c r="FB203" s="1">
        <v>246449.57752409775</v>
      </c>
      <c r="FC203" s="1">
        <v>711310.31868053658</v>
      </c>
      <c r="FD203" s="1">
        <v>323705.62020548386</v>
      </c>
      <c r="FE203" s="1">
        <v>1266988.0351262349</v>
      </c>
      <c r="FF203" s="1">
        <v>57272.054380664653</v>
      </c>
      <c r="FG203" s="1">
        <v>3672423.1805723286</v>
      </c>
      <c r="FH203" s="1">
        <v>2405435.1454460938</v>
      </c>
      <c r="FJ203" s="1">
        <v>1995</v>
      </c>
      <c r="FK203" s="1">
        <v>94934.553775743712</v>
      </c>
      <c r="FL203" s="1">
        <v>35372.795969773302</v>
      </c>
      <c r="FM203" s="1">
        <v>41238.709677419356</v>
      </c>
      <c r="FN203" s="1">
        <v>23783.157894736843</v>
      </c>
      <c r="FO203" s="1">
        <v>94161.899041545112</v>
      </c>
      <c r="FP203" s="1">
        <v>59390.881913303434</v>
      </c>
      <c r="FQ203" s="1">
        <v>5700</v>
      </c>
      <c r="FR203" s="1">
        <v>354581.99827252183</v>
      </c>
      <c r="FS203" s="1">
        <v>200000</v>
      </c>
      <c r="FU203" s="1">
        <v>1995</v>
      </c>
      <c r="FV203" s="1">
        <v>21607.075568181823</v>
      </c>
      <c r="FW203" s="1">
        <v>141209.64646448023</v>
      </c>
      <c r="FX203" s="1">
        <v>38805.463091030171</v>
      </c>
      <c r="FY203" s="1">
        <v>47530.692097758074</v>
      </c>
      <c r="FZ203" s="1">
        <v>124499.8617177901</v>
      </c>
      <c r="GA203" s="1">
        <v>63099.45221658115</v>
      </c>
      <c r="GB203" s="1">
        <v>174019.66476490273</v>
      </c>
      <c r="GC203" s="1">
        <v>9542.719414893616</v>
      </c>
      <c r="GD203" s="1">
        <v>620314.57533561799</v>
      </c>
      <c r="GE203" s="1">
        <v>446294.91057071509</v>
      </c>
      <c r="GG203" s="1">
        <v>1995</v>
      </c>
      <c r="GH203" s="1">
        <v>7638.1710335756143</v>
      </c>
      <c r="GI203" s="1">
        <v>134410.35305130659</v>
      </c>
      <c r="GJ203" s="1">
        <v>32864.890801873546</v>
      </c>
      <c r="GK203" s="1">
        <v>43365.358764424745</v>
      </c>
      <c r="GL203" s="1">
        <v>108125.5694449407</v>
      </c>
      <c r="GM203" s="1">
        <v>54677.97361735937</v>
      </c>
      <c r="GN203" s="1">
        <v>174019.66476490273</v>
      </c>
      <c r="GO203" s="1">
        <v>8617.719414893616</v>
      </c>
      <c r="GP203" s="1">
        <v>563719.70089327684</v>
      </c>
      <c r="GQ203" s="1">
        <v>389700.03612837417</v>
      </c>
      <c r="GS203" s="1">
        <v>1995</v>
      </c>
      <c r="GT203" s="1">
        <v>13968.904534606207</v>
      </c>
      <c r="GU203" s="1">
        <v>6799.2934131736529</v>
      </c>
      <c r="GV203" s="1">
        <v>5940.5722891566265</v>
      </c>
      <c r="GW203" s="1">
        <v>4165.333333333333</v>
      </c>
      <c r="GX203" s="1">
        <v>16374.29227284941</v>
      </c>
      <c r="GY203" s="1">
        <v>8421.4785992217894</v>
      </c>
      <c r="GZ203" s="1">
        <v>925</v>
      </c>
      <c r="HA203" s="1">
        <v>56594.874442341017</v>
      </c>
      <c r="HC203" s="1">
        <v>1995</v>
      </c>
      <c r="HD203" s="1">
        <v>9094.4356503785257</v>
      </c>
      <c r="HE203" s="1">
        <v>229645.62184454437</v>
      </c>
      <c r="HF203" s="1">
        <v>58687.738212347351</v>
      </c>
      <c r="HG203" s="1">
        <v>60752.955528195031</v>
      </c>
      <c r="HH203" s="1">
        <v>271345.41667735833</v>
      </c>
      <c r="HI203" s="1">
        <v>285628.020272127</v>
      </c>
      <c r="HJ203" s="1">
        <v>13566.186625874125</v>
      </c>
      <c r="HK203" s="2">
        <v>928720.37481082475</v>
      </c>
      <c r="HL203" s="1">
        <v>643092.35453869775</v>
      </c>
      <c r="HN203" s="1">
        <v>1995</v>
      </c>
      <c r="HO203" s="1">
        <v>14043.937939638419</v>
      </c>
      <c r="HP203" s="1">
        <v>11616.872722414144</v>
      </c>
      <c r="HQ203" s="1">
        <v>10608.243107799222</v>
      </c>
      <c r="HR203" s="1">
        <v>5835.448338725746</v>
      </c>
      <c r="HS203" s="1">
        <v>41531.240121581315</v>
      </c>
      <c r="HT203" s="1">
        <v>1456.15353956015</v>
      </c>
      <c r="HU203" s="2">
        <v>85091.895769719005</v>
      </c>
      <c r="HW203" s="1">
        <v>1995</v>
      </c>
      <c r="HX203" s="1">
        <v>9041.3258530343774</v>
      </c>
      <c r="HY203" s="1">
        <v>133736.32675413913</v>
      </c>
      <c r="HZ203" s="1">
        <v>2539.9960636558826</v>
      </c>
      <c r="IA203" s="1">
        <v>35717.763078445612</v>
      </c>
      <c r="IB203" s="1">
        <v>70234.917026346608</v>
      </c>
      <c r="IC203" s="1">
        <v>25616.248068741508</v>
      </c>
      <c r="ID203" s="1">
        <v>177584.48995880305</v>
      </c>
      <c r="IE203" s="2">
        <v>454471.06680316618</v>
      </c>
      <c r="IF203" s="1">
        <v>428854.81873442465</v>
      </c>
      <c r="IH203" s="1">
        <v>1995</v>
      </c>
      <c r="II203" s="1">
        <v>207.69592910756884</v>
      </c>
      <c r="IJ203" s="1">
        <v>51.462058965973746</v>
      </c>
      <c r="IK203" s="1">
        <v>16.358945947924227</v>
      </c>
      <c r="IL203" s="1">
        <v>240.94578538619075</v>
      </c>
      <c r="IM203" s="1">
        <v>30.560711037389449</v>
      </c>
      <c r="IN203" s="1">
        <v>9.7147496628796315</v>
      </c>
      <c r="IO203" s="1">
        <v>1.095986792406606</v>
      </c>
    </row>
    <row r="204" spans="1:249" x14ac:dyDescent="0.25">
      <c r="A204" s="1" t="s">
        <v>295</v>
      </c>
      <c r="B204" s="1">
        <v>1.4776875367281264</v>
      </c>
      <c r="C204" s="1">
        <v>1.6313542754290182</v>
      </c>
      <c r="D204" s="1">
        <v>1.501080417087536</v>
      </c>
      <c r="E204" s="1">
        <v>1.4543000477088839</v>
      </c>
      <c r="F204" s="1">
        <v>1.1990371743376755</v>
      </c>
      <c r="G204" s="1">
        <v>1.1546538332135583</v>
      </c>
      <c r="H204" s="1">
        <v>1.0778532076923852</v>
      </c>
      <c r="J204" s="1">
        <v>1996</v>
      </c>
      <c r="K204" s="2">
        <v>1690229.7197884368</v>
      </c>
      <c r="L204" s="1">
        <v>1509365.5965779671</v>
      </c>
      <c r="M204" s="1">
        <v>1477301.9176180148</v>
      </c>
      <c r="N204" s="1">
        <v>1296437.7944075451</v>
      </c>
      <c r="O204" s="1">
        <v>212927.80217042199</v>
      </c>
      <c r="P204" s="1">
        <v>180864.12321046973</v>
      </c>
      <c r="Q204" s="1">
        <v>1442430.0452992406</v>
      </c>
      <c r="R204" s="1">
        <v>3132659.7650876772</v>
      </c>
      <c r="S204" s="1">
        <v>2951795.6418772079</v>
      </c>
      <c r="U204" s="1">
        <v>1996</v>
      </c>
      <c r="V204" s="1">
        <v>191180.89925386698</v>
      </c>
      <c r="W204" s="1">
        <v>199115.24260218674</v>
      </c>
      <c r="X204" s="1">
        <v>0.99373286157884877</v>
      </c>
      <c r="Y204" s="1">
        <v>170723.46360868862</v>
      </c>
      <c r="Z204" s="1">
        <v>175956.82205771067</v>
      </c>
      <c r="AA204" s="1">
        <v>1.3162526698303481</v>
      </c>
      <c r="AB204" s="1">
        <v>8840996.8066108935</v>
      </c>
      <c r="AC204" s="1">
        <v>0.15933758172428725</v>
      </c>
      <c r="AE204" s="1">
        <v>1996</v>
      </c>
      <c r="AF204" s="1">
        <v>29881.711019768445</v>
      </c>
      <c r="AG204" s="1">
        <v>376642.73954424344</v>
      </c>
      <c r="AH204" s="1">
        <v>72365.825882499848</v>
      </c>
      <c r="AI204" s="1">
        <v>106881.42534515505</v>
      </c>
      <c r="AJ204" s="1">
        <v>294179.18339944852</v>
      </c>
      <c r="AK204" s="1">
        <v>102652.78775327554</v>
      </c>
      <c r="AL204" s="1">
        <v>325892.05037153943</v>
      </c>
      <c r="AM204" s="1">
        <v>200869.87326203688</v>
      </c>
      <c r="AN204" s="2">
        <v>1509365.5965779673</v>
      </c>
      <c r="AP204" s="1" t="s">
        <v>295</v>
      </c>
      <c r="AQ204" s="1">
        <v>0.22122732185927418</v>
      </c>
      <c r="AR204" s="1">
        <v>2.9618986046346549</v>
      </c>
      <c r="AS204" s="1">
        <v>-0.44603448943779256</v>
      </c>
      <c r="AT204" s="1">
        <v>3.9835016958236054</v>
      </c>
      <c r="AU204" s="1">
        <v>1.5505554980030212</v>
      </c>
      <c r="AV204" s="1">
        <v>1.5050383181126676</v>
      </c>
      <c r="AW204" s="1">
        <v>-0.28044061132777642</v>
      </c>
      <c r="AX204" s="1">
        <v>1.0069783912499446</v>
      </c>
      <c r="AY204" s="1">
        <v>1.4776875367281264</v>
      </c>
      <c r="BA204" s="1">
        <v>1996</v>
      </c>
      <c r="BB204" s="1">
        <v>892239.61888251675</v>
      </c>
      <c r="BC204" s="1">
        <v>458023.95491934486</v>
      </c>
      <c r="BD204" s="1">
        <v>116158.8089272683</v>
      </c>
      <c r="BE204" s="1">
        <v>120237.0986842105</v>
      </c>
      <c r="BF204" s="1">
        <v>591.32992528805005</v>
      </c>
      <c r="BG204" s="1">
        <v>-3257</v>
      </c>
      <c r="BH204" s="1">
        <v>658599.09971214284</v>
      </c>
      <c r="BI204" s="1">
        <v>552363.19126233459</v>
      </c>
      <c r="BJ204" s="1">
        <v>1690229.7197884368</v>
      </c>
      <c r="BL204" s="1" t="s">
        <v>295</v>
      </c>
      <c r="BM204" s="1">
        <v>1.6359547133525183</v>
      </c>
      <c r="BN204" s="1">
        <v>0.80053807567853141</v>
      </c>
      <c r="BO204" s="1">
        <v>-2.5540895559676358</v>
      </c>
      <c r="BP204" s="1">
        <v>3.7055785005119475</v>
      </c>
      <c r="BQ204" s="1">
        <v>3.0241693993149994</v>
      </c>
      <c r="BR204" s="1">
        <v>1.1546538332135583</v>
      </c>
      <c r="BT204" s="1" t="s">
        <v>295</v>
      </c>
      <c r="BU204" s="1">
        <v>1.2728010834672574</v>
      </c>
      <c r="BV204" s="1">
        <v>4.090140984051402</v>
      </c>
      <c r="BW204" s="1">
        <v>-1.5571119439449603</v>
      </c>
      <c r="BX204" s="1">
        <v>-4.5525769879304079</v>
      </c>
      <c r="BY204" s="1">
        <v>-4.1746983891622165</v>
      </c>
      <c r="BZ204" s="1">
        <v>1.0925952993420225</v>
      </c>
      <c r="CB204" s="1">
        <v>1996</v>
      </c>
      <c r="CC204" s="1">
        <v>7184.9476561839092</v>
      </c>
      <c r="CD204" s="1">
        <v>78105.109868145315</v>
      </c>
      <c r="CE204" s="1">
        <v>3545.1352656271183</v>
      </c>
      <c r="CF204" s="1">
        <v>36831.772912713284</v>
      </c>
      <c r="CG204" s="1">
        <v>37939.277990170427</v>
      </c>
      <c r="CH204" s="1">
        <v>33701.774803103574</v>
      </c>
      <c r="CI204" s="1">
        <v>36422.219040823242</v>
      </c>
      <c r="CJ204" s="1">
        <v>233730.23753676686</v>
      </c>
      <c r="CL204" s="1">
        <v>1996</v>
      </c>
      <c r="CM204" s="1">
        <v>8996.0808164253358</v>
      </c>
      <c r="CN204" s="1">
        <v>61169.872324524447</v>
      </c>
      <c r="CO204" s="1">
        <v>4306.0650282288871</v>
      </c>
      <c r="CP204" s="1">
        <v>21973.931910467094</v>
      </c>
      <c r="CQ204" s="1">
        <v>29048.106395552961</v>
      </c>
      <c r="CR204" s="1">
        <v>25874.615684049379</v>
      </c>
      <c r="CS204" s="1">
        <v>61559.130011173896</v>
      </c>
      <c r="CT204" s="2">
        <v>212927.80217042199</v>
      </c>
      <c r="CV204" s="1">
        <v>1996</v>
      </c>
      <c r="CW204" s="1">
        <v>2028869.9636457006</v>
      </c>
      <c r="CX204" s="1">
        <v>1523438.3640361594</v>
      </c>
      <c r="CY204" s="1">
        <v>701054.8684237852</v>
      </c>
      <c r="CZ204" s="1">
        <v>27898.107140125212</v>
      </c>
      <c r="DA204" s="1">
        <v>223696.07196323684</v>
      </c>
      <c r="DB204" s="1">
        <v>4504957.3752090065</v>
      </c>
      <c r="DC204" s="1">
        <v>3839327.1673874157</v>
      </c>
      <c r="DD204" s="1">
        <v>920377.4271931051</v>
      </c>
      <c r="DF204" s="1">
        <v>1996</v>
      </c>
      <c r="DG204" s="1">
        <v>-6.5528933403300016E-2</v>
      </c>
      <c r="DH204" s="1">
        <v>-1.2389611665984717</v>
      </c>
      <c r="DI204" s="1">
        <v>1.5109844775476944</v>
      </c>
      <c r="DJ204" s="1">
        <v>3.6494614655533582</v>
      </c>
      <c r="DK204" s="1">
        <v>2.1196059012819291</v>
      </c>
      <c r="DL204" s="1">
        <v>-1.4607598287997234</v>
      </c>
      <c r="DM204" s="1">
        <v>0.45121805219258704</v>
      </c>
      <c r="DN204" s="1">
        <v>0.32620775180545536</v>
      </c>
      <c r="DO204" s="1">
        <v>2.0131103324424942</v>
      </c>
      <c r="DQ204" s="1">
        <v>1996</v>
      </c>
      <c r="DR204" s="1">
        <v>3623387.471864847</v>
      </c>
      <c r="DS204" s="1">
        <v>2799955.8784944862</v>
      </c>
      <c r="DT204" s="1">
        <v>1413770.2735695168</v>
      </c>
      <c r="DU204" s="1">
        <v>27898.107140125212</v>
      </c>
      <c r="DV204" s="1">
        <v>223696.07196323684</v>
      </c>
      <c r="DW204" s="1">
        <v>8088707.803032212</v>
      </c>
      <c r="DX204" s="1">
        <v>6963377.5738735748</v>
      </c>
      <c r="DY204" s="1">
        <v>1717695.9187778237</v>
      </c>
      <c r="EA204" s="1">
        <v>1996</v>
      </c>
      <c r="EB204" s="1">
        <v>1.0294553542282046</v>
      </c>
      <c r="EC204" s="1">
        <v>0.31014701801848332</v>
      </c>
      <c r="ED204" s="1">
        <v>1.9684341740064752</v>
      </c>
      <c r="EE204" s="1">
        <v>3.2274612603776944</v>
      </c>
      <c r="EF204" s="1">
        <v>2.1196059012819291</v>
      </c>
      <c r="EG204" s="1">
        <v>-1.4607598287997234</v>
      </c>
      <c r="EH204" s="1">
        <v>1.3452110828400663</v>
      </c>
      <c r="EI204" s="1">
        <v>1.2339414279240373</v>
      </c>
      <c r="EJ204" s="1">
        <v>2.0838171985035672</v>
      </c>
      <c r="EL204" s="1">
        <v>1996</v>
      </c>
      <c r="EM204" s="1">
        <v>144772.00297840656</v>
      </c>
      <c r="EN204" s="1">
        <v>862794.84710538632</v>
      </c>
      <c r="EO204" s="1">
        <v>214410.55155875301</v>
      </c>
      <c r="EP204" s="1">
        <v>264973.49077233847</v>
      </c>
      <c r="EQ204" s="1">
        <v>813489.94278839673</v>
      </c>
      <c r="ER204" s="1">
        <v>386144.75024997332</v>
      </c>
      <c r="ES204" s="1">
        <v>1245660.168313209</v>
      </c>
      <c r="ET204" s="1">
        <v>61839.123867069487</v>
      </c>
      <c r="EU204" s="1">
        <v>3994084.877633533</v>
      </c>
      <c r="EV204" s="1">
        <v>2748424.7093203235</v>
      </c>
      <c r="EX204" s="1">
        <v>1996</v>
      </c>
      <c r="EY204" s="1">
        <v>55387.105953234932</v>
      </c>
      <c r="EZ204" s="1">
        <v>827109.70856634353</v>
      </c>
      <c r="FA204" s="1">
        <v>171943.45478455946</v>
      </c>
      <c r="FB204" s="1">
        <v>242105.06971970692</v>
      </c>
      <c r="FC204" s="1">
        <v>724098.2848621665</v>
      </c>
      <c r="FD204" s="1">
        <v>327527.41093756672</v>
      </c>
      <c r="FE204" s="1">
        <v>1245660.168313209</v>
      </c>
      <c r="FF204" s="1">
        <v>56239.123867069487</v>
      </c>
      <c r="FG204" s="1">
        <v>3650070.3270038562</v>
      </c>
      <c r="FH204" s="1">
        <v>2404410.1586906472</v>
      </c>
      <c r="FJ204" s="1">
        <v>1996</v>
      </c>
      <c r="FK204" s="1">
        <v>89384.897025171624</v>
      </c>
      <c r="FL204" s="1">
        <v>35685.138539042826</v>
      </c>
      <c r="FM204" s="1">
        <v>42467.096774193546</v>
      </c>
      <c r="FN204" s="1">
        <v>22868.42105263158</v>
      </c>
      <c r="FO204" s="1">
        <v>89391.657926230226</v>
      </c>
      <c r="FP204" s="1">
        <v>58617.339312406577</v>
      </c>
      <c r="FQ204" s="1">
        <v>5600</v>
      </c>
      <c r="FR204" s="1">
        <v>344014.55062967644</v>
      </c>
      <c r="FS204" s="1">
        <v>213200</v>
      </c>
      <c r="FU204" s="1">
        <v>1996</v>
      </c>
      <c r="FV204" s="1">
        <v>20621.851136363639</v>
      </c>
      <c r="FW204" s="1">
        <v>140414.55921410059</v>
      </c>
      <c r="FX204" s="1">
        <v>38132.41706367502</v>
      </c>
      <c r="FY204" s="1">
        <v>47544.657476270826</v>
      </c>
      <c r="FZ204" s="1">
        <v>126184.07446275547</v>
      </c>
      <c r="GA204" s="1">
        <v>63344.238676743029</v>
      </c>
      <c r="GB204" s="1">
        <v>173201.07109030403</v>
      </c>
      <c r="GC204" s="1">
        <v>9260.2227393617031</v>
      </c>
      <c r="GD204" s="1">
        <v>618703.09185957431</v>
      </c>
      <c r="GE204" s="1">
        <v>445502.02076927025</v>
      </c>
      <c r="GG204" s="1">
        <v>1996</v>
      </c>
      <c r="GH204" s="1">
        <v>7110.366649490129</v>
      </c>
      <c r="GI204" s="1">
        <v>133755.4574176934</v>
      </c>
      <c r="GJ204" s="1">
        <v>31907.266461265379</v>
      </c>
      <c r="GK204" s="1">
        <v>43517.021112634466</v>
      </c>
      <c r="GL204" s="1">
        <v>110578.99626997973</v>
      </c>
      <c r="GM204" s="1">
        <v>54829.188093085439</v>
      </c>
      <c r="GN204" s="1">
        <v>173201.07109030403</v>
      </c>
      <c r="GO204" s="1">
        <v>8391.2227393617031</v>
      </c>
      <c r="GP204" s="1">
        <v>563290.5898338143</v>
      </c>
      <c r="GQ204" s="1">
        <v>390089.51874351024</v>
      </c>
      <c r="GS204" s="1">
        <v>1996</v>
      </c>
      <c r="GT204" s="1">
        <v>13511.484486873511</v>
      </c>
      <c r="GU204" s="1">
        <v>6659.1017964071852</v>
      </c>
      <c r="GV204" s="1">
        <v>6225.1506024096379</v>
      </c>
      <c r="GW204" s="1">
        <v>4027.6363636363635</v>
      </c>
      <c r="GX204" s="1">
        <v>15605.078192775711</v>
      </c>
      <c r="GY204" s="1">
        <v>8515.0505836575867</v>
      </c>
      <c r="GZ204" s="1">
        <v>869</v>
      </c>
      <c r="HA204" s="1">
        <v>55412.502025759997</v>
      </c>
      <c r="HC204" s="1">
        <v>1996</v>
      </c>
      <c r="HD204" s="1">
        <v>9347.113062248085</v>
      </c>
      <c r="HE204" s="1">
        <v>244926.01539707286</v>
      </c>
      <c r="HF204" s="1">
        <v>60433.445741160031</v>
      </c>
      <c r="HG204" s="1">
        <v>64780.260639135398</v>
      </c>
      <c r="HH204" s="1">
        <v>291810.3118902538</v>
      </c>
      <c r="HI204" s="1">
        <v>300017.43468749005</v>
      </c>
      <c r="HJ204" s="1">
        <v>13594.226160541584</v>
      </c>
      <c r="HK204" s="2">
        <v>984908.80757790175</v>
      </c>
      <c r="HL204" s="1">
        <v>684891.37289041164</v>
      </c>
      <c r="HN204" s="1">
        <v>1996</v>
      </c>
      <c r="HO204" s="1">
        <v>11538.517141095024</v>
      </c>
      <c r="HP204" s="1">
        <v>12193.799794084154</v>
      </c>
      <c r="HQ204" s="1">
        <v>11790.646548114008</v>
      </c>
      <c r="HR204" s="1">
        <v>5995.6156631381127</v>
      </c>
      <c r="HS204" s="1">
        <v>42534.148813867636</v>
      </c>
      <c r="HT204" s="1">
        <v>1407.826117890567</v>
      </c>
      <c r="HU204" s="2">
        <v>85460.554078189511</v>
      </c>
      <c r="HW204" s="1">
        <v>1996</v>
      </c>
      <c r="HX204" s="1">
        <v>8996.0808164253358</v>
      </c>
      <c r="HY204" s="1">
        <v>119522.92435308642</v>
      </c>
      <c r="HZ204" s="1">
        <v>141.73359322579927</v>
      </c>
      <c r="IA204" s="1">
        <v>36105.549042881539</v>
      </c>
      <c r="IB204" s="1">
        <v>62487.510448602639</v>
      </c>
      <c r="IC204" s="1">
        <v>25874.615684049393</v>
      </c>
      <c r="ID204" s="1">
        <v>185867.82098360473</v>
      </c>
      <c r="IE204" s="2">
        <v>438996.23492187588</v>
      </c>
      <c r="IF204" s="1">
        <v>413121.61923782644</v>
      </c>
      <c r="IH204" s="1">
        <v>1996</v>
      </c>
      <c r="II204" s="1">
        <v>211.96933790956334</v>
      </c>
      <c r="IJ204" s="1">
        <v>42.814356765773667</v>
      </c>
      <c r="IK204" s="1">
        <v>14.14309674685604</v>
      </c>
      <c r="IL204" s="1">
        <v>246.72800422462578</v>
      </c>
      <c r="IM204" s="1">
        <v>22.694887200809131</v>
      </c>
      <c r="IN204" s="1">
        <v>7.4969241531761277</v>
      </c>
      <c r="IO204" s="1">
        <v>5.8004943227838481</v>
      </c>
    </row>
    <row r="205" spans="1:249" x14ac:dyDescent="0.25">
      <c r="A205" s="1" t="s">
        <v>296</v>
      </c>
      <c r="B205" s="1">
        <v>3.0798618026308304</v>
      </c>
      <c r="C205" s="1">
        <v>3.2476491882933232</v>
      </c>
      <c r="D205" s="1">
        <v>3.1315649369560816</v>
      </c>
      <c r="E205" s="1">
        <v>3.0281845887315768</v>
      </c>
      <c r="F205" s="1">
        <v>2.9092522034406443</v>
      </c>
      <c r="G205" s="1">
        <v>2.216850185686539</v>
      </c>
      <c r="H205" s="1">
        <v>2.2997885374639964</v>
      </c>
      <c r="J205" s="1">
        <v>1997</v>
      </c>
      <c r="K205" s="2">
        <v>1755082.6197125944</v>
      </c>
      <c r="L205" s="1">
        <v>1570262.1908278898</v>
      </c>
      <c r="M205" s="1">
        <v>1534891.4345190718</v>
      </c>
      <c r="N205" s="1">
        <v>1350071.0056343672</v>
      </c>
      <c r="O205" s="1">
        <v>220191.1851935226</v>
      </c>
      <c r="P205" s="1">
        <v>184820.4288847046</v>
      </c>
      <c r="Q205" s="1">
        <v>1533715.6524321004</v>
      </c>
      <c r="R205" s="1">
        <v>3288798.2721446948</v>
      </c>
      <c r="S205" s="1">
        <v>3103977.8432599902</v>
      </c>
      <c r="U205" s="1">
        <v>1997</v>
      </c>
      <c r="V205" s="1">
        <v>198402.70700210953</v>
      </c>
      <c r="W205" s="1">
        <v>203412.79292865843</v>
      </c>
      <c r="X205" s="1">
        <v>2.1583231249943964</v>
      </c>
      <c r="Y205" s="1">
        <v>177509.74561774972</v>
      </c>
      <c r="Z205" s="1">
        <v>181272.19717860795</v>
      </c>
      <c r="AA205" s="1">
        <v>3.0208406009708142</v>
      </c>
      <c r="AB205" s="1">
        <v>8846061.8619177081</v>
      </c>
      <c r="AC205" s="1">
        <v>5.7290545598064568E-2</v>
      </c>
      <c r="AE205" s="1">
        <v>1997</v>
      </c>
      <c r="AF205" s="1">
        <v>30495.669450224581</v>
      </c>
      <c r="AG205" s="1">
        <v>397109.690664889</v>
      </c>
      <c r="AH205" s="1">
        <v>71274.517894846853</v>
      </c>
      <c r="AI205" s="1">
        <v>116162.01229148565</v>
      </c>
      <c r="AJ205" s="1">
        <v>306762.44672758854</v>
      </c>
      <c r="AK205" s="1">
        <v>109621.69005601079</v>
      </c>
      <c r="AL205" s="1">
        <v>332159.00066404871</v>
      </c>
      <c r="AM205" s="1">
        <v>206677.16307879559</v>
      </c>
      <c r="AN205" s="2">
        <v>1570262.1908278898</v>
      </c>
      <c r="AP205" s="1" t="s">
        <v>296</v>
      </c>
      <c r="AQ205" s="1">
        <v>0.41100540847781986</v>
      </c>
      <c r="AR205" s="1">
        <v>5.8499738582532785</v>
      </c>
      <c r="AS205" s="1">
        <v>-3.2749872109699538</v>
      </c>
      <c r="AT205" s="1">
        <v>7.5571437705498852</v>
      </c>
      <c r="AU205" s="1">
        <v>5.4049448557054376</v>
      </c>
      <c r="AV205" s="1">
        <v>2.8451700692676525</v>
      </c>
      <c r="AW205" s="1">
        <v>-1.2083480899971022</v>
      </c>
      <c r="AX205" s="1">
        <v>2.013970272438101</v>
      </c>
      <c r="AY205" s="1">
        <v>3.0798618026308304</v>
      </c>
      <c r="BA205" s="1">
        <v>1997</v>
      </c>
      <c r="BB205" s="1">
        <v>933415.65497544303</v>
      </c>
      <c r="BC205" s="1">
        <v>466145.48999376415</v>
      </c>
      <c r="BD205" s="1">
        <v>109910.10847204365</v>
      </c>
      <c r="BE205" s="1">
        <v>124559.05686090227</v>
      </c>
      <c r="BF205" s="1">
        <v>668.19038278538812</v>
      </c>
      <c r="BG205" s="1">
        <v>-1373.0985939729253</v>
      </c>
      <c r="BH205" s="1">
        <v>748111.49723636534</v>
      </c>
      <c r="BI205" s="1">
        <v>626354.27961473691</v>
      </c>
      <c r="BJ205" s="1">
        <v>1755082.6197125944</v>
      </c>
      <c r="BL205" s="1" t="s">
        <v>296</v>
      </c>
      <c r="BM205" s="1">
        <v>2.6706875945958757</v>
      </c>
      <c r="BN205" s="1">
        <v>-0.97018324754270679</v>
      </c>
      <c r="BO205" s="1">
        <v>-1.3380475065960127</v>
      </c>
      <c r="BP205" s="1">
        <v>13.818168707845246</v>
      </c>
      <c r="BQ205" s="1">
        <v>12.54296690705668</v>
      </c>
      <c r="BR205" s="1">
        <v>2.216850185686539</v>
      </c>
      <c r="BT205" s="1" t="s">
        <v>296</v>
      </c>
      <c r="BU205" s="1">
        <v>1.8936468504683148</v>
      </c>
      <c r="BV205" s="1">
        <v>2.7702277235359674</v>
      </c>
      <c r="BW205" s="1">
        <v>1.3709464855766953</v>
      </c>
      <c r="BX205" s="1">
        <v>-0.1992964716844341</v>
      </c>
      <c r="BY205" s="1">
        <v>0.75740158299831251</v>
      </c>
      <c r="BZ205" s="1">
        <v>1.5849421711989748</v>
      </c>
      <c r="CB205" s="1">
        <v>1997</v>
      </c>
      <c r="CC205" s="1">
        <v>8786.3931349936756</v>
      </c>
      <c r="CD205" s="1">
        <v>78893.449531027043</v>
      </c>
      <c r="CE205" s="1">
        <v>3937.3029511182763</v>
      </c>
      <c r="CF205" s="1">
        <v>42759.262423041873</v>
      </c>
      <c r="CG205" s="1">
        <v>38731.32163534448</v>
      </c>
      <c r="CH205" s="1">
        <v>28965.363136055501</v>
      </c>
      <c r="CI205" s="1">
        <v>31691.164310177533</v>
      </c>
      <c r="CJ205" s="1">
        <v>233764.25712175836</v>
      </c>
      <c r="CL205" s="1">
        <v>1997</v>
      </c>
      <c r="CM205" s="1">
        <v>9134.1359869147764</v>
      </c>
      <c r="CN205" s="1">
        <v>64181.541767116229</v>
      </c>
      <c r="CO205" s="1">
        <v>4318.4960548651034</v>
      </c>
      <c r="CP205" s="1">
        <v>22656.68182395439</v>
      </c>
      <c r="CQ205" s="1">
        <v>30005.388110493877</v>
      </c>
      <c r="CR205" s="1">
        <v>26616.903816875871</v>
      </c>
      <c r="CS205" s="1">
        <v>63278.037633302352</v>
      </c>
      <c r="CT205" s="2">
        <v>220191.1851935226</v>
      </c>
      <c r="CV205" s="1">
        <v>1997</v>
      </c>
      <c r="CW205" s="1">
        <v>2081873.0603005725</v>
      </c>
      <c r="CX205" s="1">
        <v>1578785.392949709</v>
      </c>
      <c r="CY205" s="1">
        <v>727734.60477742262</v>
      </c>
      <c r="CZ205" s="1">
        <v>28526.879470264535</v>
      </c>
      <c r="DA205" s="1">
        <v>218992.24402829161</v>
      </c>
      <c r="DB205" s="1">
        <v>4635912.1815262605</v>
      </c>
      <c r="DC205" s="1">
        <v>3949507.2784420103</v>
      </c>
      <c r="DD205" s="1">
        <v>952679.11682459759</v>
      </c>
      <c r="DF205" s="1">
        <v>1997</v>
      </c>
      <c r="DG205" s="1">
        <v>-0.33562525399118215</v>
      </c>
      <c r="DH205" s="1">
        <v>-1.5172333955156887</v>
      </c>
      <c r="DI205" s="1">
        <v>1.2382752624348967</v>
      </c>
      <c r="DJ205" s="1">
        <v>3.6196990172897614</v>
      </c>
      <c r="DK205" s="1">
        <v>2.3423185262232664</v>
      </c>
      <c r="DL205" s="1">
        <v>-0.62877685907120906</v>
      </c>
      <c r="DM205" s="1">
        <v>0.27549041894610582</v>
      </c>
      <c r="DN205" s="1">
        <v>0.26484333111247338</v>
      </c>
      <c r="DO205" s="1">
        <v>1.5249985103990298</v>
      </c>
      <c r="DQ205" s="1">
        <v>1997</v>
      </c>
      <c r="DR205" s="1">
        <v>3776365.5624579778</v>
      </c>
      <c r="DS205" s="1">
        <v>2915197.9823746118</v>
      </c>
      <c r="DT205" s="1">
        <v>1462109.9050403808</v>
      </c>
      <c r="DU205" s="1">
        <v>28526.879470264535</v>
      </c>
      <c r="DV205" s="1">
        <v>218992.24402829161</v>
      </c>
      <c r="DW205" s="1">
        <v>8401192.5733715259</v>
      </c>
      <c r="DX205" s="1">
        <v>7230930.1179584851</v>
      </c>
      <c r="DY205" s="1">
        <v>1782624.2719946413</v>
      </c>
      <c r="EA205" s="1">
        <v>1997</v>
      </c>
      <c r="EB205" s="1">
        <v>0.85559439569952644</v>
      </c>
      <c r="EC205" s="1">
        <v>0.13174168542377629</v>
      </c>
      <c r="ED205" s="1">
        <v>1.802729284768418</v>
      </c>
      <c r="EE205" s="1">
        <v>3.2324531620128596</v>
      </c>
      <c r="EF205" s="1">
        <v>2.3423185262232664</v>
      </c>
      <c r="EG205" s="1">
        <v>-0.62877685907120906</v>
      </c>
      <c r="EH205" s="1">
        <v>1.2281921524284911</v>
      </c>
      <c r="EI205" s="1">
        <v>1.1844192035606227</v>
      </c>
      <c r="EJ205" s="1">
        <v>1.8362516618806239</v>
      </c>
      <c r="EL205" s="1">
        <v>1997</v>
      </c>
      <c r="EM205" s="1">
        <v>134282.94862248696</v>
      </c>
      <c r="EN205" s="1">
        <v>853990.4275488609</v>
      </c>
      <c r="EO205" s="1">
        <v>207841.72661870503</v>
      </c>
      <c r="EP205" s="1">
        <v>260868.21469223179</v>
      </c>
      <c r="EQ205" s="1">
        <v>813586.83900842699</v>
      </c>
      <c r="ER205" s="1">
        <v>385847.39070956717</v>
      </c>
      <c r="ES205" s="1">
        <v>1225459.7658251007</v>
      </c>
      <c r="ET205" s="1">
        <v>57590.634441087612</v>
      </c>
      <c r="EU205" s="1">
        <v>3939467.9474664675</v>
      </c>
      <c r="EV205" s="1">
        <v>2714008.1816413663</v>
      </c>
      <c r="EX205" s="1">
        <v>1997</v>
      </c>
      <c r="EY205" s="1">
        <v>50329.630544683765</v>
      </c>
      <c r="EZ205" s="1">
        <v>820647.8582793395</v>
      </c>
      <c r="FA205" s="1">
        <v>163883.01694128566</v>
      </c>
      <c r="FB205" s="1">
        <v>237001.89890275811</v>
      </c>
      <c r="FC205" s="1">
        <v>727681.2535299767</v>
      </c>
      <c r="FD205" s="1">
        <v>327487.89893079293</v>
      </c>
      <c r="FE205" s="1">
        <v>1225459.7658251007</v>
      </c>
      <c r="FF205" s="1">
        <v>52375.367265515095</v>
      </c>
      <c r="FG205" s="1">
        <v>3604866.6902194521</v>
      </c>
      <c r="FH205" s="1">
        <v>2379406.9243943514</v>
      </c>
      <c r="FJ205" s="1">
        <v>1997</v>
      </c>
      <c r="FK205" s="1">
        <v>83953.318077803197</v>
      </c>
      <c r="FL205" s="1">
        <v>33342.569269521417</v>
      </c>
      <c r="FM205" s="1">
        <v>43958.709677419356</v>
      </c>
      <c r="FN205" s="1">
        <v>23866.315789473687</v>
      </c>
      <c r="FO205" s="1">
        <v>85905.58547845023</v>
      </c>
      <c r="FP205" s="1">
        <v>58359.491778774289</v>
      </c>
      <c r="FQ205" s="1">
        <v>5215.2671755725187</v>
      </c>
      <c r="FR205" s="1">
        <v>334601.25724701473</v>
      </c>
      <c r="FS205" s="1">
        <v>224500</v>
      </c>
      <c r="FU205" s="1">
        <v>1997</v>
      </c>
      <c r="FV205" s="1">
        <v>19516.4375</v>
      </c>
      <c r="FW205" s="1">
        <v>138596.39464525823</v>
      </c>
      <c r="FX205" s="1">
        <v>37458.391347779318</v>
      </c>
      <c r="FY205" s="1">
        <v>46661.278263467371</v>
      </c>
      <c r="FZ205" s="1">
        <v>126866.02272566129</v>
      </c>
      <c r="GA205" s="1">
        <v>63517.983410481233</v>
      </c>
      <c r="GB205" s="1">
        <v>170745.29006650797</v>
      </c>
      <c r="GC205" s="1">
        <v>8819.5644946808516</v>
      </c>
      <c r="GD205" s="1">
        <v>612181.36245383625</v>
      </c>
      <c r="GE205" s="1">
        <v>441436.07238732825</v>
      </c>
      <c r="GG205" s="1">
        <v>1997</v>
      </c>
      <c r="GH205" s="1">
        <v>6532.7453758949869</v>
      </c>
      <c r="GI205" s="1">
        <v>132427.96350753368</v>
      </c>
      <c r="GJ205" s="1">
        <v>30770.800986333528</v>
      </c>
      <c r="GK205" s="1">
        <v>42323.823718012827</v>
      </c>
      <c r="GL205" s="1">
        <v>111943.71636506094</v>
      </c>
      <c r="GM205" s="1">
        <v>54940.551503866445</v>
      </c>
      <c r="GN205" s="1">
        <v>170745.29006650797</v>
      </c>
      <c r="GO205" s="1">
        <v>7758.3780624070314</v>
      </c>
      <c r="GP205" s="1">
        <v>557443.26958561747</v>
      </c>
      <c r="GQ205" s="1">
        <v>386697.97951910947</v>
      </c>
      <c r="GS205" s="1">
        <v>1997</v>
      </c>
      <c r="GT205" s="1">
        <v>12983.692124105013</v>
      </c>
      <c r="GU205" s="1">
        <v>6168.4311377245504</v>
      </c>
      <c r="GV205" s="1">
        <v>6687.5903614457829</v>
      </c>
      <c r="GW205" s="1">
        <v>4337.454545454545</v>
      </c>
      <c r="GX205" s="1">
        <v>14922.30636060036</v>
      </c>
      <c r="GY205" s="1">
        <v>8577.4319066147855</v>
      </c>
      <c r="GZ205" s="1">
        <v>1061.1864322738202</v>
      </c>
      <c r="HA205" s="1">
        <v>54738.092868218868</v>
      </c>
      <c r="HC205" s="1">
        <v>1997</v>
      </c>
      <c r="HD205" s="1">
        <v>9364.673654578788</v>
      </c>
      <c r="HE205" s="1">
        <v>253080.89679700462</v>
      </c>
      <c r="HF205" s="1">
        <v>60893.790279705732</v>
      </c>
      <c r="HG205" s="1">
        <v>67069.154216212599</v>
      </c>
      <c r="HH205" s="1">
        <v>305132.80726531585</v>
      </c>
      <c r="HI205" s="1">
        <v>305542.09684717283</v>
      </c>
      <c r="HJ205" s="1">
        <v>13281.667818219013</v>
      </c>
      <c r="HK205" s="2">
        <v>1014365.0868782095</v>
      </c>
      <c r="HL205" s="1">
        <v>708822.99003103666</v>
      </c>
      <c r="HN205" s="1">
        <v>1997</v>
      </c>
      <c r="HO205" s="1">
        <v>11996.859808731015</v>
      </c>
      <c r="HP205" s="1">
        <v>11788.387005415867</v>
      </c>
      <c r="HQ205" s="1">
        <v>13234.388182723234</v>
      </c>
      <c r="HR205" s="1">
        <v>6873.4197966875445</v>
      </c>
      <c r="HS205" s="1">
        <v>42950.112700938953</v>
      </c>
      <c r="HT205" s="1">
        <v>1816.6587878664284</v>
      </c>
      <c r="HU205" s="2">
        <v>88659.82628236305</v>
      </c>
      <c r="HW205" s="1">
        <v>1997</v>
      </c>
      <c r="HX205" s="1">
        <v>9134.1359869147782</v>
      </c>
      <c r="HY205" s="1">
        <v>132240.40686246852</v>
      </c>
      <c r="HZ205" s="1">
        <v>-2853.6605675821193</v>
      </c>
      <c r="IA205" s="1">
        <v>42219.438278585498</v>
      </c>
      <c r="IB205" s="1">
        <v>68301.216817344539</v>
      </c>
      <c r="IC205" s="1">
        <v>26616.903816875893</v>
      </c>
      <c r="ID205" s="1">
        <v>191578.83647271016</v>
      </c>
      <c r="IE205" s="2">
        <v>467237.27766731731</v>
      </c>
      <c r="IF205" s="1">
        <v>440620.37385044136</v>
      </c>
      <c r="IH205" s="1">
        <v>1997</v>
      </c>
      <c r="II205" s="1">
        <v>208.74275665688847</v>
      </c>
      <c r="IJ205" s="1">
        <v>46.264263634838564</v>
      </c>
      <c r="IK205" s="1">
        <v>15.152908842658116</v>
      </c>
      <c r="IL205" s="1">
        <v>242.90179527140577</v>
      </c>
      <c r="IM205" s="1">
        <v>25.695265271348291</v>
      </c>
      <c r="IN205" s="1">
        <v>8.4159561128615863</v>
      </c>
      <c r="IO205" s="1">
        <v>2.2077009560198491</v>
      </c>
    </row>
    <row r="206" spans="1:249" x14ac:dyDescent="0.25">
      <c r="A206" s="1" t="s">
        <v>297</v>
      </c>
      <c r="B206" s="1">
        <v>3.9304024293556665</v>
      </c>
      <c r="C206" s="1">
        <v>4.1237559387421072</v>
      </c>
      <c r="D206" s="1">
        <v>3.9049618372749961</v>
      </c>
      <c r="E206" s="1">
        <v>3.9558492504336442</v>
      </c>
      <c r="F206" s="1">
        <v>3.6567459739692936</v>
      </c>
      <c r="G206" s="1">
        <v>3.1771212528459927</v>
      </c>
      <c r="H206" s="1">
        <v>3.3571189087855799</v>
      </c>
      <c r="J206" s="1">
        <v>1998</v>
      </c>
      <c r="K206" s="2">
        <v>1823666.0069330721</v>
      </c>
      <c r="L206" s="1">
        <v>1630486.1902362844</v>
      </c>
      <c r="M206" s="1">
        <v>1595068.0868524979</v>
      </c>
      <c r="N206" s="1">
        <v>1401888.2701557102</v>
      </c>
      <c r="O206" s="1">
        <v>228597.92008057417</v>
      </c>
      <c r="P206" s="1">
        <v>193179.81669678772</v>
      </c>
      <c r="Q206" s="1">
        <v>1618175.5968768112</v>
      </c>
      <c r="R206" s="1">
        <v>3441841.6038098834</v>
      </c>
      <c r="S206" s="1">
        <v>3248661.7871130956</v>
      </c>
      <c r="U206" s="1">
        <v>1998</v>
      </c>
      <c r="V206" s="1">
        <v>206041.30578857727</v>
      </c>
      <c r="W206" s="1">
        <v>209759.01359756026</v>
      </c>
      <c r="X206" s="1">
        <v>3.1198729330301376</v>
      </c>
      <c r="Y206" s="1">
        <v>184215.47719228599</v>
      </c>
      <c r="Z206" s="1">
        <v>188292.39108478528</v>
      </c>
      <c r="AA206" s="1">
        <v>3.8727361478717626</v>
      </c>
      <c r="AB206" s="1">
        <v>8850972.8665977735</v>
      </c>
      <c r="AC206" s="1">
        <v>5.5516282349415746E-2</v>
      </c>
      <c r="AE206" s="1">
        <v>1998</v>
      </c>
      <c r="AF206" s="1">
        <v>29815.90443350486</v>
      </c>
      <c r="AG206" s="1">
        <v>417793.22833604348</v>
      </c>
      <c r="AH206" s="1">
        <v>74759.907536644474</v>
      </c>
      <c r="AI206" s="1">
        <v>121982.02022189263</v>
      </c>
      <c r="AJ206" s="1">
        <v>321683.04040293046</v>
      </c>
      <c r="AK206" s="1">
        <v>123107.95893816079</v>
      </c>
      <c r="AL206" s="1">
        <v>335699.71440136584</v>
      </c>
      <c r="AM206" s="1">
        <v>205644.41596574197</v>
      </c>
      <c r="AN206" s="2">
        <v>1630486.1902362844</v>
      </c>
      <c r="AP206" s="1" t="s">
        <v>297</v>
      </c>
      <c r="AQ206" s="1">
        <v>-1.4825747842608763</v>
      </c>
      <c r="AR206" s="1">
        <v>6.4408797626409893</v>
      </c>
      <c r="AS206" s="1">
        <v>1.4737564743132907</v>
      </c>
      <c r="AT206" s="1">
        <v>4.4179052360441062</v>
      </c>
      <c r="AU206" s="1">
        <v>4.8294708457395217</v>
      </c>
      <c r="AV206" s="1">
        <v>10.358929614252247</v>
      </c>
      <c r="AW206" s="1">
        <v>0.70584503175645352</v>
      </c>
      <c r="AX206" s="1">
        <v>0.9137810418201866</v>
      </c>
      <c r="AY206" s="1">
        <v>3.9304024293556665</v>
      </c>
      <c r="BA206" s="1">
        <v>1998</v>
      </c>
      <c r="BB206" s="1">
        <v>968980.32906942826</v>
      </c>
      <c r="BC206" s="1">
        <v>490312.70689033641</v>
      </c>
      <c r="BD206" s="1">
        <v>115957.3629113528</v>
      </c>
      <c r="BE206" s="1">
        <v>135433.60616685945</v>
      </c>
      <c r="BF206" s="1">
        <v>682.9820633910083</v>
      </c>
      <c r="BG206" s="1">
        <v>4032.9561186138508</v>
      </c>
      <c r="BH206" s="1">
        <v>802034.98564145144</v>
      </c>
      <c r="BI206" s="1">
        <v>693768.92192836117</v>
      </c>
      <c r="BJ206" s="1">
        <v>1823666.0069330721</v>
      </c>
      <c r="BL206" s="1" t="s">
        <v>297</v>
      </c>
      <c r="BM206" s="1">
        <v>2.9698134313893547</v>
      </c>
      <c r="BN206" s="1">
        <v>3.2455135661796817</v>
      </c>
      <c r="BO206" s="1">
        <v>8.2965093195050912</v>
      </c>
      <c r="BP206" s="1">
        <v>8.6147450907770633</v>
      </c>
      <c r="BQ206" s="1">
        <v>11.313630374895212</v>
      </c>
      <c r="BR206" s="1">
        <v>3.1771212528459927</v>
      </c>
      <c r="BT206" s="1" t="s">
        <v>297</v>
      </c>
      <c r="BU206" s="1">
        <v>0.81611423111074544</v>
      </c>
      <c r="BV206" s="1">
        <v>1.8780146134397739</v>
      </c>
      <c r="BW206" s="1">
        <v>1.1646365440905413</v>
      </c>
      <c r="BX206" s="1">
        <v>-1.2952173259065916</v>
      </c>
      <c r="BY206" s="1">
        <v>-0.49464690589826432</v>
      </c>
      <c r="BZ206" s="1">
        <v>0.70808342787142919</v>
      </c>
      <c r="CB206" s="1">
        <v>1998</v>
      </c>
      <c r="CC206" s="1">
        <v>8991.8987406935976</v>
      </c>
      <c r="CD206" s="1">
        <v>84409.991624616567</v>
      </c>
      <c r="CE206" s="1">
        <v>4924.8970482622663</v>
      </c>
      <c r="CF206" s="1">
        <v>48305.439755232946</v>
      </c>
      <c r="CG206" s="1">
        <v>45162.182118564466</v>
      </c>
      <c r="CH206" s="1">
        <v>30941.395916971618</v>
      </c>
      <c r="CI206" s="1">
        <v>33371.102055875665</v>
      </c>
      <c r="CJ206" s="1">
        <v>256106.90726021712</v>
      </c>
      <c r="CL206" s="1">
        <v>1998</v>
      </c>
      <c r="CM206" s="1">
        <v>9253.3913823953153</v>
      </c>
      <c r="CN206" s="1">
        <v>66652.309497441049</v>
      </c>
      <c r="CO206" s="1">
        <v>4350.6113041222134</v>
      </c>
      <c r="CP206" s="1">
        <v>24377.658225335941</v>
      </c>
      <c r="CQ206" s="1">
        <v>30824.134197581803</v>
      </c>
      <c r="CR206" s="1">
        <v>27345.354167547477</v>
      </c>
      <c r="CS206" s="1">
        <v>65794.461306150362</v>
      </c>
      <c r="CT206" s="2">
        <v>228597.92008057417</v>
      </c>
      <c r="CV206" s="1">
        <v>1998</v>
      </c>
      <c r="CW206" s="1">
        <v>2154697.1568006286</v>
      </c>
      <c r="CX206" s="1">
        <v>1646315.3137432043</v>
      </c>
      <c r="CY206" s="1">
        <v>747190.50398567226</v>
      </c>
      <c r="CZ206" s="1">
        <v>28198.195499217545</v>
      </c>
      <c r="DA206" s="1">
        <v>216392.52104815785</v>
      </c>
      <c r="DB206" s="1">
        <v>4792793.6910768794</v>
      </c>
      <c r="DC206" s="1">
        <v>4090177.9625494028</v>
      </c>
      <c r="DD206" s="1">
        <v>980485.54536307638</v>
      </c>
      <c r="DF206" s="1">
        <v>1998</v>
      </c>
      <c r="DG206" s="1">
        <v>-0.29687840649647512</v>
      </c>
      <c r="DH206" s="1">
        <v>-1.5047757012135321</v>
      </c>
      <c r="DI206" s="1">
        <v>1.2883094505299511</v>
      </c>
      <c r="DJ206" s="1">
        <v>4.5543140077103317</v>
      </c>
      <c r="DK206" s="1">
        <v>2.4220771978475</v>
      </c>
      <c r="DL206" s="1">
        <v>1.8772516871405003</v>
      </c>
      <c r="DM206" s="1">
        <v>0.56904522836367732</v>
      </c>
      <c r="DN206" s="1">
        <v>0.57894153554592265</v>
      </c>
      <c r="DO206" s="1">
        <v>1.6792258767594319</v>
      </c>
      <c r="DQ206" s="1">
        <v>1998</v>
      </c>
      <c r="DR206" s="1">
        <v>3973905.6494760155</v>
      </c>
      <c r="DS206" s="1">
        <v>3057052.4736457537</v>
      </c>
      <c r="DT206" s="1">
        <v>1496995.0558102659</v>
      </c>
      <c r="DU206" s="1">
        <v>28198.195499217545</v>
      </c>
      <c r="DV206" s="1">
        <v>216392.52104815785</v>
      </c>
      <c r="DW206" s="1">
        <v>8772543.8954794109</v>
      </c>
      <c r="DX206" s="1">
        <v>7560943.3475112785</v>
      </c>
      <c r="DY206" s="1">
        <v>1843669.8428499782</v>
      </c>
      <c r="EA206" s="1">
        <v>1998</v>
      </c>
      <c r="EB206" s="1">
        <v>0.85552165771778732</v>
      </c>
      <c r="EC206" s="1">
        <v>0.11890044100326236</v>
      </c>
      <c r="ED206" s="1">
        <v>1.8158003142853261</v>
      </c>
      <c r="EE206" s="1">
        <v>3.7621290020335891</v>
      </c>
      <c r="EF206" s="1">
        <v>2.4220771978475</v>
      </c>
      <c r="EG206" s="1">
        <v>1.8772516871405003</v>
      </c>
      <c r="EH206" s="1">
        <v>1.3792921114736458</v>
      </c>
      <c r="EI206" s="1">
        <v>1.3480313823237111</v>
      </c>
      <c r="EJ206" s="1">
        <v>1.927272143569823</v>
      </c>
      <c r="EL206" s="1">
        <v>1998</v>
      </c>
      <c r="EM206" s="1">
        <v>129902.90394638869</v>
      </c>
      <c r="EN206" s="1">
        <v>869036.32379554177</v>
      </c>
      <c r="EO206" s="1">
        <v>210818.22541966426</v>
      </c>
      <c r="EP206" s="1">
        <v>266410.16740161087</v>
      </c>
      <c r="EQ206" s="1">
        <v>848621.48076401907</v>
      </c>
      <c r="ER206" s="1">
        <v>400446.86663416622</v>
      </c>
      <c r="ES206" s="1">
        <v>1222641.1050128064</v>
      </c>
      <c r="ET206" s="1">
        <v>52775.679758308157</v>
      </c>
      <c r="EU206" s="1">
        <v>4000652.7527325042</v>
      </c>
      <c r="EV206" s="1">
        <v>2778011.647719699</v>
      </c>
      <c r="EX206" s="1">
        <v>1998</v>
      </c>
      <c r="EY206" s="1">
        <v>51145.009209546581</v>
      </c>
      <c r="EZ206" s="1">
        <v>837177.38173005055</v>
      </c>
      <c r="FA206" s="1">
        <v>169667.25767772878</v>
      </c>
      <c r="FB206" s="1">
        <v>241296.48319108458</v>
      </c>
      <c r="FC206" s="1">
        <v>764416.05857452832</v>
      </c>
      <c r="FD206" s="1">
        <v>334867.64391368779</v>
      </c>
      <c r="FE206" s="1">
        <v>1222641.1050128064</v>
      </c>
      <c r="FF206" s="1">
        <v>47996.443117086783</v>
      </c>
      <c r="FG206" s="1">
        <v>3669207.3824265199</v>
      </c>
      <c r="FH206" s="1">
        <v>2446566.2774137133</v>
      </c>
      <c r="FJ206" s="1">
        <v>1998</v>
      </c>
      <c r="FK206" s="1">
        <v>78757.894736842107</v>
      </c>
      <c r="FL206" s="1">
        <v>31858.942065491188</v>
      </c>
      <c r="FM206" s="1">
        <v>41150.967741935485</v>
      </c>
      <c r="FN206" s="1">
        <v>25113.68421052632</v>
      </c>
      <c r="FO206" s="1">
        <v>84205.422189490651</v>
      </c>
      <c r="FP206" s="1">
        <v>65579.222720478327</v>
      </c>
      <c r="FQ206" s="1">
        <v>4779.2366412213742</v>
      </c>
      <c r="FR206" s="1">
        <v>331445.37030598545</v>
      </c>
      <c r="FS206" s="1">
        <v>235500</v>
      </c>
      <c r="FU206" s="1">
        <v>1998</v>
      </c>
      <c r="FV206" s="1">
        <v>18755.239204545454</v>
      </c>
      <c r="FW206" s="1">
        <v>141031.2267468402</v>
      </c>
      <c r="FX206" s="1">
        <v>37686.658777726552</v>
      </c>
      <c r="FY206" s="1">
        <v>46720.722928503819</v>
      </c>
      <c r="FZ206" s="1">
        <v>131314.44112432463</v>
      </c>
      <c r="GA206" s="1">
        <v>65894.577326830768</v>
      </c>
      <c r="GB206" s="1">
        <v>171837.04107243731</v>
      </c>
      <c r="GC206" s="1">
        <v>7972.9886968085093</v>
      </c>
      <c r="GD206" s="1">
        <v>621212.89587801718</v>
      </c>
      <c r="GE206" s="1">
        <v>449375.85480557993</v>
      </c>
      <c r="GG206" s="1">
        <v>1998</v>
      </c>
      <c r="GH206" s="1">
        <v>6686.3871759058366</v>
      </c>
      <c r="GI206" s="1">
        <v>135073.08303426535</v>
      </c>
      <c r="GJ206" s="1">
        <v>31461.508175316914</v>
      </c>
      <c r="GK206" s="1">
        <v>42176.722928503819</v>
      </c>
      <c r="GL206" s="1">
        <v>116680.85318144335</v>
      </c>
      <c r="GM206" s="1">
        <v>56506.188221772391</v>
      </c>
      <c r="GN206" s="1">
        <v>171837.04107243731</v>
      </c>
      <c r="GO206" s="1">
        <v>6930.7449321756012</v>
      </c>
      <c r="GP206" s="1">
        <v>567352.52872182068</v>
      </c>
      <c r="GQ206" s="1">
        <v>395515.48764938326</v>
      </c>
      <c r="GS206" s="1">
        <v>1998</v>
      </c>
      <c r="GT206" s="1">
        <v>12068.852028639618</v>
      </c>
      <c r="GU206" s="1">
        <v>5958.1437125748498</v>
      </c>
      <c r="GV206" s="1">
        <v>6225.1506024096379</v>
      </c>
      <c r="GW206" s="1">
        <v>4544</v>
      </c>
      <c r="GX206" s="1">
        <v>14633.587942881271</v>
      </c>
      <c r="GY206" s="1">
        <v>9388.3891050583643</v>
      </c>
      <c r="GZ206" s="1">
        <v>1042.243764632909</v>
      </c>
      <c r="HA206" s="1">
        <v>53860.367156196648</v>
      </c>
      <c r="HC206" s="1">
        <v>1998</v>
      </c>
      <c r="HD206" s="1">
        <v>9394.91689692611</v>
      </c>
      <c r="HE206" s="1">
        <v>264817.37518349371</v>
      </c>
      <c r="HF206" s="1">
        <v>63197.76404597237</v>
      </c>
      <c r="HG206" s="1">
        <v>70352.322363199157</v>
      </c>
      <c r="HH206" s="1">
        <v>328359.35794679972</v>
      </c>
      <c r="HI206" s="1">
        <v>308354.36023381836</v>
      </c>
      <c r="HJ206" s="1">
        <v>12195.548195952982</v>
      </c>
      <c r="HK206" s="2">
        <v>1056671.6448661624</v>
      </c>
      <c r="HL206" s="1">
        <v>748317.28463234403</v>
      </c>
      <c r="HN206" s="1">
        <v>1998</v>
      </c>
      <c r="HO206" s="1">
        <v>11167.596154183435</v>
      </c>
      <c r="HP206" s="1">
        <v>11681.231696842566</v>
      </c>
      <c r="HQ206" s="1">
        <v>12504.664325989965</v>
      </c>
      <c r="HR206" s="1">
        <v>7579.5588329678067</v>
      </c>
      <c r="HS206" s="1">
        <v>44772.343265513489</v>
      </c>
      <c r="HT206" s="1">
        <v>1833.963619769534</v>
      </c>
      <c r="HU206" s="2">
        <v>89539.357895266803</v>
      </c>
      <c r="HW206" s="1">
        <v>1998</v>
      </c>
      <c r="HX206" s="1">
        <v>9253.3913823953153</v>
      </c>
      <c r="HY206" s="1">
        <v>141294.62145570718</v>
      </c>
      <c r="HZ206" s="1">
        <v>-942.52083531786047</v>
      </c>
      <c r="IA206" s="1">
        <v>44050.139025725672</v>
      </c>
      <c r="IB206" s="1">
        <v>71659.298128777969</v>
      </c>
      <c r="IC206" s="1">
        <v>27345.354167547506</v>
      </c>
      <c r="ID206" s="1">
        <v>191614.90415001946</v>
      </c>
      <c r="IE206" s="2">
        <v>484275.18747485522</v>
      </c>
      <c r="IF206" s="1">
        <v>456929.83330730774</v>
      </c>
      <c r="IH206" s="1">
        <v>1998</v>
      </c>
      <c r="II206" s="1">
        <v>204.2136935679126</v>
      </c>
      <c r="IJ206" s="1">
        <v>47.467276320495131</v>
      </c>
      <c r="IK206" s="1">
        <v>15.762089643796548</v>
      </c>
      <c r="IL206" s="1">
        <v>237.13301638649006</v>
      </c>
      <c r="IM206" s="1">
        <v>26.995547211046166</v>
      </c>
      <c r="IN206" s="1">
        <v>8.9642016165172151</v>
      </c>
      <c r="IO206" s="1">
        <v>1.7411193927909068</v>
      </c>
    </row>
    <row r="207" spans="1:249" x14ac:dyDescent="0.25">
      <c r="A207" s="1" t="s">
        <v>298</v>
      </c>
      <c r="B207" s="1">
        <v>4.5065265276119391</v>
      </c>
      <c r="C207" s="1">
        <v>4.7370876242425624</v>
      </c>
      <c r="D207" s="1">
        <v>4.5457906217647519</v>
      </c>
      <c r="E207" s="1">
        <v>4.467277179811731</v>
      </c>
      <c r="F207" s="1">
        <v>4.3322402759467025</v>
      </c>
      <c r="G207" s="1">
        <v>4.1181232223447495</v>
      </c>
      <c r="H207" s="1">
        <v>4.3674566394701344</v>
      </c>
      <c r="J207" s="1">
        <v>1999</v>
      </c>
      <c r="K207" s="2">
        <v>1911093.43418586</v>
      </c>
      <c r="L207" s="1">
        <v>1704540.6514331</v>
      </c>
      <c r="M207" s="1">
        <v>1672336.0462684399</v>
      </c>
      <c r="N207" s="1">
        <v>1465783.2635156799</v>
      </c>
      <c r="O207" s="1">
        <v>238757.38791742013</v>
      </c>
      <c r="P207" s="1">
        <v>206552.78275275999</v>
      </c>
      <c r="Q207" s="1">
        <v>1720401.7714686578</v>
      </c>
      <c r="R207" s="1">
        <v>3631495.2056545177</v>
      </c>
      <c r="S207" s="1">
        <v>3424942.422901758</v>
      </c>
      <c r="U207" s="1">
        <v>1999</v>
      </c>
      <c r="V207" s="1">
        <v>215750.82100265814</v>
      </c>
      <c r="W207" s="1">
        <v>218227.01346807613</v>
      </c>
      <c r="X207" s="1">
        <v>4.0370135830074076</v>
      </c>
      <c r="Y207" s="1">
        <v>192432.26856449529</v>
      </c>
      <c r="Z207" s="1">
        <v>196624.54463871379</v>
      </c>
      <c r="AA207" s="1">
        <v>4.4251143160515056</v>
      </c>
      <c r="AB207" s="1">
        <v>8857873.2878254708</v>
      </c>
      <c r="AC207" s="1">
        <v>7.7962291057716016E-2</v>
      </c>
      <c r="AE207" s="1">
        <v>1999</v>
      </c>
      <c r="AF207" s="1">
        <v>29449.92243427072</v>
      </c>
      <c r="AG207" s="1">
        <v>431038.09150839777</v>
      </c>
      <c r="AH207" s="1">
        <v>78872.988537043144</v>
      </c>
      <c r="AI207" s="1">
        <v>128656.84754004331</v>
      </c>
      <c r="AJ207" s="1">
        <v>349800.94706971181</v>
      </c>
      <c r="AK207" s="1">
        <v>133378.63652834162</v>
      </c>
      <c r="AL207" s="1">
        <v>346847.94807561202</v>
      </c>
      <c r="AM207" s="1">
        <v>206495.26973967961</v>
      </c>
      <c r="AN207" s="2">
        <v>1704540.6514331</v>
      </c>
      <c r="AP207" s="1" t="s">
        <v>298</v>
      </c>
      <c r="AQ207" s="1">
        <v>0.72507246058364672</v>
      </c>
      <c r="AR207" s="1">
        <v>5.8236300021837621</v>
      </c>
      <c r="AS207" s="1">
        <v>2.8359342609334277</v>
      </c>
      <c r="AT207" s="1">
        <v>7.8386087135108795</v>
      </c>
      <c r="AU207" s="1">
        <v>7.4580372156793686</v>
      </c>
      <c r="AV207" s="1">
        <v>4.0157095669625846</v>
      </c>
      <c r="AW207" s="1">
        <v>1.2996438730301918</v>
      </c>
      <c r="AX207" s="1">
        <v>1.9857603100327452</v>
      </c>
      <c r="AY207" s="1">
        <v>4.5065265276119391</v>
      </c>
      <c r="BA207" s="1">
        <v>1999</v>
      </c>
      <c r="BB207" s="1">
        <v>1017622.1515605173</v>
      </c>
      <c r="BC207" s="1">
        <v>515327.58882854012</v>
      </c>
      <c r="BD207" s="1">
        <v>119111.73634326021</v>
      </c>
      <c r="BE207" s="1">
        <v>153421.39611046846</v>
      </c>
      <c r="BF207" s="1">
        <v>834.11598755016553</v>
      </c>
      <c r="BG207" s="1">
        <v>-6501.4171946092174</v>
      </c>
      <c r="BH207" s="1">
        <v>847070.57575892739</v>
      </c>
      <c r="BI207" s="1">
        <v>735792.71320879436</v>
      </c>
      <c r="BJ207" s="1">
        <v>1911093.43418586</v>
      </c>
      <c r="BL207" s="1" t="s">
        <v>298</v>
      </c>
      <c r="BM207" s="1">
        <v>3.7984336866017969</v>
      </c>
      <c r="BN207" s="1">
        <v>1.5864777443758555</v>
      </c>
      <c r="BO207" s="1">
        <v>2.2387148070585994</v>
      </c>
      <c r="BP207" s="1">
        <v>7.364118486346797</v>
      </c>
      <c r="BQ207" s="1">
        <v>4.8672066454512901</v>
      </c>
      <c r="BR207" s="1">
        <v>4.1181232223447495</v>
      </c>
      <c r="BT207" s="1" t="s">
        <v>298</v>
      </c>
      <c r="BU207" s="1">
        <v>1.1767654846503319</v>
      </c>
      <c r="BV207" s="1">
        <v>3.4604451429682399</v>
      </c>
      <c r="BW207" s="1">
        <v>1.9192685811311208</v>
      </c>
      <c r="BX207" s="1">
        <v>-1.6289922762286579</v>
      </c>
      <c r="BY207" s="1">
        <v>1.1348748650535043</v>
      </c>
      <c r="BZ207" s="1">
        <v>0.64919050573915627</v>
      </c>
      <c r="CB207" s="1">
        <v>1999</v>
      </c>
      <c r="CC207" s="1">
        <v>9790.0071485994304</v>
      </c>
      <c r="CD207" s="1">
        <v>75946.041354536952</v>
      </c>
      <c r="CE207" s="1">
        <v>6473.9145524172582</v>
      </c>
      <c r="CF207" s="1">
        <v>53680.120249747379</v>
      </c>
      <c r="CG207" s="1">
        <v>49640.191818995962</v>
      </c>
      <c r="CH207" s="1">
        <v>32824.192890429753</v>
      </c>
      <c r="CI207" s="1">
        <v>38511.363231942923</v>
      </c>
      <c r="CJ207" s="1">
        <v>266865.83124666964</v>
      </c>
      <c r="CL207" s="1">
        <v>1999</v>
      </c>
      <c r="CM207" s="1">
        <v>9548.7946036027133</v>
      </c>
      <c r="CN207" s="1">
        <v>69218.494063430466</v>
      </c>
      <c r="CO207" s="1">
        <v>4473.4855867164579</v>
      </c>
      <c r="CP207" s="1">
        <v>27074.288182935263</v>
      </c>
      <c r="CQ207" s="1">
        <v>33010.427411109493</v>
      </c>
      <c r="CR207" s="1">
        <v>28358.142540431021</v>
      </c>
      <c r="CS207" s="1">
        <v>67073.755529194677</v>
      </c>
      <c r="CT207" s="2">
        <v>238757.38791742013</v>
      </c>
      <c r="CV207" s="1">
        <v>1999</v>
      </c>
      <c r="CW207" s="1">
        <v>2181781.2050751573</v>
      </c>
      <c r="CX207" s="1">
        <v>1705031.2029034519</v>
      </c>
      <c r="CY207" s="1">
        <v>791609.55904802307</v>
      </c>
      <c r="CZ207" s="1">
        <v>31628.837255124792</v>
      </c>
      <c r="DA207" s="1">
        <v>217288.60941941987</v>
      </c>
      <c r="DB207" s="1">
        <v>4927339.4137011766</v>
      </c>
      <c r="DC207" s="1">
        <v>4207702.8902079798</v>
      </c>
      <c r="DD207" s="1">
        <v>1008495.2214877481</v>
      </c>
      <c r="DF207" s="1">
        <v>1999</v>
      </c>
      <c r="DG207" s="1">
        <v>-0.30986072909185225</v>
      </c>
      <c r="DH207" s="1">
        <v>-1.3091318336967532</v>
      </c>
      <c r="DI207" s="1">
        <v>1.0020176340054263</v>
      </c>
      <c r="DJ207" s="1">
        <v>5.6994124133513253</v>
      </c>
      <c r="DK207" s="1">
        <v>2.6372009214945535</v>
      </c>
      <c r="DL207" s="1">
        <v>-3.0149460660102534</v>
      </c>
      <c r="DM207" s="1">
        <v>0.52805274492031629</v>
      </c>
      <c r="DN207" s="1">
        <v>0.51359191414861982</v>
      </c>
      <c r="DO207" s="1">
        <v>0.7690367113404335</v>
      </c>
      <c r="DQ207" s="1">
        <v>1999</v>
      </c>
      <c r="DR207" s="1">
        <v>4090189.2885324243</v>
      </c>
      <c r="DS207" s="1">
        <v>3181698.7427744432</v>
      </c>
      <c r="DT207" s="1">
        <v>1574541.7203849151</v>
      </c>
      <c r="DU207" s="1">
        <v>31628.837255124792</v>
      </c>
      <c r="DV207" s="1">
        <v>217288.60941941987</v>
      </c>
      <c r="DW207" s="1">
        <v>9095347.1983663272</v>
      </c>
      <c r="DX207" s="1">
        <v>7841280.5060747331</v>
      </c>
      <c r="DY207" s="1">
        <v>1905220.8392111685</v>
      </c>
      <c r="EA207" s="1">
        <v>1999</v>
      </c>
      <c r="EB207" s="1">
        <v>0.8252534651002037</v>
      </c>
      <c r="EC207" s="1">
        <v>0.20573577464402604</v>
      </c>
      <c r="ED207" s="1">
        <v>1.6422746484434469</v>
      </c>
      <c r="EE207" s="1">
        <v>4.4647744845205466</v>
      </c>
      <c r="EF207" s="1">
        <v>2.6372009214945535</v>
      </c>
      <c r="EG207" s="1">
        <v>-3.0149460660102534</v>
      </c>
      <c r="EH207" s="1">
        <v>1.3526470230873002</v>
      </c>
      <c r="EI207" s="1">
        <v>1.3114142150808306</v>
      </c>
      <c r="EJ207" s="1">
        <v>1.4312575371854876</v>
      </c>
      <c r="EL207" s="1">
        <v>1999</v>
      </c>
      <c r="EM207" s="1">
        <v>129211.31794489948</v>
      </c>
      <c r="EN207" s="1">
        <v>864675.58328378992</v>
      </c>
      <c r="EO207" s="1">
        <v>220774.10071942446</v>
      </c>
      <c r="EP207" s="1">
        <v>276096.74304275896</v>
      </c>
      <c r="EQ207" s="1">
        <v>889504.31849885383</v>
      </c>
      <c r="ER207" s="1">
        <v>413231.03825530596</v>
      </c>
      <c r="ES207" s="1">
        <v>1238989.3377241127</v>
      </c>
      <c r="ET207" s="1">
        <v>53814.199395770396</v>
      </c>
      <c r="EU207" s="1">
        <v>4086296.6388649158</v>
      </c>
      <c r="EV207" s="1">
        <v>2847307.3011408029</v>
      </c>
      <c r="EX207" s="1">
        <v>1999</v>
      </c>
      <c r="EY207" s="1">
        <v>48682.256160002449</v>
      </c>
      <c r="EZ207" s="1">
        <v>835549.63869940699</v>
      </c>
      <c r="FA207" s="1">
        <v>180412.81039684382</v>
      </c>
      <c r="FB207" s="1">
        <v>253394.63777960106</v>
      </c>
      <c r="FC207" s="1">
        <v>801651.11602808954</v>
      </c>
      <c r="FD207" s="1">
        <v>341549.42390553013</v>
      </c>
      <c r="FE207" s="1">
        <v>1238989.3377241127</v>
      </c>
      <c r="FF207" s="1">
        <v>48940.916953022301</v>
      </c>
      <c r="FG207" s="1">
        <v>3749170.1376466085</v>
      </c>
      <c r="FH207" s="1">
        <v>2510180.7999224961</v>
      </c>
      <c r="FJ207" s="1">
        <v>1999</v>
      </c>
      <c r="FK207" s="1">
        <v>80529.061784897029</v>
      </c>
      <c r="FL207" s="1">
        <v>29125.944584382876</v>
      </c>
      <c r="FM207" s="1">
        <v>40361.290322580644</v>
      </c>
      <c r="FN207" s="1">
        <v>22702.105263157897</v>
      </c>
      <c r="FO207" s="1">
        <v>87853.202470764183</v>
      </c>
      <c r="FP207" s="1">
        <v>71681.614349775773</v>
      </c>
      <c r="FQ207" s="1">
        <v>4873.2824427480919</v>
      </c>
      <c r="FR207" s="1">
        <v>337126.50121830648</v>
      </c>
      <c r="FS207" s="1">
        <v>226000</v>
      </c>
      <c r="FU207" s="1">
        <v>1999</v>
      </c>
      <c r="FV207" s="1">
        <v>19012.787500000002</v>
      </c>
      <c r="FW207" s="1">
        <v>141157.89372952035</v>
      </c>
      <c r="FX207" s="1">
        <v>39794.948516981705</v>
      </c>
      <c r="FY207" s="1">
        <v>48453.886554510245</v>
      </c>
      <c r="FZ207" s="1">
        <v>138863.21496352743</v>
      </c>
      <c r="GA207" s="1">
        <v>68749.391434196965</v>
      </c>
      <c r="GB207" s="1">
        <v>173989.80190552896</v>
      </c>
      <c r="GC207" s="1">
        <v>8214.3450797872338</v>
      </c>
      <c r="GD207" s="1">
        <v>638236.26968405291</v>
      </c>
      <c r="GE207" s="1">
        <v>464246.46777852398</v>
      </c>
      <c r="GG207" s="1">
        <v>1999</v>
      </c>
      <c r="GH207" s="1">
        <v>6275.3984785202874</v>
      </c>
      <c r="GI207" s="1">
        <v>135830.61229239459</v>
      </c>
      <c r="GJ207" s="1">
        <v>33391.936468788932</v>
      </c>
      <c r="GK207" s="1">
        <v>44357.401706025397</v>
      </c>
      <c r="GL207" s="1">
        <v>123665.37726056017</v>
      </c>
      <c r="GM207" s="1">
        <v>58331.710500344823</v>
      </c>
      <c r="GN207" s="1">
        <v>173989.80190552896</v>
      </c>
      <c r="GO207" s="1">
        <v>7183.4364239808547</v>
      </c>
      <c r="GP207" s="1">
        <v>583025.67503614398</v>
      </c>
      <c r="GQ207" s="1">
        <v>409035.87313061504</v>
      </c>
      <c r="GS207" s="1">
        <v>1999</v>
      </c>
      <c r="GT207" s="1">
        <v>12737.389021479714</v>
      </c>
      <c r="GU207" s="1">
        <v>5327.2814371257491</v>
      </c>
      <c r="GV207" s="1">
        <v>6403.0120481927697</v>
      </c>
      <c r="GW207" s="1">
        <v>4096.484848484848</v>
      </c>
      <c r="GX207" s="1">
        <v>15197.837702967257</v>
      </c>
      <c r="GY207" s="1">
        <v>10417.68093385214</v>
      </c>
      <c r="GZ207" s="1">
        <v>1030.908655806378</v>
      </c>
      <c r="HA207" s="1">
        <v>55210.594647908852</v>
      </c>
      <c r="HC207" s="1">
        <v>1999</v>
      </c>
      <c r="HD207" s="1">
        <v>9329.552469917382</v>
      </c>
      <c r="HE207" s="1">
        <v>267136.99468941288</v>
      </c>
      <c r="HF207" s="1">
        <v>66661.040684371212</v>
      </c>
      <c r="HG207" s="1">
        <v>74304.317227185151</v>
      </c>
      <c r="HH207" s="1">
        <v>347653.38146589545</v>
      </c>
      <c r="HI207" s="1">
        <v>318489.80553518096</v>
      </c>
      <c r="HJ207" s="1">
        <v>12745.617890752863</v>
      </c>
      <c r="HK207" s="2">
        <v>1096320.7099627159</v>
      </c>
      <c r="HL207" s="1">
        <v>777830.9044275349</v>
      </c>
      <c r="HN207" s="1">
        <v>1999</v>
      </c>
      <c r="HO207" s="1">
        <v>10571.575360750625</v>
      </c>
      <c r="HP207" s="1">
        <v>10477.122417110328</v>
      </c>
      <c r="HQ207" s="1">
        <v>12782.470613707947</v>
      </c>
      <c r="HR207" s="1">
        <v>6862.1356975656345</v>
      </c>
      <c r="HS207" s="1">
        <v>47366.918624807891</v>
      </c>
      <c r="HT207" s="1">
        <v>1829.1479219212167</v>
      </c>
      <c r="HU207" s="2">
        <v>89889.370635863641</v>
      </c>
      <c r="HW207" s="1">
        <v>1999</v>
      </c>
      <c r="HX207" s="1">
        <v>9548.7946036027133</v>
      </c>
      <c r="HY207" s="1">
        <v>153423.97440187458</v>
      </c>
      <c r="HZ207" s="1">
        <v>-570.52276103601616</v>
      </c>
      <c r="IA207" s="1">
        <v>47490.39461529252</v>
      </c>
      <c r="IB207" s="1">
        <v>88159.283507350076</v>
      </c>
      <c r="IC207" s="1">
        <v>28358.14254043105</v>
      </c>
      <c r="ID207" s="1">
        <v>191920.50392700554</v>
      </c>
      <c r="IE207" s="2">
        <v>518330.57083452051</v>
      </c>
      <c r="IF207" s="1">
        <v>489972.42829408951</v>
      </c>
      <c r="IH207" s="1">
        <v>1999</v>
      </c>
      <c r="II207" s="1">
        <v>203.07420754935816</v>
      </c>
      <c r="IJ207" s="1">
        <v>51.439625591844276</v>
      </c>
      <c r="IK207" s="1">
        <v>16.726439517005819</v>
      </c>
      <c r="IL207" s="1">
        <v>235.96291638670812</v>
      </c>
      <c r="IM207" s="1">
        <v>30.331843789533824</v>
      </c>
      <c r="IN207" s="1">
        <v>9.8628974209591735</v>
      </c>
      <c r="IO207" s="1">
        <v>-0.10310297774041999</v>
      </c>
    </row>
    <row r="208" spans="1:249" x14ac:dyDescent="0.25">
      <c r="A208" s="1" t="s">
        <v>299</v>
      </c>
      <c r="B208" s="1">
        <v>4.1468734580852669</v>
      </c>
      <c r="C208" s="1">
        <v>4.4151082459766684</v>
      </c>
      <c r="D208" s="1">
        <v>4.2132136130352364</v>
      </c>
      <c r="E208" s="1">
        <v>4.080575534019502</v>
      </c>
      <c r="F208" s="1">
        <v>4.4561856995357374</v>
      </c>
      <c r="G208" s="1">
        <v>4.1532475319246487</v>
      </c>
      <c r="H208" s="1">
        <v>4.3674228885952431</v>
      </c>
      <c r="J208" s="1">
        <v>2000</v>
      </c>
      <c r="K208" s="2">
        <v>2013310.6391384667</v>
      </c>
      <c r="L208" s="1">
        <v>1813900.3724977579</v>
      </c>
      <c r="M208" s="1">
        <v>1761256.1693770043</v>
      </c>
      <c r="N208" s="1">
        <v>1561845.9027362955</v>
      </c>
      <c r="O208" s="1">
        <v>252054.46976146239</v>
      </c>
      <c r="P208" s="1">
        <v>199410.26664070878</v>
      </c>
      <c r="Q208" s="1">
        <v>1929457.1014258703</v>
      </c>
      <c r="R208" s="1">
        <v>3942767.740564337</v>
      </c>
      <c r="S208" s="1">
        <v>3743357.4739236282</v>
      </c>
      <c r="U208" s="1">
        <v>2000</v>
      </c>
      <c r="V208" s="1">
        <v>226925.98779745461</v>
      </c>
      <c r="W208" s="1">
        <v>226925.98779745461</v>
      </c>
      <c r="X208" s="1">
        <v>3.9862041784533915</v>
      </c>
      <c r="Y208" s="1">
        <v>204449.88756000658</v>
      </c>
      <c r="Z208" s="1">
        <v>204449.88756000658</v>
      </c>
      <c r="AA208" s="1">
        <v>3.9798403274989909</v>
      </c>
      <c r="AB208" s="1">
        <v>8872102.5682411939</v>
      </c>
      <c r="AC208" s="1">
        <v>0.16063991833435409</v>
      </c>
      <c r="AE208" s="1">
        <v>2000</v>
      </c>
      <c r="AF208" s="1">
        <v>28048.859076006218</v>
      </c>
      <c r="AG208" s="1">
        <v>453830.99781317584</v>
      </c>
      <c r="AH208" s="1">
        <v>82547.996891265764</v>
      </c>
      <c r="AI208" s="1">
        <v>130633.83651360989</v>
      </c>
      <c r="AJ208" s="1">
        <v>389056.54362965375</v>
      </c>
      <c r="AK208" s="1">
        <v>148300.16089003067</v>
      </c>
      <c r="AL208" s="1">
        <v>369860.84469577298</v>
      </c>
      <c r="AM208" s="1">
        <v>211621.13298824296</v>
      </c>
      <c r="AN208" s="2">
        <v>1813900.3724977579</v>
      </c>
      <c r="AP208" s="1" t="s">
        <v>299</v>
      </c>
      <c r="AQ208" s="1">
        <v>0.45343962390236925</v>
      </c>
      <c r="AR208" s="1">
        <v>6.2135095997535359</v>
      </c>
      <c r="AS208" s="1">
        <v>1.6835539940714455</v>
      </c>
      <c r="AT208" s="1">
        <v>5.3260264355685365</v>
      </c>
      <c r="AU208" s="1">
        <v>7.0616033332100159</v>
      </c>
      <c r="AV208" s="1">
        <v>7.4108526023542964</v>
      </c>
      <c r="AW208" s="1">
        <v>-1.0415111030982445</v>
      </c>
      <c r="AX208" s="1">
        <v>2.460912904943612</v>
      </c>
      <c r="AY208" s="1">
        <v>4.1468734580852669</v>
      </c>
      <c r="BA208" s="1">
        <v>2000</v>
      </c>
      <c r="BB208" s="1">
        <v>1069367.0514473482</v>
      </c>
      <c r="BC208" s="1">
        <v>541739.11339293001</v>
      </c>
      <c r="BD208" s="1">
        <v>130593.19075998192</v>
      </c>
      <c r="BE208" s="1">
        <v>161873.87116830534</v>
      </c>
      <c r="BF208" s="1">
        <v>692.73254825444667</v>
      </c>
      <c r="BG208" s="1">
        <v>3514.4259151255501</v>
      </c>
      <c r="BH208" s="1">
        <v>963286.85457380675</v>
      </c>
      <c r="BI208" s="1">
        <v>857756.60066728573</v>
      </c>
      <c r="BJ208" s="1">
        <v>2013310.6391384667</v>
      </c>
      <c r="BL208" s="1" t="s">
        <v>299</v>
      </c>
      <c r="BM208" s="1">
        <v>4.9551664070846613</v>
      </c>
      <c r="BN208" s="1">
        <v>-1.2207302154211703</v>
      </c>
      <c r="BO208" s="1">
        <v>9.6118466100229654</v>
      </c>
      <c r="BP208" s="1">
        <v>11.300362320354722</v>
      </c>
      <c r="BQ208" s="1">
        <v>11.525344599594973</v>
      </c>
      <c r="BR208" s="1">
        <v>4.1532475319246487</v>
      </c>
      <c r="BT208" s="1" t="s">
        <v>299</v>
      </c>
      <c r="BU208" s="1">
        <v>0.12359276827353938</v>
      </c>
      <c r="BV208" s="1">
        <v>6.4243454050729127</v>
      </c>
      <c r="BW208" s="1">
        <v>1.4213399444464017</v>
      </c>
      <c r="BX208" s="1">
        <v>2.173779706352974</v>
      </c>
      <c r="BY208" s="1">
        <v>4.5285707891710416</v>
      </c>
      <c r="BZ208" s="1">
        <v>1.1477094056515682</v>
      </c>
      <c r="CB208" s="1">
        <v>2000</v>
      </c>
      <c r="CC208" s="1">
        <v>10581.962825230445</v>
      </c>
      <c r="CD208" s="1">
        <v>81410.974884271825</v>
      </c>
      <c r="CE208" s="1">
        <v>6206.5430329498668</v>
      </c>
      <c r="CF208" s="1">
        <v>67589.635320094021</v>
      </c>
      <c r="CG208" s="1">
        <v>56801.170371259286</v>
      </c>
      <c r="CH208" s="1">
        <v>29745.373865074143</v>
      </c>
      <c r="CI208" s="1">
        <v>44338.560092787702</v>
      </c>
      <c r="CJ208" s="1">
        <v>296674.22039166727</v>
      </c>
      <c r="CL208" s="1">
        <v>2000</v>
      </c>
      <c r="CM208" s="1">
        <v>9797.0829055471804</v>
      </c>
      <c r="CN208" s="1">
        <v>70856.91875562747</v>
      </c>
      <c r="CO208" s="1">
        <v>4609.2140436529526</v>
      </c>
      <c r="CP208" s="1">
        <v>29761.719615053174</v>
      </c>
      <c r="CQ208" s="1">
        <v>34820.913271619611</v>
      </c>
      <c r="CR208" s="1">
        <v>29510.290885459784</v>
      </c>
      <c r="CS208" s="1">
        <v>72698.330284502212</v>
      </c>
      <c r="CT208" s="2">
        <v>252054.46976146239</v>
      </c>
      <c r="CV208" s="1">
        <v>2000</v>
      </c>
      <c r="CW208" s="1">
        <v>2351563.8566148831</v>
      </c>
      <c r="CX208" s="1">
        <v>1786653.4835631652</v>
      </c>
      <c r="CY208" s="1">
        <v>824066.17883206403</v>
      </c>
      <c r="CZ208" s="1">
        <v>31191.278406513302</v>
      </c>
      <c r="DA208" s="1">
        <v>207550.99852250962</v>
      </c>
      <c r="DB208" s="1">
        <v>5201025.7959391354</v>
      </c>
      <c r="DC208" s="1">
        <v>4451830.8710149154</v>
      </c>
      <c r="DD208" s="1">
        <v>1030578.0373903258</v>
      </c>
      <c r="DF208" s="1">
        <v>2000</v>
      </c>
      <c r="DG208" s="1">
        <v>-0.22481935747383375</v>
      </c>
      <c r="DH208" s="1">
        <v>-1.2059961762016087</v>
      </c>
      <c r="DI208" s="1">
        <v>1.0937326053605148</v>
      </c>
      <c r="DJ208" s="1">
        <v>5.9377263490187744</v>
      </c>
      <c r="DK208" s="1">
        <v>2.220917460407108</v>
      </c>
      <c r="DL208" s="1">
        <v>1.6975071327804301</v>
      </c>
      <c r="DM208" s="1">
        <v>0.81721254399845122</v>
      </c>
      <c r="DN208" s="1">
        <v>0.94886065777666317</v>
      </c>
      <c r="DO208" s="1">
        <v>1.0164766777856329</v>
      </c>
      <c r="DQ208" s="1">
        <v>2000</v>
      </c>
      <c r="DR208" s="1">
        <v>4476149.6645891024</v>
      </c>
      <c r="DS208" s="1">
        <v>3355625.2257397985</v>
      </c>
      <c r="DT208" s="1">
        <v>1620381.3698437912</v>
      </c>
      <c r="DU208" s="1">
        <v>31191.278406513302</v>
      </c>
      <c r="DV208" s="1">
        <v>207550.99852250962</v>
      </c>
      <c r="DW208" s="1">
        <v>9690898.5371017139</v>
      </c>
      <c r="DX208" s="1">
        <v>8372488.4023072943</v>
      </c>
      <c r="DY208" s="1">
        <v>1965472.2714907837</v>
      </c>
      <c r="EA208" s="1">
        <v>2000</v>
      </c>
      <c r="EB208" s="1">
        <v>0.84787272629706933</v>
      </c>
      <c r="EC208" s="1">
        <v>0.24076847525742551</v>
      </c>
      <c r="ED208" s="1">
        <v>1.6746850824186197</v>
      </c>
      <c r="EE208" s="1">
        <v>4.7192429090446808</v>
      </c>
      <c r="EF208" s="1">
        <v>2.220917460407108</v>
      </c>
      <c r="EG208" s="1">
        <v>1.6975071327804301</v>
      </c>
      <c r="EH208" s="1">
        <v>1.501752519805251</v>
      </c>
      <c r="EI208" s="1">
        <v>1.5424117774326618</v>
      </c>
      <c r="EJ208" s="1">
        <v>1.5330234722964491</v>
      </c>
      <c r="EL208" s="1">
        <v>2000</v>
      </c>
      <c r="EM208" s="1">
        <v>134052.41995532392</v>
      </c>
      <c r="EN208" s="1">
        <v>863904.51341792208</v>
      </c>
      <c r="EO208" s="1">
        <v>227342.92565947241</v>
      </c>
      <c r="EP208" s="1">
        <v>284978.32647990185</v>
      </c>
      <c r="EQ208" s="1">
        <v>940600.78750193748</v>
      </c>
      <c r="ER208" s="1">
        <v>441248.75318540755</v>
      </c>
      <c r="ES208" s="1">
        <v>1237293.6313474232</v>
      </c>
      <c r="ET208" s="1">
        <v>56929.758308157099</v>
      </c>
      <c r="EU208" s="1">
        <v>4186351.1158555467</v>
      </c>
      <c r="EV208" s="1">
        <v>2949057.4845081228</v>
      </c>
      <c r="EX208" s="1">
        <v>2000</v>
      </c>
      <c r="EY208" s="1">
        <v>62024.960001090498</v>
      </c>
      <c r="EZ208" s="1">
        <v>835325.1683297609</v>
      </c>
      <c r="FA208" s="1">
        <v>187859.05469173047</v>
      </c>
      <c r="FB208" s="1">
        <v>263856.22121674399</v>
      </c>
      <c r="FC208" s="1">
        <v>850681.55366218707</v>
      </c>
      <c r="FD208" s="1">
        <v>369051.44376836723</v>
      </c>
      <c r="FE208" s="1">
        <v>1237293.6313474232</v>
      </c>
      <c r="FF208" s="1">
        <v>51774.338460828854</v>
      </c>
      <c r="FG208" s="1">
        <v>3857866.3714781324</v>
      </c>
      <c r="FH208" s="1">
        <v>2620572.740130709</v>
      </c>
      <c r="FJ208" s="1">
        <v>2000</v>
      </c>
      <c r="FK208" s="1">
        <v>72027.459954233418</v>
      </c>
      <c r="FL208" s="1">
        <v>28579.345088161212</v>
      </c>
      <c r="FM208" s="1">
        <v>39483.870967741932</v>
      </c>
      <c r="FN208" s="1">
        <v>21122.105263157897</v>
      </c>
      <c r="FO208" s="1">
        <v>89919.233839750435</v>
      </c>
      <c r="FP208" s="1">
        <v>72197.309417040349</v>
      </c>
      <c r="FQ208" s="1">
        <v>5155.419847328244</v>
      </c>
      <c r="FR208" s="1">
        <v>328484.74437741342</v>
      </c>
      <c r="FS208" s="1">
        <v>224000</v>
      </c>
      <c r="FU208" s="1">
        <v>2000</v>
      </c>
      <c r="FV208" s="1">
        <v>18760.962500000001</v>
      </c>
      <c r="FW208" s="1">
        <v>140366.57944930741</v>
      </c>
      <c r="FX208" s="1">
        <v>40130.001997848471</v>
      </c>
      <c r="FY208" s="1">
        <v>49086.945192307452</v>
      </c>
      <c r="FZ208" s="1">
        <v>143958.379321666</v>
      </c>
      <c r="GA208" s="1">
        <v>72349.052052882034</v>
      </c>
      <c r="GB208" s="1">
        <v>171842.02875401513</v>
      </c>
      <c r="GC208" s="1">
        <v>8442.9022606382969</v>
      </c>
      <c r="GD208" s="1">
        <v>644936.85152866482</v>
      </c>
      <c r="GE208" s="1">
        <v>473094.82277464971</v>
      </c>
      <c r="GG208" s="1">
        <v>2000</v>
      </c>
      <c r="GH208" s="1">
        <v>7571.7644093078779</v>
      </c>
      <c r="GI208" s="1">
        <v>134969.20220379843</v>
      </c>
      <c r="GJ208" s="1">
        <v>33940.423684595466</v>
      </c>
      <c r="GK208" s="1">
        <v>45300.278525640781</v>
      </c>
      <c r="GL208" s="1">
        <v>128527.97772479833</v>
      </c>
      <c r="GM208" s="1">
        <v>62243.277733815899</v>
      </c>
      <c r="GN208" s="1">
        <v>171842.02875401513</v>
      </c>
      <c r="GO208" s="1">
        <v>7443.0855397394125</v>
      </c>
      <c r="GP208" s="1">
        <v>591838.03857571143</v>
      </c>
      <c r="GQ208" s="1">
        <v>419996.00982169621</v>
      </c>
      <c r="GS208" s="1">
        <v>2000</v>
      </c>
      <c r="GT208" s="1">
        <v>11189.198090692125</v>
      </c>
      <c r="GU208" s="1">
        <v>5397.377245508982</v>
      </c>
      <c r="GV208" s="1">
        <v>6189.5783132530105</v>
      </c>
      <c r="GW208" s="1">
        <v>3786.6666666666665</v>
      </c>
      <c r="GX208" s="1">
        <v>15430.401596867683</v>
      </c>
      <c r="GY208" s="1">
        <v>10105.774319066146</v>
      </c>
      <c r="GZ208" s="1">
        <v>999.81672089888502</v>
      </c>
      <c r="HA208" s="1">
        <v>53098.812952953507</v>
      </c>
      <c r="HC208" s="1">
        <v>2000</v>
      </c>
      <c r="HD208" s="1">
        <v>10077.828820897894</v>
      </c>
      <c r="HE208" s="1">
        <v>283970.69768071815</v>
      </c>
      <c r="HF208" s="1">
        <v>73612.355770088252</v>
      </c>
      <c r="HG208" s="1">
        <v>81214.032385247803</v>
      </c>
      <c r="HH208" s="1">
        <v>397116.35787043849</v>
      </c>
      <c r="HI208" s="1">
        <v>340350.55381031317</v>
      </c>
      <c r="HJ208" s="1">
        <v>13776.483135880077</v>
      </c>
      <c r="HK208" s="2">
        <v>1200118.3094735837</v>
      </c>
      <c r="HL208" s="1">
        <v>859767.75566327071</v>
      </c>
      <c r="HN208" s="1">
        <v>2000</v>
      </c>
      <c r="HO208" s="1">
        <v>8173.9473495611437</v>
      </c>
      <c r="HP208" s="1">
        <v>11355.901620718656</v>
      </c>
      <c r="HQ208" s="1">
        <v>13424.388719955781</v>
      </c>
      <c r="HR208" s="1">
        <v>6788.7103414769772</v>
      </c>
      <c r="HS208" s="1">
        <v>52489.270695786327</v>
      </c>
      <c r="HT208" s="1">
        <v>1850.5709924860869</v>
      </c>
      <c r="HU208" s="2">
        <v>94082.789719984969</v>
      </c>
      <c r="HW208" s="1">
        <v>2000</v>
      </c>
      <c r="HX208" s="1">
        <v>9797.0829055471804</v>
      </c>
      <c r="HY208" s="1">
        <v>158504.39851173904</v>
      </c>
      <c r="HZ208" s="1">
        <v>-4488.7475987782673</v>
      </c>
      <c r="IA208" s="1">
        <v>42631.093786885103</v>
      </c>
      <c r="IB208" s="1">
        <v>87751.075953459585</v>
      </c>
      <c r="IC208" s="1">
        <v>29510.290885459817</v>
      </c>
      <c r="ID208" s="1">
        <v>195994.07885987678</v>
      </c>
      <c r="IE208" s="2">
        <v>519699.27330418921</v>
      </c>
      <c r="IF208" s="1">
        <v>490188.9824187294</v>
      </c>
      <c r="IH208" s="1">
        <v>2000</v>
      </c>
      <c r="II208" s="1">
        <v>199.53053497502265</v>
      </c>
      <c r="IJ208" s="1">
        <v>50.296817381131397</v>
      </c>
      <c r="IK208" s="1">
        <v>16.771864842847236</v>
      </c>
      <c r="IL208" s="1">
        <v>231.25564099794528</v>
      </c>
      <c r="IM208" s="1">
        <v>29.678152920675693</v>
      </c>
      <c r="IN208" s="1">
        <v>9.8964108563587985</v>
      </c>
      <c r="IO208" s="1">
        <v>6.1988359258073444</v>
      </c>
    </row>
    <row r="209" spans="21:242" x14ac:dyDescent="0.25">
      <c r="CV209" s="1">
        <v>2001</v>
      </c>
      <c r="CW209" s="1">
        <v>2527611.1637691949</v>
      </c>
      <c r="CX209" s="1">
        <v>1885064.1778467214</v>
      </c>
      <c r="CY209" s="1">
        <v>877139.66188882233</v>
      </c>
      <c r="CZ209" s="1">
        <v>31581.789323406327</v>
      </c>
      <c r="DA209" s="1">
        <v>210025.02742069747</v>
      </c>
      <c r="DB209" s="1">
        <v>5531421.8202488422</v>
      </c>
      <c r="DC209" s="1">
        <v>4754705.2580870427</v>
      </c>
      <c r="DD209" s="1">
        <v>1072118.6656257478</v>
      </c>
      <c r="DQ209" s="1">
        <v>2001</v>
      </c>
      <c r="DR209" s="1">
        <v>4881709.0122622391</v>
      </c>
      <c r="DS209" s="1">
        <v>3561092.3739900729</v>
      </c>
      <c r="DT209" s="1">
        <v>1706767.8161543065</v>
      </c>
      <c r="DU209" s="1">
        <v>31581.789323406327</v>
      </c>
      <c r="DV209" s="1">
        <v>210025.02742069747</v>
      </c>
      <c r="DW209" s="1">
        <v>10391176.019150723</v>
      </c>
      <c r="DX209" s="1">
        <v>9007860.7080763262</v>
      </c>
      <c r="DY209" s="1">
        <v>2061374.035877703</v>
      </c>
    </row>
    <row r="211" spans="21:242" x14ac:dyDescent="0.25">
      <c r="U211" s="1" t="s">
        <v>73</v>
      </c>
      <c r="AE211" s="1" t="s">
        <v>73</v>
      </c>
      <c r="AP211" s="1" t="s">
        <v>73</v>
      </c>
      <c r="BA211" s="1" t="s">
        <v>80</v>
      </c>
      <c r="BL211" s="1" t="s">
        <v>80</v>
      </c>
      <c r="BT211" s="1" t="s">
        <v>80</v>
      </c>
      <c r="CL211" s="1" t="s">
        <v>73</v>
      </c>
      <c r="CV211" s="1" t="s">
        <v>85</v>
      </c>
      <c r="DF211" s="1" t="s">
        <v>80</v>
      </c>
      <c r="DQ211" s="1" t="s">
        <v>85</v>
      </c>
      <c r="EA211" s="1" t="s">
        <v>80</v>
      </c>
      <c r="EL211" s="1" t="s">
        <v>73</v>
      </c>
      <c r="EX211" s="1" t="s">
        <v>73</v>
      </c>
      <c r="FJ211" s="1" t="s">
        <v>73</v>
      </c>
      <c r="FU211" s="1" t="s">
        <v>73</v>
      </c>
      <c r="GG211" s="1" t="s">
        <v>73</v>
      </c>
      <c r="GS211" s="1" t="s">
        <v>73</v>
      </c>
      <c r="IH211" s="1" t="s">
        <v>94</v>
      </c>
    </row>
    <row r="212" spans="21:242" x14ac:dyDescent="0.25">
      <c r="U212" s="1" t="s">
        <v>74</v>
      </c>
      <c r="AE212" s="1" t="s">
        <v>69</v>
      </c>
      <c r="AP212" s="1" t="s">
        <v>69</v>
      </c>
      <c r="BA212" s="1" t="s">
        <v>79</v>
      </c>
      <c r="BL212" s="1" t="s">
        <v>79</v>
      </c>
      <c r="BT212" s="1" t="s">
        <v>79</v>
      </c>
      <c r="CL212" s="1" t="s">
        <v>81</v>
      </c>
      <c r="CV212" s="1" t="s">
        <v>84</v>
      </c>
      <c r="DF212" s="1" t="s">
        <v>86</v>
      </c>
      <c r="DQ212" s="1" t="s">
        <v>84</v>
      </c>
      <c r="EA212" s="1" t="s">
        <v>86</v>
      </c>
      <c r="EL212" s="1" t="s">
        <v>69</v>
      </c>
      <c r="EX212" s="1" t="s">
        <v>69</v>
      </c>
      <c r="FJ212" s="1" t="s">
        <v>69</v>
      </c>
      <c r="FU212" s="1" t="s">
        <v>69</v>
      </c>
      <c r="GG212" s="1" t="s">
        <v>69</v>
      </c>
      <c r="GS212" s="1" t="s">
        <v>69</v>
      </c>
      <c r="IH212" s="1" t="s">
        <v>95</v>
      </c>
    </row>
    <row r="213" spans="21:242" x14ac:dyDescent="0.25">
      <c r="U213" s="1" t="s">
        <v>75</v>
      </c>
      <c r="AE213" s="1" t="s">
        <v>70</v>
      </c>
      <c r="AP213" s="1" t="s">
        <v>70</v>
      </c>
      <c r="CL213" s="1" t="s">
        <v>82</v>
      </c>
      <c r="DF213" s="1" t="s">
        <v>87</v>
      </c>
      <c r="EA213" s="1" t="s">
        <v>87</v>
      </c>
      <c r="EL213" s="1" t="s">
        <v>70</v>
      </c>
      <c r="EX213" s="1" t="s">
        <v>70</v>
      </c>
      <c r="FJ213" s="1" t="s">
        <v>70</v>
      </c>
      <c r="FU213" s="1" t="s">
        <v>70</v>
      </c>
      <c r="GG213" s="1" t="s">
        <v>70</v>
      </c>
      <c r="GS213" s="1" t="s">
        <v>70</v>
      </c>
      <c r="IH213" s="1" t="s">
        <v>96</v>
      </c>
    </row>
    <row r="214" spans="21:242" x14ac:dyDescent="0.25">
      <c r="U214" s="1" t="s">
        <v>76</v>
      </c>
      <c r="AE214" s="1" t="s">
        <v>71</v>
      </c>
      <c r="AP214" s="1" t="s">
        <v>71</v>
      </c>
      <c r="CL214" s="1" t="s">
        <v>83</v>
      </c>
      <c r="EL214" s="1" t="s">
        <v>71</v>
      </c>
      <c r="EX214" s="1" t="s">
        <v>71</v>
      </c>
      <c r="FJ214" s="1" t="s">
        <v>71</v>
      </c>
      <c r="FU214" s="1" t="s">
        <v>71</v>
      </c>
      <c r="GG214" s="1" t="s">
        <v>71</v>
      </c>
      <c r="GS214" s="1" t="s">
        <v>71</v>
      </c>
      <c r="IH214" s="1" t="s">
        <v>97</v>
      </c>
    </row>
    <row r="215" spans="21:242" x14ac:dyDescent="0.25">
      <c r="U215" s="1" t="s">
        <v>77</v>
      </c>
      <c r="AE215" s="1" t="s">
        <v>72</v>
      </c>
      <c r="AP215" s="1" t="s">
        <v>72</v>
      </c>
      <c r="EL215" s="1" t="s">
        <v>72</v>
      </c>
      <c r="EX215" s="1" t="s">
        <v>72</v>
      </c>
      <c r="FJ215" s="1" t="s">
        <v>72</v>
      </c>
      <c r="FU215" s="1" t="s">
        <v>72</v>
      </c>
      <c r="GG215" s="1" t="s">
        <v>72</v>
      </c>
      <c r="GS215" s="1" t="s">
        <v>72</v>
      </c>
      <c r="IH215" s="1" t="s">
        <v>98</v>
      </c>
    </row>
    <row r="216" spans="21:242" x14ac:dyDescent="0.25">
      <c r="EL216" s="1" t="s">
        <v>88</v>
      </c>
    </row>
    <row r="217" spans="21:242" x14ac:dyDescent="0.25">
      <c r="EL217" s="1" t="s">
        <v>89</v>
      </c>
    </row>
    <row r="218" spans="21:242" x14ac:dyDescent="0.25">
      <c r="EL218" s="1" t="s">
        <v>90</v>
      </c>
    </row>
    <row r="219" spans="21:242" x14ac:dyDescent="0.25">
      <c r="EL219" s="1" t="s">
        <v>91</v>
      </c>
    </row>
    <row r="220" spans="21:242" x14ac:dyDescent="0.25">
      <c r="EL220" s="1" t="s">
        <v>92</v>
      </c>
    </row>
    <row r="221" spans="21:242" x14ac:dyDescent="0.25">
      <c r="EL221" s="1" t="s">
        <v>93</v>
      </c>
    </row>
  </sheetData>
  <phoneticPr fontId="0" type="noConversion"/>
  <pageMargins left="0.75" right="0.75" top="1" bottom="1" header="0.5" footer="0.5"/>
  <pageSetup paperSize="9" orientation="portrait" horizontalDpi="200" verticalDpi="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4857A-24E3-4152-9F92-C98E106E52B2}">
  <dimension ref="A8:A109"/>
  <sheetViews>
    <sheetView topLeftCell="A51" workbookViewId="0">
      <selection activeCell="A47" sqref="A47"/>
    </sheetView>
  </sheetViews>
  <sheetFormatPr defaultRowHeight="13.2" x14ac:dyDescent="0.25"/>
  <sheetData>
    <row r="8" spans="1:1" x14ac:dyDescent="0.25">
      <c r="A8" s="2" t="s">
        <v>14</v>
      </c>
    </row>
    <row r="9" spans="1:1" x14ac:dyDescent="0.25">
      <c r="A9" t="s">
        <v>15</v>
      </c>
    </row>
    <row r="10" spans="1:1" x14ac:dyDescent="0.25">
      <c r="A10" t="s">
        <v>16</v>
      </c>
    </row>
    <row r="11" spans="1:1" x14ac:dyDescent="0.25">
      <c r="A11" t="s">
        <v>17</v>
      </c>
    </row>
    <row r="12" spans="1:1" x14ac:dyDescent="0.25">
      <c r="A12" t="s">
        <v>18</v>
      </c>
    </row>
    <row r="13" spans="1:1" x14ac:dyDescent="0.25">
      <c r="A13" t="s">
        <v>19</v>
      </c>
    </row>
    <row r="14" spans="1:1" x14ac:dyDescent="0.25">
      <c r="A14" t="s">
        <v>20</v>
      </c>
    </row>
    <row r="15" spans="1:1" x14ac:dyDescent="0.25">
      <c r="A15" t="s">
        <v>21</v>
      </c>
    </row>
    <row r="16" spans="1:1" x14ac:dyDescent="0.25">
      <c r="A16" t="s">
        <v>22</v>
      </c>
    </row>
    <row r="17" spans="1:1" x14ac:dyDescent="0.25">
      <c r="A17" t="s">
        <v>23</v>
      </c>
    </row>
    <row r="18" spans="1:1" x14ac:dyDescent="0.25">
      <c r="A18" t="s">
        <v>24</v>
      </c>
    </row>
    <row r="19" spans="1:1" x14ac:dyDescent="0.25">
      <c r="A19" t="s">
        <v>25</v>
      </c>
    </row>
    <row r="20" spans="1:1" x14ac:dyDescent="0.25">
      <c r="A20" t="s">
        <v>26</v>
      </c>
    </row>
    <row r="21" spans="1:1" x14ac:dyDescent="0.25">
      <c r="A21" t="s">
        <v>27</v>
      </c>
    </row>
    <row r="22" spans="1:1" x14ac:dyDescent="0.25">
      <c r="A22" t="s">
        <v>28</v>
      </c>
    </row>
    <row r="23" spans="1:1" x14ac:dyDescent="0.25">
      <c r="A23" t="s">
        <v>29</v>
      </c>
    </row>
    <row r="24" spans="1:1" x14ac:dyDescent="0.25">
      <c r="A24" t="s">
        <v>30</v>
      </c>
    </row>
    <row r="25" spans="1:1" x14ac:dyDescent="0.25">
      <c r="A25" t="s">
        <v>31</v>
      </c>
    </row>
    <row r="26" spans="1:1" x14ac:dyDescent="0.25">
      <c r="A26" t="s">
        <v>32</v>
      </c>
    </row>
    <row r="27" spans="1:1" x14ac:dyDescent="0.25">
      <c r="A27" t="s">
        <v>33</v>
      </c>
    </row>
    <row r="28" spans="1:1" x14ac:dyDescent="0.25">
      <c r="A28" t="s">
        <v>34</v>
      </c>
    </row>
    <row r="29" spans="1:1" x14ac:dyDescent="0.25">
      <c r="A29" t="s">
        <v>35</v>
      </c>
    </row>
    <row r="30" spans="1:1" x14ac:dyDescent="0.25">
      <c r="A30" t="s">
        <v>36</v>
      </c>
    </row>
    <row r="31" spans="1:1" x14ac:dyDescent="0.25">
      <c r="A31" t="s">
        <v>37</v>
      </c>
    </row>
    <row r="32" spans="1:1" x14ac:dyDescent="0.25">
      <c r="A32" t="s">
        <v>38</v>
      </c>
    </row>
    <row r="33" spans="1:1" x14ac:dyDescent="0.25">
      <c r="A33" t="s">
        <v>39</v>
      </c>
    </row>
    <row r="34" spans="1:1" x14ac:dyDescent="0.25">
      <c r="A34" t="s">
        <v>41</v>
      </c>
    </row>
    <row r="35" spans="1:1" x14ac:dyDescent="0.25">
      <c r="A35" t="s">
        <v>42</v>
      </c>
    </row>
    <row r="36" spans="1:1" x14ac:dyDescent="0.25">
      <c r="A36" t="s">
        <v>43</v>
      </c>
    </row>
    <row r="37" spans="1:1" x14ac:dyDescent="0.25">
      <c r="A37" t="s">
        <v>44</v>
      </c>
    </row>
    <row r="38" spans="1:1" x14ac:dyDescent="0.25">
      <c r="A38" t="s">
        <v>45</v>
      </c>
    </row>
    <row r="39" spans="1:1" x14ac:dyDescent="0.25">
      <c r="A39" t="s">
        <v>46</v>
      </c>
    </row>
    <row r="40" spans="1:1" x14ac:dyDescent="0.25">
      <c r="A40" t="s">
        <v>47</v>
      </c>
    </row>
    <row r="41" spans="1:1" x14ac:dyDescent="0.25">
      <c r="A41" t="s">
        <v>48</v>
      </c>
    </row>
    <row r="42" spans="1:1" x14ac:dyDescent="0.25">
      <c r="A42" t="s">
        <v>49</v>
      </c>
    </row>
    <row r="43" spans="1:1" x14ac:dyDescent="0.25">
      <c r="A43" t="s">
        <v>50</v>
      </c>
    </row>
    <row r="44" spans="1:1" x14ac:dyDescent="0.25">
      <c r="A44" t="s">
        <v>51</v>
      </c>
    </row>
    <row r="45" spans="1:1" x14ac:dyDescent="0.25">
      <c r="A45" t="s">
        <v>52</v>
      </c>
    </row>
    <row r="46" spans="1:1" x14ac:dyDescent="0.25">
      <c r="A46" t="s">
        <v>53</v>
      </c>
    </row>
    <row r="47" spans="1:1" x14ac:dyDescent="0.25">
      <c r="A47" t="s">
        <v>54</v>
      </c>
    </row>
    <row r="48" spans="1:1" x14ac:dyDescent="0.25">
      <c r="A48" t="s">
        <v>55</v>
      </c>
    </row>
    <row r="49" spans="1:1" x14ac:dyDescent="0.25">
      <c r="A49" t="s">
        <v>56</v>
      </c>
    </row>
    <row r="50" spans="1:1" x14ac:dyDescent="0.25">
      <c r="A50" t="s">
        <v>57</v>
      </c>
    </row>
    <row r="51" spans="1:1" x14ac:dyDescent="0.25">
      <c r="A51" t="s">
        <v>58</v>
      </c>
    </row>
    <row r="52" spans="1:1" x14ac:dyDescent="0.25">
      <c r="A52" t="s">
        <v>59</v>
      </c>
    </row>
    <row r="53" spans="1:1" x14ac:dyDescent="0.25">
      <c r="A53" t="s">
        <v>60</v>
      </c>
    </row>
    <row r="54" spans="1:1" x14ac:dyDescent="0.25">
      <c r="A54" t="s">
        <v>61</v>
      </c>
    </row>
    <row r="55" spans="1:1" x14ac:dyDescent="0.25">
      <c r="A55" t="s">
        <v>62</v>
      </c>
    </row>
    <row r="56" spans="1:1" x14ac:dyDescent="0.25">
      <c r="A56" t="s">
        <v>63</v>
      </c>
    </row>
    <row r="57" spans="1:1" x14ac:dyDescent="0.25">
      <c r="A57" t="s">
        <v>64</v>
      </c>
    </row>
    <row r="58" spans="1:1" x14ac:dyDescent="0.25">
      <c r="A58" t="s">
        <v>65</v>
      </c>
    </row>
    <row r="59" spans="1:1" x14ac:dyDescent="0.25">
      <c r="A59" t="s">
        <v>66</v>
      </c>
    </row>
    <row r="60" spans="1:1" x14ac:dyDescent="0.25">
      <c r="A60" t="s">
        <v>67</v>
      </c>
    </row>
    <row r="61" spans="1:1" x14ac:dyDescent="0.25">
      <c r="A61" t="s">
        <v>68</v>
      </c>
    </row>
    <row r="62" spans="1:1" x14ac:dyDescent="0.25">
      <c r="A62" t="s">
        <v>498</v>
      </c>
    </row>
    <row r="63" spans="1:1" x14ac:dyDescent="0.25">
      <c r="A63" t="s">
        <v>499</v>
      </c>
    </row>
    <row r="64" spans="1:1" x14ac:dyDescent="0.25">
      <c r="A64" t="s">
        <v>500</v>
      </c>
    </row>
    <row r="65" spans="1:1" x14ac:dyDescent="0.25">
      <c r="A65" t="s">
        <v>501</v>
      </c>
    </row>
    <row r="66" spans="1:1" x14ac:dyDescent="0.25">
      <c r="A66" t="s">
        <v>502</v>
      </c>
    </row>
    <row r="67" spans="1:1" x14ac:dyDescent="0.25">
      <c r="A67" t="s">
        <v>503</v>
      </c>
    </row>
    <row r="68" spans="1:1" x14ac:dyDescent="0.25">
      <c r="A68" t="s">
        <v>504</v>
      </c>
    </row>
    <row r="69" spans="1:1" x14ac:dyDescent="0.25">
      <c r="A69" t="s">
        <v>505</v>
      </c>
    </row>
    <row r="70" spans="1:1" x14ac:dyDescent="0.25">
      <c r="A70" t="s">
        <v>506</v>
      </c>
    </row>
    <row r="71" spans="1:1" x14ac:dyDescent="0.25">
      <c r="A71" t="s">
        <v>507</v>
      </c>
    </row>
    <row r="72" spans="1:1" x14ac:dyDescent="0.25">
      <c r="A72" t="s">
        <v>508</v>
      </c>
    </row>
    <row r="73" spans="1:1" x14ac:dyDescent="0.25">
      <c r="A73" t="s">
        <v>509</v>
      </c>
    </row>
    <row r="74" spans="1:1" x14ac:dyDescent="0.25">
      <c r="A74" t="s">
        <v>510</v>
      </c>
    </row>
    <row r="75" spans="1:1" x14ac:dyDescent="0.25">
      <c r="A75" t="s">
        <v>511</v>
      </c>
    </row>
    <row r="76" spans="1:1" x14ac:dyDescent="0.25">
      <c r="A76" t="s">
        <v>512</v>
      </c>
    </row>
    <row r="77" spans="1:1" x14ac:dyDescent="0.25">
      <c r="A77" t="s">
        <v>513</v>
      </c>
    </row>
    <row r="78" spans="1:1" x14ac:dyDescent="0.25">
      <c r="A78" t="s">
        <v>514</v>
      </c>
    </row>
    <row r="79" spans="1:1" x14ac:dyDescent="0.25">
      <c r="A79" t="s">
        <v>515</v>
      </c>
    </row>
    <row r="80" spans="1:1" x14ac:dyDescent="0.25">
      <c r="A80" t="s">
        <v>516</v>
      </c>
    </row>
    <row r="81" spans="1:1" x14ac:dyDescent="0.25">
      <c r="A81" t="s">
        <v>517</v>
      </c>
    </row>
    <row r="82" spans="1:1" x14ac:dyDescent="0.25">
      <c r="A82" t="s">
        <v>521</v>
      </c>
    </row>
    <row r="83" spans="1:1" x14ac:dyDescent="0.25">
      <c r="A83" t="s">
        <v>522</v>
      </c>
    </row>
    <row r="84" spans="1:1" x14ac:dyDescent="0.25">
      <c r="A84" t="s">
        <v>523</v>
      </c>
    </row>
    <row r="85" spans="1:1" x14ac:dyDescent="0.25">
      <c r="A85" t="s">
        <v>524</v>
      </c>
    </row>
    <row r="86" spans="1:1" x14ac:dyDescent="0.25">
      <c r="A86" t="s">
        <v>525</v>
      </c>
    </row>
    <row r="87" spans="1:1" x14ac:dyDescent="0.25">
      <c r="A87" t="s">
        <v>526</v>
      </c>
    </row>
    <row r="88" spans="1:1" x14ac:dyDescent="0.25">
      <c r="A88" t="s">
        <v>527</v>
      </c>
    </row>
    <row r="89" spans="1:1" x14ac:dyDescent="0.25">
      <c r="A89" t="s">
        <v>528</v>
      </c>
    </row>
    <row r="90" spans="1:1" x14ac:dyDescent="0.25">
      <c r="A90" t="s">
        <v>529</v>
      </c>
    </row>
    <row r="91" spans="1:1" x14ac:dyDescent="0.25">
      <c r="A91" t="s">
        <v>530</v>
      </c>
    </row>
    <row r="92" spans="1:1" x14ac:dyDescent="0.25">
      <c r="A92" t="s">
        <v>531</v>
      </c>
    </row>
    <row r="93" spans="1:1" x14ac:dyDescent="0.25">
      <c r="A93" t="s">
        <v>532</v>
      </c>
    </row>
    <row r="94" spans="1:1" x14ac:dyDescent="0.25">
      <c r="A94" t="s">
        <v>533</v>
      </c>
    </row>
    <row r="95" spans="1:1" x14ac:dyDescent="0.25">
      <c r="A95" t="s">
        <v>534</v>
      </c>
    </row>
    <row r="96" spans="1:1" x14ac:dyDescent="0.25">
      <c r="A96" t="s">
        <v>0</v>
      </c>
    </row>
    <row r="97" spans="1:1" x14ac:dyDescent="0.25">
      <c r="A97" t="s">
        <v>1</v>
      </c>
    </row>
    <row r="98" spans="1:1" x14ac:dyDescent="0.25">
      <c r="A98" t="s">
        <v>2</v>
      </c>
    </row>
    <row r="99" spans="1:1" x14ac:dyDescent="0.25">
      <c r="A99" t="s">
        <v>3</v>
      </c>
    </row>
    <row r="100" spans="1:1" x14ac:dyDescent="0.25">
      <c r="A100" t="s">
        <v>4</v>
      </c>
    </row>
    <row r="101" spans="1:1" x14ac:dyDescent="0.25">
      <c r="A101" t="s">
        <v>5</v>
      </c>
    </row>
    <row r="102" spans="1:1" x14ac:dyDescent="0.25">
      <c r="A102" t="s">
        <v>6</v>
      </c>
    </row>
    <row r="103" spans="1:1" x14ac:dyDescent="0.25">
      <c r="A103" t="s">
        <v>7</v>
      </c>
    </row>
    <row r="104" spans="1:1" x14ac:dyDescent="0.25">
      <c r="A104" t="s">
        <v>8</v>
      </c>
    </row>
    <row r="105" spans="1:1" x14ac:dyDescent="0.25">
      <c r="A105" t="s">
        <v>9</v>
      </c>
    </row>
    <row r="106" spans="1:1" x14ac:dyDescent="0.25">
      <c r="A106" t="s">
        <v>10</v>
      </c>
    </row>
    <row r="107" spans="1:1" x14ac:dyDescent="0.25">
      <c r="A107" t="s">
        <v>11</v>
      </c>
    </row>
    <row r="108" spans="1:1" x14ac:dyDescent="0.25">
      <c r="A108" t="s">
        <v>12</v>
      </c>
    </row>
    <row r="109" spans="1:1" x14ac:dyDescent="0.25">
      <c r="A109" t="s">
        <v>13</v>
      </c>
    </row>
  </sheetData>
  <phoneticPr fontId="0" type="noConversion"/>
  <pageMargins left="0.75" right="0.75" top="1" bottom="1" header="0.5" footer="0.5"/>
  <pageSetup paperSize="9" orientation="portrait" horizontalDpi="200" verticalDpi="200" copies="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265C5-936C-49ED-8CC9-A066B93834FE}">
  <dimension ref="A1:A14"/>
  <sheetViews>
    <sheetView workbookViewId="0">
      <selection activeCell="E17" sqref="E17"/>
    </sheetView>
  </sheetViews>
  <sheetFormatPr defaultRowHeight="13.2" x14ac:dyDescent="0.25"/>
  <sheetData>
    <row r="1" spans="1:1" x14ac:dyDescent="0.25">
      <c r="A1" s="1" t="s">
        <v>483</v>
      </c>
    </row>
    <row r="2" spans="1:1" x14ac:dyDescent="0.25">
      <c r="A2" s="1" t="s">
        <v>360</v>
      </c>
    </row>
    <row r="3" spans="1:1" x14ac:dyDescent="0.25">
      <c r="A3" s="1" t="s">
        <v>379</v>
      </c>
    </row>
    <row r="5" spans="1:1" x14ac:dyDescent="0.25">
      <c r="A5" t="s">
        <v>447</v>
      </c>
    </row>
    <row r="6" spans="1:1" x14ac:dyDescent="0.25">
      <c r="A6" t="s">
        <v>497</v>
      </c>
    </row>
    <row r="9" spans="1:1" x14ac:dyDescent="0.25">
      <c r="A9" t="s">
        <v>488</v>
      </c>
    </row>
    <row r="11" spans="1:1" x14ac:dyDescent="0.25">
      <c r="A11" t="s">
        <v>520</v>
      </c>
    </row>
    <row r="12" spans="1:1" x14ac:dyDescent="0.25">
      <c r="A12" t="s">
        <v>446</v>
      </c>
    </row>
    <row r="13" spans="1:1" x14ac:dyDescent="0.25">
      <c r="A13" t="s">
        <v>445</v>
      </c>
    </row>
    <row r="14" spans="1:1" x14ac:dyDescent="0.25">
      <c r="A14" t="s">
        <v>78</v>
      </c>
    </row>
  </sheetData>
  <phoneticPr fontId="0" type="noConversion"/>
  <pageMargins left="0.75" right="0.75" top="1" bottom="1" header="0.5" footer="0.5"/>
  <pageSetup paperSize="9" orientation="portrait" horizontalDpi="200" verticalDpi="200" copies="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9280F-5364-493E-8045-6D044D7BDEB7}">
  <dimension ref="A1:AG222"/>
  <sheetViews>
    <sheetView zoomScale="47" zoomScaleNormal="70" workbookViewId="0">
      <pane xSplit="1" ySplit="8" topLeftCell="B53" activePane="bottomRight" state="frozen"/>
      <selection pane="topRight" activeCell="B1" sqref="B1"/>
      <selection pane="bottomLeft" activeCell="A9" sqref="A9"/>
      <selection pane="bottomRight" activeCell="F91" sqref="F91"/>
    </sheetView>
  </sheetViews>
  <sheetFormatPr defaultRowHeight="13.2" x14ac:dyDescent="0.25"/>
  <cols>
    <col min="23" max="24" width="8.77734375" style="3"/>
    <col min="28" max="28" width="12.77734375" customWidth="1"/>
    <col min="29" max="29" width="11.33203125" customWidth="1"/>
    <col min="31" max="31" width="8.77734375" style="3"/>
  </cols>
  <sheetData>
    <row r="1" spans="1:33" x14ac:dyDescent="0.25">
      <c r="W1"/>
      <c r="X1"/>
    </row>
    <row r="2" spans="1:33" x14ac:dyDescent="0.25">
      <c r="W2"/>
      <c r="X2"/>
    </row>
    <row r="3" spans="1:33" x14ac:dyDescent="0.25">
      <c r="W3"/>
      <c r="X3"/>
    </row>
    <row r="4" spans="1:33" ht="13.8" thickBot="1" x14ac:dyDescent="0.3">
      <c r="W4"/>
      <c r="X4"/>
    </row>
    <row r="5" spans="1:33" x14ac:dyDescent="0.25">
      <c r="G5" t="s">
        <v>557</v>
      </c>
      <c r="O5" s="1" t="s">
        <v>537</v>
      </c>
      <c r="V5" t="s">
        <v>560</v>
      </c>
      <c r="W5"/>
      <c r="X5"/>
      <c r="Y5" s="1" t="s">
        <v>562</v>
      </c>
      <c r="AB5" s="74" t="s">
        <v>568</v>
      </c>
      <c r="AC5" s="75"/>
      <c r="AD5" s="75"/>
      <c r="AE5" s="76"/>
    </row>
    <row r="6" spans="1:33" x14ac:dyDescent="0.25">
      <c r="W6"/>
      <c r="X6"/>
      <c r="AB6" s="77" t="s">
        <v>569</v>
      </c>
      <c r="AC6" s="78"/>
      <c r="AD6" s="79" t="s">
        <v>570</v>
      </c>
      <c r="AE6" s="80"/>
    </row>
    <row r="7" spans="1:33" x14ac:dyDescent="0.25">
      <c r="W7"/>
      <c r="X7"/>
      <c r="AB7" s="13" t="s">
        <v>563</v>
      </c>
      <c r="AC7" s="1" t="s">
        <v>564</v>
      </c>
      <c r="AE7" s="12"/>
    </row>
    <row r="8" spans="1:33" ht="49.05" customHeight="1" x14ac:dyDescent="0.25">
      <c r="A8" t="s">
        <v>538</v>
      </c>
      <c r="B8" t="s">
        <v>539</v>
      </c>
      <c r="C8" t="s">
        <v>540</v>
      </c>
      <c r="D8" t="s">
        <v>535</v>
      </c>
      <c r="E8" t="s">
        <v>541</v>
      </c>
      <c r="F8" t="s">
        <v>542</v>
      </c>
      <c r="G8" t="s">
        <v>543</v>
      </c>
      <c r="H8" t="s">
        <v>544</v>
      </c>
      <c r="I8" t="s">
        <v>545</v>
      </c>
      <c r="J8" t="s">
        <v>546</v>
      </c>
      <c r="K8" t="s">
        <v>547</v>
      </c>
      <c r="L8" t="s">
        <v>548</v>
      </c>
      <c r="M8" t="s">
        <v>549</v>
      </c>
      <c r="N8" t="s">
        <v>536</v>
      </c>
      <c r="O8" t="s">
        <v>550</v>
      </c>
      <c r="P8" t="s">
        <v>551</v>
      </c>
      <c r="Q8" t="s">
        <v>552</v>
      </c>
      <c r="R8" t="s">
        <v>553</v>
      </c>
      <c r="S8" t="s">
        <v>554</v>
      </c>
      <c r="T8" t="s">
        <v>555</v>
      </c>
      <c r="V8" t="s">
        <v>558</v>
      </c>
      <c r="W8" s="4" t="s">
        <v>593</v>
      </c>
      <c r="X8" s="4"/>
      <c r="Y8" t="s">
        <v>559</v>
      </c>
      <c r="AA8" s="1" t="s">
        <v>561</v>
      </c>
      <c r="AB8" s="13" t="s">
        <v>565</v>
      </c>
      <c r="AC8" s="1" t="s">
        <v>566</v>
      </c>
      <c r="AE8" s="12"/>
      <c r="AG8" t="s">
        <v>567</v>
      </c>
    </row>
    <row r="9" spans="1:33" x14ac:dyDescent="0.25">
      <c r="A9" s="1" t="s">
        <v>556</v>
      </c>
      <c r="B9">
        <v>1800</v>
      </c>
      <c r="C9" s="3">
        <f>Data!CT8/Data!K8</f>
        <v>3.5728484211621114E-2</v>
      </c>
      <c r="D9" s="3"/>
      <c r="E9" s="3"/>
      <c r="F9" s="3"/>
      <c r="G9" s="3"/>
      <c r="H9" s="3"/>
      <c r="I9" s="3"/>
      <c r="J9" s="3"/>
      <c r="K9" s="3"/>
      <c r="L9" s="3"/>
      <c r="M9" s="3"/>
      <c r="N9" s="3"/>
      <c r="O9" s="3"/>
      <c r="P9" s="3"/>
      <c r="Q9" s="3"/>
      <c r="R9" s="3"/>
      <c r="S9" s="3">
        <f>(Data!K8-Data!AN8)/Data!K8</f>
        <v>4.5805909085279137E-2</v>
      </c>
      <c r="W9"/>
      <c r="X9"/>
      <c r="AB9" s="11"/>
      <c r="AE9" s="12"/>
    </row>
    <row r="10" spans="1:33" x14ac:dyDescent="0.25">
      <c r="A10" s="1" t="s">
        <v>556</v>
      </c>
      <c r="B10">
        <v>1801</v>
      </c>
      <c r="C10" s="3">
        <f>Data!CT9/Data!K9</f>
        <v>3.4969840271418175E-2</v>
      </c>
      <c r="D10" s="3"/>
      <c r="E10" s="3"/>
      <c r="F10" s="3"/>
      <c r="G10" s="3"/>
      <c r="H10" s="3"/>
      <c r="I10" s="3"/>
      <c r="J10" s="3"/>
      <c r="K10" s="3"/>
      <c r="L10" s="3"/>
      <c r="M10" s="3"/>
      <c r="N10" s="3"/>
      <c r="O10" s="3"/>
      <c r="P10" s="3"/>
      <c r="Q10" s="3"/>
      <c r="R10" s="3"/>
      <c r="S10" s="3">
        <f>(Data!K9-Data!AN9)/Data!K9</f>
        <v>4.6004731518680418E-2</v>
      </c>
      <c r="W10"/>
      <c r="X10"/>
      <c r="AB10" s="11"/>
      <c r="AE10" s="12"/>
    </row>
    <row r="11" spans="1:33" x14ac:dyDescent="0.25">
      <c r="A11" s="1" t="s">
        <v>556</v>
      </c>
      <c r="B11">
        <v>1802</v>
      </c>
      <c r="C11" s="3">
        <f>Data!CT10/Data!K10</f>
        <v>3.4302730976799437E-2</v>
      </c>
      <c r="D11" s="3"/>
      <c r="E11" s="3"/>
      <c r="F11" s="3"/>
      <c r="G11" s="3"/>
      <c r="H11" s="3"/>
      <c r="I11" s="3"/>
      <c r="J11" s="3"/>
      <c r="K11" s="3"/>
      <c r="L11" s="3"/>
      <c r="M11" s="3"/>
      <c r="N11" s="3"/>
      <c r="O11" s="3"/>
      <c r="P11" s="3"/>
      <c r="Q11" s="3"/>
      <c r="R11" s="3"/>
      <c r="S11" s="3">
        <f>(Data!K10-Data!AN10)/Data!K10</f>
        <v>4.6199732879651893E-2</v>
      </c>
      <c r="W11"/>
      <c r="X11"/>
      <c r="AB11" s="11"/>
      <c r="AE11" s="12"/>
    </row>
    <row r="12" spans="1:33" x14ac:dyDescent="0.25">
      <c r="A12" s="1" t="s">
        <v>556</v>
      </c>
      <c r="B12">
        <v>1803</v>
      </c>
      <c r="C12" s="3">
        <f>Data!CT11/Data!K11</f>
        <v>3.5350973601625812E-2</v>
      </c>
      <c r="D12" s="3"/>
      <c r="E12" s="3"/>
      <c r="F12" s="3"/>
      <c r="G12" s="3"/>
      <c r="H12" s="3"/>
      <c r="I12" s="3"/>
      <c r="J12" s="3"/>
      <c r="K12" s="3"/>
      <c r="L12" s="3"/>
      <c r="M12" s="3"/>
      <c r="N12" s="3"/>
      <c r="O12" s="3"/>
      <c r="P12" s="3"/>
      <c r="Q12" s="3"/>
      <c r="R12" s="3"/>
      <c r="S12" s="3">
        <f>(Data!K11-Data!AN11)/Data!K11</f>
        <v>4.5993513836417657E-2</v>
      </c>
      <c r="W12"/>
      <c r="X12"/>
      <c r="AB12" s="11"/>
      <c r="AE12" s="12"/>
    </row>
    <row r="13" spans="1:33" x14ac:dyDescent="0.25">
      <c r="A13" s="1" t="s">
        <v>556</v>
      </c>
      <c r="B13">
        <v>1804</v>
      </c>
      <c r="C13" s="3">
        <f>Data!CT12/Data!K12</f>
        <v>3.8335989923694823E-2</v>
      </c>
      <c r="D13" s="3"/>
      <c r="E13" s="3"/>
      <c r="F13" s="3"/>
      <c r="G13" s="3"/>
      <c r="H13" s="3"/>
      <c r="I13" s="3"/>
      <c r="J13" s="3"/>
      <c r="K13" s="3"/>
      <c r="L13" s="3"/>
      <c r="M13" s="3"/>
      <c r="N13" s="3"/>
      <c r="O13" s="3"/>
      <c r="P13" s="3"/>
      <c r="Q13" s="3"/>
      <c r="R13" s="3"/>
      <c r="S13" s="3">
        <f>(Data!K12-Data!AN12)/Data!K12</f>
        <v>4.6011788046446789E-2</v>
      </c>
      <c r="W13"/>
      <c r="X13"/>
      <c r="AB13" s="11"/>
      <c r="AE13" s="12"/>
    </row>
    <row r="14" spans="1:33" x14ac:dyDescent="0.25">
      <c r="A14" s="1" t="s">
        <v>556</v>
      </c>
      <c r="B14">
        <v>1805</v>
      </c>
      <c r="C14" s="3">
        <f>Data!CT13/Data!K13</f>
        <v>3.7317483143580667E-2</v>
      </c>
      <c r="D14" s="3"/>
      <c r="E14" s="3"/>
      <c r="F14" s="3"/>
      <c r="G14" s="3"/>
      <c r="H14" s="3"/>
      <c r="I14" s="3"/>
      <c r="J14" s="3"/>
      <c r="K14" s="3"/>
      <c r="L14" s="3"/>
      <c r="M14" s="3"/>
      <c r="N14" s="3"/>
      <c r="O14" s="3"/>
      <c r="P14" s="3"/>
      <c r="Q14" s="3"/>
      <c r="R14" s="3"/>
      <c r="S14" s="3">
        <f>(Data!K13-Data!AN13)/Data!K13</f>
        <v>4.6253893441748642E-2</v>
      </c>
      <c r="W14"/>
      <c r="X14"/>
      <c r="AB14" s="11"/>
      <c r="AE14" s="12"/>
    </row>
    <row r="15" spans="1:33" x14ac:dyDescent="0.25">
      <c r="A15" s="1" t="s">
        <v>556</v>
      </c>
      <c r="B15">
        <v>1806</v>
      </c>
      <c r="C15" s="3">
        <f>Data!CT14/Data!K14</f>
        <v>3.5959415920689082E-2</v>
      </c>
      <c r="D15" s="3"/>
      <c r="E15" s="3"/>
      <c r="F15" s="3"/>
      <c r="G15" s="3"/>
      <c r="H15" s="3"/>
      <c r="I15" s="3"/>
      <c r="J15" s="3"/>
      <c r="K15" s="3"/>
      <c r="L15" s="3"/>
      <c r="M15" s="3"/>
      <c r="N15" s="3"/>
      <c r="O15" s="3"/>
      <c r="P15" s="3"/>
      <c r="Q15" s="3"/>
      <c r="R15" s="3"/>
      <c r="S15" s="3">
        <f>(Data!K14-Data!AN14)/Data!K14</f>
        <v>4.6085832280269044E-2</v>
      </c>
      <c r="W15"/>
      <c r="X15"/>
      <c r="AB15" s="11"/>
      <c r="AE15" s="12"/>
    </row>
    <row r="16" spans="1:33" x14ac:dyDescent="0.25">
      <c r="A16" s="1" t="s">
        <v>556</v>
      </c>
      <c r="B16">
        <v>1807</v>
      </c>
      <c r="C16" s="3">
        <f>Data!CT15/Data!K15</f>
        <v>3.4426120873383106E-2</v>
      </c>
      <c r="D16" s="3"/>
      <c r="E16" s="3"/>
      <c r="F16" s="3"/>
      <c r="G16" s="3"/>
      <c r="H16" s="3"/>
      <c r="I16" s="3"/>
      <c r="J16" s="3"/>
      <c r="K16" s="3"/>
      <c r="L16" s="3"/>
      <c r="M16" s="3"/>
      <c r="N16" s="3"/>
      <c r="O16" s="3"/>
      <c r="P16" s="3"/>
      <c r="Q16" s="3"/>
      <c r="R16" s="3"/>
      <c r="S16" s="3">
        <f>(Data!K15-Data!AN15)/Data!K15</f>
        <v>4.6297559007603989E-2</v>
      </c>
      <c r="W16"/>
      <c r="X16"/>
      <c r="AB16" s="11"/>
      <c r="AE16" s="12"/>
    </row>
    <row r="17" spans="1:31" x14ac:dyDescent="0.25">
      <c r="A17" s="1" t="s">
        <v>556</v>
      </c>
      <c r="B17">
        <v>1808</v>
      </c>
      <c r="C17" s="3">
        <f>Data!CT16/Data!K16</f>
        <v>3.6619401221561848E-2</v>
      </c>
      <c r="D17" s="3"/>
      <c r="E17" s="3"/>
      <c r="F17" s="3"/>
      <c r="G17" s="3"/>
      <c r="H17" s="3"/>
      <c r="I17" s="3"/>
      <c r="J17" s="3"/>
      <c r="K17" s="3"/>
      <c r="L17" s="3"/>
      <c r="M17" s="3"/>
      <c r="N17" s="3"/>
      <c r="O17" s="3"/>
      <c r="P17" s="3"/>
      <c r="Q17" s="3"/>
      <c r="R17" s="3"/>
      <c r="S17" s="3">
        <f>(Data!K16-Data!AN16)/Data!K16</f>
        <v>4.57998779758194E-2</v>
      </c>
      <c r="W17"/>
      <c r="X17"/>
      <c r="AB17" s="11"/>
      <c r="AE17" s="12"/>
    </row>
    <row r="18" spans="1:31" x14ac:dyDescent="0.25">
      <c r="A18" s="1" t="s">
        <v>556</v>
      </c>
      <c r="B18">
        <v>1809</v>
      </c>
      <c r="C18" s="3">
        <f>Data!CT17/Data!K17</f>
        <v>3.798120104767503E-2</v>
      </c>
      <c r="D18" s="3"/>
      <c r="E18" s="3"/>
      <c r="F18" s="3"/>
      <c r="G18" s="3"/>
      <c r="H18" s="3"/>
      <c r="I18" s="3"/>
      <c r="J18" s="3"/>
      <c r="K18" s="3"/>
      <c r="L18" s="3"/>
      <c r="M18" s="3"/>
      <c r="N18" s="3"/>
      <c r="O18" s="3"/>
      <c r="P18" s="3"/>
      <c r="Q18" s="3"/>
      <c r="R18" s="3"/>
      <c r="S18" s="3">
        <f>(Data!K17-Data!AN17)/Data!K17</f>
        <v>4.724264670930256E-2</v>
      </c>
      <c r="W18"/>
      <c r="X18"/>
      <c r="AB18" s="11"/>
      <c r="AE18" s="12"/>
    </row>
    <row r="19" spans="1:31" x14ac:dyDescent="0.25">
      <c r="A19" s="1" t="s">
        <v>556</v>
      </c>
      <c r="B19">
        <v>1810</v>
      </c>
      <c r="C19" s="3">
        <f>Data!CT18/Data!K18</f>
        <v>4.1272627859758465E-2</v>
      </c>
      <c r="D19" s="3"/>
      <c r="E19" s="3"/>
      <c r="F19" s="3"/>
      <c r="G19" s="3"/>
      <c r="H19" s="3"/>
      <c r="I19" s="3"/>
      <c r="J19" s="3"/>
      <c r="K19" s="3"/>
      <c r="L19" s="3"/>
      <c r="M19" s="3"/>
      <c r="N19" s="3"/>
      <c r="O19" s="3"/>
      <c r="P19" s="3"/>
      <c r="Q19" s="3"/>
      <c r="R19" s="3"/>
      <c r="S19" s="3">
        <f>(Data!K18-Data!AN18)/Data!K18</f>
        <v>4.7619041919073429E-2</v>
      </c>
      <c r="W19"/>
      <c r="X19"/>
      <c r="AB19" s="11"/>
      <c r="AE19" s="12"/>
    </row>
    <row r="20" spans="1:31" x14ac:dyDescent="0.25">
      <c r="A20" s="1" t="s">
        <v>556</v>
      </c>
      <c r="B20">
        <v>1811</v>
      </c>
      <c r="C20" s="3">
        <f>Data!CT19/Data!K19</f>
        <v>4.2842097926553309E-2</v>
      </c>
      <c r="D20" s="3"/>
      <c r="E20" s="3"/>
      <c r="F20" s="3"/>
      <c r="G20" s="3"/>
      <c r="H20" s="3"/>
      <c r="I20" s="3"/>
      <c r="J20" s="3"/>
      <c r="K20" s="3"/>
      <c r="L20" s="3"/>
      <c r="M20" s="3"/>
      <c r="N20" s="3"/>
      <c r="O20" s="3"/>
      <c r="P20" s="3"/>
      <c r="Q20" s="3"/>
      <c r="R20" s="3"/>
      <c r="S20" s="3">
        <f>(Data!K19-Data!AN19)/Data!K19</f>
        <v>4.7371775637833687E-2</v>
      </c>
      <c r="W20"/>
      <c r="X20"/>
      <c r="AB20" s="11"/>
      <c r="AE20" s="12"/>
    </row>
    <row r="21" spans="1:31" x14ac:dyDescent="0.25">
      <c r="A21" s="1" t="s">
        <v>556</v>
      </c>
      <c r="B21">
        <v>1812</v>
      </c>
      <c r="C21" s="3">
        <f>Data!CT20/Data!K20</f>
        <v>4.2910000546817553E-2</v>
      </c>
      <c r="D21" s="3"/>
      <c r="E21" s="3"/>
      <c r="F21" s="3"/>
      <c r="G21" s="3"/>
      <c r="H21" s="3"/>
      <c r="I21" s="3"/>
      <c r="J21" s="3"/>
      <c r="K21" s="3"/>
      <c r="L21" s="3"/>
      <c r="M21" s="3"/>
      <c r="N21" s="3"/>
      <c r="O21" s="3"/>
      <c r="P21" s="3"/>
      <c r="Q21" s="3"/>
      <c r="R21" s="3"/>
      <c r="S21" s="3">
        <f>(Data!K20-Data!AN20)/Data!K20</f>
        <v>4.717438300902501E-2</v>
      </c>
      <c r="W21"/>
      <c r="X21"/>
      <c r="AB21" s="11"/>
      <c r="AE21" s="12"/>
    </row>
    <row r="22" spans="1:31" x14ac:dyDescent="0.25">
      <c r="A22" s="1" t="s">
        <v>556</v>
      </c>
      <c r="B22">
        <v>1813</v>
      </c>
      <c r="C22" s="3">
        <f>Data!CT21/Data!K21</f>
        <v>4.5312694706435681E-2</v>
      </c>
      <c r="D22" s="3"/>
      <c r="E22" s="3"/>
      <c r="F22" s="3"/>
      <c r="G22" s="3"/>
      <c r="H22" s="3"/>
      <c r="I22" s="3"/>
      <c r="J22" s="3"/>
      <c r="K22" s="3"/>
      <c r="L22" s="3"/>
      <c r="M22" s="3"/>
      <c r="N22" s="3"/>
      <c r="O22" s="3"/>
      <c r="P22" s="3"/>
      <c r="Q22" s="3"/>
      <c r="R22" s="3"/>
      <c r="S22" s="3">
        <f>(Data!K21-Data!AN21)/Data!K21</f>
        <v>4.7220921111262699E-2</v>
      </c>
      <c r="W22"/>
      <c r="X22"/>
      <c r="AB22" s="11"/>
      <c r="AE22" s="12"/>
    </row>
    <row r="23" spans="1:31" x14ac:dyDescent="0.25">
      <c r="A23" s="1" t="s">
        <v>556</v>
      </c>
      <c r="B23">
        <v>1814</v>
      </c>
      <c r="C23" s="3">
        <f>Data!CT22/Data!K22</f>
        <v>4.3590749382580875E-2</v>
      </c>
      <c r="D23" s="3"/>
      <c r="E23" s="3"/>
      <c r="F23" s="3"/>
      <c r="G23" s="3"/>
      <c r="H23" s="3"/>
      <c r="I23" s="3"/>
      <c r="J23" s="3"/>
      <c r="K23" s="3"/>
      <c r="L23" s="3"/>
      <c r="M23" s="3"/>
      <c r="N23" s="3"/>
      <c r="O23" s="3"/>
      <c r="P23" s="3"/>
      <c r="Q23" s="3"/>
      <c r="R23" s="3"/>
      <c r="S23" s="3">
        <f>(Data!K22-Data!AN22)/Data!K22</f>
        <v>4.7612406379584339E-2</v>
      </c>
      <c r="W23"/>
      <c r="X23"/>
      <c r="AB23" s="11"/>
      <c r="AE23" s="12"/>
    </row>
    <row r="24" spans="1:31" x14ac:dyDescent="0.25">
      <c r="A24" s="1" t="s">
        <v>556</v>
      </c>
      <c r="B24">
        <v>1815</v>
      </c>
      <c r="C24" s="3">
        <f>Data!CT23/Data!K23</f>
        <v>4.2723048788875145E-2</v>
      </c>
      <c r="D24" s="3"/>
      <c r="E24" s="3"/>
      <c r="F24" s="3"/>
      <c r="G24" s="3"/>
      <c r="H24" s="3"/>
      <c r="I24" s="3"/>
      <c r="J24" s="3"/>
      <c r="K24" s="3"/>
      <c r="L24" s="3"/>
      <c r="M24" s="3"/>
      <c r="N24" s="3"/>
      <c r="O24" s="3"/>
      <c r="P24" s="3"/>
      <c r="Q24" s="3"/>
      <c r="R24" s="3"/>
      <c r="S24" s="3">
        <f>(Data!K23-Data!AN23)/Data!K23</f>
        <v>4.7733791677398087E-2</v>
      </c>
      <c r="W24"/>
      <c r="X24"/>
      <c r="AB24" s="11"/>
      <c r="AE24" s="12"/>
    </row>
    <row r="25" spans="1:31" x14ac:dyDescent="0.25">
      <c r="A25" s="1" t="s">
        <v>556</v>
      </c>
      <c r="B25">
        <v>1816</v>
      </c>
      <c r="C25" s="3">
        <f>Data!CT24/Data!K24</f>
        <v>4.426277461489584E-2</v>
      </c>
      <c r="D25" s="3"/>
      <c r="E25" s="3"/>
      <c r="F25" s="3"/>
      <c r="G25" s="3"/>
      <c r="H25" s="3"/>
      <c r="I25" s="3"/>
      <c r="J25" s="3"/>
      <c r="K25" s="3"/>
      <c r="L25" s="3"/>
      <c r="M25" s="3"/>
      <c r="N25" s="3"/>
      <c r="O25" s="3"/>
      <c r="P25" s="3"/>
      <c r="Q25" s="3"/>
      <c r="R25" s="3"/>
      <c r="S25" s="3">
        <f>(Data!K24-Data!AN24)/Data!K24</f>
        <v>4.7234448104438796E-2</v>
      </c>
      <c r="W25"/>
      <c r="X25"/>
      <c r="AB25" s="11"/>
      <c r="AE25" s="12"/>
    </row>
    <row r="26" spans="1:31" x14ac:dyDescent="0.25">
      <c r="A26" s="1" t="s">
        <v>556</v>
      </c>
      <c r="B26">
        <v>1817</v>
      </c>
      <c r="C26" s="3">
        <f>Data!CT25/Data!K25</f>
        <v>4.2573981108993894E-2</v>
      </c>
      <c r="D26" s="3"/>
      <c r="E26" s="3"/>
      <c r="F26" s="3"/>
      <c r="G26" s="3"/>
      <c r="H26" s="3"/>
      <c r="I26" s="3"/>
      <c r="J26" s="3"/>
      <c r="K26" s="3"/>
      <c r="L26" s="3"/>
      <c r="M26" s="3"/>
      <c r="N26" s="3"/>
      <c r="O26" s="3"/>
      <c r="P26" s="3"/>
      <c r="Q26" s="3"/>
      <c r="R26" s="3"/>
      <c r="S26" s="3">
        <f>(Data!K25-Data!AN25)/Data!K25</f>
        <v>4.7228602295208706E-2</v>
      </c>
      <c r="W26"/>
      <c r="X26"/>
      <c r="AB26" s="11"/>
      <c r="AE26" s="12"/>
    </row>
    <row r="27" spans="1:31" x14ac:dyDescent="0.25">
      <c r="A27" s="1" t="s">
        <v>556</v>
      </c>
      <c r="B27">
        <v>1818</v>
      </c>
      <c r="C27" s="3">
        <f>Data!CT26/Data!K26</f>
        <v>4.2835314465208607E-2</v>
      </c>
      <c r="D27" s="3"/>
      <c r="E27" s="3"/>
      <c r="F27" s="3"/>
      <c r="G27" s="3"/>
      <c r="H27" s="3"/>
      <c r="I27" s="3"/>
      <c r="J27" s="3"/>
      <c r="K27" s="3"/>
      <c r="L27" s="3"/>
      <c r="M27" s="3"/>
      <c r="N27" s="3"/>
      <c r="O27" s="3"/>
      <c r="P27" s="3"/>
      <c r="Q27" s="3"/>
      <c r="R27" s="3"/>
      <c r="S27" s="3">
        <f>(Data!K26-Data!AN26)/Data!K26</f>
        <v>4.6892375401857429E-2</v>
      </c>
      <c r="W27"/>
      <c r="X27"/>
      <c r="AB27" s="11"/>
      <c r="AE27" s="12"/>
    </row>
    <row r="28" spans="1:31" x14ac:dyDescent="0.25">
      <c r="A28" s="1" t="s">
        <v>556</v>
      </c>
      <c r="B28">
        <v>1819</v>
      </c>
      <c r="C28" s="3">
        <f>Data!CT27/Data!K27</f>
        <v>4.128109040182891E-2</v>
      </c>
      <c r="D28" s="3"/>
      <c r="E28" s="3"/>
      <c r="F28" s="3"/>
      <c r="G28" s="3"/>
      <c r="H28" s="3"/>
      <c r="I28" s="3"/>
      <c r="J28" s="3"/>
      <c r="K28" s="3"/>
      <c r="L28" s="3"/>
      <c r="M28" s="3"/>
      <c r="N28" s="3"/>
      <c r="O28" s="3"/>
      <c r="P28" s="3"/>
      <c r="Q28" s="3"/>
      <c r="R28" s="3"/>
      <c r="S28" s="3">
        <f>(Data!K27-Data!AN27)/Data!K27</f>
        <v>4.6943596619971745E-2</v>
      </c>
      <c r="W28"/>
      <c r="X28"/>
      <c r="AB28" s="11"/>
      <c r="AE28" s="12"/>
    </row>
    <row r="29" spans="1:31" x14ac:dyDescent="0.25">
      <c r="A29" s="1" t="s">
        <v>556</v>
      </c>
      <c r="B29">
        <v>1820</v>
      </c>
      <c r="C29" s="3">
        <f>Data!CT28/Data!K28</f>
        <v>4.0584354975518822E-2</v>
      </c>
      <c r="D29" s="3"/>
      <c r="E29" s="3"/>
      <c r="F29" s="3"/>
      <c r="G29" s="3"/>
      <c r="H29" s="3"/>
      <c r="I29" s="3"/>
      <c r="J29" s="3"/>
      <c r="K29" s="3"/>
      <c r="L29" s="3"/>
      <c r="M29" s="3"/>
      <c r="N29" s="3"/>
      <c r="O29" s="3"/>
      <c r="P29" s="3"/>
      <c r="Q29" s="3"/>
      <c r="R29" s="3"/>
      <c r="S29" s="3">
        <f>(Data!K28-Data!AN28)/Data!K28</f>
        <v>4.7442591961820213E-2</v>
      </c>
      <c r="W29"/>
      <c r="X29"/>
      <c r="AB29" s="11"/>
      <c r="AE29" s="12"/>
    </row>
    <row r="30" spans="1:31" x14ac:dyDescent="0.25">
      <c r="A30" s="1" t="s">
        <v>556</v>
      </c>
      <c r="B30">
        <v>1821</v>
      </c>
      <c r="C30" s="3">
        <f>Data!CT29/Data!K29</f>
        <v>4.415568965554837E-2</v>
      </c>
      <c r="D30" s="3"/>
      <c r="E30" s="3"/>
      <c r="F30" s="3"/>
      <c r="G30" s="3"/>
      <c r="H30" s="3"/>
      <c r="I30" s="3"/>
      <c r="J30" s="3"/>
      <c r="K30" s="3"/>
      <c r="L30" s="3"/>
      <c r="M30" s="3"/>
      <c r="N30" s="3"/>
      <c r="O30" s="3"/>
      <c r="P30" s="3"/>
      <c r="Q30" s="3"/>
      <c r="R30" s="3"/>
      <c r="S30" s="3">
        <f>(Data!K29-Data!AN29)/Data!K29</f>
        <v>4.7228950952528832E-2</v>
      </c>
      <c r="W30"/>
      <c r="X30"/>
      <c r="AB30" s="11"/>
      <c r="AE30" s="12"/>
    </row>
    <row r="31" spans="1:31" x14ac:dyDescent="0.25">
      <c r="A31" s="1" t="s">
        <v>556</v>
      </c>
      <c r="B31">
        <v>1822</v>
      </c>
      <c r="C31" s="3">
        <f>Data!CT30/Data!K30</f>
        <v>4.3067109186824E-2</v>
      </c>
      <c r="D31" s="3"/>
      <c r="E31" s="3"/>
      <c r="F31" s="3"/>
      <c r="G31" s="3"/>
      <c r="H31" s="3"/>
      <c r="I31" s="3"/>
      <c r="J31" s="3"/>
      <c r="K31" s="3"/>
      <c r="L31" s="3"/>
      <c r="M31" s="3"/>
      <c r="N31" s="3"/>
      <c r="O31" s="3"/>
      <c r="P31" s="3"/>
      <c r="Q31" s="3"/>
      <c r="R31" s="3"/>
      <c r="S31" s="3">
        <f>(Data!K30-Data!AN30)/Data!K30</f>
        <v>4.7215699991147497E-2</v>
      </c>
      <c r="W31"/>
      <c r="X31"/>
      <c r="AB31" s="11"/>
      <c r="AE31" s="12"/>
    </row>
    <row r="32" spans="1:31" x14ac:dyDescent="0.25">
      <c r="A32" s="1" t="s">
        <v>556</v>
      </c>
      <c r="B32">
        <v>1823</v>
      </c>
      <c r="C32" s="3">
        <f>Data!CT31/Data!K31</f>
        <v>4.3022461150440894E-2</v>
      </c>
      <c r="D32" s="3"/>
      <c r="E32" s="3"/>
      <c r="F32" s="3"/>
      <c r="G32" s="3"/>
      <c r="H32" s="3"/>
      <c r="I32" s="3"/>
      <c r="J32" s="3"/>
      <c r="K32" s="3"/>
      <c r="L32" s="3"/>
      <c r="M32" s="3"/>
      <c r="N32" s="3"/>
      <c r="O32" s="3"/>
      <c r="P32" s="3"/>
      <c r="Q32" s="3"/>
      <c r="R32" s="3"/>
      <c r="S32" s="3">
        <f>(Data!K31-Data!AN31)/Data!K31</f>
        <v>4.7436596608590557E-2</v>
      </c>
      <c r="W32"/>
      <c r="X32"/>
      <c r="AB32" s="11"/>
      <c r="AE32" s="12"/>
    </row>
    <row r="33" spans="1:31" x14ac:dyDescent="0.25">
      <c r="A33" s="1" t="s">
        <v>556</v>
      </c>
      <c r="B33">
        <v>1824</v>
      </c>
      <c r="C33" s="3">
        <f>Data!CT32/Data!K32</f>
        <v>4.4023215813794175E-2</v>
      </c>
      <c r="D33" s="3"/>
      <c r="E33" s="3"/>
      <c r="F33" s="3"/>
      <c r="G33" s="3"/>
      <c r="H33" s="3"/>
      <c r="I33" s="3"/>
      <c r="J33" s="3"/>
      <c r="K33" s="3"/>
      <c r="L33" s="3"/>
      <c r="M33" s="3"/>
      <c r="N33" s="3"/>
      <c r="O33" s="3"/>
      <c r="P33" s="3"/>
      <c r="Q33" s="3"/>
      <c r="R33" s="3"/>
      <c r="S33" s="3">
        <f>(Data!K32-Data!AN32)/Data!K32</f>
        <v>4.7091677204041366E-2</v>
      </c>
      <c r="W33"/>
      <c r="X33"/>
      <c r="AB33" s="11"/>
      <c r="AE33" s="12"/>
    </row>
    <row r="34" spans="1:31" x14ac:dyDescent="0.25">
      <c r="A34" s="1" t="s">
        <v>556</v>
      </c>
      <c r="B34">
        <v>1825</v>
      </c>
      <c r="C34" s="3">
        <f>Data!CT33/Data!K33</f>
        <v>4.4604686672914819E-2</v>
      </c>
      <c r="D34" s="3"/>
      <c r="E34" s="3"/>
      <c r="F34" s="3"/>
      <c r="G34" s="3"/>
      <c r="H34" s="3"/>
      <c r="I34" s="3"/>
      <c r="J34" s="3"/>
      <c r="K34" s="3"/>
      <c r="L34" s="3"/>
      <c r="M34" s="3"/>
      <c r="N34" s="3"/>
      <c r="O34" s="3"/>
      <c r="P34" s="3"/>
      <c r="Q34" s="3"/>
      <c r="R34" s="3"/>
      <c r="S34" s="3">
        <f>(Data!K33-Data!AN33)/Data!K33</f>
        <v>4.7123506463843536E-2</v>
      </c>
      <c r="W34"/>
      <c r="X34"/>
      <c r="AB34" s="11"/>
      <c r="AE34" s="12"/>
    </row>
    <row r="35" spans="1:31" x14ac:dyDescent="0.25">
      <c r="A35" s="1" t="s">
        <v>556</v>
      </c>
      <c r="B35">
        <v>1826</v>
      </c>
      <c r="C35" s="3">
        <f>Data!CT34/Data!K34</f>
        <v>4.0999980199982522E-2</v>
      </c>
      <c r="D35" s="3"/>
      <c r="E35" s="3"/>
      <c r="F35" s="3"/>
      <c r="G35" s="3"/>
      <c r="H35" s="3"/>
      <c r="I35" s="3"/>
      <c r="J35" s="3"/>
      <c r="K35" s="3"/>
      <c r="L35" s="3"/>
      <c r="M35" s="3"/>
      <c r="N35" s="3"/>
      <c r="O35" s="3"/>
      <c r="P35" s="3"/>
      <c r="Q35" s="3"/>
      <c r="R35" s="3"/>
      <c r="S35" s="3">
        <f>(Data!K34-Data!AN34)/Data!K34</f>
        <v>4.6564934991112944E-2</v>
      </c>
      <c r="W35"/>
      <c r="X35"/>
      <c r="AB35" s="11"/>
      <c r="AE35" s="12"/>
    </row>
    <row r="36" spans="1:31" x14ac:dyDescent="0.25">
      <c r="A36" s="1" t="s">
        <v>556</v>
      </c>
      <c r="B36">
        <v>1827</v>
      </c>
      <c r="C36" s="3">
        <f>Data!CT35/Data!K35</f>
        <v>3.9413870334786105E-2</v>
      </c>
      <c r="D36" s="3"/>
      <c r="E36" s="3"/>
      <c r="F36" s="3"/>
      <c r="G36" s="3"/>
      <c r="H36" s="3"/>
      <c r="I36" s="3"/>
      <c r="J36" s="3"/>
      <c r="K36" s="3"/>
      <c r="L36" s="3"/>
      <c r="M36" s="3"/>
      <c r="N36" s="3"/>
      <c r="O36" s="3"/>
      <c r="P36" s="3"/>
      <c r="Q36" s="3"/>
      <c r="R36" s="3"/>
      <c r="S36" s="3">
        <f>(Data!K35-Data!AN35)/Data!K35</f>
        <v>4.7073758421969238E-2</v>
      </c>
      <c r="W36"/>
      <c r="X36"/>
      <c r="AB36" s="11"/>
      <c r="AE36" s="12"/>
    </row>
    <row r="37" spans="1:31" x14ac:dyDescent="0.25">
      <c r="A37" s="1" t="s">
        <v>556</v>
      </c>
      <c r="B37">
        <v>1828</v>
      </c>
      <c r="C37" s="3">
        <f>Data!CT36/Data!K36</f>
        <v>4.2159067510991445E-2</v>
      </c>
      <c r="D37" s="3"/>
      <c r="E37" s="3"/>
      <c r="F37" s="3"/>
      <c r="G37" s="3"/>
      <c r="H37" s="3"/>
      <c r="I37" s="3"/>
      <c r="J37" s="3"/>
      <c r="K37" s="3"/>
      <c r="L37" s="3"/>
      <c r="M37" s="3"/>
      <c r="N37" s="3"/>
      <c r="O37" s="3"/>
      <c r="P37" s="3"/>
      <c r="Q37" s="3"/>
      <c r="R37" s="3"/>
      <c r="S37" s="3">
        <f>(Data!K36-Data!AN36)/Data!K36</f>
        <v>4.7179431829670944E-2</v>
      </c>
      <c r="W37"/>
      <c r="X37"/>
      <c r="AB37" s="11"/>
      <c r="AE37" s="12"/>
    </row>
    <row r="38" spans="1:31" x14ac:dyDescent="0.25">
      <c r="A38" s="1" t="s">
        <v>556</v>
      </c>
      <c r="B38">
        <v>1829</v>
      </c>
      <c r="C38" s="3">
        <f>Data!CT37/Data!K37</f>
        <v>4.2458810128962868E-2</v>
      </c>
      <c r="D38" s="3"/>
      <c r="E38" s="3"/>
      <c r="F38" s="3"/>
      <c r="G38" s="3"/>
      <c r="H38" s="3"/>
      <c r="I38" s="3"/>
      <c r="J38" s="3"/>
      <c r="K38" s="3"/>
      <c r="L38" s="3"/>
      <c r="M38" s="3"/>
      <c r="N38" s="3"/>
      <c r="O38" s="3"/>
      <c r="P38" s="3"/>
      <c r="Q38" s="3"/>
      <c r="R38" s="3"/>
      <c r="S38" s="3">
        <f>(Data!K37-Data!AN37)/Data!K37</f>
        <v>4.7064162706721251E-2</v>
      </c>
      <c r="W38"/>
      <c r="X38"/>
      <c r="AB38" s="11"/>
      <c r="AE38" s="12"/>
    </row>
    <row r="39" spans="1:31" x14ac:dyDescent="0.25">
      <c r="A39" s="1" t="s">
        <v>556</v>
      </c>
      <c r="B39">
        <v>1830</v>
      </c>
      <c r="C39" s="3">
        <f>Data!CT38/Data!K38</f>
        <v>3.9776575825986836E-2</v>
      </c>
      <c r="D39" s="3"/>
      <c r="E39" s="3"/>
      <c r="F39" s="3"/>
      <c r="G39" s="3"/>
      <c r="H39" s="3"/>
      <c r="I39" s="3"/>
      <c r="J39" s="3"/>
      <c r="K39" s="3"/>
      <c r="L39" s="3"/>
      <c r="M39" s="3"/>
      <c r="N39" s="3"/>
      <c r="O39" s="3"/>
      <c r="P39" s="3"/>
      <c r="Q39" s="3"/>
      <c r="R39" s="3"/>
      <c r="S39" s="3">
        <f>(Data!K38-Data!AN38)/Data!K38</f>
        <v>4.7184451008187085E-2</v>
      </c>
      <c r="W39"/>
      <c r="X39"/>
      <c r="AB39" s="11"/>
      <c r="AE39" s="12"/>
    </row>
    <row r="40" spans="1:31" x14ac:dyDescent="0.25">
      <c r="A40" s="1" t="s">
        <v>556</v>
      </c>
      <c r="B40">
        <v>1831</v>
      </c>
      <c r="C40" s="3">
        <f>Data!CT39/Data!K39</f>
        <v>3.8751401220429124E-2</v>
      </c>
      <c r="D40" s="3"/>
      <c r="E40" s="3"/>
      <c r="F40" s="3"/>
      <c r="G40" s="3"/>
      <c r="H40" s="3"/>
      <c r="I40" s="3"/>
      <c r="J40" s="3"/>
      <c r="K40" s="3"/>
      <c r="L40" s="3"/>
      <c r="M40" s="3"/>
      <c r="N40" s="3"/>
      <c r="O40" s="3"/>
      <c r="P40" s="3"/>
      <c r="Q40" s="3"/>
      <c r="R40" s="3"/>
      <c r="S40" s="3">
        <f>(Data!K39-Data!AN39)/Data!K39</f>
        <v>4.6992370600264469E-2</v>
      </c>
      <c r="W40"/>
      <c r="X40"/>
      <c r="AB40" s="11"/>
      <c r="AE40" s="12"/>
    </row>
    <row r="41" spans="1:31" x14ac:dyDescent="0.25">
      <c r="A41" s="1" t="s">
        <v>556</v>
      </c>
      <c r="B41">
        <v>1832</v>
      </c>
      <c r="C41" s="3">
        <f>Data!CT40/Data!K40</f>
        <v>3.8716372768915416E-2</v>
      </c>
      <c r="D41" s="3"/>
      <c r="E41" s="3"/>
      <c r="F41" s="3"/>
      <c r="G41" s="3"/>
      <c r="H41" s="3"/>
      <c r="I41" s="3"/>
      <c r="J41" s="3"/>
      <c r="K41" s="3"/>
      <c r="L41" s="3"/>
      <c r="M41" s="3"/>
      <c r="N41" s="3"/>
      <c r="O41" s="3"/>
      <c r="P41" s="3"/>
      <c r="Q41" s="3"/>
      <c r="R41" s="3"/>
      <c r="S41" s="3">
        <f>(Data!K40-Data!AN40)/Data!K40</f>
        <v>4.7421357459246583E-2</v>
      </c>
      <c r="W41"/>
      <c r="X41"/>
      <c r="AB41" s="11"/>
      <c r="AE41" s="12"/>
    </row>
    <row r="42" spans="1:31" x14ac:dyDescent="0.25">
      <c r="A42" s="1" t="s">
        <v>556</v>
      </c>
      <c r="B42">
        <v>1833</v>
      </c>
      <c r="C42" s="3">
        <f>Data!CT41/Data!K41</f>
        <v>4.0070792256784435E-2</v>
      </c>
      <c r="D42" s="3"/>
      <c r="E42" s="3"/>
      <c r="F42" s="3"/>
      <c r="G42" s="3"/>
      <c r="H42" s="3"/>
      <c r="I42" s="3"/>
      <c r="J42" s="3"/>
      <c r="K42" s="3"/>
      <c r="L42" s="3"/>
      <c r="M42" s="3"/>
      <c r="N42" s="3"/>
      <c r="O42" s="3"/>
      <c r="P42" s="3"/>
      <c r="Q42" s="3"/>
      <c r="R42" s="3"/>
      <c r="S42" s="3">
        <f>(Data!K41-Data!AN41)/Data!K41</f>
        <v>4.7441438246970162E-2</v>
      </c>
      <c r="W42"/>
      <c r="X42"/>
      <c r="AB42" s="11"/>
      <c r="AE42" s="12"/>
    </row>
    <row r="43" spans="1:31" x14ac:dyDescent="0.25">
      <c r="A43" s="1" t="s">
        <v>556</v>
      </c>
      <c r="B43">
        <v>1834</v>
      </c>
      <c r="C43" s="3">
        <f>Data!CT42/Data!K42</f>
        <v>4.0114635210033875E-2</v>
      </c>
      <c r="D43" s="3"/>
      <c r="E43" s="3"/>
      <c r="F43" s="3"/>
      <c r="G43" s="3"/>
      <c r="H43" s="3"/>
      <c r="I43" s="3"/>
      <c r="J43" s="3"/>
      <c r="K43" s="3"/>
      <c r="L43" s="3"/>
      <c r="M43" s="3"/>
      <c r="N43" s="3"/>
      <c r="O43" s="3"/>
      <c r="P43" s="3"/>
      <c r="Q43" s="3"/>
      <c r="R43" s="3"/>
      <c r="S43" s="3">
        <f>(Data!K42-Data!AN42)/Data!K42</f>
        <v>4.7267767232732946E-2</v>
      </c>
      <c r="W43"/>
      <c r="X43"/>
      <c r="AB43" s="11"/>
      <c r="AE43" s="12"/>
    </row>
    <row r="44" spans="1:31" x14ac:dyDescent="0.25">
      <c r="A44" s="1" t="s">
        <v>556</v>
      </c>
      <c r="B44">
        <v>1835</v>
      </c>
      <c r="C44" s="3">
        <f>Data!CT43/Data!K43</f>
        <v>3.9850723437112288E-2</v>
      </c>
      <c r="D44" s="3"/>
      <c r="E44" s="3"/>
      <c r="F44" s="3"/>
      <c r="G44" s="3"/>
      <c r="H44" s="3"/>
      <c r="I44" s="3"/>
      <c r="J44" s="3"/>
      <c r="K44" s="3"/>
      <c r="L44" s="3"/>
      <c r="M44" s="3"/>
      <c r="N44" s="3"/>
      <c r="O44" s="3"/>
      <c r="P44" s="3"/>
      <c r="Q44" s="3"/>
      <c r="R44" s="3"/>
      <c r="S44" s="3">
        <f>(Data!K43-Data!AN43)/Data!K43</f>
        <v>4.7551286795240996E-2</v>
      </c>
      <c r="W44"/>
      <c r="X44"/>
      <c r="AB44" s="11"/>
      <c r="AE44" s="12"/>
    </row>
    <row r="45" spans="1:31" x14ac:dyDescent="0.25">
      <c r="A45" s="1" t="s">
        <v>556</v>
      </c>
      <c r="B45">
        <v>1836</v>
      </c>
      <c r="C45" s="3">
        <f>Data!CT44/Data!K44</f>
        <v>3.9384107328552992E-2</v>
      </c>
      <c r="D45" s="3"/>
      <c r="E45" s="3"/>
      <c r="F45" s="3"/>
      <c r="G45" s="3"/>
      <c r="H45" s="3"/>
      <c r="I45" s="3"/>
      <c r="J45" s="3"/>
      <c r="K45" s="3"/>
      <c r="L45" s="3"/>
      <c r="M45" s="3"/>
      <c r="N45" s="3"/>
      <c r="O45" s="3"/>
      <c r="P45" s="3"/>
      <c r="Q45" s="3"/>
      <c r="R45" s="3"/>
      <c r="S45" s="3">
        <f>(Data!K44-Data!AN44)/Data!K44</f>
        <v>4.7546849126630139E-2</v>
      </c>
      <c r="W45"/>
      <c r="X45"/>
      <c r="AB45" s="11"/>
      <c r="AE45" s="12"/>
    </row>
    <row r="46" spans="1:31" x14ac:dyDescent="0.25">
      <c r="A46" s="1" t="s">
        <v>556</v>
      </c>
      <c r="B46">
        <v>1837</v>
      </c>
      <c r="C46" s="3">
        <f>Data!CT45/Data!K45</f>
        <v>3.8525395031735243E-2</v>
      </c>
      <c r="D46" s="3"/>
      <c r="E46" s="3"/>
      <c r="F46" s="3"/>
      <c r="G46" s="3"/>
      <c r="H46" s="3"/>
      <c r="I46" s="3"/>
      <c r="J46" s="3"/>
      <c r="K46" s="3"/>
      <c r="L46" s="3"/>
      <c r="M46" s="3"/>
      <c r="N46" s="3"/>
      <c r="O46" s="3"/>
      <c r="P46" s="3"/>
      <c r="Q46" s="3"/>
      <c r="R46" s="3"/>
      <c r="S46" s="3">
        <f>(Data!K45-Data!AN45)/Data!K45</f>
        <v>4.7470031629856572E-2</v>
      </c>
      <c r="W46"/>
      <c r="X46"/>
      <c r="AB46" s="11"/>
      <c r="AE46" s="12"/>
    </row>
    <row r="47" spans="1:31" x14ac:dyDescent="0.25">
      <c r="A47" s="1" t="s">
        <v>556</v>
      </c>
      <c r="B47">
        <v>1838</v>
      </c>
      <c r="C47" s="3">
        <f>Data!CT46/Data!K46</f>
        <v>3.8844271050877552E-2</v>
      </c>
      <c r="D47" s="3"/>
      <c r="E47" s="3"/>
      <c r="F47" s="3"/>
      <c r="G47" s="3"/>
      <c r="H47" s="3"/>
      <c r="I47" s="3"/>
      <c r="J47" s="3"/>
      <c r="K47" s="3"/>
      <c r="L47" s="3"/>
      <c r="M47" s="3"/>
      <c r="N47" s="3"/>
      <c r="O47" s="3"/>
      <c r="P47" s="3"/>
      <c r="Q47" s="3"/>
      <c r="R47" s="3"/>
      <c r="S47" s="3">
        <f>(Data!K46-Data!AN46)/Data!K46</f>
        <v>4.7509065432582057E-2</v>
      </c>
      <c r="W47"/>
      <c r="X47"/>
      <c r="AB47" s="11"/>
      <c r="AE47" s="12"/>
    </row>
    <row r="48" spans="1:31" x14ac:dyDescent="0.25">
      <c r="A48" s="1" t="s">
        <v>556</v>
      </c>
      <c r="B48">
        <v>1839</v>
      </c>
      <c r="C48" s="3">
        <f>Data!CT47/Data!K47</f>
        <v>3.7422820637581442E-2</v>
      </c>
      <c r="D48" s="3"/>
      <c r="E48" s="3"/>
      <c r="F48" s="3"/>
      <c r="G48" s="3"/>
      <c r="H48" s="3"/>
      <c r="I48" s="3"/>
      <c r="J48" s="3"/>
      <c r="K48" s="3"/>
      <c r="L48" s="3"/>
      <c r="M48" s="3"/>
      <c r="N48" s="3"/>
      <c r="O48" s="3"/>
      <c r="P48" s="3"/>
      <c r="Q48" s="3"/>
      <c r="R48" s="3"/>
      <c r="S48" s="3">
        <f>(Data!K47-Data!AN47)/Data!K47</f>
        <v>4.7685387343960287E-2</v>
      </c>
      <c r="W48"/>
      <c r="X48"/>
      <c r="AB48" s="11"/>
      <c r="AE48" s="12"/>
    </row>
    <row r="49" spans="1:33" x14ac:dyDescent="0.25">
      <c r="A49" s="1" t="s">
        <v>556</v>
      </c>
      <c r="B49">
        <v>1840</v>
      </c>
      <c r="C49" s="3">
        <f>Data!CT48/Data!K48</f>
        <v>3.806022447539676E-2</v>
      </c>
      <c r="D49" s="3"/>
      <c r="E49" s="3"/>
      <c r="F49" s="3"/>
      <c r="G49" s="3"/>
      <c r="H49" s="3"/>
      <c r="I49" s="3"/>
      <c r="J49" s="3"/>
      <c r="K49" s="3"/>
      <c r="L49" s="3"/>
      <c r="M49" s="3"/>
      <c r="N49" s="3"/>
      <c r="O49" s="3"/>
      <c r="P49" s="3"/>
      <c r="Q49" s="3"/>
      <c r="R49" s="3"/>
      <c r="S49" s="3">
        <f>(Data!K48-Data!AN48)/Data!K48</f>
        <v>4.7711943507531621E-2</v>
      </c>
      <c r="W49"/>
      <c r="X49"/>
      <c r="AB49" s="11"/>
      <c r="AE49" s="12"/>
    </row>
    <row r="50" spans="1:33" x14ac:dyDescent="0.25">
      <c r="A50" s="1" t="s">
        <v>556</v>
      </c>
      <c r="B50">
        <v>1841</v>
      </c>
      <c r="C50" s="3">
        <f>Data!CT49/Data!K49</f>
        <v>3.8945737633678028E-2</v>
      </c>
      <c r="D50" s="3"/>
      <c r="E50" s="3"/>
      <c r="F50" s="3"/>
      <c r="G50" s="3"/>
      <c r="H50" s="3"/>
      <c r="I50" s="3"/>
      <c r="J50" s="3"/>
      <c r="K50" s="3"/>
      <c r="L50" s="3"/>
      <c r="M50" s="3"/>
      <c r="N50" s="3"/>
      <c r="O50" s="3"/>
      <c r="P50" s="3"/>
      <c r="Q50" s="3"/>
      <c r="R50" s="3"/>
      <c r="S50" s="3">
        <f>(Data!K49-Data!AN49)/Data!K49</f>
        <v>4.7540372765913858E-2</v>
      </c>
      <c r="W50"/>
      <c r="X50"/>
      <c r="AB50" s="11"/>
      <c r="AE50" s="12"/>
    </row>
    <row r="51" spans="1:33" x14ac:dyDescent="0.25">
      <c r="A51" s="1" t="s">
        <v>556</v>
      </c>
      <c r="B51">
        <v>1842</v>
      </c>
      <c r="C51" s="3">
        <f>Data!CT50/Data!K50</f>
        <v>3.8671214501699032E-2</v>
      </c>
      <c r="D51" s="3"/>
      <c r="E51" s="3"/>
      <c r="F51" s="3"/>
      <c r="G51" s="3"/>
      <c r="H51" s="3"/>
      <c r="I51" s="3"/>
      <c r="J51" s="3"/>
      <c r="K51" s="3"/>
      <c r="L51" s="3"/>
      <c r="M51" s="3"/>
      <c r="N51" s="3"/>
      <c r="O51" s="3"/>
      <c r="P51" s="3"/>
      <c r="Q51" s="3"/>
      <c r="R51" s="3"/>
      <c r="S51" s="3">
        <f>(Data!K50-Data!AN50)/Data!K50</f>
        <v>4.7663912630424111E-2</v>
      </c>
      <c r="W51"/>
      <c r="X51"/>
      <c r="AB51" s="11"/>
      <c r="AE51" s="12"/>
    </row>
    <row r="52" spans="1:33" x14ac:dyDescent="0.25">
      <c r="A52" s="1" t="s">
        <v>556</v>
      </c>
      <c r="B52">
        <v>1843</v>
      </c>
      <c r="C52" s="3">
        <f>Data!CT51/Data!K51</f>
        <v>3.8763587729372134E-2</v>
      </c>
      <c r="D52" s="3"/>
      <c r="E52" s="3"/>
      <c r="F52" s="3"/>
      <c r="G52" s="3"/>
      <c r="H52" s="3"/>
      <c r="I52" s="3"/>
      <c r="J52" s="3"/>
      <c r="K52" s="3"/>
      <c r="L52" s="3"/>
      <c r="M52" s="3"/>
      <c r="N52" s="3"/>
      <c r="O52" s="3"/>
      <c r="P52" s="3"/>
      <c r="Q52" s="3"/>
      <c r="R52" s="3"/>
      <c r="S52" s="3">
        <f>(Data!K51-Data!AN51)/Data!K51</f>
        <v>4.7642408295902994E-2</v>
      </c>
      <c r="W52"/>
      <c r="X52"/>
      <c r="AB52" s="11"/>
      <c r="AE52" s="12"/>
    </row>
    <row r="53" spans="1:33" x14ac:dyDescent="0.25">
      <c r="A53" s="1" t="s">
        <v>556</v>
      </c>
      <c r="B53">
        <v>1844</v>
      </c>
      <c r="C53" s="3">
        <f>Data!CT52/Data!K52</f>
        <v>3.9227051407821616E-2</v>
      </c>
      <c r="D53" s="3"/>
      <c r="E53" s="3"/>
      <c r="F53" s="3"/>
      <c r="G53" s="3"/>
      <c r="H53" s="3"/>
      <c r="I53" s="3"/>
      <c r="J53" s="3"/>
      <c r="K53" s="3"/>
      <c r="L53" s="3"/>
      <c r="M53" s="3"/>
      <c r="N53" s="3"/>
      <c r="O53" s="3"/>
      <c r="P53" s="3"/>
      <c r="Q53" s="3"/>
      <c r="R53" s="3"/>
      <c r="S53" s="3">
        <f>(Data!K52-Data!AN52)/Data!K52</f>
        <v>4.796490075613908E-2</v>
      </c>
      <c r="W53"/>
      <c r="X53"/>
      <c r="AB53" s="11"/>
      <c r="AE53" s="12"/>
    </row>
    <row r="54" spans="1:33" x14ac:dyDescent="0.25">
      <c r="A54" s="1" t="s">
        <v>556</v>
      </c>
      <c r="B54">
        <v>1845</v>
      </c>
      <c r="C54" s="3">
        <f>Data!CT53/Data!K53</f>
        <v>4.0490357023312669E-2</v>
      </c>
      <c r="D54" s="3"/>
      <c r="E54" s="3"/>
      <c r="F54" s="3"/>
      <c r="G54" s="3"/>
      <c r="H54" s="3"/>
      <c r="I54" s="3"/>
      <c r="J54" s="3"/>
      <c r="K54" s="3"/>
      <c r="L54" s="3"/>
      <c r="M54" s="3"/>
      <c r="N54" s="3"/>
      <c r="O54" s="3"/>
      <c r="P54" s="3"/>
      <c r="Q54" s="3"/>
      <c r="R54" s="3"/>
      <c r="S54" s="3">
        <f>(Data!K53-Data!AN53)/Data!K53</f>
        <v>4.742618006318057E-2</v>
      </c>
      <c r="AB54" s="11"/>
      <c r="AE54" s="12"/>
    </row>
    <row r="55" spans="1:33" x14ac:dyDescent="0.25">
      <c r="A55" s="1" t="s">
        <v>556</v>
      </c>
      <c r="B55">
        <v>1846</v>
      </c>
      <c r="C55" s="3">
        <f>Data!CT54/Data!K54</f>
        <v>3.7851780335693357E-2</v>
      </c>
      <c r="D55" s="3"/>
      <c r="E55" s="3"/>
      <c r="F55" s="3"/>
      <c r="G55" s="3"/>
      <c r="H55" s="3"/>
      <c r="I55" s="3"/>
      <c r="J55" s="3"/>
      <c r="K55" s="3"/>
      <c r="L55" s="3"/>
      <c r="M55" s="3"/>
      <c r="N55" s="3"/>
      <c r="O55" s="3"/>
      <c r="P55" s="3"/>
      <c r="Q55" s="3"/>
      <c r="R55" s="3"/>
      <c r="S55" s="3">
        <f>(Data!K54-Data!AN54)/Data!K54</f>
        <v>4.7534614505886995E-2</v>
      </c>
      <c r="AB55" s="11"/>
      <c r="AE55" s="12"/>
    </row>
    <row r="56" spans="1:33" x14ac:dyDescent="0.25">
      <c r="A56" s="1" t="s">
        <v>556</v>
      </c>
      <c r="B56">
        <v>1847</v>
      </c>
      <c r="C56" s="3">
        <f>Data!CT55/Data!K55</f>
        <v>3.7525650047714895E-2</v>
      </c>
      <c r="D56" s="3"/>
      <c r="E56" s="3"/>
      <c r="F56" s="3"/>
      <c r="G56" s="3"/>
      <c r="H56" s="3"/>
      <c r="I56" s="3"/>
      <c r="J56" s="3"/>
      <c r="K56" s="3"/>
      <c r="L56" s="3"/>
      <c r="M56" s="3"/>
      <c r="N56" s="3"/>
      <c r="O56" s="3"/>
      <c r="P56" s="3"/>
      <c r="Q56" s="3"/>
      <c r="R56" s="3"/>
      <c r="S56" s="3">
        <f>(Data!K55-Data!AN55)/Data!K55</f>
        <v>4.768592641263758E-2</v>
      </c>
      <c r="AB56" s="11"/>
      <c r="AE56" s="12"/>
    </row>
    <row r="57" spans="1:33" x14ac:dyDescent="0.25">
      <c r="A57" s="1" t="s">
        <v>556</v>
      </c>
      <c r="B57">
        <v>1848</v>
      </c>
      <c r="C57" s="3">
        <f>Data!CT56/Data!K56</f>
        <v>3.8263969553054139E-2</v>
      </c>
      <c r="D57" s="3"/>
      <c r="E57" s="3"/>
      <c r="F57" s="3"/>
      <c r="G57" s="3"/>
      <c r="H57" s="3"/>
      <c r="I57" s="3"/>
      <c r="J57" s="3"/>
      <c r="K57" s="3"/>
      <c r="L57" s="3"/>
      <c r="M57" s="3"/>
      <c r="N57" s="3"/>
      <c r="O57" s="3"/>
      <c r="P57" s="3"/>
      <c r="Q57" s="3"/>
      <c r="R57" s="3"/>
      <c r="S57" s="3">
        <f>(Data!K56-Data!AN56)/Data!K56</f>
        <v>4.7742854852486701E-2</v>
      </c>
      <c r="AB57" s="11"/>
      <c r="AE57" s="12"/>
    </row>
    <row r="58" spans="1:33" x14ac:dyDescent="0.25">
      <c r="A58" s="1" t="s">
        <v>556</v>
      </c>
      <c r="B58">
        <v>1849</v>
      </c>
      <c r="C58" s="3">
        <f>Data!CT57/Data!K57</f>
        <v>4.077262691796945E-2</v>
      </c>
      <c r="D58" s="3"/>
      <c r="E58" s="3"/>
      <c r="F58" s="3"/>
      <c r="G58" s="3"/>
      <c r="H58" s="3"/>
      <c r="I58" s="3"/>
      <c r="J58" s="3"/>
      <c r="K58" s="3"/>
      <c r="L58" s="3"/>
      <c r="M58" s="3"/>
      <c r="N58" s="3"/>
      <c r="O58" s="3"/>
      <c r="P58" s="3"/>
      <c r="Q58" s="3"/>
      <c r="R58" s="3"/>
      <c r="S58" s="3">
        <f>(Data!K57-Data!AN57)/Data!K57</f>
        <v>4.7813892823479406E-2</v>
      </c>
      <c r="AB58" s="11"/>
      <c r="AE58" s="12"/>
    </row>
    <row r="59" spans="1:33" x14ac:dyDescent="0.25">
      <c r="A59" s="1" t="s">
        <v>556</v>
      </c>
      <c r="B59">
        <v>1850</v>
      </c>
      <c r="C59" s="3">
        <f>Data!CT58/Data!K58</f>
        <v>4.0845745505202341E-2</v>
      </c>
      <c r="D59" s="3">
        <f>Data!HK58/Data!K58</f>
        <v>0.51615452696328867</v>
      </c>
      <c r="E59" s="3">
        <f>Data!IC58/Data!K58</f>
        <v>1.605015252083725E-3</v>
      </c>
      <c r="F59" s="3">
        <v>0</v>
      </c>
      <c r="G59" s="3">
        <f>Data!HI58/Data!K58</f>
        <v>5.6546620856902555E-2</v>
      </c>
      <c r="H59" s="3"/>
      <c r="I59" s="3">
        <f>Y59-O59</f>
        <v>1.6351380195989335E-2</v>
      </c>
      <c r="J59" s="3"/>
      <c r="K59" s="3"/>
      <c r="L59" s="3"/>
      <c r="M59" s="3"/>
      <c r="N59" s="3"/>
      <c r="O59" s="3">
        <f>W59/0.7</f>
        <v>0.24689268573550313</v>
      </c>
      <c r="P59" s="3"/>
      <c r="Q59" s="3"/>
      <c r="R59" s="3"/>
      <c r="S59" s="3">
        <f>(Data!K58-Data!AN58)/Data!K58</f>
        <v>4.7776527090366519E-2</v>
      </c>
      <c r="V59" s="3"/>
      <c r="W59" s="3">
        <f>Data!HU58/Data!K58</f>
        <v>0.17282488001485219</v>
      </c>
      <c r="Y59" s="3">
        <f>Data!IE58/Data!K58</f>
        <v>0.26324406593149247</v>
      </c>
      <c r="AA59" s="5">
        <f>D59+Y59+W59+S59</f>
        <v>0.99999999999999978</v>
      </c>
      <c r="AB59" s="14">
        <f>(Y59-C59)/(1-S59-C59)</f>
        <v>0.2440243092835635</v>
      </c>
      <c r="AC59" s="5">
        <f t="shared" ref="AC59:AC90" si="0">(Y59)/(1-S59)</f>
        <v>0.27645198151555594</v>
      </c>
      <c r="AE59" s="15"/>
      <c r="AG59" s="5">
        <f t="shared" ref="AG59:AG90" si="1">AC59+D59+W59+S59</f>
        <v>1.0132079155840634</v>
      </c>
    </row>
    <row r="60" spans="1:33" x14ac:dyDescent="0.25">
      <c r="A60" s="1" t="s">
        <v>556</v>
      </c>
      <c r="B60">
        <v>1851</v>
      </c>
      <c r="C60" s="3">
        <f>Data!CT59/Data!K59</f>
        <v>4.0437790597398798E-2</v>
      </c>
      <c r="D60" s="3">
        <f>Data!HK59/Data!K59</f>
        <v>0.50516416642335682</v>
      </c>
      <c r="E60" s="3">
        <f>Data!IC59/Data!K59</f>
        <v>1.5575481108084895E-3</v>
      </c>
      <c r="F60" s="3">
        <v>0</v>
      </c>
      <c r="G60" s="3">
        <f>Data!HI59/Data!K59</f>
        <v>5.8486391122897149E-2</v>
      </c>
      <c r="H60" s="3"/>
      <c r="I60" s="3">
        <f t="shared" ref="I60:I123" si="2">Y60-O60</f>
        <v>3.6980141892946655E-2</v>
      </c>
      <c r="J60" s="3"/>
      <c r="K60" s="3"/>
      <c r="L60" s="3"/>
      <c r="M60" s="3"/>
      <c r="N60" s="3"/>
      <c r="O60" s="3">
        <f t="shared" ref="O60:O123" si="3">W60/0.7</f>
        <v>0.24127950248152327</v>
      </c>
      <c r="P60" s="3"/>
      <c r="Q60" s="3"/>
      <c r="R60" s="3"/>
      <c r="S60" s="3">
        <f>(Data!K59-Data!AN59)/Data!K59</f>
        <v>4.7680537465107045E-2</v>
      </c>
      <c r="V60" s="3"/>
      <c r="W60" s="3">
        <f>Data!HU59/Data!K59</f>
        <v>0.16889565173706628</v>
      </c>
      <c r="Y60" s="3">
        <f>Data!IE59/Data!K59</f>
        <v>0.27825964437446993</v>
      </c>
      <c r="AA60" s="5">
        <f t="shared" ref="AA60:AA123" si="4">D60+Y60+W60+S60</f>
        <v>1</v>
      </c>
      <c r="AB60" s="14">
        <f t="shared" ref="AB60:AB123" si="5">(Y60-C60)/(1-S60-C60)</f>
        <v>0.26080341462699436</v>
      </c>
      <c r="AC60" s="5">
        <f t="shared" si="0"/>
        <v>0.29219149174353298</v>
      </c>
      <c r="AE60" s="15"/>
      <c r="AG60" s="5">
        <f t="shared" si="1"/>
        <v>1.0139318473690631</v>
      </c>
    </row>
    <row r="61" spans="1:33" x14ac:dyDescent="0.25">
      <c r="A61" s="1" t="s">
        <v>556</v>
      </c>
      <c r="B61">
        <v>1852</v>
      </c>
      <c r="C61" s="3">
        <f>Data!CT60/Data!K60</f>
        <v>4.1063533029619452E-2</v>
      </c>
      <c r="D61" s="3">
        <f>Data!HK60/Data!K60</f>
        <v>0.50199465441606572</v>
      </c>
      <c r="E61" s="3">
        <f>Data!IC60/Data!K60</f>
        <v>1.5597387410595045E-3</v>
      </c>
      <c r="F61" s="3">
        <v>0</v>
      </c>
      <c r="G61" s="3">
        <f>Data!HI60/Data!K60</f>
        <v>5.6349185129108185E-2</v>
      </c>
      <c r="H61" s="3"/>
      <c r="I61" s="3">
        <f t="shared" si="2"/>
        <v>3.9535951722632495E-2</v>
      </c>
      <c r="J61" s="3"/>
      <c r="K61" s="3"/>
      <c r="L61" s="3"/>
      <c r="M61" s="3"/>
      <c r="N61" s="3"/>
      <c r="O61" s="3">
        <f t="shared" si="3"/>
        <v>0.24157679697979176</v>
      </c>
      <c r="P61" s="3"/>
      <c r="Q61" s="3"/>
      <c r="R61" s="3"/>
      <c r="S61" s="3">
        <f>(Data!K60-Data!AN60)/Data!K60</f>
        <v>4.7788838995655829E-2</v>
      </c>
      <c r="V61" s="3"/>
      <c r="W61" s="3">
        <f>Data!HU60/Data!K60</f>
        <v>0.16910375788585422</v>
      </c>
      <c r="Y61" s="3">
        <f>Data!IE60/Data!K60</f>
        <v>0.28111274870242425</v>
      </c>
      <c r="AA61" s="5">
        <f t="shared" si="4"/>
        <v>0.99999999999999989</v>
      </c>
      <c r="AB61" s="14">
        <f t="shared" si="5"/>
        <v>0.26345809208369442</v>
      </c>
      <c r="AC61" s="5">
        <f t="shared" si="0"/>
        <v>0.29522101841982268</v>
      </c>
      <c r="AE61" s="15"/>
      <c r="AG61" s="5">
        <f t="shared" si="1"/>
        <v>1.0141082697173984</v>
      </c>
    </row>
    <row r="62" spans="1:33" x14ac:dyDescent="0.25">
      <c r="A62" s="1" t="s">
        <v>556</v>
      </c>
      <c r="B62">
        <v>1853</v>
      </c>
      <c r="C62" s="3">
        <f>Data!CT61/Data!K61</f>
        <v>4.2419453581261014E-2</v>
      </c>
      <c r="D62" s="3">
        <f>Data!HK61/Data!K61</f>
        <v>0.49919577528734449</v>
      </c>
      <c r="E62" s="3">
        <f>Data!IC61/Data!K61</f>
        <v>1.6000409325420532E-3</v>
      </c>
      <c r="F62" s="3">
        <v>0</v>
      </c>
      <c r="G62" s="3">
        <f>Data!HI61/Data!K61</f>
        <v>5.8526778738223546E-2</v>
      </c>
      <c r="H62" s="3"/>
      <c r="I62" s="3">
        <f t="shared" si="2"/>
        <v>4.8663287274269995E-2</v>
      </c>
      <c r="J62" s="3"/>
      <c r="K62" s="3"/>
      <c r="L62" s="3"/>
      <c r="M62" s="3"/>
      <c r="N62" s="3"/>
      <c r="O62" s="3">
        <f t="shared" si="3"/>
        <v>0.23792035540888384</v>
      </c>
      <c r="P62" s="3"/>
      <c r="Q62" s="3"/>
      <c r="R62" s="3"/>
      <c r="S62" s="3">
        <f>(Data!K61-Data!AN61)/Data!K61</f>
        <v>4.767633324328286E-2</v>
      </c>
      <c r="V62" s="3"/>
      <c r="W62" s="3">
        <f>Data!HU61/Data!K61</f>
        <v>0.16654424878621868</v>
      </c>
      <c r="Y62" s="3">
        <f>Data!IE61/Data!K61</f>
        <v>0.28658364268315384</v>
      </c>
      <c r="AA62" s="5">
        <f t="shared" si="4"/>
        <v>0.99999999999999989</v>
      </c>
      <c r="AB62" s="14">
        <f t="shared" si="5"/>
        <v>0.26834054130795726</v>
      </c>
      <c r="AC62" s="5">
        <f t="shared" si="0"/>
        <v>0.30093092578404351</v>
      </c>
      <c r="AE62" s="15"/>
      <c r="AG62" s="5">
        <f t="shared" si="1"/>
        <v>1.0143472831008895</v>
      </c>
    </row>
    <row r="63" spans="1:33" x14ac:dyDescent="0.25">
      <c r="A63" s="1" t="s">
        <v>556</v>
      </c>
      <c r="B63">
        <v>1854</v>
      </c>
      <c r="C63" s="3">
        <f>Data!CT62/Data!K62</f>
        <v>4.1926581032221022E-2</v>
      </c>
      <c r="D63" s="3">
        <f>Data!HK62/Data!K62</f>
        <v>0.46786375777945516</v>
      </c>
      <c r="E63" s="3">
        <f>Data!IC62/Data!K62</f>
        <v>1.5761005063680345E-3</v>
      </c>
      <c r="F63" s="3">
        <v>0</v>
      </c>
      <c r="G63" s="3">
        <f>Data!HI62/Data!K62</f>
        <v>4.9986988225530042E-2</v>
      </c>
      <c r="H63" s="3"/>
      <c r="I63" s="3">
        <f t="shared" si="2"/>
        <v>0.10373497667721771</v>
      </c>
      <c r="J63" s="3"/>
      <c r="K63" s="3"/>
      <c r="L63" s="3"/>
      <c r="M63" s="3"/>
      <c r="N63" s="3"/>
      <c r="O63" s="3">
        <f t="shared" si="3"/>
        <v>0.22370030912432315</v>
      </c>
      <c r="P63" s="3"/>
      <c r="Q63" s="3"/>
      <c r="R63" s="3"/>
      <c r="S63" s="3">
        <f>(Data!K62-Data!AN62)/Data!K62</f>
        <v>4.8110740031977552E-2</v>
      </c>
      <c r="V63" s="3"/>
      <c r="W63" s="3">
        <f>Data!HU62/Data!K62</f>
        <v>0.15659021638702619</v>
      </c>
      <c r="Y63" s="3">
        <f>Data!IE62/Data!K62</f>
        <v>0.32743528580154085</v>
      </c>
      <c r="AA63" s="5">
        <f t="shared" si="4"/>
        <v>0.99999999999999978</v>
      </c>
      <c r="AB63" s="14">
        <f t="shared" si="5"/>
        <v>0.3137586973382484</v>
      </c>
      <c r="AC63" s="5">
        <f t="shared" si="0"/>
        <v>0.34398464146190771</v>
      </c>
      <c r="AE63" s="15"/>
      <c r="AG63" s="5">
        <f t="shared" si="1"/>
        <v>1.0165493556603666</v>
      </c>
    </row>
    <row r="64" spans="1:33" x14ac:dyDescent="0.25">
      <c r="A64" s="1" t="s">
        <v>556</v>
      </c>
      <c r="B64">
        <v>1855</v>
      </c>
      <c r="C64" s="3">
        <f>Data!CT63/Data!K63</f>
        <v>4.6550427344436054E-2</v>
      </c>
      <c r="D64" s="3">
        <f>Data!HK63/Data!K63</f>
        <v>0.50583191452461529</v>
      </c>
      <c r="E64" s="3">
        <f>Data!IC63/Data!K63</f>
        <v>1.7080171554907967E-3</v>
      </c>
      <c r="F64" s="3">
        <v>0</v>
      </c>
      <c r="G64" s="3">
        <f>Data!HI63/Data!K63</f>
        <v>4.7405754596973528E-2</v>
      </c>
      <c r="H64" s="3"/>
      <c r="I64" s="3">
        <f t="shared" si="2"/>
        <v>3.294095604036143E-2</v>
      </c>
      <c r="J64" s="3"/>
      <c r="K64" s="3"/>
      <c r="L64" s="3"/>
      <c r="M64" s="3"/>
      <c r="N64" s="3"/>
      <c r="O64" s="3">
        <f t="shared" si="3"/>
        <v>0.242936555588007</v>
      </c>
      <c r="P64" s="3"/>
      <c r="Q64" s="3"/>
      <c r="R64" s="3"/>
      <c r="S64" s="3">
        <f>(Data!K63-Data!AN63)/Data!K63</f>
        <v>4.8234984935411326E-2</v>
      </c>
      <c r="V64" s="3"/>
      <c r="W64" s="3">
        <f>Data!HU63/Data!K63</f>
        <v>0.17005558891160488</v>
      </c>
      <c r="Y64" s="3">
        <f>Data!IE63/Data!K63</f>
        <v>0.27587751162836843</v>
      </c>
      <c r="AA64" s="5">
        <f t="shared" si="4"/>
        <v>1</v>
      </c>
      <c r="AB64" s="14">
        <f t="shared" si="5"/>
        <v>0.25334002279118034</v>
      </c>
      <c r="AC64" s="5">
        <f t="shared" si="0"/>
        <v>0.28985884883533658</v>
      </c>
      <c r="AE64" s="15"/>
      <c r="AG64" s="5">
        <f t="shared" si="1"/>
        <v>1.0139813372069681</v>
      </c>
    </row>
    <row r="65" spans="1:33" x14ac:dyDescent="0.25">
      <c r="A65" s="1" t="s">
        <v>556</v>
      </c>
      <c r="B65">
        <v>1856</v>
      </c>
      <c r="C65" s="3">
        <f>Data!CT64/Data!K64</f>
        <v>4.6832265375974819E-2</v>
      </c>
      <c r="D65" s="3">
        <f>Data!HK64/Data!K64</f>
        <v>0.48265771609091057</v>
      </c>
      <c r="E65" s="3">
        <f>Data!IC64/Data!K64</f>
        <v>1.6489619580160775E-3</v>
      </c>
      <c r="F65" s="3">
        <v>0</v>
      </c>
      <c r="G65" s="3">
        <f>Data!HI64/Data!K64</f>
        <v>4.2471108529114419E-2</v>
      </c>
      <c r="H65" s="3"/>
      <c r="I65" s="3">
        <f t="shared" si="2"/>
        <v>6.8347622403247071E-2</v>
      </c>
      <c r="J65" s="3"/>
      <c r="K65" s="3"/>
      <c r="L65" s="3"/>
      <c r="M65" s="3"/>
      <c r="N65" s="3"/>
      <c r="O65" s="3">
        <f t="shared" si="3"/>
        <v>0.2355919790272771</v>
      </c>
      <c r="P65" s="3"/>
      <c r="Q65" s="3"/>
      <c r="R65" s="3"/>
      <c r="S65" s="3">
        <f>(Data!K64-Data!AN64)/Data!K64</f>
        <v>4.84882971594712E-2</v>
      </c>
      <c r="V65" s="3"/>
      <c r="W65" s="3">
        <f>Data!HU64/Data!K64</f>
        <v>0.16491438531909397</v>
      </c>
      <c r="Y65" s="3">
        <f>Data!IE64/Data!K64</f>
        <v>0.30393960143052418</v>
      </c>
      <c r="AA65" s="5">
        <f t="shared" si="4"/>
        <v>0.99999999999999989</v>
      </c>
      <c r="AB65" s="14">
        <f t="shared" si="5"/>
        <v>0.2841971701878358</v>
      </c>
      <c r="AC65" s="5">
        <f t="shared" si="0"/>
        <v>0.31942812739263154</v>
      </c>
      <c r="AE65" s="15"/>
      <c r="AG65" s="5">
        <f t="shared" si="1"/>
        <v>1.0154885259621071</v>
      </c>
    </row>
    <row r="66" spans="1:33" x14ac:dyDescent="0.25">
      <c r="A66" s="1" t="s">
        <v>556</v>
      </c>
      <c r="B66">
        <v>1857</v>
      </c>
      <c r="C66" s="3">
        <f>Data!CT65/Data!K65</f>
        <v>5.0926999375993001E-2</v>
      </c>
      <c r="D66" s="3">
        <f>Data!HK65/Data!K65</f>
        <v>0.49061552112169193</v>
      </c>
      <c r="E66" s="3">
        <f>Data!IC65/Data!K65</f>
        <v>1.7522117470839128E-3</v>
      </c>
      <c r="F66" s="3">
        <v>0</v>
      </c>
      <c r="G66" s="3">
        <f>Data!HI65/Data!K65</f>
        <v>4.1460509889803022E-2</v>
      </c>
      <c r="H66" s="3"/>
      <c r="I66" s="3">
        <f t="shared" si="2"/>
        <v>4.5841331575789179E-2</v>
      </c>
      <c r="J66" s="3"/>
      <c r="K66" s="3"/>
      <c r="L66" s="3"/>
      <c r="M66" s="3"/>
      <c r="N66" s="3"/>
      <c r="O66" s="3">
        <f t="shared" si="3"/>
        <v>0.24412283744133167</v>
      </c>
      <c r="P66" s="3"/>
      <c r="Q66" s="3"/>
      <c r="R66" s="3"/>
      <c r="S66" s="3">
        <f>(Data!K65-Data!AN65)/Data!K65</f>
        <v>4.853432365225524E-2</v>
      </c>
      <c r="V66" s="3"/>
      <c r="W66" s="3">
        <f>Data!HU65/Data!K65</f>
        <v>0.17088598620893217</v>
      </c>
      <c r="Y66" s="3">
        <f>Data!IE65/Data!K65</f>
        <v>0.28996416901712085</v>
      </c>
      <c r="AA66" s="5">
        <f t="shared" si="4"/>
        <v>1.0000000000000002</v>
      </c>
      <c r="AB66" s="14">
        <f t="shared" si="5"/>
        <v>0.26543798256943274</v>
      </c>
      <c r="AC66" s="5">
        <f t="shared" si="0"/>
        <v>0.30475525941215753</v>
      </c>
      <c r="AE66" s="15"/>
      <c r="AG66" s="5">
        <f t="shared" si="1"/>
        <v>1.0147910903950368</v>
      </c>
    </row>
    <row r="67" spans="1:33" x14ac:dyDescent="0.25">
      <c r="A67" s="1" t="s">
        <v>556</v>
      </c>
      <c r="B67">
        <v>1858</v>
      </c>
      <c r="C67" s="3">
        <f>Data!CT66/Data!K66</f>
        <v>4.9153319346280346E-2</v>
      </c>
      <c r="D67" s="3">
        <f>Data!HK66/Data!K66</f>
        <v>0.48620867468667522</v>
      </c>
      <c r="E67" s="3">
        <f>Data!IC66/Data!K66</f>
        <v>1.6277649767608962E-3</v>
      </c>
      <c r="F67" s="3">
        <v>0</v>
      </c>
      <c r="G67" s="3">
        <f>Data!HI66/Data!K66</f>
        <v>4.8612704743199855E-2</v>
      </c>
      <c r="H67" s="3"/>
      <c r="I67" s="3">
        <f t="shared" si="2"/>
        <v>6.1619518455701905E-2</v>
      </c>
      <c r="J67" s="3"/>
      <c r="K67" s="3"/>
      <c r="L67" s="3"/>
      <c r="M67" s="3"/>
      <c r="N67" s="3"/>
      <c r="O67" s="3">
        <f t="shared" si="3"/>
        <v>0.23764351482027596</v>
      </c>
      <c r="P67" s="3"/>
      <c r="Q67" s="3"/>
      <c r="R67" s="3"/>
      <c r="S67" s="3">
        <f>(Data!K66-Data!AN66)/Data!K66</f>
        <v>4.8177831663153863E-2</v>
      </c>
      <c r="V67" s="3"/>
      <c r="W67" s="3">
        <f>Data!HU66/Data!K66</f>
        <v>0.16635046037419315</v>
      </c>
      <c r="Y67" s="3">
        <f>Data!IE66/Data!K66</f>
        <v>0.29926303327597786</v>
      </c>
      <c r="AA67" s="5">
        <f t="shared" si="4"/>
        <v>1</v>
      </c>
      <c r="AB67" s="14">
        <f t="shared" si="5"/>
        <v>0.27707803831869188</v>
      </c>
      <c r="AC67" s="5">
        <f t="shared" si="0"/>
        <v>0.31441065698111564</v>
      </c>
      <c r="AE67" s="15"/>
      <c r="AG67" s="5">
        <f t="shared" si="1"/>
        <v>1.0151476237051378</v>
      </c>
    </row>
    <row r="68" spans="1:33" x14ac:dyDescent="0.25">
      <c r="A68" s="1" t="s">
        <v>556</v>
      </c>
      <c r="B68">
        <v>1859</v>
      </c>
      <c r="C68" s="3">
        <f>Data!CT67/Data!K67</f>
        <v>5.0368957424059058E-2</v>
      </c>
      <c r="D68" s="3">
        <f>Data!HK67/Data!K67</f>
        <v>0.49338178455734621</v>
      </c>
      <c r="E68" s="3">
        <f>Data!IC67/Data!K67</f>
        <v>1.6440620850751303E-3</v>
      </c>
      <c r="F68" s="3">
        <v>0</v>
      </c>
      <c r="G68" s="3">
        <f>Data!HI67/Data!K67</f>
        <v>4.9765833004375586E-2</v>
      </c>
      <c r="H68" s="3"/>
      <c r="I68" s="3">
        <f t="shared" si="2"/>
        <v>4.8677524153756369E-2</v>
      </c>
      <c r="J68" s="3"/>
      <c r="K68" s="3"/>
      <c r="L68" s="3"/>
      <c r="M68" s="3"/>
      <c r="N68" s="3"/>
      <c r="O68" s="3">
        <f t="shared" si="3"/>
        <v>0.24107187076648734</v>
      </c>
      <c r="P68" s="3"/>
      <c r="Q68" s="3"/>
      <c r="R68" s="3"/>
      <c r="S68" s="3">
        <f>(Data!K67-Data!AN67)/Data!K67</f>
        <v>4.8118510985869008E-2</v>
      </c>
      <c r="V68" s="3"/>
      <c r="W68" s="3">
        <f>Data!HU67/Data!K67</f>
        <v>0.16875030953654113</v>
      </c>
      <c r="Y68" s="3">
        <f>Data!IE67/Data!K67</f>
        <v>0.28974939492024371</v>
      </c>
      <c r="AA68" s="5">
        <f t="shared" si="4"/>
        <v>1</v>
      </c>
      <c r="AB68" s="14">
        <f t="shared" si="5"/>
        <v>0.26553201326438541</v>
      </c>
      <c r="AC68" s="5">
        <f t="shared" si="0"/>
        <v>0.30439650131271995</v>
      </c>
      <c r="AE68" s="15"/>
      <c r="AG68" s="5">
        <f t="shared" si="1"/>
        <v>1.0146471063924762</v>
      </c>
    </row>
    <row r="69" spans="1:33" x14ac:dyDescent="0.25">
      <c r="A69" s="1" t="s">
        <v>556</v>
      </c>
      <c r="B69">
        <v>1860</v>
      </c>
      <c r="C69" s="3">
        <f>Data!CT68/Data!K68</f>
        <v>5.0335017402285125E-2</v>
      </c>
      <c r="D69" s="3">
        <f>Data!HK68/Data!K68</f>
        <v>0.50046462361415367</v>
      </c>
      <c r="E69" s="3">
        <f>Data!IC68/Data!K68</f>
        <v>1.6241738458354512E-3</v>
      </c>
      <c r="F69" s="3">
        <v>0</v>
      </c>
      <c r="G69" s="3">
        <f>Data!HI68/Data!K68</f>
        <v>4.9440185894520261E-2</v>
      </c>
      <c r="H69" s="3"/>
      <c r="I69" s="3">
        <f t="shared" si="2"/>
        <v>3.3888112160767259E-2</v>
      </c>
      <c r="J69" s="3"/>
      <c r="K69" s="3"/>
      <c r="L69" s="3"/>
      <c r="M69" s="3"/>
      <c r="N69" s="3"/>
      <c r="O69" s="3">
        <f t="shared" si="3"/>
        <v>0.24559483852537151</v>
      </c>
      <c r="P69" s="3"/>
      <c r="Q69" s="3"/>
      <c r="R69" s="3"/>
      <c r="S69" s="3">
        <f>(Data!K68-Data!AN68)/Data!K68</f>
        <v>4.8136038731947425E-2</v>
      </c>
      <c r="V69" s="3"/>
      <c r="W69" s="3">
        <f>Data!HU68/Data!K68</f>
        <v>0.17191638696776004</v>
      </c>
      <c r="Y69" s="3">
        <f>Data!IE68/Data!K68</f>
        <v>0.27948295068613876</v>
      </c>
      <c r="AA69" s="5">
        <f t="shared" si="4"/>
        <v>0.99999999999999978</v>
      </c>
      <c r="AB69" s="14">
        <f t="shared" si="5"/>
        <v>0.25417701211151844</v>
      </c>
      <c r="AC69" s="5">
        <f t="shared" si="0"/>
        <v>0.29361648518956174</v>
      </c>
      <c r="AE69" s="15"/>
      <c r="AG69" s="5">
        <f t="shared" si="1"/>
        <v>1.0141335345034228</v>
      </c>
    </row>
    <row r="70" spans="1:33" x14ac:dyDescent="0.25">
      <c r="A70" s="1" t="s">
        <v>556</v>
      </c>
      <c r="B70">
        <v>1861</v>
      </c>
      <c r="C70" s="3">
        <f>Data!CT69/Data!K69</f>
        <v>5.0253374045463123E-2</v>
      </c>
      <c r="D70" s="3">
        <f>Data!HK69/Data!K69</f>
        <v>0.50073654708344939</v>
      </c>
      <c r="E70" s="3">
        <f>Data!IC69/Data!K69</f>
        <v>1.618805216141972E-3</v>
      </c>
      <c r="F70" s="3">
        <v>0</v>
      </c>
      <c r="G70" s="3">
        <f>Data!HI69/Data!K69</f>
        <v>4.8900151022786345E-2</v>
      </c>
      <c r="H70" s="3"/>
      <c r="I70" s="3">
        <f t="shared" si="2"/>
        <v>3.4634572770053579E-2</v>
      </c>
      <c r="J70" s="3"/>
      <c r="K70" s="3"/>
      <c r="L70" s="3"/>
      <c r="M70" s="3"/>
      <c r="N70" s="3"/>
      <c r="O70" s="3">
        <f t="shared" si="3"/>
        <v>0.24497951475716886</v>
      </c>
      <c r="P70" s="3"/>
      <c r="Q70" s="3"/>
      <c r="R70" s="3"/>
      <c r="S70" s="3">
        <f>(Data!K69-Data!AN69)/Data!K69</f>
        <v>4.8163705059309968E-2</v>
      </c>
      <c r="V70" s="3"/>
      <c r="W70" s="3">
        <f>Data!HU69/Data!K69</f>
        <v>0.17148566033001819</v>
      </c>
      <c r="Y70" s="3">
        <f>Data!IE69/Data!K69</f>
        <v>0.27961408752722244</v>
      </c>
      <c r="AA70" s="5">
        <f t="shared" si="4"/>
        <v>1</v>
      </c>
      <c r="AB70" s="14">
        <f t="shared" si="5"/>
        <v>0.25439780209458224</v>
      </c>
      <c r="AC70" s="5">
        <f t="shared" si="0"/>
        <v>0.29376279199843447</v>
      </c>
      <c r="AE70" s="15"/>
      <c r="AG70" s="5">
        <f t="shared" si="1"/>
        <v>1.0141487044712121</v>
      </c>
    </row>
    <row r="71" spans="1:33" x14ac:dyDescent="0.25">
      <c r="A71" s="1" t="s">
        <v>556</v>
      </c>
      <c r="B71">
        <v>1862</v>
      </c>
      <c r="C71" s="3">
        <f>Data!CT70/Data!K70</f>
        <v>5.4241665267099878E-2</v>
      </c>
      <c r="D71" s="3">
        <f>Data!HK70/Data!K70</f>
        <v>0.49528839251770851</v>
      </c>
      <c r="E71" s="3">
        <f>Data!IC70/Data!K70</f>
        <v>1.7162175151563307E-3</v>
      </c>
      <c r="F71" s="3">
        <v>0</v>
      </c>
      <c r="G71" s="3">
        <f>Data!HI70/Data!K70</f>
        <v>4.9478301199173562E-2</v>
      </c>
      <c r="H71" s="3"/>
      <c r="I71" s="3">
        <f t="shared" si="2"/>
        <v>4.0510562913969123E-2</v>
      </c>
      <c r="J71" s="3"/>
      <c r="K71" s="3"/>
      <c r="L71" s="3"/>
      <c r="M71" s="3"/>
      <c r="N71" s="3"/>
      <c r="O71" s="3">
        <f t="shared" si="3"/>
        <v>0.24466362844285325</v>
      </c>
      <c r="P71" s="3"/>
      <c r="Q71" s="3"/>
      <c r="R71" s="3"/>
      <c r="S71" s="3">
        <f>(Data!K70-Data!AN70)/Data!K70</f>
        <v>4.8272876215471917E-2</v>
      </c>
      <c r="V71" s="3"/>
      <c r="W71" s="3">
        <f>Data!HU70/Data!K70</f>
        <v>0.17126453990999727</v>
      </c>
      <c r="Y71" s="3">
        <f>Data!IE70/Data!K70</f>
        <v>0.28517419135682237</v>
      </c>
      <c r="AA71" s="5">
        <f t="shared" si="4"/>
        <v>1</v>
      </c>
      <c r="AB71" s="14">
        <f t="shared" si="5"/>
        <v>0.25731060475475998</v>
      </c>
      <c r="AC71" s="5">
        <f t="shared" si="0"/>
        <v>0.29963860883026183</v>
      </c>
      <c r="AE71" s="15"/>
      <c r="AG71" s="5">
        <f t="shared" si="1"/>
        <v>1.0144644174734394</v>
      </c>
    </row>
    <row r="72" spans="1:33" x14ac:dyDescent="0.25">
      <c r="A72" s="1" t="s">
        <v>556</v>
      </c>
      <c r="B72">
        <v>1863</v>
      </c>
      <c r="C72" s="3">
        <f>Data!CT71/Data!K71</f>
        <v>5.357424612932489E-2</v>
      </c>
      <c r="D72" s="3">
        <f>Data!HK71/Data!K71</f>
        <v>0.49886387086817702</v>
      </c>
      <c r="E72" s="3">
        <f>Data!IC71/Data!K71</f>
        <v>1.6415664254878092E-3</v>
      </c>
      <c r="F72" s="3">
        <v>0</v>
      </c>
      <c r="G72" s="3">
        <f>Data!HI71/Data!K71</f>
        <v>5.0746822301258612E-2</v>
      </c>
      <c r="H72" s="3"/>
      <c r="I72" s="3">
        <f t="shared" si="2"/>
        <v>3.538309104187895E-2</v>
      </c>
      <c r="J72" s="3"/>
      <c r="K72" s="3"/>
      <c r="L72" s="3"/>
      <c r="M72" s="3"/>
      <c r="N72" s="3"/>
      <c r="O72" s="3">
        <f t="shared" si="3"/>
        <v>0.24531301281583998</v>
      </c>
      <c r="P72" s="3"/>
      <c r="Q72" s="3"/>
      <c r="R72" s="3"/>
      <c r="S72" s="3">
        <f>(Data!K71-Data!AN71)/Data!K71</f>
        <v>4.8720916303016115E-2</v>
      </c>
      <c r="V72" s="3"/>
      <c r="W72" s="3">
        <f>Data!HU71/Data!K71</f>
        <v>0.17171910897108797</v>
      </c>
      <c r="Y72" s="3">
        <f>Data!IE71/Data!K71</f>
        <v>0.28069610385771893</v>
      </c>
      <c r="AA72" s="5">
        <f t="shared" si="4"/>
        <v>1</v>
      </c>
      <c r="AB72" s="14">
        <f t="shared" si="5"/>
        <v>0.25300282255778322</v>
      </c>
      <c r="AC72" s="5">
        <f t="shared" si="0"/>
        <v>0.29507229651979877</v>
      </c>
      <c r="AE72" s="15"/>
      <c r="AG72" s="5">
        <f t="shared" si="1"/>
        <v>1.01437619266208</v>
      </c>
    </row>
    <row r="73" spans="1:33" x14ac:dyDescent="0.25">
      <c r="A73" s="1" t="s">
        <v>556</v>
      </c>
      <c r="B73">
        <v>1864</v>
      </c>
      <c r="C73" s="3">
        <f>Data!CT72/Data!K72</f>
        <v>5.4429608879512065E-2</v>
      </c>
      <c r="D73" s="3">
        <f>Data!HK72/Data!K72</f>
        <v>0.50696804801845519</v>
      </c>
      <c r="E73" s="3">
        <f>Data!IC72/Data!K72</f>
        <v>1.5997865225871484E-3</v>
      </c>
      <c r="F73" s="3">
        <v>0</v>
      </c>
      <c r="G73" s="3">
        <f>Data!HI72/Data!K72</f>
        <v>5.2910473610840426E-2</v>
      </c>
      <c r="H73" s="3"/>
      <c r="I73" s="3">
        <f t="shared" si="2"/>
        <v>1.3874085138412762E-2</v>
      </c>
      <c r="J73" s="3"/>
      <c r="K73" s="3"/>
      <c r="L73" s="3"/>
      <c r="M73" s="3"/>
      <c r="N73" s="3"/>
      <c r="O73" s="3">
        <f t="shared" si="3"/>
        <v>0.25393650382583888</v>
      </c>
      <c r="P73" s="3"/>
      <c r="Q73" s="3"/>
      <c r="R73" s="3"/>
      <c r="S73" s="3">
        <f>(Data!K72-Data!AN72)/Data!K72</f>
        <v>4.7465810339205848E-2</v>
      </c>
      <c r="V73" s="3"/>
      <c r="W73" s="3">
        <f>Data!HU72/Data!K72</f>
        <v>0.17775555267808721</v>
      </c>
      <c r="Y73" s="3">
        <f>Data!IE72/Data!K72</f>
        <v>0.26781058896425164</v>
      </c>
      <c r="AA73" s="5">
        <f t="shared" si="4"/>
        <v>0.99999999999999978</v>
      </c>
      <c r="AB73" s="14">
        <f t="shared" si="5"/>
        <v>0.23759034821881711</v>
      </c>
      <c r="AC73" s="5">
        <f t="shared" si="0"/>
        <v>0.28115588067198022</v>
      </c>
      <c r="AE73" s="15"/>
      <c r="AG73" s="5">
        <f t="shared" si="1"/>
        <v>1.0133452917077284</v>
      </c>
    </row>
    <row r="74" spans="1:33" x14ac:dyDescent="0.25">
      <c r="A74" s="1" t="s">
        <v>556</v>
      </c>
      <c r="B74">
        <v>1865</v>
      </c>
      <c r="C74" s="3">
        <f>Data!CT73/Data!K73</f>
        <v>5.5220648877164193E-2</v>
      </c>
      <c r="D74" s="3">
        <f>Data!HK73/Data!K73</f>
        <v>0.5101277751728821</v>
      </c>
      <c r="E74" s="3">
        <f>Data!IC73/Data!K73</f>
        <v>1.567890486577616E-3</v>
      </c>
      <c r="F74" s="3">
        <v>0</v>
      </c>
      <c r="G74" s="3">
        <f>Data!HI73/Data!K73</f>
        <v>5.3372060684890602E-2</v>
      </c>
      <c r="H74" s="3"/>
      <c r="I74" s="3">
        <f t="shared" si="2"/>
        <v>1.5635137984049585E-2</v>
      </c>
      <c r="J74" s="3"/>
      <c r="K74" s="3"/>
      <c r="L74" s="3"/>
      <c r="M74" s="3"/>
      <c r="N74" s="3"/>
      <c r="O74" s="3">
        <f t="shared" si="3"/>
        <v>0.25026193738417757</v>
      </c>
      <c r="P74" s="3"/>
      <c r="Q74" s="3"/>
      <c r="R74" s="3"/>
      <c r="S74" s="3">
        <f>(Data!K73-Data!AN73)/Data!K73</f>
        <v>4.8791793289966606E-2</v>
      </c>
      <c r="V74" s="3"/>
      <c r="W74" s="3">
        <f>Data!HU73/Data!K73</f>
        <v>0.1751833561689243</v>
      </c>
      <c r="Y74" s="3">
        <f>Data!IE73/Data!K73</f>
        <v>0.26589707536822715</v>
      </c>
      <c r="AA74" s="5">
        <f t="shared" si="4"/>
        <v>1.0000000000000002</v>
      </c>
      <c r="AB74" s="14">
        <f t="shared" si="5"/>
        <v>0.23513320542154334</v>
      </c>
      <c r="AC74" s="5">
        <f t="shared" si="0"/>
        <v>0.2795361451809712</v>
      </c>
      <c r="AE74" s="15"/>
      <c r="AG74" s="5">
        <f t="shared" si="1"/>
        <v>1.0136390698127442</v>
      </c>
    </row>
    <row r="75" spans="1:33" x14ac:dyDescent="0.25">
      <c r="A75" s="1" t="s">
        <v>556</v>
      </c>
      <c r="B75">
        <v>1866</v>
      </c>
      <c r="C75" s="3">
        <f>Data!CT74/Data!K74</f>
        <v>5.6920290846006638E-2</v>
      </c>
      <c r="D75" s="3">
        <f>Data!HK74/Data!K74</f>
        <v>0.48837407102478392</v>
      </c>
      <c r="E75" s="3">
        <f>Data!IC74/Data!K74</f>
        <v>1.6994099101568193E-3</v>
      </c>
      <c r="F75" s="3">
        <v>0</v>
      </c>
      <c r="G75" s="3">
        <f>Data!HI74/Data!K74</f>
        <v>5.5261426852053437E-2</v>
      </c>
      <c r="H75" s="3"/>
      <c r="I75" s="3">
        <f t="shared" si="2"/>
        <v>5.7638405151623107E-2</v>
      </c>
      <c r="J75" s="3"/>
      <c r="K75" s="3"/>
      <c r="L75" s="3"/>
      <c r="M75" s="3"/>
      <c r="N75" s="3"/>
      <c r="O75" s="3">
        <f t="shared" si="3"/>
        <v>0.2376620789625839</v>
      </c>
      <c r="P75" s="3"/>
      <c r="Q75" s="3"/>
      <c r="R75" s="3"/>
      <c r="S75" s="3">
        <f>(Data!K74-Data!AN74)/Data!K74</f>
        <v>4.9961989587200217E-2</v>
      </c>
      <c r="V75" s="3"/>
      <c r="W75" s="3">
        <f>Data!HU74/Data!K74</f>
        <v>0.16636345527380872</v>
      </c>
      <c r="Y75" s="3">
        <f>Data!IE74/Data!K74</f>
        <v>0.29530048411420701</v>
      </c>
      <c r="AA75" s="5">
        <f t="shared" si="4"/>
        <v>0.99999999999999989</v>
      </c>
      <c r="AB75" s="14">
        <f t="shared" si="5"/>
        <v>0.26690792047416401</v>
      </c>
      <c r="AC75" s="5">
        <f t="shared" si="0"/>
        <v>0.31083017824296988</v>
      </c>
      <c r="AE75" s="15"/>
      <c r="AG75" s="5">
        <f t="shared" si="1"/>
        <v>1.0155296941287628</v>
      </c>
    </row>
    <row r="76" spans="1:33" x14ac:dyDescent="0.25">
      <c r="A76" s="1" t="s">
        <v>556</v>
      </c>
      <c r="B76">
        <v>1867</v>
      </c>
      <c r="C76" s="3">
        <f>Data!CT75/Data!K75</f>
        <v>5.472484354809333E-2</v>
      </c>
      <c r="D76" s="3">
        <f>Data!HK75/Data!K75</f>
        <v>0.45054468529866126</v>
      </c>
      <c r="E76" s="3">
        <f>Data!IC75/Data!K75</f>
        <v>1.6590035546685442E-3</v>
      </c>
      <c r="F76" s="3">
        <v>0</v>
      </c>
      <c r="G76" s="3">
        <f>Data!HI75/Data!K75</f>
        <v>5.50605146436179E-2</v>
      </c>
      <c r="H76" s="3"/>
      <c r="I76" s="3">
        <f t="shared" si="2"/>
        <v>0.13287776263516579</v>
      </c>
      <c r="J76" s="3"/>
      <c r="K76" s="3"/>
      <c r="L76" s="3"/>
      <c r="M76" s="3"/>
      <c r="N76" s="3"/>
      <c r="O76" s="3">
        <f t="shared" si="3"/>
        <v>0.2154501754811283</v>
      </c>
      <c r="P76" s="3"/>
      <c r="Q76" s="3"/>
      <c r="R76" s="3"/>
      <c r="S76" s="3">
        <f>(Data!K75-Data!AN75)/Data!K75</f>
        <v>5.0312253748254931E-2</v>
      </c>
      <c r="V76" s="3"/>
      <c r="W76" s="3">
        <f>Data!HU75/Data!K75</f>
        <v>0.1508151228367898</v>
      </c>
      <c r="Y76" s="3">
        <f>Data!IE75/Data!K75</f>
        <v>0.34832793811629409</v>
      </c>
      <c r="AA76" s="5">
        <f t="shared" si="4"/>
        <v>1</v>
      </c>
      <c r="AB76" s="14">
        <f t="shared" si="5"/>
        <v>0.32806174834871488</v>
      </c>
      <c r="AC76" s="5">
        <f t="shared" si="0"/>
        <v>0.3667815442402883</v>
      </c>
      <c r="AE76" s="15"/>
      <c r="AG76" s="5">
        <f t="shared" si="1"/>
        <v>1.0184536061239944</v>
      </c>
    </row>
    <row r="77" spans="1:33" x14ac:dyDescent="0.25">
      <c r="A77" s="1" t="s">
        <v>556</v>
      </c>
      <c r="B77">
        <v>1868</v>
      </c>
      <c r="C77" s="3">
        <f>Data!CT76/Data!K76</f>
        <v>5.6644397003757091E-2</v>
      </c>
      <c r="D77" s="3">
        <f>Data!HK76/Data!K76</f>
        <v>0.44241988266382581</v>
      </c>
      <c r="E77" s="3">
        <f>Data!IC76/Data!K76</f>
        <v>1.7455848473284404E-3</v>
      </c>
      <c r="F77" s="3">
        <v>0</v>
      </c>
      <c r="G77" s="3">
        <f>Data!HI76/Data!K76</f>
        <v>5.8378856173019161E-2</v>
      </c>
      <c r="H77" s="3"/>
      <c r="I77" s="3">
        <f t="shared" si="2"/>
        <v>0.14293860425665381</v>
      </c>
      <c r="J77" s="3"/>
      <c r="K77" s="3"/>
      <c r="L77" s="3"/>
      <c r="M77" s="3"/>
      <c r="N77" s="3"/>
      <c r="O77" s="3">
        <f t="shared" si="3"/>
        <v>0.21328063518808724</v>
      </c>
      <c r="P77" s="3"/>
      <c r="Q77" s="3"/>
      <c r="R77" s="3"/>
      <c r="S77" s="3">
        <f>(Data!K76-Data!AN76)/Data!K76</f>
        <v>5.2064433259772232E-2</v>
      </c>
      <c r="V77" s="3"/>
      <c r="W77" s="3">
        <f>Data!HU76/Data!K76</f>
        <v>0.14929644463166106</v>
      </c>
      <c r="Y77" s="3">
        <f>Data!IE76/Data!K76</f>
        <v>0.35621923944474104</v>
      </c>
      <c r="AA77" s="5">
        <f t="shared" si="4"/>
        <v>1.0000000000000002</v>
      </c>
      <c r="AB77" s="14">
        <f t="shared" si="5"/>
        <v>0.33611332930579768</v>
      </c>
      <c r="AC77" s="5">
        <f t="shared" si="0"/>
        <v>0.37578423253988885</v>
      </c>
      <c r="AE77" s="15"/>
      <c r="AG77" s="5">
        <f t="shared" si="1"/>
        <v>1.019564993095148</v>
      </c>
    </row>
    <row r="78" spans="1:33" x14ac:dyDescent="0.25">
      <c r="A78" s="1" t="s">
        <v>556</v>
      </c>
      <c r="B78">
        <v>1869</v>
      </c>
      <c r="C78" s="3">
        <f>Data!CT77/Data!K77</f>
        <v>5.2886602902910133E-2</v>
      </c>
      <c r="D78" s="3">
        <f>Data!HK77/Data!K77</f>
        <v>0.432321204284209</v>
      </c>
      <c r="E78" s="3">
        <f>Data!IC77/Data!K77</f>
        <v>1.6115627417672734E-3</v>
      </c>
      <c r="F78" s="3">
        <v>0</v>
      </c>
      <c r="G78" s="3">
        <f>Data!HI77/Data!K77</f>
        <v>5.5096781497953363E-2</v>
      </c>
      <c r="H78" s="3"/>
      <c r="I78" s="3">
        <f t="shared" si="2"/>
        <v>0.16576119364067129</v>
      </c>
      <c r="J78" s="3"/>
      <c r="K78" s="3"/>
      <c r="L78" s="3"/>
      <c r="M78" s="3"/>
      <c r="N78" s="3"/>
      <c r="O78" s="3">
        <f t="shared" si="3"/>
        <v>0.20506644795955584</v>
      </c>
      <c r="P78" s="3"/>
      <c r="Q78" s="3"/>
      <c r="R78" s="3"/>
      <c r="S78" s="3">
        <f>(Data!K77-Data!AN77)/Data!K77</f>
        <v>5.3304640543874827E-2</v>
      </c>
      <c r="V78" s="3"/>
      <c r="W78" s="3">
        <f>Data!HU77/Data!K77</f>
        <v>0.14354651357168907</v>
      </c>
      <c r="Y78" s="3">
        <f>Data!IE77/Data!K77</f>
        <v>0.37082764160022713</v>
      </c>
      <c r="AA78" s="5">
        <f t="shared" si="4"/>
        <v>1</v>
      </c>
      <c r="AB78" s="14">
        <f t="shared" si="5"/>
        <v>0.35571483985387387</v>
      </c>
      <c r="AC78" s="5">
        <f t="shared" si="0"/>
        <v>0.39170746734542672</v>
      </c>
      <c r="AE78" s="15"/>
      <c r="AG78" s="5">
        <f t="shared" si="1"/>
        <v>1.0208798257451996</v>
      </c>
    </row>
    <row r="79" spans="1:33" x14ac:dyDescent="0.25">
      <c r="A79" s="1" t="s">
        <v>556</v>
      </c>
      <c r="B79">
        <v>1870</v>
      </c>
      <c r="C79" s="3">
        <f>Data!CT78/Data!K78</f>
        <v>5.0502454034029691E-2</v>
      </c>
      <c r="D79" s="3">
        <f>Data!HK78/Data!K78</f>
        <v>0.42208393660826737</v>
      </c>
      <c r="E79" s="3">
        <f>Data!IC78/Data!K78</f>
        <v>1.5649515408057764E-3</v>
      </c>
      <c r="F79" s="3">
        <v>0</v>
      </c>
      <c r="G79" s="3">
        <f>Data!HI78/Data!K78</f>
        <v>5.241424237172608E-2</v>
      </c>
      <c r="H79" s="3"/>
      <c r="I79" s="3">
        <f t="shared" si="2"/>
        <v>0.19293018306480594</v>
      </c>
      <c r="J79" s="3"/>
      <c r="K79" s="3"/>
      <c r="L79" s="3"/>
      <c r="M79" s="3"/>
      <c r="N79" s="3"/>
      <c r="O79" s="3">
        <f t="shared" si="3"/>
        <v>0.19445223024129735</v>
      </c>
      <c r="P79" s="3"/>
      <c r="Q79" s="3"/>
      <c r="R79" s="3"/>
      <c r="S79" s="3">
        <f>(Data!K78-Data!AN78)/Data!K78</f>
        <v>5.4417088916721493E-2</v>
      </c>
      <c r="V79" s="3"/>
      <c r="W79" s="3">
        <f>Data!HU78/Data!K78</f>
        <v>0.13611656116890813</v>
      </c>
      <c r="Y79" s="3">
        <f>Data!IE78/Data!K78</f>
        <v>0.38738241330610329</v>
      </c>
      <c r="AA79" s="5">
        <f t="shared" si="4"/>
        <v>1.0000000000000002</v>
      </c>
      <c r="AB79" s="14">
        <f t="shared" si="5"/>
        <v>0.37636835506680921</v>
      </c>
      <c r="AC79" s="5">
        <f t="shared" si="0"/>
        <v>0.40967577646079739</v>
      </c>
      <c r="AE79" s="15"/>
      <c r="AG79" s="5">
        <f t="shared" si="1"/>
        <v>1.0222933631546944</v>
      </c>
    </row>
    <row r="80" spans="1:33" x14ac:dyDescent="0.25">
      <c r="A80" s="1" t="s">
        <v>556</v>
      </c>
      <c r="B80">
        <v>1871</v>
      </c>
      <c r="C80" s="3">
        <f>Data!CT79/Data!K79</f>
        <v>5.1316751581754284E-2</v>
      </c>
      <c r="D80" s="3">
        <f>Data!HK79/Data!K79</f>
        <v>0.42559852749297378</v>
      </c>
      <c r="E80" s="3">
        <f>Data!IC79/Data!K79</f>
        <v>1.5965757456355382E-3</v>
      </c>
      <c r="F80" s="3">
        <v>0</v>
      </c>
      <c r="G80" s="3">
        <f>Data!HI79/Data!K79</f>
        <v>5.1640917525739426E-2</v>
      </c>
      <c r="H80" s="3"/>
      <c r="I80" s="3">
        <f t="shared" si="2"/>
        <v>0.19034355821822571</v>
      </c>
      <c r="J80" s="3"/>
      <c r="K80" s="3"/>
      <c r="L80" s="3"/>
      <c r="M80" s="3"/>
      <c r="N80" s="3"/>
      <c r="O80" s="3">
        <f t="shared" si="3"/>
        <v>0.1938228373227496</v>
      </c>
      <c r="P80" s="3"/>
      <c r="Q80" s="3"/>
      <c r="R80" s="3"/>
      <c r="S80" s="3">
        <f>(Data!K79-Data!AN79)/Data!K79</f>
        <v>5.4559090840126286E-2</v>
      </c>
      <c r="V80" s="3"/>
      <c r="W80" s="3">
        <f>Data!HU79/Data!K79</f>
        <v>0.13567598612592471</v>
      </c>
      <c r="Y80" s="3">
        <f>Data!IE79/Data!K79</f>
        <v>0.38416639554097531</v>
      </c>
      <c r="AA80" s="5">
        <f t="shared" si="4"/>
        <v>1</v>
      </c>
      <c r="AB80" s="14">
        <f t="shared" si="5"/>
        <v>0.37226333852873228</v>
      </c>
      <c r="AC80" s="5">
        <f t="shared" si="0"/>
        <v>0.40633570201901736</v>
      </c>
      <c r="AE80" s="15"/>
      <c r="AG80" s="5">
        <f t="shared" si="1"/>
        <v>1.0221693064780422</v>
      </c>
    </row>
    <row r="81" spans="1:33" x14ac:dyDescent="0.25">
      <c r="A81" s="1" t="s">
        <v>556</v>
      </c>
      <c r="B81">
        <v>1872</v>
      </c>
      <c r="C81" s="3">
        <f>Data!CT80/Data!K80</f>
        <v>5.0833646212481945E-2</v>
      </c>
      <c r="D81" s="3">
        <f>Data!HK80/Data!K80</f>
        <v>0.42884938000149192</v>
      </c>
      <c r="E81" s="3">
        <f>Data!IC80/Data!K80</f>
        <v>1.5624591236610482E-3</v>
      </c>
      <c r="F81" s="3">
        <v>0</v>
      </c>
      <c r="G81" s="3">
        <f>Data!HI80/Data!K80</f>
        <v>4.7393718974018152E-2</v>
      </c>
      <c r="H81" s="3"/>
      <c r="I81" s="3">
        <f t="shared" si="2"/>
        <v>0.18449489884732206</v>
      </c>
      <c r="J81" s="3"/>
      <c r="K81" s="3"/>
      <c r="L81" s="3"/>
      <c r="M81" s="3"/>
      <c r="N81" s="3"/>
      <c r="O81" s="3">
        <f t="shared" si="3"/>
        <v>0.19625106230840017</v>
      </c>
      <c r="P81" s="3"/>
      <c r="Q81" s="3"/>
      <c r="R81" s="3"/>
      <c r="S81" s="3">
        <f>(Data!K80-Data!AN80)/Data!K80</f>
        <v>5.3028915226905803E-2</v>
      </c>
      <c r="V81" s="3"/>
      <c r="W81" s="3">
        <f>Data!HU80/Data!K80</f>
        <v>0.13737574361588012</v>
      </c>
      <c r="Y81" s="3">
        <f>Data!IE80/Data!K80</f>
        <v>0.38074596115572223</v>
      </c>
      <c r="AA81" s="5">
        <f t="shared" si="4"/>
        <v>1</v>
      </c>
      <c r="AB81" s="14">
        <f t="shared" si="5"/>
        <v>0.36814923776998965</v>
      </c>
      <c r="AC81" s="5">
        <f t="shared" si="0"/>
        <v>0.40206714574284347</v>
      </c>
      <c r="AE81" s="15"/>
      <c r="AG81" s="5">
        <f t="shared" si="1"/>
        <v>1.0213211845871213</v>
      </c>
    </row>
    <row r="82" spans="1:33" x14ac:dyDescent="0.25">
      <c r="A82" s="1" t="s">
        <v>556</v>
      </c>
      <c r="B82">
        <v>1873</v>
      </c>
      <c r="C82" s="3">
        <f>Data!CT81/Data!K81</f>
        <v>5.5425043604895981E-2</v>
      </c>
      <c r="D82" s="3">
        <f>Data!HK81/Data!K81</f>
        <v>0.44971064670270011</v>
      </c>
      <c r="E82" s="3">
        <f>Data!IC81/Data!K81</f>
        <v>1.6626176370643632E-3</v>
      </c>
      <c r="F82" s="3">
        <v>0</v>
      </c>
      <c r="G82" s="3">
        <f>Data!HI81/Data!K81</f>
        <v>4.3945956364982636E-2</v>
      </c>
      <c r="H82" s="3"/>
      <c r="I82" s="3">
        <f t="shared" si="2"/>
        <v>0.13755876242885842</v>
      </c>
      <c r="J82" s="3"/>
      <c r="K82" s="3"/>
      <c r="L82" s="3"/>
      <c r="M82" s="3"/>
      <c r="N82" s="3"/>
      <c r="O82" s="3">
        <f t="shared" si="3"/>
        <v>0.21141044322900324</v>
      </c>
      <c r="P82" s="3"/>
      <c r="Q82" s="3"/>
      <c r="R82" s="3"/>
      <c r="S82" s="3">
        <f>(Data!K81-Data!AN81)/Data!K81</f>
        <v>5.3332837379136078E-2</v>
      </c>
      <c r="V82" s="3"/>
      <c r="W82" s="3">
        <f>Data!HU81/Data!K81</f>
        <v>0.14798731026030226</v>
      </c>
      <c r="Y82" s="3">
        <f>Data!IE81/Data!K81</f>
        <v>0.34896920565786166</v>
      </c>
      <c r="AA82" s="5">
        <f t="shared" si="4"/>
        <v>1</v>
      </c>
      <c r="AB82" s="14">
        <f t="shared" si="5"/>
        <v>0.32936522611506697</v>
      </c>
      <c r="AC82" s="5">
        <f t="shared" si="0"/>
        <v>0.3686292494732093</v>
      </c>
      <c r="AE82" s="15"/>
      <c r="AG82" s="5">
        <f t="shared" si="1"/>
        <v>1.0196600438153478</v>
      </c>
    </row>
    <row r="83" spans="1:33" x14ac:dyDescent="0.25">
      <c r="A83" s="1" t="s">
        <v>556</v>
      </c>
      <c r="B83">
        <v>1874</v>
      </c>
      <c r="C83" s="3">
        <f>Data!CT82/Data!K82</f>
        <v>6.2930836499780693E-2</v>
      </c>
      <c r="D83" s="3">
        <f>Data!HK82/Data!K82</f>
        <v>0.4699845985408001</v>
      </c>
      <c r="E83" s="3">
        <f>Data!IC82/Data!K82</f>
        <v>1.7881892759837982E-3</v>
      </c>
      <c r="F83" s="3">
        <v>0</v>
      </c>
      <c r="G83" s="3">
        <f>Data!HI82/Data!K82</f>
        <v>4.1698633001394682E-2</v>
      </c>
      <c r="H83" s="3"/>
      <c r="I83" s="3">
        <f t="shared" si="2"/>
        <v>9.4181656975974332E-2</v>
      </c>
      <c r="J83" s="3"/>
      <c r="K83" s="3"/>
      <c r="L83" s="3"/>
      <c r="M83" s="3"/>
      <c r="N83" s="3"/>
      <c r="O83" s="3">
        <f t="shared" si="3"/>
        <v>0.22224195222495943</v>
      </c>
      <c r="P83" s="3"/>
      <c r="Q83" s="3"/>
      <c r="R83" s="3"/>
      <c r="S83" s="3">
        <f>(Data!K82-Data!AN82)/Data!K82</f>
        <v>5.8022425700794619E-2</v>
      </c>
      <c r="V83" s="3"/>
      <c r="W83" s="3">
        <f>Data!HU82/Data!K82</f>
        <v>0.15556936655747158</v>
      </c>
      <c r="Y83" s="3">
        <f>Data!IE82/Data!K82</f>
        <v>0.31642360920093376</v>
      </c>
      <c r="AA83" s="5">
        <f t="shared" si="4"/>
        <v>1</v>
      </c>
      <c r="AB83" s="14">
        <f t="shared" si="5"/>
        <v>0.28837234904680736</v>
      </c>
      <c r="AC83" s="5">
        <f t="shared" si="0"/>
        <v>0.33591416381259459</v>
      </c>
      <c r="AE83" s="15"/>
      <c r="AG83" s="5">
        <f t="shared" si="1"/>
        <v>1.0194905546116608</v>
      </c>
    </row>
    <row r="84" spans="1:33" x14ac:dyDescent="0.25">
      <c r="A84" s="1" t="s">
        <v>556</v>
      </c>
      <c r="B84">
        <v>1875</v>
      </c>
      <c r="C84" s="3">
        <f>Data!CT83/Data!K83</f>
        <v>6.5061749641670899E-2</v>
      </c>
      <c r="D84" s="3">
        <f>Data!HK83/Data!K83</f>
        <v>0.48209030292812788</v>
      </c>
      <c r="E84" s="3">
        <f>Data!IC83/Data!K83</f>
        <v>1.7748844442139178E-3</v>
      </c>
      <c r="F84" s="3">
        <v>0</v>
      </c>
      <c r="G84" s="3">
        <f>Data!HI83/Data!K83</f>
        <v>4.667144380822974E-2</v>
      </c>
      <c r="H84" s="3"/>
      <c r="I84" s="3">
        <f t="shared" si="2"/>
        <v>7.4235987989978519E-2</v>
      </c>
      <c r="J84" s="3"/>
      <c r="K84" s="3"/>
      <c r="L84" s="3"/>
      <c r="M84" s="3"/>
      <c r="N84" s="3"/>
      <c r="O84" s="3">
        <f t="shared" si="3"/>
        <v>0.22892928680244931</v>
      </c>
      <c r="P84" s="3"/>
      <c r="Q84" s="3"/>
      <c r="R84" s="3"/>
      <c r="S84" s="3">
        <f>(Data!K83-Data!AN83)/Data!K83</f>
        <v>5.4493921517729603E-2</v>
      </c>
      <c r="V84" s="3"/>
      <c r="W84" s="3">
        <f>Data!HU83/Data!K83</f>
        <v>0.16025050076171451</v>
      </c>
      <c r="Y84" s="3">
        <f>Data!IE83/Data!K83</f>
        <v>0.30316527479242783</v>
      </c>
      <c r="AA84" s="5">
        <f t="shared" si="4"/>
        <v>0.99999999999999978</v>
      </c>
      <c r="AB84" s="14">
        <f t="shared" si="5"/>
        <v>0.27043563954157118</v>
      </c>
      <c r="AC84" s="5">
        <f t="shared" si="0"/>
        <v>0.32063810237906643</v>
      </c>
      <c r="AE84" s="15"/>
      <c r="AG84" s="5">
        <f t="shared" si="1"/>
        <v>1.0174728275866385</v>
      </c>
    </row>
    <row r="85" spans="1:33" x14ac:dyDescent="0.25">
      <c r="A85" s="1" t="s">
        <v>556</v>
      </c>
      <c r="B85">
        <v>1876</v>
      </c>
      <c r="C85" s="3">
        <f>Data!CT84/Data!K84</f>
        <v>7.2310343468845351E-2</v>
      </c>
      <c r="D85" s="3">
        <f>Data!HK84/Data!K84</f>
        <v>0.47643233431164483</v>
      </c>
      <c r="E85" s="3">
        <f>Data!IC84/Data!K84</f>
        <v>2.024665367067819E-3</v>
      </c>
      <c r="F85" s="3">
        <v>0</v>
      </c>
      <c r="G85" s="3">
        <f>Data!HI84/Data!K84</f>
        <v>4.8244407800261235E-2</v>
      </c>
      <c r="H85" s="3"/>
      <c r="I85" s="3">
        <f t="shared" si="2"/>
        <v>8.7705045304336315E-2</v>
      </c>
      <c r="J85" s="3"/>
      <c r="K85" s="3"/>
      <c r="L85" s="3"/>
      <c r="M85" s="3"/>
      <c r="N85" s="3"/>
      <c r="O85" s="3">
        <f t="shared" si="3"/>
        <v>0.22374036400292124</v>
      </c>
      <c r="P85" s="3"/>
      <c r="Q85" s="3"/>
      <c r="R85" s="3"/>
      <c r="S85" s="3">
        <f>(Data!K84-Data!AN84)/Data!K84</f>
        <v>5.5504001579052692E-2</v>
      </c>
      <c r="V85" s="3"/>
      <c r="W85" s="3">
        <f>Data!HU84/Data!K84</f>
        <v>0.15661825480204486</v>
      </c>
      <c r="Y85" s="3">
        <f>Data!IE84/Data!K84</f>
        <v>0.31144540930725756</v>
      </c>
      <c r="AA85" s="5">
        <f t="shared" si="4"/>
        <v>0.99999999999999989</v>
      </c>
      <c r="AB85" s="14">
        <f t="shared" si="5"/>
        <v>0.27417908616204523</v>
      </c>
      <c r="AC85" s="5">
        <f t="shared" si="0"/>
        <v>0.32974772770657218</v>
      </c>
      <c r="AE85" s="15"/>
      <c r="AG85" s="5">
        <f t="shared" si="1"/>
        <v>1.0183023183993145</v>
      </c>
    </row>
    <row r="86" spans="1:33" x14ac:dyDescent="0.25">
      <c r="A86" s="1" t="s">
        <v>556</v>
      </c>
      <c r="B86">
        <v>1877</v>
      </c>
      <c r="C86" s="3">
        <f>Data!CT85/Data!K85</f>
        <v>7.7728509427746173E-2</v>
      </c>
      <c r="D86" s="3">
        <f>Data!HK85/Data!K85</f>
        <v>0.48862096975948743</v>
      </c>
      <c r="E86" s="3">
        <f>Data!IC85/Data!K85</f>
        <v>2.170015119692695E-3</v>
      </c>
      <c r="F86" s="3">
        <v>0</v>
      </c>
      <c r="G86" s="3">
        <f>Data!HI85/Data!K85</f>
        <v>4.8360305302257489E-2</v>
      </c>
      <c r="H86" s="3"/>
      <c r="I86" s="3">
        <f t="shared" si="2"/>
        <v>6.2502087463521733E-2</v>
      </c>
      <c r="J86" s="3"/>
      <c r="K86" s="3"/>
      <c r="L86" s="3"/>
      <c r="M86" s="3"/>
      <c r="N86" s="3"/>
      <c r="O86" s="3">
        <f t="shared" si="3"/>
        <v>0.23115248796041013</v>
      </c>
      <c r="P86" s="3"/>
      <c r="Q86" s="3"/>
      <c r="R86" s="3"/>
      <c r="S86" s="3">
        <f>(Data!K85-Data!AN85)/Data!K85</f>
        <v>5.5917713244293545E-2</v>
      </c>
      <c r="V86" s="3"/>
      <c r="W86" s="3">
        <f>Data!HU85/Data!K85</f>
        <v>0.16180674157228708</v>
      </c>
      <c r="Y86" s="3">
        <f>Data!IE85/Data!K85</f>
        <v>0.29365457542393186</v>
      </c>
      <c r="AA86" s="5">
        <f t="shared" si="4"/>
        <v>0.99999999999999989</v>
      </c>
      <c r="AB86" s="14">
        <f t="shared" si="5"/>
        <v>0.24923544127914196</v>
      </c>
      <c r="AC86" s="5">
        <f t="shared" si="0"/>
        <v>0.31104764864624429</v>
      </c>
      <c r="AE86" s="15"/>
      <c r="AG86" s="5">
        <f t="shared" si="1"/>
        <v>1.0173930732223124</v>
      </c>
    </row>
    <row r="87" spans="1:33" x14ac:dyDescent="0.25">
      <c r="A87" s="1" t="s">
        <v>556</v>
      </c>
      <c r="B87">
        <v>1878</v>
      </c>
      <c r="C87" s="3">
        <f>Data!CT86/Data!K86</f>
        <v>7.8766714926498199E-2</v>
      </c>
      <c r="D87" s="3">
        <f>Data!HK86/Data!K86</f>
        <v>0.47885610466709067</v>
      </c>
      <c r="E87" s="3">
        <f>Data!IC86/Data!K86</f>
        <v>2.2271705931288057E-3</v>
      </c>
      <c r="F87" s="3">
        <v>0</v>
      </c>
      <c r="G87" s="3">
        <f>Data!HI86/Data!K86</f>
        <v>5.4969619710281609E-2</v>
      </c>
      <c r="H87" s="3"/>
      <c r="I87" s="3">
        <f t="shared" si="2"/>
        <v>7.7726481006782894E-2</v>
      </c>
      <c r="J87" s="3"/>
      <c r="K87" s="3"/>
      <c r="L87" s="3"/>
      <c r="M87" s="3"/>
      <c r="N87" s="3"/>
      <c r="O87" s="3">
        <f t="shared" si="3"/>
        <v>0.22806085000954265</v>
      </c>
      <c r="P87" s="3"/>
      <c r="Q87" s="3"/>
      <c r="R87" s="3"/>
      <c r="S87" s="3">
        <f>(Data!K86-Data!AN86)/Data!K86</f>
        <v>5.5713969309903855E-2</v>
      </c>
      <c r="V87" s="3"/>
      <c r="W87" s="3">
        <f>Data!HU86/Data!K86</f>
        <v>0.15964259500667985</v>
      </c>
      <c r="Y87" s="3">
        <f>Data!IE86/Data!K86</f>
        <v>0.30578733101632555</v>
      </c>
      <c r="AA87" s="5">
        <f t="shared" si="4"/>
        <v>1</v>
      </c>
      <c r="AB87" s="14">
        <f t="shared" si="5"/>
        <v>0.26229410708129614</v>
      </c>
      <c r="AC87" s="5">
        <f t="shared" si="0"/>
        <v>0.32382913765318788</v>
      </c>
      <c r="AE87" s="15"/>
      <c r="AG87" s="5">
        <f t="shared" si="1"/>
        <v>1.0180418066368624</v>
      </c>
    </row>
    <row r="88" spans="1:33" x14ac:dyDescent="0.25">
      <c r="A88" s="1" t="s">
        <v>556</v>
      </c>
      <c r="B88">
        <v>1879</v>
      </c>
      <c r="C88" s="3">
        <f>Data!CT87/Data!K87</f>
        <v>7.8180344919582964E-2</v>
      </c>
      <c r="D88" s="3">
        <f>Data!HK87/Data!K87</f>
        <v>0.46294452406405517</v>
      </c>
      <c r="E88" s="3">
        <f>Data!IC87/Data!K87</f>
        <v>2.2150508225171534E-3</v>
      </c>
      <c r="F88" s="3">
        <v>0</v>
      </c>
      <c r="G88" s="3">
        <f>Data!HI87/Data!K87</f>
        <v>5.661542443735515E-2</v>
      </c>
      <c r="H88" s="3"/>
      <c r="I88" s="3">
        <f t="shared" si="2"/>
        <v>0.11966888914128204</v>
      </c>
      <c r="J88" s="3"/>
      <c r="K88" s="3"/>
      <c r="L88" s="3"/>
      <c r="M88" s="3"/>
      <c r="N88" s="3"/>
      <c r="O88" s="3">
        <f t="shared" si="3"/>
        <v>0.21197819596085099</v>
      </c>
      <c r="P88" s="3"/>
      <c r="Q88" s="3"/>
      <c r="R88" s="3"/>
      <c r="S88" s="3">
        <f>(Data!K87-Data!AN87)/Data!K87</f>
        <v>5.702365366121611E-2</v>
      </c>
      <c r="V88" s="3"/>
      <c r="W88" s="3">
        <f>Data!HU87/Data!K87</f>
        <v>0.14838473717259568</v>
      </c>
      <c r="Y88" s="3">
        <f>Data!IE87/Data!K87</f>
        <v>0.33164708510213303</v>
      </c>
      <c r="AA88" s="5">
        <f t="shared" si="4"/>
        <v>1</v>
      </c>
      <c r="AB88" s="14">
        <f t="shared" si="5"/>
        <v>0.29309425548521317</v>
      </c>
      <c r="AC88" s="5">
        <f t="shared" si="0"/>
        <v>0.35170244342797324</v>
      </c>
      <c r="AE88" s="15"/>
      <c r="AG88" s="5">
        <f t="shared" si="1"/>
        <v>1.0200553583258403</v>
      </c>
    </row>
    <row r="89" spans="1:33" x14ac:dyDescent="0.25">
      <c r="A89" s="1" t="s">
        <v>556</v>
      </c>
      <c r="B89">
        <v>1880</v>
      </c>
      <c r="C89" s="3">
        <f>Data!CT88/Data!K88</f>
        <v>7.8435633677807745E-2</v>
      </c>
      <c r="D89" s="3">
        <f>Data!HK88/Data!K88</f>
        <v>0.45123694319198698</v>
      </c>
      <c r="E89" s="3">
        <f>Data!IC88/Data!K88</f>
        <v>2.3111252306656513E-3</v>
      </c>
      <c r="F89" s="3">
        <v>0</v>
      </c>
      <c r="G89" s="3">
        <f>Data!HI88/Data!K88</f>
        <v>5.530762997502877E-2</v>
      </c>
      <c r="H89" s="3"/>
      <c r="I89" s="3">
        <f t="shared" si="2"/>
        <v>0.14262384221539234</v>
      </c>
      <c r="J89" s="3"/>
      <c r="K89" s="3"/>
      <c r="L89" s="3"/>
      <c r="M89" s="3"/>
      <c r="N89" s="3"/>
      <c r="O89" s="3">
        <f t="shared" si="3"/>
        <v>0.20400423382304259</v>
      </c>
      <c r="P89" s="3"/>
      <c r="Q89" s="3"/>
      <c r="R89" s="3"/>
      <c r="S89" s="3">
        <f>(Data!K88-Data!AN88)/Data!K88</f>
        <v>5.9332017093448347E-2</v>
      </c>
      <c r="V89" s="3"/>
      <c r="W89" s="3">
        <f>Data!HU88/Data!K88</f>
        <v>0.1428029636761298</v>
      </c>
      <c r="Y89" s="3">
        <f>Data!IE88/Data!K88</f>
        <v>0.34662807603843493</v>
      </c>
      <c r="AA89" s="5">
        <f t="shared" si="4"/>
        <v>1</v>
      </c>
      <c r="AB89" s="14">
        <f t="shared" si="5"/>
        <v>0.31104428243793214</v>
      </c>
      <c r="AC89" s="5">
        <f t="shared" si="0"/>
        <v>0.36849141497023807</v>
      </c>
      <c r="AE89" s="15"/>
      <c r="AG89" s="5">
        <f t="shared" si="1"/>
        <v>1.021863338931803</v>
      </c>
    </row>
    <row r="90" spans="1:33" x14ac:dyDescent="0.25">
      <c r="A90" s="1" t="s">
        <v>556</v>
      </c>
      <c r="B90">
        <v>1881</v>
      </c>
      <c r="C90" s="3">
        <f>Data!CT89/Data!K89</f>
        <v>7.6024916109415475E-2</v>
      </c>
      <c r="D90" s="3">
        <f>Data!HK89/Data!K89</f>
        <v>0.44385297248270111</v>
      </c>
      <c r="E90" s="3">
        <f>Data!IC89/Data!K89</f>
        <v>2.2934441483381243E-3</v>
      </c>
      <c r="F90" s="3">
        <v>0</v>
      </c>
      <c r="G90" s="3">
        <f>Data!HI89/Data!K89</f>
        <v>5.4708541119851545E-2</v>
      </c>
      <c r="H90" s="3"/>
      <c r="I90" s="3">
        <f t="shared" si="2"/>
        <v>0.15648419963067331</v>
      </c>
      <c r="J90" s="3"/>
      <c r="K90" s="3"/>
      <c r="L90" s="3"/>
      <c r="M90" s="3"/>
      <c r="N90" s="3"/>
      <c r="O90" s="3">
        <f t="shared" si="3"/>
        <v>0.19998097579630483</v>
      </c>
      <c r="P90" s="3"/>
      <c r="Q90" s="3"/>
      <c r="R90" s="3"/>
      <c r="S90" s="3">
        <f>(Data!K89-Data!AN89)/Data!K89</f>
        <v>5.9695169032907246E-2</v>
      </c>
      <c r="V90" s="3"/>
      <c r="W90" s="3">
        <f>Data!HU89/Data!K89</f>
        <v>0.13998668305741338</v>
      </c>
      <c r="Y90" s="3">
        <f>Data!IE89/Data!K89</f>
        <v>0.35646517542697814</v>
      </c>
      <c r="AA90" s="5">
        <f t="shared" si="4"/>
        <v>0.99999999999999989</v>
      </c>
      <c r="AB90" s="14">
        <f t="shared" si="5"/>
        <v>0.324478510372121</v>
      </c>
      <c r="AC90" s="5">
        <f t="shared" si="0"/>
        <v>0.37909533556299801</v>
      </c>
      <c r="AE90" s="15"/>
      <c r="AG90" s="5">
        <f t="shared" si="1"/>
        <v>1.0226301601360197</v>
      </c>
    </row>
    <row r="91" spans="1:33" x14ac:dyDescent="0.25">
      <c r="A91" s="1" t="s">
        <v>556</v>
      </c>
      <c r="B91">
        <v>1882</v>
      </c>
      <c r="C91" s="3">
        <f>Data!CT90/Data!K90</f>
        <v>7.614467148923533E-2</v>
      </c>
      <c r="D91" s="3">
        <f>Data!HK90/Data!K90</f>
        <v>0.44546746293731054</v>
      </c>
      <c r="E91" s="3">
        <f>Data!IC90/Data!K90</f>
        <v>2.3543311081686579E-3</v>
      </c>
      <c r="F91" s="3">
        <v>0</v>
      </c>
      <c r="G91" s="3">
        <f>Data!HI90/Data!K90</f>
        <v>5.435196337675046E-2</v>
      </c>
      <c r="H91" s="3"/>
      <c r="I91" s="3">
        <f t="shared" si="2"/>
        <v>0.15035797841736126</v>
      </c>
      <c r="J91" s="3"/>
      <c r="K91" s="3"/>
      <c r="L91" s="3"/>
      <c r="M91" s="3"/>
      <c r="N91" s="3"/>
      <c r="O91" s="3">
        <f t="shared" si="3"/>
        <v>0.20319746322042326</v>
      </c>
      <c r="P91" s="3"/>
      <c r="Q91" s="3"/>
      <c r="R91" s="3"/>
      <c r="S91" s="3">
        <f>(Data!K90-Data!AN90)/Data!K90</f>
        <v>5.8738871170608567E-2</v>
      </c>
      <c r="V91" s="3"/>
      <c r="W91" s="3">
        <f>Data!HU90/Data!K90</f>
        <v>0.14223822425429627</v>
      </c>
      <c r="Y91" s="3">
        <f>Data!IE90/Data!K90</f>
        <v>0.35355544163778452</v>
      </c>
      <c r="AA91" s="5">
        <f t="shared" si="4"/>
        <v>0.99999999999999989</v>
      </c>
      <c r="AB91" s="14">
        <f t="shared" si="5"/>
        <v>0.32066292092218718</v>
      </c>
      <c r="AC91" s="5">
        <f t="shared" ref="AC91:AC122" si="6">(Y91)/(1-S91)</f>
        <v>0.37561887005520689</v>
      </c>
      <c r="AE91" s="15"/>
      <c r="AG91" s="5">
        <f t="shared" ref="AG91:AG122" si="7">AC91+D91+W91+S91</f>
        <v>1.0220634284174221</v>
      </c>
    </row>
    <row r="92" spans="1:33" x14ac:dyDescent="0.25">
      <c r="A92" s="1" t="s">
        <v>556</v>
      </c>
      <c r="B92">
        <v>1883</v>
      </c>
      <c r="C92" s="3">
        <f>Data!CT91/Data!K91</f>
        <v>7.5136502918916118E-2</v>
      </c>
      <c r="D92" s="3">
        <f>Data!HK91/Data!K91</f>
        <v>0.43716540009209121</v>
      </c>
      <c r="E92" s="3">
        <f>Data!IC91/Data!K91</f>
        <v>2.3352752580795069E-3</v>
      </c>
      <c r="F92" s="3">
        <v>0</v>
      </c>
      <c r="G92" s="3">
        <f>Data!HI91/Data!K91</f>
        <v>5.2296744875218126E-2</v>
      </c>
      <c r="H92" s="3"/>
      <c r="I92" s="3">
        <f t="shared" si="2"/>
        <v>0.16284778254439397</v>
      </c>
      <c r="J92" s="3"/>
      <c r="K92" s="3"/>
      <c r="L92" s="3"/>
      <c r="M92" s="3"/>
      <c r="N92" s="3"/>
      <c r="O92" s="3">
        <f t="shared" si="3"/>
        <v>0.19960279192361197</v>
      </c>
      <c r="P92" s="3"/>
      <c r="Q92" s="3"/>
      <c r="R92" s="3"/>
      <c r="S92" s="3">
        <f>(Data!K91-Data!AN91)/Data!K91</f>
        <v>6.0662071093374549E-2</v>
      </c>
      <c r="V92" s="3"/>
      <c r="W92" s="3">
        <f>Data!HU91/Data!K91</f>
        <v>0.13972195434652837</v>
      </c>
      <c r="Y92" s="3">
        <f>Data!IE91/Data!K91</f>
        <v>0.36245057446800594</v>
      </c>
      <c r="AA92" s="5">
        <f t="shared" si="4"/>
        <v>1</v>
      </c>
      <c r="AB92" s="14">
        <f t="shared" si="5"/>
        <v>0.33246192717249234</v>
      </c>
      <c r="AC92" s="5">
        <f t="shared" si="6"/>
        <v>0.38585748889102423</v>
      </c>
      <c r="AE92" s="15"/>
      <c r="AG92" s="5">
        <f t="shared" si="7"/>
        <v>1.0234069144230185</v>
      </c>
    </row>
    <row r="93" spans="1:33" x14ac:dyDescent="0.25">
      <c r="A93" s="1" t="s">
        <v>556</v>
      </c>
      <c r="B93">
        <v>1884</v>
      </c>
      <c r="C93" s="3">
        <f>Data!CT92/Data!K92</f>
        <v>7.6204351029691905E-2</v>
      </c>
      <c r="D93" s="3">
        <f>Data!HK92/Data!K92</f>
        <v>0.45793940340593231</v>
      </c>
      <c r="E93" s="3">
        <f>Data!IC92/Data!K92</f>
        <v>2.3255038083378195E-3</v>
      </c>
      <c r="F93" s="3">
        <v>0</v>
      </c>
      <c r="G93" s="3">
        <f>Data!HI92/Data!K92</f>
        <v>5.4363882892308681E-2</v>
      </c>
      <c r="H93" s="3"/>
      <c r="I93" s="3">
        <f t="shared" si="2"/>
        <v>0.11662735477294084</v>
      </c>
      <c r="J93" s="3"/>
      <c r="K93" s="3"/>
      <c r="L93" s="3"/>
      <c r="M93" s="3"/>
      <c r="N93" s="3"/>
      <c r="O93" s="3">
        <f t="shared" si="3"/>
        <v>0.21384071594698068</v>
      </c>
      <c r="P93" s="3"/>
      <c r="Q93" s="3"/>
      <c r="R93" s="3"/>
      <c r="S93" s="3">
        <f>(Data!K92-Data!AN92)/Data!K92</f>
        <v>6.190402471125963E-2</v>
      </c>
      <c r="V93" s="3"/>
      <c r="W93" s="3">
        <f>Data!HU92/Data!K92</f>
        <v>0.14968850116288646</v>
      </c>
      <c r="Y93" s="3">
        <f>Data!IE92/Data!K92</f>
        <v>0.33046807071992151</v>
      </c>
      <c r="AA93" s="5">
        <f t="shared" si="4"/>
        <v>0.99999999999999989</v>
      </c>
      <c r="AB93" s="14">
        <f t="shared" si="5"/>
        <v>0.2950066023774337</v>
      </c>
      <c r="AC93" s="5">
        <f t="shared" si="6"/>
        <v>0.35227533154931767</v>
      </c>
      <c r="AE93" s="15"/>
      <c r="AG93" s="5">
        <f t="shared" si="7"/>
        <v>1.021807260829396</v>
      </c>
    </row>
    <row r="94" spans="1:33" x14ac:dyDescent="0.25">
      <c r="A94" s="1" t="s">
        <v>556</v>
      </c>
      <c r="B94">
        <v>1885</v>
      </c>
      <c r="C94" s="3">
        <f>Data!CT93/Data!K93</f>
        <v>7.6516771877707668E-2</v>
      </c>
      <c r="D94" s="3">
        <f>Data!HK93/Data!K93</f>
        <v>0.45972036855268822</v>
      </c>
      <c r="E94" s="3">
        <f>Data!IC93/Data!K93</f>
        <v>2.3864468608310089E-3</v>
      </c>
      <c r="F94" s="3">
        <v>0</v>
      </c>
      <c r="G94" s="3">
        <f>Data!HI93/Data!K93</f>
        <v>5.4769449400794257E-2</v>
      </c>
      <c r="H94" s="3"/>
      <c r="I94" s="3">
        <f t="shared" si="2"/>
        <v>0.11257557415468544</v>
      </c>
      <c r="J94" s="3"/>
      <c r="K94" s="3"/>
      <c r="L94" s="3"/>
      <c r="M94" s="3"/>
      <c r="N94" s="3"/>
      <c r="O94" s="3">
        <f t="shared" si="3"/>
        <v>0.21551004357703429</v>
      </c>
      <c r="P94" s="3"/>
      <c r="Q94" s="3"/>
      <c r="R94" s="3"/>
      <c r="S94" s="3">
        <f>(Data!K93-Data!AN93)/Data!K93</f>
        <v>6.1336983211668028E-2</v>
      </c>
      <c r="V94" s="3"/>
      <c r="W94" s="3">
        <f>Data!HU93/Data!K93</f>
        <v>0.15085703050392399</v>
      </c>
      <c r="Y94" s="3">
        <f>Data!IE93/Data!K93</f>
        <v>0.32808561773171974</v>
      </c>
      <c r="AA94" s="5">
        <f t="shared" si="4"/>
        <v>1</v>
      </c>
      <c r="AB94" s="14">
        <f t="shared" si="5"/>
        <v>0.29179370360778101</v>
      </c>
      <c r="AC94" s="5">
        <f t="shared" si="6"/>
        <v>0.34952438933226115</v>
      </c>
      <c r="AE94" s="15"/>
      <c r="AG94" s="5">
        <f t="shared" si="7"/>
        <v>1.0214387716005413</v>
      </c>
    </row>
    <row r="95" spans="1:33" x14ac:dyDescent="0.25">
      <c r="A95" s="1" t="s">
        <v>556</v>
      </c>
      <c r="B95">
        <v>1886</v>
      </c>
      <c r="C95" s="3">
        <f>Data!CT94/Data!K94</f>
        <v>7.9759902530903024E-2</v>
      </c>
      <c r="D95" s="3">
        <f>Data!HK94/Data!K94</f>
        <v>0.47171439711887442</v>
      </c>
      <c r="E95" s="3">
        <f>Data!IC94/Data!K94</f>
        <v>2.5426149181085925E-3</v>
      </c>
      <c r="F95" s="3">
        <v>0</v>
      </c>
      <c r="G95" s="3">
        <f>Data!HI94/Data!K94</f>
        <v>5.9030324661323734E-2</v>
      </c>
      <c r="H95" s="3"/>
      <c r="I95" s="3">
        <f t="shared" si="2"/>
        <v>8.8131602882760923E-2</v>
      </c>
      <c r="J95" s="3"/>
      <c r="K95" s="3"/>
      <c r="L95" s="3"/>
      <c r="M95" s="3"/>
      <c r="N95" s="3"/>
      <c r="O95" s="3">
        <f t="shared" si="3"/>
        <v>0.22230032160714672</v>
      </c>
      <c r="P95" s="3"/>
      <c r="Q95" s="3"/>
      <c r="R95" s="3"/>
      <c r="S95" s="3">
        <f>(Data!K94-Data!AN94)/Data!K94</f>
        <v>6.2243453266215186E-2</v>
      </c>
      <c r="V95" s="3"/>
      <c r="W95" s="3">
        <f>Data!HU94/Data!K94</f>
        <v>0.15561022512500269</v>
      </c>
      <c r="Y95" s="3">
        <f>Data!IE94/Data!K94</f>
        <v>0.31043192448990764</v>
      </c>
      <c r="AA95" s="5">
        <f t="shared" si="4"/>
        <v>0.99999999999999989</v>
      </c>
      <c r="AB95" s="14">
        <f t="shared" si="5"/>
        <v>0.26884956196222592</v>
      </c>
      <c r="AC95" s="5">
        <f t="shared" si="6"/>
        <v>0.33103679795267232</v>
      </c>
      <c r="AE95" s="15"/>
      <c r="AG95" s="5">
        <f t="shared" si="7"/>
        <v>1.0206048734627646</v>
      </c>
    </row>
    <row r="96" spans="1:33" x14ac:dyDescent="0.25">
      <c r="A96" s="1" t="s">
        <v>556</v>
      </c>
      <c r="B96">
        <v>1887</v>
      </c>
      <c r="C96" s="3">
        <f>Data!CT95/Data!K95</f>
        <v>8.2355552329552287E-2</v>
      </c>
      <c r="D96" s="3">
        <f>Data!HK95/Data!K95</f>
        <v>0.48799229789320464</v>
      </c>
      <c r="E96" s="3">
        <f>Data!IC95/Data!K95</f>
        <v>2.6549926061662826E-3</v>
      </c>
      <c r="F96" s="3">
        <v>0</v>
      </c>
      <c r="G96" s="3">
        <f>Data!HI95/Data!K95</f>
        <v>6.1070916850630111E-2</v>
      </c>
      <c r="H96" s="3"/>
      <c r="I96" s="3">
        <f t="shared" si="2"/>
        <v>5.7890660151221573E-2</v>
      </c>
      <c r="J96" s="3"/>
      <c r="K96" s="3"/>
      <c r="L96" s="3"/>
      <c r="M96" s="3"/>
      <c r="N96" s="3"/>
      <c r="O96" s="3">
        <f t="shared" si="3"/>
        <v>0.23098806963711171</v>
      </c>
      <c r="P96" s="3"/>
      <c r="Q96" s="3"/>
      <c r="R96" s="3"/>
      <c r="S96" s="3">
        <f>(Data!K95-Data!AN95)/Data!K95</f>
        <v>6.1437323572483993E-2</v>
      </c>
      <c r="V96" s="3"/>
      <c r="W96" s="3">
        <f>Data!HU95/Data!K95</f>
        <v>0.16169164874597819</v>
      </c>
      <c r="Y96" s="3">
        <f>Data!IE95/Data!K95</f>
        <v>0.28887872978833329</v>
      </c>
      <c r="AA96" s="5">
        <f t="shared" si="4"/>
        <v>1</v>
      </c>
      <c r="AB96" s="14">
        <f t="shared" si="5"/>
        <v>0.24120702998863564</v>
      </c>
      <c r="AC96" s="5">
        <f t="shared" si="6"/>
        <v>0.30778842696782116</v>
      </c>
      <c r="AE96" s="15"/>
      <c r="AG96" s="5">
        <f t="shared" si="7"/>
        <v>1.018909697179488</v>
      </c>
    </row>
    <row r="97" spans="1:33" x14ac:dyDescent="0.25">
      <c r="A97" s="1" t="s">
        <v>556</v>
      </c>
      <c r="B97">
        <v>1888</v>
      </c>
      <c r="C97" s="3">
        <f>Data!CT96/Data!K96</f>
        <v>8.0539010787915977E-2</v>
      </c>
      <c r="D97" s="3">
        <f>Data!HK96/Data!K96</f>
        <v>0.4719159343971065</v>
      </c>
      <c r="E97" s="3">
        <f>Data!IC96/Data!K96</f>
        <v>2.580396675798304E-3</v>
      </c>
      <c r="F97" s="3">
        <v>0</v>
      </c>
      <c r="G97" s="3">
        <f>Data!HI96/Data!K96</f>
        <v>5.831488426139677E-2</v>
      </c>
      <c r="H97" s="3"/>
      <c r="I97" s="3">
        <f t="shared" si="2"/>
        <v>9.0909840172689937E-2</v>
      </c>
      <c r="J97" s="3"/>
      <c r="K97" s="3"/>
      <c r="L97" s="3"/>
      <c r="M97" s="3"/>
      <c r="N97" s="3"/>
      <c r="O97" s="3">
        <f t="shared" si="3"/>
        <v>0.21864448244345269</v>
      </c>
      <c r="P97" s="3"/>
      <c r="Q97" s="3"/>
      <c r="R97" s="3"/>
      <c r="S97" s="3">
        <f>(Data!K96-Data!AN96)/Data!K96</f>
        <v>6.5478605276334145E-2</v>
      </c>
      <c r="V97" s="3"/>
      <c r="W97" s="3">
        <f>Data!HU96/Data!K96</f>
        <v>0.15305113771041687</v>
      </c>
      <c r="Y97" s="3">
        <f>Data!IE96/Data!K96</f>
        <v>0.30955432261614263</v>
      </c>
      <c r="AA97" s="5">
        <f t="shared" si="4"/>
        <v>1.0000000000000002</v>
      </c>
      <c r="AB97" s="14">
        <f t="shared" si="5"/>
        <v>0.26817334424717693</v>
      </c>
      <c r="AC97" s="5">
        <f t="shared" si="6"/>
        <v>0.33124369796549874</v>
      </c>
      <c r="AE97" s="15"/>
      <c r="AG97" s="5">
        <f t="shared" si="7"/>
        <v>1.0216893753493563</v>
      </c>
    </row>
    <row r="98" spans="1:33" x14ac:dyDescent="0.25">
      <c r="A98" s="1" t="s">
        <v>556</v>
      </c>
      <c r="B98">
        <v>1889</v>
      </c>
      <c r="C98" s="3">
        <f>Data!CT97/Data!K97</f>
        <v>8.0986850634868129E-2</v>
      </c>
      <c r="D98" s="3">
        <f>Data!HK97/Data!K97</f>
        <v>0.45869768794732435</v>
      </c>
      <c r="E98" s="3">
        <f>Data!IC97/Data!K97</f>
        <v>2.598306308061273E-3</v>
      </c>
      <c r="F98" s="3">
        <v>0</v>
      </c>
      <c r="G98" s="3">
        <f>Data!HI97/Data!K97</f>
        <v>5.584556721899827E-2</v>
      </c>
      <c r="H98" s="3"/>
      <c r="I98" s="3">
        <f t="shared" si="2"/>
        <v>0.10824092306920405</v>
      </c>
      <c r="J98" s="3"/>
      <c r="K98" s="3"/>
      <c r="L98" s="3"/>
      <c r="M98" s="3"/>
      <c r="N98" s="3"/>
      <c r="O98" s="3">
        <f t="shared" si="3"/>
        <v>0.21512082146002695</v>
      </c>
      <c r="P98" s="3"/>
      <c r="Q98" s="3"/>
      <c r="R98" s="3"/>
      <c r="S98" s="3">
        <f>(Data!K97-Data!AN97)/Data!K97</f>
        <v>6.7355992501425876E-2</v>
      </c>
      <c r="V98" s="3"/>
      <c r="W98" s="3">
        <f>Data!HU97/Data!K97</f>
        <v>0.15058457502201886</v>
      </c>
      <c r="Y98" s="3">
        <f>Data!IE97/Data!K97</f>
        <v>0.323361744529231</v>
      </c>
      <c r="AA98" s="5">
        <f t="shared" si="4"/>
        <v>1</v>
      </c>
      <c r="AB98" s="14">
        <f t="shared" si="5"/>
        <v>0.28459209429640364</v>
      </c>
      <c r="AC98" s="5">
        <f t="shared" si="6"/>
        <v>0.34671508306423698</v>
      </c>
      <c r="AE98" s="15"/>
      <c r="AG98" s="5">
        <f t="shared" si="7"/>
        <v>1.023353338535006</v>
      </c>
    </row>
    <row r="99" spans="1:33" x14ac:dyDescent="0.25">
      <c r="A99" s="1" t="s">
        <v>556</v>
      </c>
      <c r="B99">
        <v>1890</v>
      </c>
      <c r="C99" s="3">
        <f>Data!CT98/Data!K98</f>
        <v>8.0446902038389889E-2</v>
      </c>
      <c r="D99" s="3">
        <f>Data!HK98/Data!K98</f>
        <v>0.46312433175539003</v>
      </c>
      <c r="E99" s="3">
        <f>Data!IC98/Data!K98</f>
        <v>2.6316195034192828E-3</v>
      </c>
      <c r="F99" s="3">
        <v>0</v>
      </c>
      <c r="G99" s="3">
        <f>Data!HI98/Data!K98</f>
        <v>5.4379895579573165E-2</v>
      </c>
      <c r="H99" s="3"/>
      <c r="I99" s="3">
        <f t="shared" si="2"/>
        <v>0.10020095798374637</v>
      </c>
      <c r="J99" s="3"/>
      <c r="K99" s="3"/>
      <c r="L99" s="3"/>
      <c r="M99" s="3"/>
      <c r="N99" s="3"/>
      <c r="O99" s="3">
        <f t="shared" si="3"/>
        <v>0.21785016103339297</v>
      </c>
      <c r="P99" s="3"/>
      <c r="Q99" s="3"/>
      <c r="R99" s="3"/>
      <c r="S99" s="3">
        <f>(Data!K98-Data!AN98)/Data!K98</f>
        <v>6.6329436504095826E-2</v>
      </c>
      <c r="V99" s="3"/>
      <c r="W99" s="3">
        <f>Data!HU98/Data!K98</f>
        <v>0.15249511272337507</v>
      </c>
      <c r="Y99" s="3">
        <f>Data!IE98/Data!K98</f>
        <v>0.31805111901713934</v>
      </c>
      <c r="AA99" s="5">
        <f t="shared" si="4"/>
        <v>1.0000000000000002</v>
      </c>
      <c r="AB99" s="14">
        <f t="shared" si="5"/>
        <v>0.27847823227600538</v>
      </c>
      <c r="AC99" s="5">
        <f t="shared" si="6"/>
        <v>0.34064597455688617</v>
      </c>
      <c r="AE99" s="15"/>
      <c r="AG99" s="5">
        <f t="shared" si="7"/>
        <v>1.022594855539747</v>
      </c>
    </row>
    <row r="100" spans="1:33" x14ac:dyDescent="0.25">
      <c r="A100" s="1" t="s">
        <v>556</v>
      </c>
      <c r="B100">
        <v>1891</v>
      </c>
      <c r="C100" s="3">
        <f>Data!CT99/Data!K99</f>
        <v>7.6956702030033977E-2</v>
      </c>
      <c r="D100" s="3">
        <f>Data!HK99/Data!K99</f>
        <v>0.46810631705345307</v>
      </c>
      <c r="E100" s="3">
        <f>Data!IC99/Data!K99</f>
        <v>2.468858801354184E-3</v>
      </c>
      <c r="F100" s="3">
        <v>0</v>
      </c>
      <c r="G100" s="3">
        <f>Data!HI99/Data!K99</f>
        <v>5.2956430186544286E-2</v>
      </c>
      <c r="H100" s="3"/>
      <c r="I100" s="3">
        <f t="shared" si="2"/>
        <v>9.6339602119736578E-2</v>
      </c>
      <c r="J100" s="3"/>
      <c r="K100" s="3"/>
      <c r="L100" s="3"/>
      <c r="M100" s="3"/>
      <c r="N100" s="3"/>
      <c r="O100" s="3">
        <f t="shared" si="3"/>
        <v>0.21856369057534941</v>
      </c>
      <c r="P100" s="3"/>
      <c r="Q100" s="3"/>
      <c r="R100" s="3"/>
      <c r="S100" s="3">
        <f>(Data!K99-Data!AN99)/Data!K99</f>
        <v>6.3995806848716377E-2</v>
      </c>
      <c r="V100" s="3"/>
      <c r="W100" s="3">
        <f>Data!HU99/Data!K99</f>
        <v>0.15299458340274458</v>
      </c>
      <c r="Y100" s="3">
        <f>Data!IE99/Data!K99</f>
        <v>0.31490329269508599</v>
      </c>
      <c r="AA100" s="5">
        <f t="shared" si="4"/>
        <v>1</v>
      </c>
      <c r="AB100" s="14">
        <f t="shared" si="5"/>
        <v>0.27698886630176683</v>
      </c>
      <c r="AC100" s="5">
        <f t="shared" si="6"/>
        <v>0.33643363459183684</v>
      </c>
      <c r="AE100" s="15"/>
      <c r="AG100" s="5">
        <f t="shared" si="7"/>
        <v>1.0215303418967507</v>
      </c>
    </row>
    <row r="101" spans="1:33" x14ac:dyDescent="0.25">
      <c r="A101" s="1" t="s">
        <v>556</v>
      </c>
      <c r="B101">
        <v>1892</v>
      </c>
      <c r="C101" s="3">
        <f>Data!CT100/Data!K100</f>
        <v>7.6035798127904564E-2</v>
      </c>
      <c r="D101" s="3">
        <f>Data!HK100/Data!K100</f>
        <v>0.46365613736172179</v>
      </c>
      <c r="E101" s="3">
        <f>Data!IC100/Data!K100</f>
        <v>2.4436550577273558E-3</v>
      </c>
      <c r="F101" s="3">
        <v>0</v>
      </c>
      <c r="G101" s="3">
        <f>Data!HI100/Data!K100</f>
        <v>5.3462988720102675E-2</v>
      </c>
      <c r="H101" s="3"/>
      <c r="I101" s="3">
        <f t="shared" si="2"/>
        <v>0.10019308750643133</v>
      </c>
      <c r="J101" s="3"/>
      <c r="K101" s="3"/>
      <c r="L101" s="3"/>
      <c r="M101" s="3"/>
      <c r="N101" s="3"/>
      <c r="O101" s="3">
        <f t="shared" si="3"/>
        <v>0.21995909347304485</v>
      </c>
      <c r="P101" s="3"/>
      <c r="Q101" s="3"/>
      <c r="R101" s="3"/>
      <c r="S101" s="3">
        <f>(Data!K100-Data!AN100)/Data!K100</f>
        <v>6.2220316227670665E-2</v>
      </c>
      <c r="V101" s="3"/>
      <c r="W101" s="3">
        <f>Data!HU100/Data!K100</f>
        <v>0.15397136543113138</v>
      </c>
      <c r="Y101" s="3">
        <f>Data!IE100/Data!K100</f>
        <v>0.32015218097947618</v>
      </c>
      <c r="AA101" s="5">
        <f t="shared" si="4"/>
        <v>1</v>
      </c>
      <c r="AB101" s="14">
        <f t="shared" si="5"/>
        <v>0.28328182760358989</v>
      </c>
      <c r="AC101" s="5">
        <f t="shared" si="6"/>
        <v>0.34139381191499724</v>
      </c>
      <c r="AE101" s="15"/>
      <c r="AG101" s="5">
        <f t="shared" si="7"/>
        <v>1.021241630935521</v>
      </c>
    </row>
    <row r="102" spans="1:33" x14ac:dyDescent="0.25">
      <c r="A102" s="1" t="s">
        <v>556</v>
      </c>
      <c r="B102">
        <v>1893</v>
      </c>
      <c r="C102" s="3">
        <f>Data!CT101/Data!K101</f>
        <v>7.5453520945769015E-2</v>
      </c>
      <c r="D102" s="3">
        <f>Data!HK101/Data!K101</f>
        <v>0.47696699920881885</v>
      </c>
      <c r="E102" s="3">
        <f>Data!IC101/Data!K101</f>
        <v>2.4545641067543322E-3</v>
      </c>
      <c r="F102" s="3">
        <v>0</v>
      </c>
      <c r="G102" s="3">
        <f>Data!HI101/Data!K101</f>
        <v>5.5313217444699594E-2</v>
      </c>
      <c r="H102" s="3"/>
      <c r="I102" s="3">
        <f t="shared" si="2"/>
        <v>7.7493641265643676E-2</v>
      </c>
      <c r="J102" s="3"/>
      <c r="K102" s="3"/>
      <c r="L102" s="3"/>
      <c r="M102" s="3"/>
      <c r="N102" s="3"/>
      <c r="O102" s="3">
        <f t="shared" si="3"/>
        <v>0.22574862623627784</v>
      </c>
      <c r="P102" s="3"/>
      <c r="Q102" s="3"/>
      <c r="R102" s="3"/>
      <c r="S102" s="3">
        <f>(Data!K101-Data!AN101)/Data!K101</f>
        <v>6.1766694923865169E-2</v>
      </c>
      <c r="V102" s="3"/>
      <c r="W102" s="3">
        <f>Data!HU101/Data!K101</f>
        <v>0.15802403836539447</v>
      </c>
      <c r="Y102" s="3">
        <f>Data!IE101/Data!K101</f>
        <v>0.30324226750192151</v>
      </c>
      <c r="AA102" s="5">
        <f t="shared" si="4"/>
        <v>1</v>
      </c>
      <c r="AB102" s="14">
        <f t="shared" si="5"/>
        <v>0.26401725068900511</v>
      </c>
      <c r="AC102" s="5">
        <f t="shared" si="6"/>
        <v>0.32320560980012786</v>
      </c>
      <c r="AE102" s="15"/>
      <c r="AG102" s="5">
        <f t="shared" si="7"/>
        <v>1.0199633422982064</v>
      </c>
    </row>
    <row r="103" spans="1:33" x14ac:dyDescent="0.25">
      <c r="A103" s="1" t="s">
        <v>556</v>
      </c>
      <c r="B103">
        <v>1894</v>
      </c>
      <c r="C103" s="3">
        <f>Data!CT102/Data!K102</f>
        <v>7.7293229355119397E-2</v>
      </c>
      <c r="D103" s="3">
        <f>Data!HK102/Data!K102</f>
        <v>0.48164097964635327</v>
      </c>
      <c r="E103" s="3">
        <f>Data!IC102/Data!K102</f>
        <v>2.5858512267529672E-3</v>
      </c>
      <c r="F103" s="3">
        <v>0</v>
      </c>
      <c r="G103" s="3">
        <f>Data!HI102/Data!K102</f>
        <v>5.5700921703122283E-2</v>
      </c>
      <c r="H103" s="3"/>
      <c r="I103" s="3">
        <f t="shared" si="2"/>
        <v>6.8148647748378671E-2</v>
      </c>
      <c r="J103" s="3"/>
      <c r="K103" s="3"/>
      <c r="L103" s="3"/>
      <c r="M103" s="3"/>
      <c r="N103" s="3"/>
      <c r="O103" s="3">
        <f t="shared" si="3"/>
        <v>0.22732875470848965</v>
      </c>
      <c r="P103" s="3"/>
      <c r="Q103" s="3"/>
      <c r="R103" s="3"/>
      <c r="S103" s="3">
        <f>(Data!K102-Data!AN102)/Data!K102</f>
        <v>6.3751489600835792E-2</v>
      </c>
      <c r="V103" s="3"/>
      <c r="W103" s="3">
        <f>Data!HU102/Data!K102</f>
        <v>0.15913012829594275</v>
      </c>
      <c r="Y103" s="3">
        <f>Data!IE102/Data!K102</f>
        <v>0.29547740245686832</v>
      </c>
      <c r="AA103" s="5">
        <f t="shared" si="4"/>
        <v>1.0000000000000002</v>
      </c>
      <c r="AB103" s="14">
        <f t="shared" si="5"/>
        <v>0.25401109687171369</v>
      </c>
      <c r="AC103" s="5">
        <f t="shared" si="6"/>
        <v>0.31559719366698186</v>
      </c>
      <c r="AE103" s="15"/>
      <c r="AG103" s="5">
        <f t="shared" si="7"/>
        <v>1.0201197912101136</v>
      </c>
    </row>
    <row r="104" spans="1:33" x14ac:dyDescent="0.25">
      <c r="A104" s="1" t="s">
        <v>556</v>
      </c>
      <c r="B104">
        <v>1895</v>
      </c>
      <c r="C104" s="3">
        <f>Data!CT103/Data!K103</f>
        <v>7.5118427259585785E-2</v>
      </c>
      <c r="D104" s="3">
        <f>Data!HK103/Data!K103</f>
        <v>0.47451005046639044</v>
      </c>
      <c r="E104" s="3">
        <f>Data!IC103/Data!K103</f>
        <v>2.528239144217577E-3</v>
      </c>
      <c r="F104" s="3">
        <v>0</v>
      </c>
      <c r="G104" s="3">
        <f>Data!HI103/Data!K103</f>
        <v>5.3608360235089803E-2</v>
      </c>
      <c r="H104" s="3"/>
      <c r="I104" s="3">
        <f t="shared" si="2"/>
        <v>8.6439760140289312E-2</v>
      </c>
      <c r="J104" s="3"/>
      <c r="K104" s="3"/>
      <c r="L104" s="3"/>
      <c r="M104" s="3"/>
      <c r="N104" s="3"/>
      <c r="O104" s="3">
        <f t="shared" si="3"/>
        <v>0.22083051090423111</v>
      </c>
      <c r="P104" s="3"/>
      <c r="Q104" s="3"/>
      <c r="R104" s="3"/>
      <c r="S104" s="3">
        <f>(Data!K103-Data!AN103)/Data!K103</f>
        <v>6.3638320856127362E-2</v>
      </c>
      <c r="V104" s="3"/>
      <c r="W104" s="3">
        <f>Data!HU103/Data!K103</f>
        <v>0.15458135763296177</v>
      </c>
      <c r="Y104" s="3">
        <f>Data!IE103/Data!K103</f>
        <v>0.30727027104452043</v>
      </c>
      <c r="AA104" s="5">
        <f t="shared" si="4"/>
        <v>1</v>
      </c>
      <c r="AB104" s="14">
        <f t="shared" si="5"/>
        <v>0.2695543254208575</v>
      </c>
      <c r="AC104" s="5">
        <f t="shared" si="6"/>
        <v>0.3281534025671165</v>
      </c>
      <c r="AE104" s="15"/>
      <c r="AG104" s="5">
        <f t="shared" si="7"/>
        <v>1.0208831315225961</v>
      </c>
    </row>
    <row r="105" spans="1:33" x14ac:dyDescent="0.25">
      <c r="A105" s="1" t="s">
        <v>556</v>
      </c>
      <c r="B105">
        <v>1896</v>
      </c>
      <c r="C105" s="3">
        <f>Data!CT104/Data!K104</f>
        <v>7.6463028298732374E-2</v>
      </c>
      <c r="D105" s="3">
        <f>Data!HK104/Data!K104</f>
        <v>0.46963021001022226</v>
      </c>
      <c r="E105" s="3">
        <f>Data!IC104/Data!K104</f>
        <v>2.6340778568672827E-3</v>
      </c>
      <c r="F105" s="3">
        <v>0</v>
      </c>
      <c r="G105" s="3">
        <f>Data!HI104/Data!K104</f>
        <v>5.2100110094857453E-2</v>
      </c>
      <c r="H105" s="3"/>
      <c r="I105" s="3">
        <f t="shared" si="2"/>
        <v>9.6068869226892617E-2</v>
      </c>
      <c r="J105" s="3"/>
      <c r="K105" s="3"/>
      <c r="L105" s="3"/>
      <c r="M105" s="3"/>
      <c r="N105" s="3"/>
      <c r="O105" s="3">
        <f t="shared" si="3"/>
        <v>0.2174166079403953</v>
      </c>
      <c r="P105" s="3"/>
      <c r="Q105" s="3"/>
      <c r="R105" s="3"/>
      <c r="S105" s="3">
        <f>(Data!K104-Data!AN104)/Data!K104</f>
        <v>6.4692687264213122E-2</v>
      </c>
      <c r="V105" s="3"/>
      <c r="W105" s="3">
        <f>Data!HU104/Data!K104</f>
        <v>0.1521916255582767</v>
      </c>
      <c r="Y105" s="3">
        <f>Data!IE104/Data!K104</f>
        <v>0.31348547716728792</v>
      </c>
      <c r="AA105" s="5">
        <f t="shared" si="4"/>
        <v>1</v>
      </c>
      <c r="AB105" s="14">
        <f t="shared" si="5"/>
        <v>0.27597837368611744</v>
      </c>
      <c r="AC105" s="5">
        <f t="shared" si="6"/>
        <v>0.33516842314676076</v>
      </c>
      <c r="AE105" s="15"/>
      <c r="AG105" s="5">
        <f t="shared" si="7"/>
        <v>1.0216829459794727</v>
      </c>
    </row>
    <row r="106" spans="1:33" x14ac:dyDescent="0.25">
      <c r="A106" s="1" t="s">
        <v>556</v>
      </c>
      <c r="B106">
        <v>1897</v>
      </c>
      <c r="C106" s="3">
        <f>Data!CT105/Data!K105</f>
        <v>7.7182835886569365E-2</v>
      </c>
      <c r="D106" s="3">
        <f>Data!HK105/Data!K105</f>
        <v>0.4548258592237765</v>
      </c>
      <c r="E106" s="3">
        <f>Data!IC105/Data!K105</f>
        <v>2.7179813223058317E-3</v>
      </c>
      <c r="F106" s="3">
        <v>0</v>
      </c>
      <c r="G106" s="3">
        <f>Data!HI105/Data!K105</f>
        <v>4.8620093531610981E-2</v>
      </c>
      <c r="H106" s="3"/>
      <c r="I106" s="3">
        <f t="shared" si="2"/>
        <v>0.13482274688037155</v>
      </c>
      <c r="J106" s="3"/>
      <c r="K106" s="3"/>
      <c r="L106" s="3"/>
      <c r="M106" s="3"/>
      <c r="N106" s="3"/>
      <c r="O106" s="3">
        <f t="shared" si="3"/>
        <v>0.20404298900021323</v>
      </c>
      <c r="P106" s="3"/>
      <c r="Q106" s="3"/>
      <c r="R106" s="3"/>
      <c r="S106" s="3">
        <f>(Data!K105-Data!AN105)/Data!K105</f>
        <v>6.3478312595489403E-2</v>
      </c>
      <c r="V106" s="3"/>
      <c r="W106" s="3">
        <f>Data!HU105/Data!K105</f>
        <v>0.14283009230014926</v>
      </c>
      <c r="Y106" s="3">
        <f>Data!IE105/Data!K105</f>
        <v>0.33886573588058477</v>
      </c>
      <c r="AA106" s="5">
        <f t="shared" si="4"/>
        <v>1</v>
      </c>
      <c r="AB106" s="14">
        <f t="shared" si="5"/>
        <v>0.30451654726395433</v>
      </c>
      <c r="AC106" s="5">
        <f t="shared" si="6"/>
        <v>0.36183437120364192</v>
      </c>
      <c r="AE106" s="15"/>
      <c r="AG106" s="5">
        <f t="shared" si="7"/>
        <v>1.0229686353230572</v>
      </c>
    </row>
    <row r="107" spans="1:33" x14ac:dyDescent="0.25">
      <c r="A107" s="1" t="s">
        <v>556</v>
      </c>
      <c r="B107">
        <v>1898</v>
      </c>
      <c r="C107" s="3">
        <f>Data!CT106/Data!K106</f>
        <v>7.7460091735062964E-2</v>
      </c>
      <c r="D107" s="3">
        <f>Data!HK106/Data!K106</f>
        <v>0.45042912640633398</v>
      </c>
      <c r="E107" s="3">
        <f>Data!IC106/Data!K106</f>
        <v>2.7158149181522721E-3</v>
      </c>
      <c r="F107" s="3">
        <v>0</v>
      </c>
      <c r="G107" s="3">
        <f>Data!HI106/Data!K106</f>
        <v>4.6314136827054653E-2</v>
      </c>
      <c r="H107" s="3"/>
      <c r="I107" s="3">
        <f t="shared" si="2"/>
        <v>0.1429527773727764</v>
      </c>
      <c r="J107" s="3"/>
      <c r="K107" s="3"/>
      <c r="L107" s="3"/>
      <c r="M107" s="3"/>
      <c r="N107" s="3"/>
      <c r="O107" s="3">
        <f t="shared" si="3"/>
        <v>0.20041158315530139</v>
      </c>
      <c r="P107" s="3"/>
      <c r="Q107" s="3"/>
      <c r="R107" s="3"/>
      <c r="S107" s="3">
        <f>(Data!K106-Data!AN106)/Data!K106</f>
        <v>6.5918404856877152E-2</v>
      </c>
      <c r="V107" s="3"/>
      <c r="W107" s="3">
        <f>Data!HU106/Data!K106</f>
        <v>0.14028810820871096</v>
      </c>
      <c r="Y107" s="3">
        <f>Data!IE106/Data!K106</f>
        <v>0.34336436052807778</v>
      </c>
      <c r="AA107" s="5">
        <f t="shared" si="4"/>
        <v>0.99999999999999989</v>
      </c>
      <c r="AB107" s="14">
        <f t="shared" si="5"/>
        <v>0.31041045284891566</v>
      </c>
      <c r="AC107" s="5">
        <f t="shared" si="6"/>
        <v>0.3675956814837642</v>
      </c>
      <c r="AE107" s="15"/>
      <c r="AG107" s="5">
        <f t="shared" si="7"/>
        <v>1.0242313209556864</v>
      </c>
    </row>
    <row r="108" spans="1:33" x14ac:dyDescent="0.25">
      <c r="A108" s="1" t="s">
        <v>556</v>
      </c>
      <c r="B108">
        <v>1899</v>
      </c>
      <c r="C108" s="3">
        <f>Data!CT107/Data!K107</f>
        <v>7.5675304037201158E-2</v>
      </c>
      <c r="D108" s="3">
        <f>Data!HK107/Data!K107</f>
        <v>0.45102751198347124</v>
      </c>
      <c r="E108" s="3">
        <f>Data!IC107/Data!K107</f>
        <v>2.629605752528835E-3</v>
      </c>
      <c r="F108" s="3">
        <v>0</v>
      </c>
      <c r="G108" s="3">
        <f>Data!HI107/Data!K107</f>
        <v>4.3994559078788492E-2</v>
      </c>
      <c r="H108" s="3"/>
      <c r="I108" s="3">
        <f t="shared" si="2"/>
        <v>0.14174780997763503</v>
      </c>
      <c r="J108" s="3"/>
      <c r="K108" s="3"/>
      <c r="L108" s="3"/>
      <c r="M108" s="3"/>
      <c r="N108" s="3"/>
      <c r="O108" s="3">
        <f t="shared" si="3"/>
        <v>0.20007255555476383</v>
      </c>
      <c r="P108" s="3"/>
      <c r="Q108" s="3"/>
      <c r="R108" s="3"/>
      <c r="S108" s="3">
        <f>(Data!K107-Data!AN107)/Data!K107</f>
        <v>6.710133359579494E-2</v>
      </c>
      <c r="V108" s="3"/>
      <c r="W108" s="3">
        <f>Data!HU107/Data!K107</f>
        <v>0.14005078888833467</v>
      </c>
      <c r="Y108" s="3">
        <f>Data!IE107/Data!K107</f>
        <v>0.34182036553239886</v>
      </c>
      <c r="AA108" s="5">
        <f t="shared" si="4"/>
        <v>0.99999999999999967</v>
      </c>
      <c r="AB108" s="14">
        <f t="shared" si="5"/>
        <v>0.31047341122424138</v>
      </c>
      <c r="AC108" s="5">
        <f t="shared" si="6"/>
        <v>0.36640674688701441</v>
      </c>
      <c r="AE108" s="15"/>
      <c r="AG108" s="5">
        <f t="shared" si="7"/>
        <v>1.0245863813546152</v>
      </c>
    </row>
    <row r="109" spans="1:33" s="20" customFormat="1" x14ac:dyDescent="0.25">
      <c r="A109" s="19" t="s">
        <v>556</v>
      </c>
      <c r="B109" s="20">
        <v>1900</v>
      </c>
      <c r="C109" s="21">
        <f>Data!CT108/Data!K108</f>
        <v>8.0002120077581465E-2</v>
      </c>
      <c r="D109" s="21">
        <f>Data!HK108/Data!K108</f>
        <v>0.46502947905313174</v>
      </c>
      <c r="E109" s="21">
        <f>Data!IC108/Data!K108</f>
        <v>2.8906196390737094E-3</v>
      </c>
      <c r="F109" s="21">
        <v>0</v>
      </c>
      <c r="G109" s="21">
        <f>Data!HI108/Data!K108</f>
        <v>4.5418853183018269E-2</v>
      </c>
      <c r="H109" s="21"/>
      <c r="I109" s="3">
        <f t="shared" si="2"/>
        <v>0.11915584016059019</v>
      </c>
      <c r="J109" s="21"/>
      <c r="K109" s="21"/>
      <c r="L109" s="21"/>
      <c r="M109" s="21"/>
      <c r="N109" s="21"/>
      <c r="O109" s="21">
        <f>W109/0.7</f>
        <v>0.20633591773848695</v>
      </c>
      <c r="P109" s="21"/>
      <c r="Q109" s="21"/>
      <c r="R109" s="21"/>
      <c r="S109" s="21">
        <f>(Data!K108-Data!AN108)/Data!K108</f>
        <v>6.5043620630850202E-2</v>
      </c>
      <c r="V109" s="21"/>
      <c r="W109" s="21">
        <f>Data!HU108/Data!K108</f>
        <v>0.14443514241694086</v>
      </c>
      <c r="X109" s="21"/>
      <c r="Y109" s="21">
        <f>Data!IE108/Data!K108</f>
        <v>0.32549175789907714</v>
      </c>
      <c r="AA109" s="22">
        <f>D109+Y109+W109+S109</f>
        <v>1</v>
      </c>
      <c r="AB109" s="23">
        <f t="shared" si="5"/>
        <v>0.28713774468462577</v>
      </c>
      <c r="AC109" s="22">
        <f t="shared" si="6"/>
        <v>0.34813576877105074</v>
      </c>
      <c r="AE109" s="24"/>
      <c r="AG109" s="22">
        <f t="shared" si="7"/>
        <v>1.0226440108719734</v>
      </c>
    </row>
    <row r="110" spans="1:33" x14ac:dyDescent="0.25">
      <c r="A110" s="1" t="s">
        <v>556</v>
      </c>
      <c r="B110">
        <v>1901</v>
      </c>
      <c r="C110" s="3">
        <f>Data!CT109/Data!K109</f>
        <v>8.343581594007643E-2</v>
      </c>
      <c r="D110" s="3">
        <f>Data!HK109/Data!K109</f>
        <v>0.47689826574407007</v>
      </c>
      <c r="E110" s="3">
        <f>Data!IC109/Data!K109</f>
        <v>3.0221264089431918E-3</v>
      </c>
      <c r="F110" s="3">
        <v>0</v>
      </c>
      <c r="G110" s="3">
        <f>Data!HI109/Data!K109</f>
        <v>4.7198959258951199E-2</v>
      </c>
      <c r="H110" s="3"/>
      <c r="I110" s="3">
        <f t="shared" si="2"/>
        <v>0.1005672442703526</v>
      </c>
      <c r="J110" s="3"/>
      <c r="K110" s="3"/>
      <c r="L110" s="3"/>
      <c r="M110" s="3"/>
      <c r="N110" s="3"/>
      <c r="O110" s="3">
        <f t="shared" si="3"/>
        <v>0.21390590373444038</v>
      </c>
      <c r="P110" s="3"/>
      <c r="Q110" s="3"/>
      <c r="R110" s="3"/>
      <c r="S110" s="3">
        <f>(Data!K109-Data!AN109)/Data!K109</f>
        <v>5.8894453637028679E-2</v>
      </c>
      <c r="V110" s="3"/>
      <c r="W110" s="3">
        <f>Data!HU109/Data!K109</f>
        <v>0.14973413261410826</v>
      </c>
      <c r="Y110" s="3">
        <f>Data!IE109/Data!K109</f>
        <v>0.31447314800479298</v>
      </c>
      <c r="AA110" s="5">
        <f t="shared" si="4"/>
        <v>1</v>
      </c>
      <c r="AB110" s="14">
        <f t="shared" si="5"/>
        <v>0.26937797134428187</v>
      </c>
      <c r="AC110" s="5">
        <f t="shared" si="6"/>
        <v>0.33415290051165536</v>
      </c>
      <c r="AE110" s="15"/>
      <c r="AG110" s="5">
        <f t="shared" si="7"/>
        <v>1.0196797525068624</v>
      </c>
    </row>
    <row r="111" spans="1:33" x14ac:dyDescent="0.25">
      <c r="A111" s="1" t="s">
        <v>556</v>
      </c>
      <c r="B111">
        <v>1902</v>
      </c>
      <c r="C111" s="3">
        <f>Data!CT110/Data!K110</f>
        <v>8.25601758832787E-2</v>
      </c>
      <c r="D111" s="3">
        <f>Data!HK110/Data!K110</f>
        <v>0.47549161858224448</v>
      </c>
      <c r="E111" s="3">
        <f>Data!IC110/Data!K110</f>
        <v>3.0513620301434131E-3</v>
      </c>
      <c r="F111" s="3">
        <v>0</v>
      </c>
      <c r="G111" s="3">
        <f>Data!HI110/Data!K110</f>
        <v>5.0183733338170937E-2</v>
      </c>
      <c r="H111" s="3"/>
      <c r="I111" s="3">
        <f t="shared" si="2"/>
        <v>9.5998045951982913E-2</v>
      </c>
      <c r="J111" s="3"/>
      <c r="K111" s="3"/>
      <c r="L111" s="3"/>
      <c r="M111" s="3"/>
      <c r="N111" s="3"/>
      <c r="O111" s="3">
        <f t="shared" si="3"/>
        <v>0.2145110706520289</v>
      </c>
      <c r="P111" s="3"/>
      <c r="Q111" s="3"/>
      <c r="R111" s="3"/>
      <c r="S111" s="3">
        <f>(Data!K110-Data!AN110)/Data!K110</f>
        <v>6.3841515357323339E-2</v>
      </c>
      <c r="V111" s="3"/>
      <c r="W111" s="3">
        <f>Data!HU110/Data!K110</f>
        <v>0.15015774945642021</v>
      </c>
      <c r="Y111" s="3">
        <f>Data!IE110/Data!K110</f>
        <v>0.31050911660401181</v>
      </c>
      <c r="AA111" s="5">
        <f t="shared" si="4"/>
        <v>0.99999999999999989</v>
      </c>
      <c r="AB111" s="14">
        <f t="shared" si="5"/>
        <v>0.26704474268702494</v>
      </c>
      <c r="AC111" s="5">
        <f t="shared" si="6"/>
        <v>0.33168434800068108</v>
      </c>
      <c r="AE111" s="15"/>
      <c r="AG111" s="5">
        <f t="shared" si="7"/>
        <v>1.0211752313966691</v>
      </c>
    </row>
    <row r="112" spans="1:33" x14ac:dyDescent="0.25">
      <c r="A112" s="1" t="s">
        <v>556</v>
      </c>
      <c r="B112">
        <v>1903</v>
      </c>
      <c r="C112" s="3">
        <f>Data!CT111/Data!K111</f>
        <v>8.1456310288733333E-2</v>
      </c>
      <c r="D112" s="3">
        <f>Data!HK111/Data!K111</f>
        <v>0.45602848032956844</v>
      </c>
      <c r="E112" s="3">
        <f>Data!IC111/Data!K111</f>
        <v>3.2071541204285207E-3</v>
      </c>
      <c r="F112" s="3">
        <v>0</v>
      </c>
      <c r="G112" s="3">
        <f>Data!HI111/Data!K111</f>
        <v>4.8525323609166358E-2</v>
      </c>
      <c r="H112" s="3"/>
      <c r="I112" s="3">
        <f t="shared" si="2"/>
        <v>0.13657561100220911</v>
      </c>
      <c r="J112" s="3"/>
      <c r="K112" s="3"/>
      <c r="L112" s="3"/>
      <c r="M112" s="3"/>
      <c r="N112" s="3"/>
      <c r="O112" s="3">
        <f t="shared" si="3"/>
        <v>0.20254234333318816</v>
      </c>
      <c r="P112" s="3"/>
      <c r="Q112" s="3"/>
      <c r="R112" s="3"/>
      <c r="S112" s="3">
        <f>(Data!K111-Data!AN111)/Data!K111</f>
        <v>6.3073925001802519E-2</v>
      </c>
      <c r="V112" s="3"/>
      <c r="W112" s="3">
        <f>Data!HU111/Data!K111</f>
        <v>0.1417796403332317</v>
      </c>
      <c r="Y112" s="3">
        <f>Data!IE111/Data!K111</f>
        <v>0.33911795433539726</v>
      </c>
      <c r="AA112" s="5">
        <f t="shared" si="4"/>
        <v>0.99999999999999989</v>
      </c>
      <c r="AB112" s="14">
        <f t="shared" si="5"/>
        <v>0.30119316272290619</v>
      </c>
      <c r="AC112" s="5">
        <f t="shared" si="6"/>
        <v>0.36194739732913261</v>
      </c>
      <c r="AE112" s="15"/>
      <c r="AG112" s="5">
        <f t="shared" si="7"/>
        <v>1.0228294429937352</v>
      </c>
    </row>
    <row r="113" spans="1:33" x14ac:dyDescent="0.25">
      <c r="A113" s="1" t="s">
        <v>556</v>
      </c>
      <c r="B113">
        <v>1904</v>
      </c>
      <c r="C113" s="3">
        <f>Data!CT112/Data!K112</f>
        <v>7.998947378013431E-2</v>
      </c>
      <c r="D113" s="3">
        <f>Data!HK112/Data!K112</f>
        <v>0.46527287404509654</v>
      </c>
      <c r="E113" s="3">
        <f>Data!IC112/Data!K112</f>
        <v>3.324609524269953E-3</v>
      </c>
      <c r="F113" s="3">
        <v>0</v>
      </c>
      <c r="G113" s="3">
        <f>Data!HI112/Data!K112</f>
        <v>4.9331212966412609E-2</v>
      </c>
      <c r="H113" s="3"/>
      <c r="I113" s="3">
        <f t="shared" si="2"/>
        <v>0.12624121918900047</v>
      </c>
      <c r="J113" s="3"/>
      <c r="K113" s="3"/>
      <c r="L113" s="3"/>
      <c r="M113" s="3"/>
      <c r="N113" s="3"/>
      <c r="O113" s="3">
        <f t="shared" si="3"/>
        <v>0.20256548533230986</v>
      </c>
      <c r="P113" s="3"/>
      <c r="Q113" s="3"/>
      <c r="R113" s="3"/>
      <c r="S113" s="3">
        <f>(Data!K112-Data!AN112)/Data!K112</f>
        <v>6.412458170097611E-2</v>
      </c>
      <c r="V113" s="3"/>
      <c r="W113" s="3">
        <f>Data!HU112/Data!K112</f>
        <v>0.14179583973261689</v>
      </c>
      <c r="Y113" s="3">
        <f>Data!IE112/Data!K112</f>
        <v>0.32880670452131033</v>
      </c>
      <c r="AA113" s="5">
        <f t="shared" si="4"/>
        <v>0.99999999999999989</v>
      </c>
      <c r="AB113" s="14">
        <f t="shared" si="5"/>
        <v>0.29071307028069154</v>
      </c>
      <c r="AC113" s="5">
        <f t="shared" si="6"/>
        <v>0.35133597708862196</v>
      </c>
      <c r="AE113" s="15"/>
      <c r="AG113" s="5">
        <f t="shared" si="7"/>
        <v>1.0225292725673114</v>
      </c>
    </row>
    <row r="114" spans="1:33" x14ac:dyDescent="0.25">
      <c r="A114" s="1" t="s">
        <v>556</v>
      </c>
      <c r="B114">
        <v>1905</v>
      </c>
      <c r="C114" s="3">
        <f>Data!CT113/Data!K113</f>
        <v>8.0614783777570684E-2</v>
      </c>
      <c r="D114" s="3">
        <f>Data!HK113/Data!K113</f>
        <v>0.46419054494624024</v>
      </c>
      <c r="E114" s="3">
        <f>Data!IC113/Data!K113</f>
        <v>3.5545746566856811E-3</v>
      </c>
      <c r="F114" s="3">
        <v>0</v>
      </c>
      <c r="G114" s="3">
        <f>Data!HI113/Data!K113</f>
        <v>4.8592180382034722E-2</v>
      </c>
      <c r="H114" s="3"/>
      <c r="I114" s="3">
        <f t="shared" si="2"/>
        <v>0.12492439654948234</v>
      </c>
      <c r="J114" s="3"/>
      <c r="K114" s="3"/>
      <c r="L114" s="3"/>
      <c r="M114" s="3"/>
      <c r="N114" s="3"/>
      <c r="O114" s="3">
        <f t="shared" si="3"/>
        <v>0.20423202893359155</v>
      </c>
      <c r="P114" s="3"/>
      <c r="Q114" s="3"/>
      <c r="R114" s="3"/>
      <c r="S114" s="3">
        <f>(Data!K113-Data!AN113)/Data!K113</f>
        <v>6.3690609317171853E-2</v>
      </c>
      <c r="V114" s="3"/>
      <c r="W114" s="3">
        <f>Data!HU113/Data!K113</f>
        <v>0.14296242025351408</v>
      </c>
      <c r="Y114" s="3">
        <f>Data!IE113/Data!K113</f>
        <v>0.32915642548307389</v>
      </c>
      <c r="AA114" s="5">
        <f t="shared" si="4"/>
        <v>1</v>
      </c>
      <c r="AB114" s="14">
        <f t="shared" si="5"/>
        <v>0.29045601047363118</v>
      </c>
      <c r="AC114" s="5">
        <f t="shared" si="6"/>
        <v>0.35154664554098719</v>
      </c>
      <c r="AE114" s="15"/>
      <c r="AG114" s="5">
        <f t="shared" si="7"/>
        <v>1.0223902200579134</v>
      </c>
    </row>
    <row r="115" spans="1:33" x14ac:dyDescent="0.25">
      <c r="A115" s="1" t="s">
        <v>556</v>
      </c>
      <c r="B115">
        <v>1906</v>
      </c>
      <c r="C115" s="3">
        <f>Data!CT114/Data!K114</f>
        <v>7.6797445956031621E-2</v>
      </c>
      <c r="D115" s="3">
        <f>Data!HK114/Data!K114</f>
        <v>0.45223289258974203</v>
      </c>
      <c r="E115" s="3">
        <f>Data!IC114/Data!K114</f>
        <v>3.4993254621324675E-3</v>
      </c>
      <c r="F115" s="3">
        <v>0</v>
      </c>
      <c r="G115" s="3">
        <f>Data!HI114/Data!K114</f>
        <v>4.4850618315210075E-2</v>
      </c>
      <c r="H115" s="3"/>
      <c r="I115" s="3">
        <f t="shared" si="2"/>
        <v>0.16384794142890918</v>
      </c>
      <c r="J115" s="3"/>
      <c r="K115" s="3"/>
      <c r="L115" s="3"/>
      <c r="M115" s="3"/>
      <c r="N115" s="3"/>
      <c r="O115" s="3">
        <f t="shared" si="3"/>
        <v>0.19017737984356192</v>
      </c>
      <c r="P115" s="3"/>
      <c r="Q115" s="3"/>
      <c r="R115" s="3"/>
      <c r="S115" s="3">
        <f>(Data!K114-Data!AN114)/Data!K114</f>
        <v>6.0617620247293572E-2</v>
      </c>
      <c r="V115" s="3"/>
      <c r="W115" s="3">
        <f>Data!HU114/Data!K114</f>
        <v>0.13312416589049333</v>
      </c>
      <c r="Y115" s="3">
        <f>Data!IE114/Data!K114</f>
        <v>0.35402532127247111</v>
      </c>
      <c r="AA115" s="5">
        <f t="shared" si="4"/>
        <v>1.0000000000000002</v>
      </c>
      <c r="AB115" s="14">
        <f t="shared" si="5"/>
        <v>0.32139197481251924</v>
      </c>
      <c r="AC115" s="5">
        <f t="shared" si="6"/>
        <v>0.37687030212943606</v>
      </c>
      <c r="AE115" s="15"/>
      <c r="AG115" s="5">
        <f t="shared" si="7"/>
        <v>1.0228449808569651</v>
      </c>
    </row>
    <row r="116" spans="1:33" x14ac:dyDescent="0.25">
      <c r="A116" s="1" t="s">
        <v>556</v>
      </c>
      <c r="B116">
        <v>1907</v>
      </c>
      <c r="C116" s="3">
        <f>Data!CT115/Data!K115</f>
        <v>7.3470673394253255E-2</v>
      </c>
      <c r="D116" s="3">
        <f>Data!HK115/Data!K115</f>
        <v>0.44987725803528428</v>
      </c>
      <c r="E116" s="3">
        <f>Data!IC115/Data!K115</f>
        <v>3.3918381932229102E-3</v>
      </c>
      <c r="F116" s="3">
        <v>0</v>
      </c>
      <c r="G116" s="3">
        <f>Data!HI115/Data!K115</f>
        <v>4.3599871307665558E-2</v>
      </c>
      <c r="H116" s="3"/>
      <c r="I116" s="3">
        <f t="shared" si="2"/>
        <v>0.17653353918021458</v>
      </c>
      <c r="J116" s="3"/>
      <c r="K116" s="3"/>
      <c r="L116" s="3"/>
      <c r="M116" s="3"/>
      <c r="N116" s="3"/>
      <c r="O116" s="3">
        <f t="shared" si="3"/>
        <v>0.18511445425103484</v>
      </c>
      <c r="P116" s="3"/>
      <c r="Q116" s="3"/>
      <c r="R116" s="3"/>
      <c r="S116" s="3">
        <f>(Data!K115-Data!AN115)/Data!K115</f>
        <v>5.889463055774187E-2</v>
      </c>
      <c r="V116" s="3"/>
      <c r="W116" s="3">
        <f>Data!HU115/Data!K115</f>
        <v>0.12958011797572438</v>
      </c>
      <c r="Y116" s="3">
        <f>Data!IE115/Data!K115</f>
        <v>0.36164799343124943</v>
      </c>
      <c r="AA116" s="5">
        <f t="shared" si="4"/>
        <v>0.99999999999999989</v>
      </c>
      <c r="AB116" s="14">
        <f t="shared" si="5"/>
        <v>0.33214130480214427</v>
      </c>
      <c r="AC116" s="5">
        <f t="shared" si="6"/>
        <v>0.38428002344262313</v>
      </c>
      <c r="AE116" s="15"/>
      <c r="AG116" s="5">
        <f t="shared" si="7"/>
        <v>1.0226320300113736</v>
      </c>
    </row>
    <row r="117" spans="1:33" x14ac:dyDescent="0.25">
      <c r="A117" s="1" t="s">
        <v>556</v>
      </c>
      <c r="B117">
        <v>1908</v>
      </c>
      <c r="C117" s="3">
        <f>Data!CT116/Data!K116</f>
        <v>7.5992744519204292E-2</v>
      </c>
      <c r="D117" s="3">
        <f>Data!HK116/Data!K116</f>
        <v>0.46119705000032918</v>
      </c>
      <c r="E117" s="3">
        <f>Data!IC116/Data!K116</f>
        <v>3.5927282093839831E-3</v>
      </c>
      <c r="F117" s="3">
        <v>0</v>
      </c>
      <c r="G117" s="3">
        <f>Data!HI116/Data!K116</f>
        <v>4.5587324150817177E-2</v>
      </c>
      <c r="H117" s="3"/>
      <c r="I117" s="3">
        <f t="shared" si="2"/>
        <v>0.15197703691927408</v>
      </c>
      <c r="J117" s="3"/>
      <c r="K117" s="3"/>
      <c r="L117" s="3"/>
      <c r="M117" s="3"/>
      <c r="N117" s="3"/>
      <c r="O117" s="3">
        <f t="shared" si="3"/>
        <v>0.19404129558286667</v>
      </c>
      <c r="P117" s="3"/>
      <c r="Q117" s="3"/>
      <c r="R117" s="3"/>
      <c r="S117" s="3">
        <f>(Data!K116-Data!AN116)/Data!K116</f>
        <v>5.6955710589523277E-2</v>
      </c>
      <c r="V117" s="3"/>
      <c r="W117" s="3">
        <f>Data!HU116/Data!K116</f>
        <v>0.13582890690800667</v>
      </c>
      <c r="Y117" s="3">
        <f>Data!IE116/Data!K116</f>
        <v>0.34601833250214076</v>
      </c>
      <c r="AA117" s="5">
        <f t="shared" si="4"/>
        <v>0.99999999999999989</v>
      </c>
      <c r="AB117" s="14">
        <f t="shared" si="5"/>
        <v>0.31142968324541476</v>
      </c>
      <c r="AC117" s="5">
        <f t="shared" si="6"/>
        <v>0.36691631176563982</v>
      </c>
      <c r="AE117" s="15"/>
      <c r="AG117" s="5">
        <f t="shared" si="7"/>
        <v>1.0208979792634989</v>
      </c>
    </row>
    <row r="118" spans="1:33" x14ac:dyDescent="0.25">
      <c r="A118" s="1" t="s">
        <v>556</v>
      </c>
      <c r="B118">
        <v>1909</v>
      </c>
      <c r="C118" s="3">
        <f>Data!CT117/Data!K117</f>
        <v>7.813357377261293E-2</v>
      </c>
      <c r="D118" s="3">
        <f>Data!HK117/Data!K117</f>
        <v>0.45118525972552764</v>
      </c>
      <c r="E118" s="3">
        <f>Data!IC117/Data!K117</f>
        <v>3.8223194593732584E-3</v>
      </c>
      <c r="F118" s="3">
        <v>0</v>
      </c>
      <c r="G118" s="3">
        <f>Data!HI117/Data!K117</f>
        <v>5.0057240119574971E-2</v>
      </c>
      <c r="H118" s="3"/>
      <c r="I118" s="3">
        <f t="shared" si="2"/>
        <v>0.15941162333989126</v>
      </c>
      <c r="J118" s="3"/>
      <c r="K118" s="3"/>
      <c r="L118" s="3"/>
      <c r="M118" s="3"/>
      <c r="N118" s="3"/>
      <c r="O118" s="3">
        <f t="shared" si="3"/>
        <v>0.1944808802639518</v>
      </c>
      <c r="P118" s="3"/>
      <c r="Q118" s="3"/>
      <c r="R118" s="3"/>
      <c r="S118" s="3">
        <f>(Data!K117-Data!AN117)/Data!K117</f>
        <v>5.8785620485862965E-2</v>
      </c>
      <c r="V118" s="3"/>
      <c r="W118" s="3">
        <f>Data!HU117/Data!K117</f>
        <v>0.13613661618476625</v>
      </c>
      <c r="Y118" s="3">
        <f>Data!IE117/Data!K117</f>
        <v>0.35389250360384306</v>
      </c>
      <c r="AA118" s="5">
        <f t="shared" si="4"/>
        <v>0.99999999999999989</v>
      </c>
      <c r="AB118" s="14">
        <f t="shared" si="5"/>
        <v>0.31950534410773884</v>
      </c>
      <c r="AC118" s="5">
        <f t="shared" si="6"/>
        <v>0.37599564063877289</v>
      </c>
      <c r="AE118" s="15"/>
      <c r="AG118" s="5">
        <f t="shared" si="7"/>
        <v>1.0221031370349296</v>
      </c>
    </row>
    <row r="119" spans="1:33" x14ac:dyDescent="0.25">
      <c r="A119" s="1" t="s">
        <v>556</v>
      </c>
      <c r="B119">
        <v>1910</v>
      </c>
      <c r="C119" s="3">
        <f>Data!CT118/Data!K118</f>
        <v>7.5583065998521756E-2</v>
      </c>
      <c r="D119" s="3">
        <f>Data!HK118/Data!K118</f>
        <v>0.46624097908338802</v>
      </c>
      <c r="E119" s="3">
        <f>Data!IC118/Data!K118</f>
        <v>3.7309867003917289E-3</v>
      </c>
      <c r="F119" s="3">
        <v>0</v>
      </c>
      <c r="G119" s="3">
        <f>Data!HI118/Data!K118</f>
        <v>4.8504814210393418E-2</v>
      </c>
      <c r="H119" s="3"/>
      <c r="I119" s="3">
        <f t="shared" si="2"/>
        <v>0.14218946916443786</v>
      </c>
      <c r="J119" s="3"/>
      <c r="K119" s="3"/>
      <c r="L119" s="3"/>
      <c r="M119" s="3"/>
      <c r="N119" s="3"/>
      <c r="O119" s="3">
        <f t="shared" si="3"/>
        <v>0.19586080285838303</v>
      </c>
      <c r="P119" s="3"/>
      <c r="Q119" s="3"/>
      <c r="R119" s="3"/>
      <c r="S119" s="3">
        <f>(Data!K118-Data!AN118)/Data!K118</f>
        <v>5.8606186892923143E-2</v>
      </c>
      <c r="V119" s="3"/>
      <c r="W119" s="3">
        <f>Data!HU118/Data!K118</f>
        <v>0.13710256200086812</v>
      </c>
      <c r="Y119" s="3">
        <f>Data!IE118/Data!K118</f>
        <v>0.3380502720228209</v>
      </c>
      <c r="AA119" s="5">
        <f t="shared" si="4"/>
        <v>1.0000000000000002</v>
      </c>
      <c r="AB119" s="14">
        <f t="shared" si="5"/>
        <v>0.30314616317807275</v>
      </c>
      <c r="AC119" s="5">
        <f t="shared" si="6"/>
        <v>0.3590954893861939</v>
      </c>
      <c r="AE119" s="15"/>
      <c r="AG119" s="5">
        <f t="shared" si="7"/>
        <v>1.0210452173633731</v>
      </c>
    </row>
    <row r="120" spans="1:33" x14ac:dyDescent="0.25">
      <c r="A120" s="1" t="s">
        <v>556</v>
      </c>
      <c r="B120">
        <v>1911</v>
      </c>
      <c r="C120" s="3">
        <f>Data!CT119/Data!K119</f>
        <v>7.6769373751857106E-2</v>
      </c>
      <c r="D120" s="3">
        <f>Data!HK119/Data!K119</f>
        <v>0.47676223953481006</v>
      </c>
      <c r="E120" s="3">
        <f>Data!IC119/Data!K119</f>
        <v>3.8332018601798861E-3</v>
      </c>
      <c r="F120" s="3">
        <v>0</v>
      </c>
      <c r="G120" s="3">
        <f>Data!HI119/Data!K119</f>
        <v>4.9492367314391855E-2</v>
      </c>
      <c r="H120" s="3"/>
      <c r="I120" s="3">
        <f t="shared" si="2"/>
        <v>0.12793687532901732</v>
      </c>
      <c r="J120" s="3"/>
      <c r="K120" s="3"/>
      <c r="L120" s="3"/>
      <c r="M120" s="3"/>
      <c r="N120" s="3"/>
      <c r="O120" s="3">
        <f t="shared" si="3"/>
        <v>0.19830254490079802</v>
      </c>
      <c r="P120" s="3"/>
      <c r="Q120" s="3"/>
      <c r="R120" s="3"/>
      <c r="S120" s="3">
        <f>(Data!K119-Data!AN119)/Data!K119</f>
        <v>5.8186558804816019E-2</v>
      </c>
      <c r="V120" s="3"/>
      <c r="W120" s="3">
        <f>Data!HU119/Data!K119</f>
        <v>0.13881178143055861</v>
      </c>
      <c r="Y120" s="3">
        <f>Data!IE119/Data!K119</f>
        <v>0.32623942022981534</v>
      </c>
      <c r="AA120" s="5">
        <f t="shared" si="4"/>
        <v>1</v>
      </c>
      <c r="AB120" s="14">
        <f t="shared" si="5"/>
        <v>0.28838998597525461</v>
      </c>
      <c r="AC120" s="5">
        <f t="shared" si="6"/>
        <v>0.34639495037977974</v>
      </c>
      <c r="AE120" s="15"/>
      <c r="AG120" s="5">
        <f t="shared" si="7"/>
        <v>1.0201555301499643</v>
      </c>
    </row>
    <row r="121" spans="1:33" x14ac:dyDescent="0.25">
      <c r="A121" s="1" t="s">
        <v>556</v>
      </c>
      <c r="B121">
        <v>1912</v>
      </c>
      <c r="C121" s="3">
        <f>Data!CT120/Data!K120</f>
        <v>7.4411000469304503E-2</v>
      </c>
      <c r="D121" s="3">
        <f>Data!HK120/Data!K120</f>
        <v>0.46997900962198486</v>
      </c>
      <c r="E121" s="3">
        <f>Data!IC120/Data!K120</f>
        <v>3.6915176193414554E-3</v>
      </c>
      <c r="F121" s="3">
        <v>0</v>
      </c>
      <c r="G121" s="3">
        <f>Data!HI120/Data!K120</f>
        <v>4.7959475570087437E-2</v>
      </c>
      <c r="H121" s="3"/>
      <c r="I121" s="3">
        <f t="shared" si="2"/>
        <v>0.15175584879680465</v>
      </c>
      <c r="J121" s="3"/>
      <c r="K121" s="3"/>
      <c r="L121" s="3"/>
      <c r="M121" s="3"/>
      <c r="N121" s="3"/>
      <c r="O121" s="3">
        <f t="shared" si="3"/>
        <v>0.18998570491650935</v>
      </c>
      <c r="P121" s="3"/>
      <c r="Q121" s="3"/>
      <c r="R121" s="3"/>
      <c r="S121" s="3">
        <f>(Data!K120-Data!AN120)/Data!K120</f>
        <v>5.5289443223144649E-2</v>
      </c>
      <c r="V121" s="3"/>
      <c r="W121" s="3">
        <f>Data!HU120/Data!K120</f>
        <v>0.13298999344155654</v>
      </c>
      <c r="Y121" s="3">
        <f>Data!IE120/Data!K120</f>
        <v>0.34174155371331399</v>
      </c>
      <c r="AA121" s="5">
        <f t="shared" si="4"/>
        <v>1</v>
      </c>
      <c r="AB121" s="14">
        <f t="shared" si="5"/>
        <v>0.30717073369337544</v>
      </c>
      <c r="AC121" s="5">
        <f t="shared" si="6"/>
        <v>0.36174207143324516</v>
      </c>
      <c r="AE121" s="15"/>
      <c r="AG121" s="5">
        <f t="shared" si="7"/>
        <v>1.0200005177199312</v>
      </c>
    </row>
    <row r="122" spans="1:33" x14ac:dyDescent="0.25">
      <c r="A122" s="1" t="s">
        <v>556</v>
      </c>
      <c r="B122">
        <v>1913</v>
      </c>
      <c r="C122" s="3">
        <f>Data!CT121/Data!K121</f>
        <v>7.2683606098568124E-2</v>
      </c>
      <c r="D122" s="3">
        <f>Data!HK121/Data!K121</f>
        <v>0.45645977258737136</v>
      </c>
      <c r="E122" s="3">
        <f>Data!IC121/Data!K121</f>
        <v>3.5864471952438675E-3</v>
      </c>
      <c r="F122" s="3">
        <v>0</v>
      </c>
      <c r="G122" s="3">
        <f>Data!HI121/Data!K121</f>
        <v>4.5322000228817085E-2</v>
      </c>
      <c r="H122" s="3"/>
      <c r="I122" s="3">
        <f t="shared" si="2"/>
        <v>0.18232480288906788</v>
      </c>
      <c r="J122" s="3"/>
      <c r="K122" s="3"/>
      <c r="L122" s="3"/>
      <c r="M122" s="3"/>
      <c r="N122" s="3"/>
      <c r="O122" s="3">
        <f t="shared" si="3"/>
        <v>0.17868581554360802</v>
      </c>
      <c r="P122" s="3"/>
      <c r="Q122" s="3"/>
      <c r="R122" s="3"/>
      <c r="S122" s="3">
        <f>(Data!K121-Data!AN121)/Data!K121</f>
        <v>5.7449538099427197E-2</v>
      </c>
      <c r="V122" s="3"/>
      <c r="W122" s="3">
        <f>Data!HU121/Data!K121</f>
        <v>0.12508007088052561</v>
      </c>
      <c r="Y122" s="3">
        <f>Data!IE121/Data!K121</f>
        <v>0.3610106184326759</v>
      </c>
      <c r="AA122" s="5">
        <f t="shared" si="4"/>
        <v>1</v>
      </c>
      <c r="AB122" s="14">
        <f t="shared" si="5"/>
        <v>0.33146108557990117</v>
      </c>
      <c r="AC122" s="5">
        <f t="shared" si="6"/>
        <v>0.38301463213410208</v>
      </c>
      <c r="AE122" s="15"/>
      <c r="AG122" s="5">
        <f t="shared" si="7"/>
        <v>1.0220040137014264</v>
      </c>
    </row>
    <row r="123" spans="1:33" x14ac:dyDescent="0.25">
      <c r="A123" s="1" t="s">
        <v>556</v>
      </c>
      <c r="B123">
        <v>1914</v>
      </c>
      <c r="C123" s="3">
        <f>Data!CT122/Data!K122</f>
        <v>7.7540287438294511E-2</v>
      </c>
      <c r="D123" s="3">
        <f>Data!HK122/Data!K122</f>
        <v>0.47379078589292623</v>
      </c>
      <c r="E123" s="3">
        <f>Data!IC122/Data!K122</f>
        <v>3.8703723275210307E-3</v>
      </c>
      <c r="F123" s="3">
        <v>0</v>
      </c>
      <c r="G123" s="3">
        <f>Data!HI122/Data!K122</f>
        <v>4.7348505440002325E-2</v>
      </c>
      <c r="H123" s="3"/>
      <c r="I123" s="3">
        <f t="shared" si="2"/>
        <v>0.15948246105052699</v>
      </c>
      <c r="J123" s="3"/>
      <c r="K123" s="3"/>
      <c r="L123" s="3"/>
      <c r="M123" s="3"/>
      <c r="N123" s="3"/>
      <c r="O123" s="3">
        <f t="shared" si="3"/>
        <v>0.18388964465009094</v>
      </c>
      <c r="P123" s="3"/>
      <c r="Q123" s="3"/>
      <c r="R123" s="3"/>
      <c r="S123" s="3">
        <f>(Data!K122-Data!AN122)/Data!K122</f>
        <v>5.411435715139231E-2</v>
      </c>
      <c r="V123" s="3"/>
      <c r="W123" s="3">
        <f>Data!HU122/Data!K122</f>
        <v>0.12872275125506366</v>
      </c>
      <c r="Y123" s="3">
        <f>Data!IE122/Data!K122</f>
        <v>0.34337210570061794</v>
      </c>
      <c r="AA123" s="5">
        <f t="shared" si="4"/>
        <v>1</v>
      </c>
      <c r="AB123" s="14">
        <f t="shared" si="5"/>
        <v>0.30613605129114996</v>
      </c>
      <c r="AC123" s="5">
        <f t="shared" ref="AC123:AC154" si="8">(Y123)/(1-S123)</f>
        <v>0.36301651081892555</v>
      </c>
      <c r="AE123" s="15"/>
      <c r="AG123" s="5">
        <f t="shared" ref="AG123:AG154" si="9">AC123+D123+W123+S123</f>
        <v>1.0196444051183078</v>
      </c>
    </row>
    <row r="124" spans="1:33" x14ac:dyDescent="0.25">
      <c r="A124" s="1" t="s">
        <v>556</v>
      </c>
      <c r="B124">
        <v>1915</v>
      </c>
      <c r="C124" s="3">
        <f>Data!CT123/Data!K123</f>
        <v>7.8471002936223652E-2</v>
      </c>
      <c r="D124" s="3">
        <f>Data!HK123/Data!K123</f>
        <v>0.44142121484117647</v>
      </c>
      <c r="E124" s="3">
        <f>Data!IC123/Data!K123</f>
        <v>4.042212076099113E-3</v>
      </c>
      <c r="F124" s="3">
        <v>0</v>
      </c>
      <c r="G124" s="3">
        <f>Data!HI123/Data!K123</f>
        <v>4.5714447235806289E-2</v>
      </c>
      <c r="H124" s="3"/>
      <c r="I124" s="3">
        <f t="shared" ref="I124:I187" si="10">Y124-O124</f>
        <v>0.21706732898140069</v>
      </c>
      <c r="J124" s="3"/>
      <c r="K124" s="3"/>
      <c r="L124" s="3"/>
      <c r="M124" s="3"/>
      <c r="N124" s="3"/>
      <c r="O124" s="3">
        <f t="shared" ref="O124:O187" si="11">W124/0.7</f>
        <v>0.17065139262545392</v>
      </c>
      <c r="P124" s="3"/>
      <c r="Q124" s="3"/>
      <c r="R124" s="3"/>
      <c r="S124" s="3">
        <f>(Data!K123-Data!AN123)/Data!K123</f>
        <v>5.1404088714151051E-2</v>
      </c>
      <c r="V124" s="3"/>
      <c r="W124" s="3">
        <f>Data!HU123/Data!K123</f>
        <v>0.11945597483781774</v>
      </c>
      <c r="Y124" s="3">
        <f>Data!IE123/Data!K123</f>
        <v>0.38771872160685461</v>
      </c>
      <c r="AA124" s="5">
        <f t="shared" ref="AA124:AA187" si="12">D124+Y124+W124+S124</f>
        <v>0.99999999999999989</v>
      </c>
      <c r="AB124" s="14">
        <f t="shared" ref="AB124:AB187" si="13">(Y124-C124)/(1-S124-C124)</f>
        <v>0.3554061212397473</v>
      </c>
      <c r="AC124" s="5">
        <f t="shared" si="8"/>
        <v>0.40872906681759863</v>
      </c>
      <c r="AE124" s="15"/>
      <c r="AG124" s="5">
        <f t="shared" si="9"/>
        <v>1.021010345210744</v>
      </c>
    </row>
    <row r="125" spans="1:33" x14ac:dyDescent="0.25">
      <c r="A125" s="1" t="s">
        <v>556</v>
      </c>
      <c r="B125">
        <v>1916</v>
      </c>
      <c r="C125" s="3">
        <f>Data!CT124/Data!K124</f>
        <v>7.7962471289510782E-2</v>
      </c>
      <c r="D125" s="3">
        <f>Data!HK124/Data!K124</f>
        <v>0.41552833338608824</v>
      </c>
      <c r="E125" s="3">
        <f>Data!IC124/Data!K124</f>
        <v>3.9968837228322954E-3</v>
      </c>
      <c r="F125" s="3">
        <v>0</v>
      </c>
      <c r="G125" s="3">
        <f>Data!HI124/Data!K124</f>
        <v>3.9303477670941743E-2</v>
      </c>
      <c r="H125" s="3"/>
      <c r="I125" s="3">
        <f t="shared" si="10"/>
        <v>0.26110599620947195</v>
      </c>
      <c r="J125" s="3"/>
      <c r="K125" s="3"/>
      <c r="L125" s="3"/>
      <c r="M125" s="3"/>
      <c r="N125" s="3"/>
      <c r="O125" s="3">
        <f t="shared" si="11"/>
        <v>0.16061078274315707</v>
      </c>
      <c r="P125" s="3"/>
      <c r="Q125" s="3"/>
      <c r="R125" s="3"/>
      <c r="S125" s="3">
        <f>(Data!K124-Data!AN124)/Data!K124</f>
        <v>5.0327339741072931E-2</v>
      </c>
      <c r="V125" s="3"/>
      <c r="W125" s="3">
        <f>Data!HU124/Data!K124</f>
        <v>0.11242754792020994</v>
      </c>
      <c r="Y125" s="3">
        <f>Data!IE124/Data!K124</f>
        <v>0.42171677895262899</v>
      </c>
      <c r="AA125" s="5">
        <f t="shared" si="12"/>
        <v>1</v>
      </c>
      <c r="AB125" s="14">
        <f t="shared" si="13"/>
        <v>0.39434471687146783</v>
      </c>
      <c r="AC125" s="5">
        <f t="shared" si="8"/>
        <v>0.44406540969353425</v>
      </c>
      <c r="AE125" s="15"/>
      <c r="AG125" s="5">
        <f t="shared" si="9"/>
        <v>1.0223486307409053</v>
      </c>
    </row>
    <row r="126" spans="1:33" x14ac:dyDescent="0.25">
      <c r="A126" s="1" t="s">
        <v>556</v>
      </c>
      <c r="B126">
        <v>1917</v>
      </c>
      <c r="C126" s="3">
        <f>Data!CT125/Data!K125</f>
        <v>8.5461609391041901E-2</v>
      </c>
      <c r="D126" s="3">
        <f>Data!HK125/Data!K125</f>
        <v>0.43765656790869079</v>
      </c>
      <c r="E126" s="3">
        <f>Data!IC125/Data!K125</f>
        <v>4.4432585294781933E-3</v>
      </c>
      <c r="F126" s="3">
        <v>0</v>
      </c>
      <c r="G126" s="3">
        <f>Data!HI125/Data!K125</f>
        <v>3.6596600869265569E-2</v>
      </c>
      <c r="H126" s="3"/>
      <c r="I126" s="3">
        <f t="shared" si="10"/>
        <v>0.22461971119665691</v>
      </c>
      <c r="J126" s="3"/>
      <c r="K126" s="3"/>
      <c r="L126" s="3"/>
      <c r="M126" s="3"/>
      <c r="N126" s="3"/>
      <c r="O126" s="3">
        <f t="shared" si="11"/>
        <v>0.17205785906271359</v>
      </c>
      <c r="P126" s="3"/>
      <c r="Q126" s="3"/>
      <c r="R126" s="3"/>
      <c r="S126" s="3">
        <f>(Data!K125-Data!AN125)/Data!K125</f>
        <v>4.5225360488039053E-2</v>
      </c>
      <c r="V126" s="3"/>
      <c r="W126" s="3">
        <f>Data!HU125/Data!K125</f>
        <v>0.1204405013438995</v>
      </c>
      <c r="Y126" s="3">
        <f>Data!IE125/Data!K125</f>
        <v>0.3966775702593705</v>
      </c>
      <c r="AA126" s="5">
        <f t="shared" si="12"/>
        <v>0.99999999999999989</v>
      </c>
      <c r="AB126" s="14">
        <f t="shared" si="13"/>
        <v>0.35800218113035681</v>
      </c>
      <c r="AC126" s="5">
        <f t="shared" si="8"/>
        <v>0.41546722529426916</v>
      </c>
      <c r="AE126" s="15"/>
      <c r="AG126" s="5">
        <f t="shared" si="9"/>
        <v>1.0187896550348985</v>
      </c>
    </row>
    <row r="127" spans="1:33" x14ac:dyDescent="0.25">
      <c r="A127" s="1" t="s">
        <v>556</v>
      </c>
      <c r="B127">
        <v>1918</v>
      </c>
      <c r="C127" s="3">
        <f>Data!CT126/Data!K126</f>
        <v>9.2645203480337432E-2</v>
      </c>
      <c r="D127" s="3">
        <f>Data!HK126/Data!K126</f>
        <v>0.46212356680327871</v>
      </c>
      <c r="E127" s="3">
        <f>Data!IC126/Data!K126</f>
        <v>4.7064905028550725E-3</v>
      </c>
      <c r="F127" s="3">
        <v>0</v>
      </c>
      <c r="G127" s="3">
        <f>Data!HI126/Data!K126</f>
        <v>5.0037411639276948E-2</v>
      </c>
      <c r="H127" s="3"/>
      <c r="I127" s="3">
        <f t="shared" si="10"/>
        <v>0.20073751397921766</v>
      </c>
      <c r="J127" s="3"/>
      <c r="K127" s="3"/>
      <c r="L127" s="3"/>
      <c r="M127" s="3"/>
      <c r="N127" s="3"/>
      <c r="O127" s="3">
        <f t="shared" si="11"/>
        <v>0.17318317503943717</v>
      </c>
      <c r="P127" s="3"/>
      <c r="Q127" s="3"/>
      <c r="R127" s="3"/>
      <c r="S127" s="3">
        <f>(Data!K126-Data!AN126)/Data!K126</f>
        <v>4.2727521650460613E-2</v>
      </c>
      <c r="V127" s="3"/>
      <c r="W127" s="3">
        <f>Data!HU126/Data!K126</f>
        <v>0.12122822252760601</v>
      </c>
      <c r="Y127" s="3">
        <f>Data!IE126/Data!K126</f>
        <v>0.37392068901865483</v>
      </c>
      <c r="AA127" s="5">
        <f t="shared" si="12"/>
        <v>1.0000000000000002</v>
      </c>
      <c r="AB127" s="14">
        <f t="shared" si="13"/>
        <v>0.32531414832000044</v>
      </c>
      <c r="AC127" s="5">
        <f t="shared" si="8"/>
        <v>0.39061050795416374</v>
      </c>
      <c r="AE127" s="15"/>
      <c r="AG127" s="5">
        <f t="shared" si="9"/>
        <v>1.0166898189355091</v>
      </c>
    </row>
    <row r="128" spans="1:33" x14ac:dyDescent="0.25">
      <c r="A128" s="1" t="s">
        <v>556</v>
      </c>
      <c r="B128">
        <v>1919</v>
      </c>
      <c r="C128" s="3">
        <f>Data!CT127/Data!K127</f>
        <v>9.0797868096651815E-2</v>
      </c>
      <c r="D128" s="3">
        <f>Data!HK127/Data!K127</f>
        <v>0.46703577595110424</v>
      </c>
      <c r="E128" s="3">
        <f>Data!IC127/Data!K127</f>
        <v>4.5185127514664114E-3</v>
      </c>
      <c r="F128" s="3">
        <v>0</v>
      </c>
      <c r="G128" s="3">
        <f>Data!HI127/Data!K127</f>
        <v>5.0658632641111957E-2</v>
      </c>
      <c r="H128" s="3"/>
      <c r="I128" s="3">
        <f t="shared" si="10"/>
        <v>0.19503942788328973</v>
      </c>
      <c r="J128" s="3"/>
      <c r="K128" s="3"/>
      <c r="L128" s="3"/>
      <c r="M128" s="3"/>
      <c r="N128" s="3"/>
      <c r="O128" s="3">
        <f t="shared" si="11"/>
        <v>0.168291873834962</v>
      </c>
      <c r="P128" s="3"/>
      <c r="Q128" s="3"/>
      <c r="R128" s="3"/>
      <c r="S128" s="3">
        <f>(Data!K127-Data!AN127)/Data!K127</f>
        <v>5.1828610646170621E-2</v>
      </c>
      <c r="V128" s="3"/>
      <c r="W128" s="3">
        <f>Data!HU127/Data!K127</f>
        <v>0.11780431168447339</v>
      </c>
      <c r="Y128" s="3">
        <f>Data!IE127/Data!K127</f>
        <v>0.36333130171825173</v>
      </c>
      <c r="AA128" s="5">
        <f t="shared" si="12"/>
        <v>0.99999999999999989</v>
      </c>
      <c r="AB128" s="14">
        <f t="shared" si="13"/>
        <v>0.31787013112089202</v>
      </c>
      <c r="AC128" s="5">
        <f t="shared" si="8"/>
        <v>0.38319158940859721</v>
      </c>
      <c r="AE128" s="15"/>
      <c r="AG128" s="5">
        <f t="shared" si="9"/>
        <v>1.0198602876903455</v>
      </c>
    </row>
    <row r="129" spans="1:33" x14ac:dyDescent="0.25">
      <c r="A129" s="1" t="s">
        <v>556</v>
      </c>
      <c r="B129">
        <v>1920</v>
      </c>
      <c r="C129" s="3">
        <f>Data!CT128/Data!K128</f>
        <v>9.2492302341724827E-2</v>
      </c>
      <c r="D129" s="3">
        <f>Data!HK128/Data!K128</f>
        <v>0.50876063153838746</v>
      </c>
      <c r="E129" s="3">
        <f>Data!IC128/Data!K128</f>
        <v>4.6354415748009626E-3</v>
      </c>
      <c r="F129" s="3">
        <v>0</v>
      </c>
      <c r="G129" s="3">
        <f>Data!HI128/Data!K128</f>
        <v>5.5938859644935786E-2</v>
      </c>
      <c r="H129" s="3"/>
      <c r="I129" s="3">
        <f t="shared" si="10"/>
        <v>0.13865865974030814</v>
      </c>
      <c r="J129" s="3"/>
      <c r="K129" s="3"/>
      <c r="L129" s="3"/>
      <c r="M129" s="3"/>
      <c r="N129" s="3"/>
      <c r="O129" s="3">
        <f t="shared" si="11"/>
        <v>0.17538552470721322</v>
      </c>
      <c r="P129" s="3"/>
      <c r="Q129" s="3"/>
      <c r="R129" s="3"/>
      <c r="S129" s="3">
        <f>(Data!K128-Data!AN128)/Data!K128</f>
        <v>5.4425316719041814E-2</v>
      </c>
      <c r="V129" s="3"/>
      <c r="W129" s="3">
        <f>Data!HU128/Data!K128</f>
        <v>0.12276986729504924</v>
      </c>
      <c r="Y129" s="3">
        <f>Data!IE128/Data!K128</f>
        <v>0.31404418444752136</v>
      </c>
      <c r="AA129" s="5">
        <f t="shared" si="12"/>
        <v>0.99999999999999989</v>
      </c>
      <c r="AB129" s="14">
        <f t="shared" si="13"/>
        <v>0.25970748787692766</v>
      </c>
      <c r="AC129" s="5">
        <f t="shared" si="8"/>
        <v>0.33211991606823671</v>
      </c>
      <c r="AE129" s="15"/>
      <c r="AG129" s="5">
        <f t="shared" si="9"/>
        <v>1.0180757316207152</v>
      </c>
    </row>
    <row r="130" spans="1:33" x14ac:dyDescent="0.25">
      <c r="A130" s="1" t="s">
        <v>556</v>
      </c>
      <c r="B130">
        <v>1921</v>
      </c>
      <c r="C130" s="3">
        <f>Data!CT129/Data!K129</f>
        <v>0.10528372613817162</v>
      </c>
      <c r="D130" s="3">
        <f>Data!HK129/Data!K129</f>
        <v>0.55034298918557312</v>
      </c>
      <c r="E130" s="3">
        <f>Data!IC129/Data!K129</f>
        <v>5.4540956408789497E-3</v>
      </c>
      <c r="F130" s="3">
        <v>0</v>
      </c>
      <c r="G130" s="3">
        <f>Data!HI129/Data!K129</f>
        <v>7.3794941300484473E-2</v>
      </c>
      <c r="H130" s="3"/>
      <c r="I130" s="3">
        <f t="shared" si="10"/>
        <v>6.6443854162968607E-2</v>
      </c>
      <c r="J130" s="3"/>
      <c r="K130" s="3"/>
      <c r="L130" s="3"/>
      <c r="M130" s="3"/>
      <c r="N130" s="3"/>
      <c r="O130" s="3">
        <f t="shared" si="11"/>
        <v>0.19194111657007312</v>
      </c>
      <c r="P130" s="3"/>
      <c r="Q130" s="3"/>
      <c r="R130" s="3"/>
      <c r="S130" s="3">
        <f>(Data!K129-Data!AN129)/Data!K129</f>
        <v>5.691325848233391E-2</v>
      </c>
      <c r="V130" s="3"/>
      <c r="W130" s="3">
        <f>Data!HU129/Data!K129</f>
        <v>0.13435878159905118</v>
      </c>
      <c r="Y130" s="3">
        <f>Data!IE129/Data!K129</f>
        <v>0.25838497073304173</v>
      </c>
      <c r="AA130" s="5">
        <f t="shared" si="12"/>
        <v>0.99999999999999989</v>
      </c>
      <c r="AB130" s="14">
        <f t="shared" si="13"/>
        <v>0.18274133869704537</v>
      </c>
      <c r="AC130" s="5">
        <f t="shared" si="8"/>
        <v>0.27397794853656271</v>
      </c>
      <c r="AE130" s="15"/>
      <c r="AG130" s="5">
        <f t="shared" si="9"/>
        <v>1.0155929778035211</v>
      </c>
    </row>
    <row r="131" spans="1:33" x14ac:dyDescent="0.25">
      <c r="A131" s="1" t="s">
        <v>556</v>
      </c>
      <c r="B131">
        <v>1922</v>
      </c>
      <c r="C131" s="3">
        <f>Data!CT130/Data!K130</f>
        <v>9.0325191929780863E-2</v>
      </c>
      <c r="D131" s="3">
        <f>Data!HK130/Data!K130</f>
        <v>0.52399749408402774</v>
      </c>
      <c r="E131" s="3">
        <f>Data!IC130/Data!K130</f>
        <v>4.8380631784549185E-3</v>
      </c>
      <c r="F131" s="3">
        <v>0</v>
      </c>
      <c r="G131" s="3">
        <f>Data!HI130/Data!K130</f>
        <v>7.4019555950606636E-2</v>
      </c>
      <c r="H131" s="3"/>
      <c r="I131" s="3">
        <f t="shared" si="10"/>
        <v>0.10369577458712692</v>
      </c>
      <c r="J131" s="3"/>
      <c r="K131" s="3"/>
      <c r="L131" s="3"/>
      <c r="M131" s="3"/>
      <c r="N131" s="3"/>
      <c r="O131" s="3">
        <f t="shared" si="11"/>
        <v>0.18282759668393184</v>
      </c>
      <c r="P131" s="3"/>
      <c r="Q131" s="3"/>
      <c r="R131" s="3"/>
      <c r="S131" s="3">
        <f>(Data!K130-Data!AN130)/Data!K130</f>
        <v>6.149981696616124E-2</v>
      </c>
      <c r="V131" s="3"/>
      <c r="W131" s="3">
        <f>Data!HU130/Data!K130</f>
        <v>0.12797931767875229</v>
      </c>
      <c r="Y131" s="3">
        <f>Data!IE130/Data!K130</f>
        <v>0.28652337127105876</v>
      </c>
      <c r="AA131" s="5">
        <f t="shared" si="12"/>
        <v>1</v>
      </c>
      <c r="AB131" s="14">
        <f t="shared" si="13"/>
        <v>0.23131804332722589</v>
      </c>
      <c r="AC131" s="5">
        <f t="shared" si="8"/>
        <v>0.30529921725196701</v>
      </c>
      <c r="AE131" s="15"/>
      <c r="AG131" s="5">
        <f t="shared" si="9"/>
        <v>1.0187758459809082</v>
      </c>
    </row>
    <row r="132" spans="1:33" x14ac:dyDescent="0.25">
      <c r="A132" s="1" t="s">
        <v>556</v>
      </c>
      <c r="B132">
        <v>1923</v>
      </c>
      <c r="C132" s="3">
        <f>Data!CT131/Data!K131</f>
        <v>9.1145477930087565E-2</v>
      </c>
      <c r="D132" s="3">
        <f>Data!HK131/Data!K131</f>
        <v>0.52383882507728075</v>
      </c>
      <c r="E132" s="3">
        <f>Data!IC131/Data!K131</f>
        <v>5.3233873703983359E-3</v>
      </c>
      <c r="F132" s="3">
        <v>0</v>
      </c>
      <c r="G132" s="3">
        <f>Data!HI131/Data!K131</f>
        <v>7.0163981656375538E-2</v>
      </c>
      <c r="H132" s="3"/>
      <c r="I132" s="3">
        <f t="shared" si="10"/>
        <v>0.10076406225349693</v>
      </c>
      <c r="J132" s="3"/>
      <c r="K132" s="3"/>
      <c r="L132" s="3"/>
      <c r="M132" s="3"/>
      <c r="N132" s="3"/>
      <c r="O132" s="3">
        <f t="shared" si="11"/>
        <v>0.18188952732197911</v>
      </c>
      <c r="P132" s="3"/>
      <c r="Q132" s="3"/>
      <c r="R132" s="3"/>
      <c r="S132" s="3">
        <f>(Data!K131-Data!AN131)/Data!K131</f>
        <v>6.6184916221857848E-2</v>
      </c>
      <c r="V132" s="3"/>
      <c r="W132" s="3">
        <f>Data!HU131/Data!K131</f>
        <v>0.12732266912538537</v>
      </c>
      <c r="Y132" s="3">
        <f>Data!IE131/Data!K131</f>
        <v>0.28265358957547604</v>
      </c>
      <c r="AA132" s="5">
        <f t="shared" si="12"/>
        <v>1</v>
      </c>
      <c r="AB132" s="14">
        <f t="shared" si="13"/>
        <v>0.22726358031230584</v>
      </c>
      <c r="AC132" s="5">
        <f t="shared" si="8"/>
        <v>0.30268689645907404</v>
      </c>
      <c r="AE132" s="15"/>
      <c r="AG132" s="5">
        <f t="shared" si="9"/>
        <v>1.0200333068835981</v>
      </c>
    </row>
    <row r="133" spans="1:33" x14ac:dyDescent="0.25">
      <c r="A133" s="1" t="s">
        <v>556</v>
      </c>
      <c r="B133">
        <v>1924</v>
      </c>
      <c r="C133" s="3">
        <f>Data!CT132/Data!K132</f>
        <v>9.4126380331999049E-2</v>
      </c>
      <c r="D133" s="3">
        <f>Data!HK132/Data!K132</f>
        <v>0.50481491872871909</v>
      </c>
      <c r="E133" s="3">
        <f>Data!IC132/Data!K132</f>
        <v>5.7815515448857834E-3</v>
      </c>
      <c r="F133" s="3">
        <v>0</v>
      </c>
      <c r="G133" s="3">
        <f>Data!HI132/Data!K132</f>
        <v>6.6138977312875033E-2</v>
      </c>
      <c r="H133" s="3"/>
      <c r="I133" s="3">
        <f t="shared" si="10"/>
        <v>0.13824667566928742</v>
      </c>
      <c r="J133" s="3"/>
      <c r="K133" s="3"/>
      <c r="L133" s="3"/>
      <c r="M133" s="3"/>
      <c r="N133" s="3"/>
      <c r="O133" s="3">
        <f t="shared" si="11"/>
        <v>0.17146261041165786</v>
      </c>
      <c r="P133" s="3"/>
      <c r="Q133" s="3"/>
      <c r="R133" s="3"/>
      <c r="S133" s="3">
        <f>(Data!K132-Data!AN132)/Data!K132</f>
        <v>6.5451967902175126E-2</v>
      </c>
      <c r="V133" s="3"/>
      <c r="W133" s="3">
        <f>Data!HU132/Data!K132</f>
        <v>0.1200238272881605</v>
      </c>
      <c r="Y133" s="3">
        <f>Data!IE132/Data!K132</f>
        <v>0.30970928608094528</v>
      </c>
      <c r="AA133" s="5">
        <f t="shared" si="12"/>
        <v>1</v>
      </c>
      <c r="AB133" s="14">
        <f t="shared" si="13"/>
        <v>0.25651755317819441</v>
      </c>
      <c r="AC133" s="5">
        <f t="shared" si="8"/>
        <v>0.33140007302324093</v>
      </c>
      <c r="AE133" s="15"/>
      <c r="AG133" s="5">
        <f t="shared" si="9"/>
        <v>1.0216907869422958</v>
      </c>
    </row>
    <row r="134" spans="1:33" x14ac:dyDescent="0.25">
      <c r="A134" s="1" t="s">
        <v>556</v>
      </c>
      <c r="B134">
        <v>1925</v>
      </c>
      <c r="C134" s="3">
        <f>Data!CT133/Data!K133</f>
        <v>9.4317425406514749E-2</v>
      </c>
      <c r="D134" s="3">
        <f>Data!HK133/Data!K133</f>
        <v>0.51056280228819617</v>
      </c>
      <c r="E134" s="3">
        <f>Data!IC133/Data!K133</f>
        <v>5.98293114395215E-3</v>
      </c>
      <c r="F134" s="3">
        <v>0</v>
      </c>
      <c r="G134" s="3">
        <f>Data!HI133/Data!K133</f>
        <v>6.7117314431078476E-2</v>
      </c>
      <c r="H134" s="3"/>
      <c r="I134" s="3">
        <f t="shared" si="10"/>
        <v>0.13417763966559593</v>
      </c>
      <c r="J134" s="3"/>
      <c r="K134" s="3"/>
      <c r="L134" s="3"/>
      <c r="M134" s="3"/>
      <c r="N134" s="3"/>
      <c r="O134" s="3">
        <f t="shared" si="11"/>
        <v>0.1718238926776654</v>
      </c>
      <c r="P134" s="3"/>
      <c r="Q134" s="3"/>
      <c r="R134" s="3"/>
      <c r="S134" s="3">
        <f>(Data!K133-Data!AN133)/Data!K133</f>
        <v>6.3158940494176904E-2</v>
      </c>
      <c r="V134" s="3"/>
      <c r="W134" s="3">
        <f>Data!HU133/Data!K133</f>
        <v>0.12027672487436578</v>
      </c>
      <c r="Y134" s="3">
        <f>Data!IE133/Data!K133</f>
        <v>0.30600153234326133</v>
      </c>
      <c r="AA134" s="5">
        <f t="shared" si="12"/>
        <v>1.0000000000000002</v>
      </c>
      <c r="AB134" s="14">
        <f t="shared" si="13"/>
        <v>0.25125005206891959</v>
      </c>
      <c r="AC134" s="5">
        <f t="shared" si="8"/>
        <v>0.32663121373509713</v>
      </c>
      <c r="AE134" s="15"/>
      <c r="AG134" s="5">
        <f t="shared" si="9"/>
        <v>1.0206296813918361</v>
      </c>
    </row>
    <row r="135" spans="1:33" x14ac:dyDescent="0.25">
      <c r="A135" s="1" t="s">
        <v>556</v>
      </c>
      <c r="B135">
        <v>1926</v>
      </c>
      <c r="C135" s="3">
        <f>Data!CT134/Data!K134</f>
        <v>9.3711394554586228E-2</v>
      </c>
      <c r="D135" s="3">
        <f>Data!HK134/Data!K134</f>
        <v>0.51094824772401637</v>
      </c>
      <c r="E135" s="3">
        <f>Data!IC134/Data!K134</f>
        <v>6.0392787304589454E-3</v>
      </c>
      <c r="F135" s="3">
        <v>0</v>
      </c>
      <c r="G135" s="3">
        <f>Data!HI134/Data!K134</f>
        <v>6.4293772940587829E-2</v>
      </c>
      <c r="H135" s="3"/>
      <c r="I135" s="3">
        <f t="shared" si="10"/>
        <v>0.12874523776804581</v>
      </c>
      <c r="J135" s="3"/>
      <c r="K135" s="3"/>
      <c r="L135" s="3"/>
      <c r="M135" s="3"/>
      <c r="N135" s="3"/>
      <c r="O135" s="3">
        <f t="shared" si="11"/>
        <v>0.17432308492039711</v>
      </c>
      <c r="P135" s="3"/>
      <c r="Q135" s="3"/>
      <c r="R135" s="3"/>
      <c r="S135" s="3">
        <f>(Data!K134-Data!AN134)/Data!K134</f>
        <v>6.3957270143262732E-2</v>
      </c>
      <c r="V135" s="3"/>
      <c r="W135" s="3">
        <f>Data!HU134/Data!K134</f>
        <v>0.12202615944427797</v>
      </c>
      <c r="Y135" s="3">
        <f>Data!IE134/Data!K134</f>
        <v>0.30306832268844291</v>
      </c>
      <c r="AA135" s="5">
        <f t="shared" si="12"/>
        <v>1</v>
      </c>
      <c r="AB135" s="14">
        <f t="shared" si="13"/>
        <v>0.24854462770135302</v>
      </c>
      <c r="AC135" s="5">
        <f t="shared" si="8"/>
        <v>0.32377616215749888</v>
      </c>
      <c r="AE135" s="15"/>
      <c r="AG135" s="5">
        <f t="shared" si="9"/>
        <v>1.0207078394690559</v>
      </c>
    </row>
    <row r="136" spans="1:33" x14ac:dyDescent="0.25">
      <c r="A136" s="1" t="s">
        <v>556</v>
      </c>
      <c r="B136">
        <v>1927</v>
      </c>
      <c r="C136" s="3">
        <f>Data!CT135/Data!K135</f>
        <v>9.4307718260525614E-2</v>
      </c>
      <c r="D136" s="3">
        <f>Data!HK135/Data!K135</f>
        <v>0.51478911670070782</v>
      </c>
      <c r="E136" s="3">
        <f>Data!IC135/Data!K135</f>
        <v>6.0951103002037776E-3</v>
      </c>
      <c r="F136" s="3">
        <v>0</v>
      </c>
      <c r="G136" s="3">
        <f>Data!HI135/Data!K135</f>
        <v>6.3929850628147253E-2</v>
      </c>
      <c r="H136" s="3"/>
      <c r="I136" s="3">
        <f t="shared" si="10"/>
        <v>0.11625172502918102</v>
      </c>
      <c r="J136" s="3"/>
      <c r="K136" s="3"/>
      <c r="L136" s="3"/>
      <c r="M136" s="3"/>
      <c r="N136" s="3"/>
      <c r="O136" s="3">
        <f t="shared" si="11"/>
        <v>0.17805674932456189</v>
      </c>
      <c r="P136" s="3"/>
      <c r="Q136" s="3"/>
      <c r="R136" s="3"/>
      <c r="S136" s="3">
        <f>(Data!K135-Data!AN135)/Data!K135</f>
        <v>6.6262684418356005E-2</v>
      </c>
      <c r="V136" s="3"/>
      <c r="W136" s="3">
        <f>Data!HU135/Data!K135</f>
        <v>0.12463972452719331</v>
      </c>
      <c r="Y136" s="3">
        <f>Data!IE135/Data!K135</f>
        <v>0.29430847435374291</v>
      </c>
      <c r="AA136" s="5">
        <f t="shared" si="12"/>
        <v>1</v>
      </c>
      <c r="AB136" s="14">
        <f t="shared" si="13"/>
        <v>0.23825792744440044</v>
      </c>
      <c r="AC136" s="5">
        <f t="shared" si="8"/>
        <v>0.31519408022202922</v>
      </c>
      <c r="AE136" s="15"/>
      <c r="AG136" s="5">
        <f t="shared" si="9"/>
        <v>1.0208856058682862</v>
      </c>
    </row>
    <row r="137" spans="1:33" x14ac:dyDescent="0.25">
      <c r="A137" s="1" t="s">
        <v>556</v>
      </c>
      <c r="B137">
        <v>1928</v>
      </c>
      <c r="C137" s="3">
        <f>Data!CT136/Data!K136</f>
        <v>9.2795650973825111E-2</v>
      </c>
      <c r="D137" s="3">
        <f>Data!HK136/Data!K136</f>
        <v>0.51295596830006207</v>
      </c>
      <c r="E137" s="3">
        <f>Data!IC136/Data!K136</f>
        <v>6.0060522430843422E-3</v>
      </c>
      <c r="F137" s="3">
        <v>0</v>
      </c>
      <c r="G137" s="3">
        <f>Data!HI136/Data!K136</f>
        <v>6.2921367721736954E-2</v>
      </c>
      <c r="H137" s="3"/>
      <c r="I137" s="3">
        <f t="shared" si="10"/>
        <v>0.12156268039398604</v>
      </c>
      <c r="J137" s="3"/>
      <c r="K137" s="3"/>
      <c r="L137" s="3"/>
      <c r="M137" s="3"/>
      <c r="N137" s="3"/>
      <c r="O137" s="3">
        <f t="shared" si="11"/>
        <v>0.17609385194983573</v>
      </c>
      <c r="P137" s="3"/>
      <c r="Q137" s="3"/>
      <c r="R137" s="3"/>
      <c r="S137" s="3">
        <f>(Data!K136-Data!AN136)/Data!K136</f>
        <v>6.6121802991231104E-2</v>
      </c>
      <c r="V137" s="3"/>
      <c r="W137" s="3">
        <f>Data!HU136/Data!K136</f>
        <v>0.12326569636488501</v>
      </c>
      <c r="Y137" s="3">
        <f>Data!IE136/Data!K136</f>
        <v>0.29765653234382178</v>
      </c>
      <c r="AA137" s="5">
        <f t="shared" si="12"/>
        <v>1</v>
      </c>
      <c r="AB137" s="14">
        <f t="shared" si="13"/>
        <v>0.24356810438613655</v>
      </c>
      <c r="AC137" s="5">
        <f t="shared" si="8"/>
        <v>0.31873164326699327</v>
      </c>
      <c r="AE137" s="15"/>
      <c r="AG137" s="5">
        <f t="shared" si="9"/>
        <v>1.0210751109231715</v>
      </c>
    </row>
    <row r="138" spans="1:33" x14ac:dyDescent="0.25">
      <c r="A138" s="1" t="s">
        <v>556</v>
      </c>
      <c r="B138">
        <v>1929</v>
      </c>
      <c r="C138" s="3">
        <f>Data!CT137/Data!K137</f>
        <v>9.1297890307273658E-2</v>
      </c>
      <c r="D138" s="3">
        <f>Data!HK137/Data!K137</f>
        <v>0.51763348782158269</v>
      </c>
      <c r="E138" s="3">
        <f>Data!IC137/Data!K137</f>
        <v>5.924288773264428E-3</v>
      </c>
      <c r="F138" s="3">
        <v>0</v>
      </c>
      <c r="G138" s="3">
        <f>Data!HI137/Data!K137</f>
        <v>6.0854629942502944E-2</v>
      </c>
      <c r="H138" s="3"/>
      <c r="I138" s="3">
        <f t="shared" si="10"/>
        <v>0.11303571794698783</v>
      </c>
      <c r="J138" s="3"/>
      <c r="K138" s="3"/>
      <c r="L138" s="3"/>
      <c r="M138" s="3"/>
      <c r="N138" s="3"/>
      <c r="O138" s="3">
        <f t="shared" si="11"/>
        <v>0.17817576772282692</v>
      </c>
      <c r="P138" s="3"/>
      <c r="Q138" s="3"/>
      <c r="R138" s="3"/>
      <c r="S138" s="3">
        <f>(Data!K137-Data!AN137)/Data!K137</f>
        <v>6.643198910262349E-2</v>
      </c>
      <c r="V138" s="3"/>
      <c r="W138" s="3">
        <f>Data!HU137/Data!K137</f>
        <v>0.12472303740597884</v>
      </c>
      <c r="Y138" s="3">
        <f>Data!IE137/Data!K137</f>
        <v>0.29121148566981475</v>
      </c>
      <c r="AA138" s="5">
        <f t="shared" si="12"/>
        <v>0.99999999999999978</v>
      </c>
      <c r="AB138" s="14">
        <f t="shared" si="13"/>
        <v>0.23735092872875468</v>
      </c>
      <c r="AC138" s="5">
        <f t="shared" si="8"/>
        <v>0.31193387334458111</v>
      </c>
      <c r="AE138" s="15"/>
      <c r="AG138" s="5">
        <f t="shared" si="9"/>
        <v>1.0207223876747662</v>
      </c>
    </row>
    <row r="139" spans="1:33" x14ac:dyDescent="0.25">
      <c r="A139" s="1" t="s">
        <v>556</v>
      </c>
      <c r="B139">
        <v>1930</v>
      </c>
      <c r="C139" s="3">
        <f>Data!CT138/Data!K138</f>
        <v>9.3668562106779388E-2</v>
      </c>
      <c r="D139" s="3">
        <f>Data!HK138/Data!K138</f>
        <v>0.52777394381331122</v>
      </c>
      <c r="E139" s="3">
        <f>Data!IC138/Data!K138</f>
        <v>6.0968608624793119E-3</v>
      </c>
      <c r="F139" s="3">
        <v>0</v>
      </c>
      <c r="G139" s="3">
        <f>Data!HI138/Data!K138</f>
        <v>6.1176577789703174E-2</v>
      </c>
      <c r="H139" s="3"/>
      <c r="I139" s="3">
        <f t="shared" si="10"/>
        <v>9.127002165723036E-2</v>
      </c>
      <c r="J139" s="3"/>
      <c r="K139" s="3"/>
      <c r="L139" s="3"/>
      <c r="M139" s="3"/>
      <c r="N139" s="3"/>
      <c r="O139" s="3">
        <f t="shared" si="11"/>
        <v>0.18541693110805835</v>
      </c>
      <c r="P139" s="3"/>
      <c r="Q139" s="3"/>
      <c r="R139" s="3"/>
      <c r="S139" s="3">
        <f>(Data!K138-Data!AN138)/Data!K138</f>
        <v>6.5747251645759133E-2</v>
      </c>
      <c r="V139" s="3"/>
      <c r="W139" s="3">
        <f>Data!HU138/Data!K138</f>
        <v>0.12979185177564084</v>
      </c>
      <c r="Y139" s="3">
        <f>Data!IE138/Data!K138</f>
        <v>0.27668695276528871</v>
      </c>
      <c r="AA139" s="5">
        <f t="shared" si="12"/>
        <v>1</v>
      </c>
      <c r="AB139" s="14">
        <f t="shared" si="13"/>
        <v>0.21772761569015545</v>
      </c>
      <c r="AC139" s="5">
        <f t="shared" si="8"/>
        <v>0.29615856442776795</v>
      </c>
      <c r="AE139" s="15"/>
      <c r="AG139" s="5">
        <f t="shared" si="9"/>
        <v>1.0194716116624791</v>
      </c>
    </row>
    <row r="140" spans="1:33" x14ac:dyDescent="0.25">
      <c r="A140" s="1" t="s">
        <v>556</v>
      </c>
      <c r="B140">
        <v>1931</v>
      </c>
      <c r="C140" s="3">
        <f>Data!CT139/Data!K139</f>
        <v>0.1014073964285188</v>
      </c>
      <c r="D140" s="3">
        <f>Data!HK139/Data!K139</f>
        <v>0.54329750150726719</v>
      </c>
      <c r="E140" s="3">
        <f>Data!IC139/Data!K139</f>
        <v>6.6918555884840714E-3</v>
      </c>
      <c r="F140" s="3">
        <v>0</v>
      </c>
      <c r="G140" s="3">
        <f>Data!HI139/Data!K139</f>
        <v>6.7551312871103442E-2</v>
      </c>
      <c r="H140" s="3"/>
      <c r="I140" s="3">
        <f t="shared" si="10"/>
        <v>6.4712847385791472E-2</v>
      </c>
      <c r="J140" s="3"/>
      <c r="K140" s="3"/>
      <c r="L140" s="3"/>
      <c r="M140" s="3"/>
      <c r="N140" s="3"/>
      <c r="O140" s="3">
        <f t="shared" si="11"/>
        <v>0.19188651782404631</v>
      </c>
      <c r="P140" s="3"/>
      <c r="Q140" s="3"/>
      <c r="R140" s="3"/>
      <c r="S140" s="3">
        <f>(Data!K139-Data!AN139)/Data!K139</f>
        <v>6.5782570806062812E-2</v>
      </c>
      <c r="V140" s="3"/>
      <c r="W140" s="3">
        <f>Data!HU139/Data!K139</f>
        <v>0.13432056247683241</v>
      </c>
      <c r="Y140" s="3">
        <f>Data!IE139/Data!K139</f>
        <v>0.25659936520983778</v>
      </c>
      <c r="AA140" s="5">
        <f t="shared" si="12"/>
        <v>1.0000000000000002</v>
      </c>
      <c r="AB140" s="14">
        <f t="shared" si="13"/>
        <v>0.18634738136618084</v>
      </c>
      <c r="AC140" s="5">
        <f t="shared" si="8"/>
        <v>0.27466771352279012</v>
      </c>
      <c r="AE140" s="15"/>
      <c r="AG140" s="5">
        <f t="shared" si="9"/>
        <v>1.0180683483129527</v>
      </c>
    </row>
    <row r="141" spans="1:33" x14ac:dyDescent="0.25">
      <c r="A141" s="1" t="s">
        <v>556</v>
      </c>
      <c r="B141">
        <v>1932</v>
      </c>
      <c r="C141" s="3">
        <f>Data!CT140/Data!K140</f>
        <v>0.10682799616775353</v>
      </c>
      <c r="D141" s="3">
        <f>Data!HK140/Data!K140</f>
        <v>0.55868110246553382</v>
      </c>
      <c r="E141" s="3">
        <f>Data!IC140/Data!K140</f>
        <v>7.2939457300793473E-3</v>
      </c>
      <c r="F141" s="3">
        <v>0</v>
      </c>
      <c r="G141" s="3">
        <f>Data!HI140/Data!K140</f>
        <v>7.2740938848206885E-2</v>
      </c>
      <c r="H141" s="3"/>
      <c r="I141" s="3">
        <f t="shared" si="10"/>
        <v>4.4501543028151652E-2</v>
      </c>
      <c r="J141" s="3"/>
      <c r="K141" s="3"/>
      <c r="L141" s="3"/>
      <c r="M141" s="3"/>
      <c r="N141" s="3"/>
      <c r="O141" s="3">
        <f t="shared" si="11"/>
        <v>0.1947140840467847</v>
      </c>
      <c r="P141" s="3"/>
      <c r="Q141" s="3"/>
      <c r="R141" s="3"/>
      <c r="S141" s="3">
        <f>(Data!K140-Data!AN140)/Data!K140</f>
        <v>6.5803411626780522E-2</v>
      </c>
      <c r="V141" s="3"/>
      <c r="W141" s="3">
        <f>Data!HU140/Data!K140</f>
        <v>0.13629985883274928</v>
      </c>
      <c r="Y141" s="3">
        <f>Data!IE140/Data!K140</f>
        <v>0.23921562707493635</v>
      </c>
      <c r="AA141" s="5">
        <f t="shared" si="12"/>
        <v>1</v>
      </c>
      <c r="AB141" s="14">
        <f t="shared" si="13"/>
        <v>0.16001046227085461</v>
      </c>
      <c r="AC141" s="5">
        <f t="shared" si="8"/>
        <v>0.25606561836358116</v>
      </c>
      <c r="AE141" s="15"/>
      <c r="AG141" s="5">
        <f t="shared" si="9"/>
        <v>1.0168499912886448</v>
      </c>
    </row>
    <row r="142" spans="1:33" x14ac:dyDescent="0.25">
      <c r="A142" s="1" t="s">
        <v>556</v>
      </c>
      <c r="B142">
        <v>1933</v>
      </c>
      <c r="C142" s="3">
        <f>Data!CT141/Data!K141</f>
        <v>9.9412138389883872E-2</v>
      </c>
      <c r="D142" s="3">
        <f>Data!HK141/Data!K141</f>
        <v>0.53667566542166012</v>
      </c>
      <c r="E142" s="3">
        <f>Data!IC141/Data!K141</f>
        <v>7.1194850375274534E-3</v>
      </c>
      <c r="F142" s="3">
        <v>0</v>
      </c>
      <c r="G142" s="3">
        <f>Data!HI141/Data!K141</f>
        <v>7.0198727132085956E-2</v>
      </c>
      <c r="H142" s="3"/>
      <c r="I142" s="3">
        <f t="shared" si="10"/>
        <v>6.4600755404586874E-2</v>
      </c>
      <c r="J142" s="3"/>
      <c r="K142" s="3"/>
      <c r="L142" s="3"/>
      <c r="M142" s="3"/>
      <c r="N142" s="3"/>
      <c r="O142" s="3">
        <f t="shared" si="11"/>
        <v>0.19503227804854362</v>
      </c>
      <c r="P142" s="3"/>
      <c r="Q142" s="3"/>
      <c r="R142" s="3"/>
      <c r="S142" s="3">
        <f>(Data!K141-Data!AN141)/Data!K141</f>
        <v>6.7168706491228872E-2</v>
      </c>
      <c r="V142" s="3"/>
      <c r="W142" s="3">
        <f>Data!HU141/Data!K141</f>
        <v>0.13652259463398053</v>
      </c>
      <c r="Y142" s="3">
        <f>Data!IE141/Data!K141</f>
        <v>0.25963303345313049</v>
      </c>
      <c r="AA142" s="5">
        <f t="shared" si="12"/>
        <v>1</v>
      </c>
      <c r="AB142" s="14">
        <f t="shared" si="13"/>
        <v>0.19224527547652906</v>
      </c>
      <c r="AC142" s="5">
        <f t="shared" si="8"/>
        <v>0.27832796268716647</v>
      </c>
      <c r="AE142" s="15"/>
      <c r="AG142" s="5">
        <f t="shared" si="9"/>
        <v>1.0186949292340362</v>
      </c>
    </row>
    <row r="143" spans="1:33" x14ac:dyDescent="0.25">
      <c r="A143" s="1" t="s">
        <v>556</v>
      </c>
      <c r="B143">
        <v>1934</v>
      </c>
      <c r="C143" s="3">
        <f>Data!CT142/Data!K142</f>
        <v>9.3617304423408959E-2</v>
      </c>
      <c r="D143" s="3">
        <f>Data!HK142/Data!K142</f>
        <v>0.53447188325187989</v>
      </c>
      <c r="E143" s="3">
        <f>Data!IC142/Data!K142</f>
        <v>6.9938132581903768E-3</v>
      </c>
      <c r="F143" s="3">
        <v>0</v>
      </c>
      <c r="G143" s="3">
        <f>Data!HI142/Data!K142</f>
        <v>6.4891663284485007E-2</v>
      </c>
      <c r="H143" s="3"/>
      <c r="I143" s="3">
        <f t="shared" si="10"/>
        <v>7.2743408894386741E-2</v>
      </c>
      <c r="J143" s="3"/>
      <c r="K143" s="3"/>
      <c r="L143" s="3"/>
      <c r="M143" s="3"/>
      <c r="N143" s="3"/>
      <c r="O143" s="3">
        <f t="shared" si="11"/>
        <v>0.18998677775316625</v>
      </c>
      <c r="P143" s="3"/>
      <c r="Q143" s="3"/>
      <c r="R143" s="3"/>
      <c r="S143" s="3">
        <f>(Data!K142-Data!AN142)/Data!K142</f>
        <v>6.9807185673350772E-2</v>
      </c>
      <c r="V143" s="3"/>
      <c r="W143" s="3">
        <f>Data!HU142/Data!K142</f>
        <v>0.13299074442721637</v>
      </c>
      <c r="Y143" s="3">
        <f>Data!IE142/Data!K142</f>
        <v>0.26273018664755299</v>
      </c>
      <c r="AA143" s="5">
        <f t="shared" si="12"/>
        <v>1</v>
      </c>
      <c r="AB143" s="14">
        <f t="shared" si="13"/>
        <v>0.20214897546272173</v>
      </c>
      <c r="AC143" s="5">
        <f t="shared" si="8"/>
        <v>0.28244701808166395</v>
      </c>
      <c r="AE143" s="15"/>
      <c r="AG143" s="5">
        <f t="shared" si="9"/>
        <v>1.019716831434111</v>
      </c>
    </row>
    <row r="144" spans="1:33" x14ac:dyDescent="0.25">
      <c r="A144" s="1" t="s">
        <v>556</v>
      </c>
      <c r="B144">
        <v>1935</v>
      </c>
      <c r="C144" s="3">
        <f>Data!CT143/Data!K143</f>
        <v>9.0010191399293754E-2</v>
      </c>
      <c r="D144" s="3">
        <f>Data!HK143/Data!K143</f>
        <v>0.52280233538785292</v>
      </c>
      <c r="E144" s="3">
        <f>Data!IC143/Data!K143</f>
        <v>6.9127682745116856E-3</v>
      </c>
      <c r="F144" s="3">
        <v>0</v>
      </c>
      <c r="G144" s="3">
        <f>Data!HI143/Data!K143</f>
        <v>6.4404955023508917E-2</v>
      </c>
      <c r="H144" s="3"/>
      <c r="I144" s="3">
        <f t="shared" si="10"/>
        <v>9.4321102504291293E-2</v>
      </c>
      <c r="J144" s="3"/>
      <c r="K144" s="3"/>
      <c r="L144" s="3"/>
      <c r="M144" s="3"/>
      <c r="N144" s="3"/>
      <c r="O144" s="3">
        <f t="shared" si="11"/>
        <v>0.18394650044778718</v>
      </c>
      <c r="P144" s="3"/>
      <c r="Q144" s="3"/>
      <c r="R144" s="3"/>
      <c r="S144" s="3">
        <f>(Data!K143-Data!AN143)/Data!K143</f>
        <v>7.01675113466175E-2</v>
      </c>
      <c r="V144" s="3"/>
      <c r="W144" s="3">
        <f>Data!HU143/Data!K143</f>
        <v>0.12876255031345102</v>
      </c>
      <c r="Y144" s="3">
        <f>Data!IE143/Data!K143</f>
        <v>0.27826760295207847</v>
      </c>
      <c r="AA144" s="5">
        <f t="shared" si="12"/>
        <v>0.99999999999999989</v>
      </c>
      <c r="AB144" s="14">
        <f t="shared" si="13"/>
        <v>0.22416338809807443</v>
      </c>
      <c r="AC144" s="5">
        <f t="shared" si="8"/>
        <v>0.29926638007139955</v>
      </c>
      <c r="AE144" s="15"/>
      <c r="AG144" s="5">
        <f t="shared" si="9"/>
        <v>1.0209987771193212</v>
      </c>
    </row>
    <row r="145" spans="1:33" x14ac:dyDescent="0.25">
      <c r="A145" s="1" t="s">
        <v>556</v>
      </c>
      <c r="B145">
        <v>1936</v>
      </c>
      <c r="C145" s="3">
        <f>Data!CT144/Data!K144</f>
        <v>8.715369988470284E-2</v>
      </c>
      <c r="D145" s="3">
        <f>Data!HK144/Data!K144</f>
        <v>0.50978336772609212</v>
      </c>
      <c r="E145" s="3">
        <f>Data!IC144/Data!K144</f>
        <v>6.734155227291024E-3</v>
      </c>
      <c r="F145" s="3">
        <v>0</v>
      </c>
      <c r="G145" s="3">
        <f>Data!HI144/Data!K144</f>
        <v>6.2028945321418359E-2</v>
      </c>
      <c r="H145" s="3"/>
      <c r="I145" s="3">
        <f t="shared" si="10"/>
        <v>0.11022444638796419</v>
      </c>
      <c r="J145" s="3"/>
      <c r="K145" s="3"/>
      <c r="L145" s="3"/>
      <c r="M145" s="3"/>
      <c r="N145" s="3"/>
      <c r="O145" s="3">
        <f t="shared" si="11"/>
        <v>0.18226046176506139</v>
      </c>
      <c r="P145" s="3"/>
      <c r="Q145" s="3"/>
      <c r="R145" s="3"/>
      <c r="S145" s="3">
        <f>(Data!K144-Data!AN144)/Data!K144</f>
        <v>7.0149400885339316E-2</v>
      </c>
      <c r="V145" s="3"/>
      <c r="W145" s="3">
        <f>Data!HU144/Data!K144</f>
        <v>0.12758232323554297</v>
      </c>
      <c r="Y145" s="3">
        <f>Data!IE144/Data!K144</f>
        <v>0.29248490815302558</v>
      </c>
      <c r="AA145" s="5">
        <f t="shared" si="12"/>
        <v>1</v>
      </c>
      <c r="AB145" s="14">
        <f t="shared" si="13"/>
        <v>0.24365962240510305</v>
      </c>
      <c r="AC145" s="5">
        <f t="shared" si="8"/>
        <v>0.31455043254422749</v>
      </c>
      <c r="AE145" s="15"/>
      <c r="AG145" s="5">
        <f t="shared" si="9"/>
        <v>1.0220655243912018</v>
      </c>
    </row>
    <row r="146" spans="1:33" x14ac:dyDescent="0.25">
      <c r="A146" s="1" t="s">
        <v>556</v>
      </c>
      <c r="B146">
        <v>1937</v>
      </c>
      <c r="C146" s="3">
        <f>Data!CT145/Data!K145</f>
        <v>9.169463222635188E-2</v>
      </c>
      <c r="D146" s="3">
        <f>Data!HK145/Data!K145</f>
        <v>0.49932280518144845</v>
      </c>
      <c r="E146" s="3">
        <f>Data!IC145/Data!K145</f>
        <v>7.1002461835349478E-3</v>
      </c>
      <c r="F146" s="3">
        <v>0</v>
      </c>
      <c r="G146" s="3">
        <f>Data!HI145/Data!K145</f>
        <v>6.0320616874204563E-2</v>
      </c>
      <c r="H146" s="3"/>
      <c r="I146" s="3">
        <f t="shared" si="10"/>
        <v>0.12267898270846975</v>
      </c>
      <c r="J146" s="3"/>
      <c r="K146" s="3"/>
      <c r="L146" s="3"/>
      <c r="M146" s="3"/>
      <c r="N146" s="3"/>
      <c r="O146" s="3">
        <f t="shared" si="11"/>
        <v>0.18048750283423479</v>
      </c>
      <c r="P146" s="3"/>
      <c r="Q146" s="3"/>
      <c r="R146" s="3"/>
      <c r="S146" s="3">
        <f>(Data!K145-Data!AN145)/Data!K145</f>
        <v>7.1169457291882551E-2</v>
      </c>
      <c r="V146" s="3"/>
      <c r="W146" s="3">
        <f>Data!HU145/Data!K145</f>
        <v>0.12634125198396434</v>
      </c>
      <c r="Y146" s="3">
        <f>Data!IE145/Data!K145</f>
        <v>0.30316648554270453</v>
      </c>
      <c r="AA146" s="5">
        <f t="shared" si="12"/>
        <v>0.99999999999999989</v>
      </c>
      <c r="AB146" s="14">
        <f t="shared" si="13"/>
        <v>0.25261352507820639</v>
      </c>
      <c r="AC146" s="5">
        <f t="shared" si="8"/>
        <v>0.32639590496107729</v>
      </c>
      <c r="AE146" s="15"/>
      <c r="AG146" s="5">
        <f t="shared" si="9"/>
        <v>1.0232294194183726</v>
      </c>
    </row>
    <row r="147" spans="1:33" x14ac:dyDescent="0.25">
      <c r="A147" s="1" t="s">
        <v>556</v>
      </c>
      <c r="B147">
        <v>1938</v>
      </c>
      <c r="C147" s="3">
        <f>Data!CT146/Data!K146</f>
        <v>9.2962810514417168E-2</v>
      </c>
      <c r="D147" s="3">
        <f>Data!HK146/Data!K146</f>
        <v>0.50658507863943147</v>
      </c>
      <c r="E147" s="3">
        <f>Data!IC146/Data!K146</f>
        <v>7.2719327005904208E-3</v>
      </c>
      <c r="F147" s="3">
        <v>0</v>
      </c>
      <c r="G147" s="3">
        <f>Data!HI146/Data!K146</f>
        <v>6.4747535747406409E-2</v>
      </c>
      <c r="H147" s="3"/>
      <c r="I147" s="3">
        <f t="shared" si="10"/>
        <v>0.11270634326962867</v>
      </c>
      <c r="J147" s="3"/>
      <c r="K147" s="3"/>
      <c r="L147" s="3"/>
      <c r="M147" s="3"/>
      <c r="N147" s="3"/>
      <c r="O147" s="3">
        <f t="shared" si="11"/>
        <v>0.18183303977779133</v>
      </c>
      <c r="P147" s="3"/>
      <c r="Q147" s="3"/>
      <c r="R147" s="3"/>
      <c r="S147" s="3">
        <f>(Data!K146-Data!AN146)/Data!K146</f>
        <v>7.1592410468694634E-2</v>
      </c>
      <c r="V147" s="3"/>
      <c r="W147" s="3">
        <f>Data!HU146/Data!K146</f>
        <v>0.12728312784445392</v>
      </c>
      <c r="Y147" s="3">
        <f>Data!IE146/Data!K146</f>
        <v>0.29453938304742</v>
      </c>
      <c r="AA147" s="5">
        <f t="shared" si="12"/>
        <v>1</v>
      </c>
      <c r="AB147" s="14">
        <f t="shared" si="13"/>
        <v>0.24128054611845032</v>
      </c>
      <c r="AC147" s="5">
        <f t="shared" si="8"/>
        <v>0.31725223529906132</v>
      </c>
      <c r="AE147" s="15"/>
      <c r="AG147" s="5">
        <f t="shared" si="9"/>
        <v>1.0227128522516413</v>
      </c>
    </row>
    <row r="148" spans="1:33" x14ac:dyDescent="0.25">
      <c r="A148" s="1" t="s">
        <v>556</v>
      </c>
      <c r="B148">
        <v>1939</v>
      </c>
      <c r="C148" s="3">
        <f>Data!CT147/Data!K147</f>
        <v>9.0700400219697358E-2</v>
      </c>
      <c r="D148" s="3">
        <f>Data!HK147/Data!K147</f>
        <v>0.5022106104932258</v>
      </c>
      <c r="E148" s="3">
        <f>Data!IC147/Data!K147</f>
        <v>7.1668917771068024E-3</v>
      </c>
      <c r="F148" s="3">
        <v>0</v>
      </c>
      <c r="G148" s="3">
        <f>Data!HI147/Data!K147</f>
        <v>7.4736520186583374E-2</v>
      </c>
      <c r="H148" s="3"/>
      <c r="I148" s="3">
        <f t="shared" si="10"/>
        <v>0.12327913358618078</v>
      </c>
      <c r="J148" s="3"/>
      <c r="K148" s="3"/>
      <c r="L148" s="3"/>
      <c r="M148" s="3"/>
      <c r="N148" s="3"/>
      <c r="O148" s="3">
        <f t="shared" si="11"/>
        <v>0.17716945541510196</v>
      </c>
      <c r="P148" s="3"/>
      <c r="Q148" s="3"/>
      <c r="R148" s="3"/>
      <c r="S148" s="3">
        <f>(Data!K147-Data!AN147)/Data!K147</f>
        <v>7.3322181714919971E-2</v>
      </c>
      <c r="V148" s="3"/>
      <c r="W148" s="3">
        <f>Data!HU147/Data!K147</f>
        <v>0.12401861879057136</v>
      </c>
      <c r="Y148" s="3">
        <f>Data!IE147/Data!K147</f>
        <v>0.30044858900128274</v>
      </c>
      <c r="AA148" s="5">
        <f t="shared" si="12"/>
        <v>0.99999999999999989</v>
      </c>
      <c r="AB148" s="14">
        <f t="shared" si="13"/>
        <v>0.25090173998597265</v>
      </c>
      <c r="AC148" s="5">
        <f t="shared" si="8"/>
        <v>0.32422119432759938</v>
      </c>
      <c r="AE148" s="15"/>
      <c r="AG148" s="5">
        <f t="shared" si="9"/>
        <v>1.0237726053263165</v>
      </c>
    </row>
    <row r="149" spans="1:33" x14ac:dyDescent="0.25">
      <c r="A149" s="1" t="s">
        <v>556</v>
      </c>
      <c r="B149">
        <v>1940</v>
      </c>
      <c r="C149" s="3">
        <f>Data!CT148/Data!K148</f>
        <v>0.10418980022002691</v>
      </c>
      <c r="D149" s="3">
        <f>Data!HK148/Data!K148</f>
        <v>0.51080655801435593</v>
      </c>
      <c r="E149" s="3">
        <f>Data!IC148/Data!K148</f>
        <v>8.7894777682618348E-3</v>
      </c>
      <c r="F149" s="3">
        <v>0</v>
      </c>
      <c r="G149" s="3">
        <f>Data!HI148/Data!K148</f>
        <v>9.8176677144533694E-2</v>
      </c>
      <c r="H149" s="3"/>
      <c r="I149" s="3">
        <f t="shared" si="10"/>
        <v>0.1054381332066123</v>
      </c>
      <c r="J149" s="3"/>
      <c r="K149" s="3"/>
      <c r="L149" s="3"/>
      <c r="M149" s="3"/>
      <c r="N149" s="3"/>
      <c r="O149" s="3">
        <f t="shared" si="11"/>
        <v>0.1790351318665552</v>
      </c>
      <c r="P149" s="3"/>
      <c r="Q149" s="3"/>
      <c r="R149" s="3"/>
      <c r="S149" s="3">
        <f>(Data!K148-Data!AN148)/Data!K148</f>
        <v>7.9395584605888012E-2</v>
      </c>
      <c r="V149" s="3"/>
      <c r="W149" s="3">
        <f>Data!HU148/Data!K148</f>
        <v>0.12532459230658863</v>
      </c>
      <c r="Y149" s="3">
        <f>Data!IE148/Data!K148</f>
        <v>0.2844732650731675</v>
      </c>
      <c r="AA149" s="5">
        <f t="shared" si="12"/>
        <v>1</v>
      </c>
      <c r="AB149" s="14">
        <f t="shared" si="13"/>
        <v>0.2208234168060533</v>
      </c>
      <c r="AC149" s="5">
        <f t="shared" si="8"/>
        <v>0.30900706135695005</v>
      </c>
      <c r="AE149" s="15"/>
      <c r="AG149" s="5">
        <f t="shared" si="9"/>
        <v>1.0245337962837826</v>
      </c>
    </row>
    <row r="150" spans="1:33" x14ac:dyDescent="0.25">
      <c r="A150" s="1" t="s">
        <v>556</v>
      </c>
      <c r="B150">
        <v>1941</v>
      </c>
      <c r="C150" s="3">
        <f>Data!CT149/Data!K149</f>
        <v>0.10174696808059418</v>
      </c>
      <c r="D150" s="3">
        <f>Data!HK149/Data!K149</f>
        <v>0.50230019804661097</v>
      </c>
      <c r="E150" s="3">
        <f>Data!IC149/Data!K149</f>
        <v>9.2913310506091626E-3</v>
      </c>
      <c r="F150" s="3">
        <v>0</v>
      </c>
      <c r="G150" s="3">
        <f>Data!HI149/Data!K149</f>
        <v>0.10726315464372202</v>
      </c>
      <c r="H150" s="3"/>
      <c r="I150" s="3">
        <f t="shared" si="10"/>
        <v>0.11641293546706563</v>
      </c>
      <c r="J150" s="3"/>
      <c r="K150" s="3"/>
      <c r="L150" s="3"/>
      <c r="M150" s="3"/>
      <c r="N150" s="3"/>
      <c r="O150" s="3">
        <f t="shared" si="11"/>
        <v>0.17294348994624401</v>
      </c>
      <c r="P150" s="3"/>
      <c r="Q150" s="3"/>
      <c r="R150" s="3"/>
      <c r="S150" s="3">
        <f>(Data!K149-Data!AN149)/Data!K149</f>
        <v>8.7282933577708638E-2</v>
      </c>
      <c r="V150" s="3"/>
      <c r="W150" s="3">
        <f>Data!HU149/Data!K149</f>
        <v>0.1210604429623708</v>
      </c>
      <c r="Y150" s="3">
        <f>Data!IE149/Data!K149</f>
        <v>0.28935642541330964</v>
      </c>
      <c r="AA150" s="5">
        <f t="shared" si="12"/>
        <v>1</v>
      </c>
      <c r="AB150" s="14">
        <f t="shared" si="13"/>
        <v>0.23133954965336759</v>
      </c>
      <c r="AC150" s="5">
        <f t="shared" si="8"/>
        <v>0.31702751713358635</v>
      </c>
      <c r="AE150" s="15"/>
      <c r="AG150" s="5">
        <f t="shared" si="9"/>
        <v>1.0276710917202767</v>
      </c>
    </row>
    <row r="151" spans="1:33" x14ac:dyDescent="0.25">
      <c r="A151" s="1" t="s">
        <v>556</v>
      </c>
      <c r="B151">
        <v>1942</v>
      </c>
      <c r="C151" s="3">
        <f>Data!CT150/Data!K150</f>
        <v>0.10353022199839557</v>
      </c>
      <c r="D151" s="3">
        <f>Data!HK150/Data!K150</f>
        <v>0.51408993930338664</v>
      </c>
      <c r="E151" s="3">
        <f>Data!IC150/Data!K150</f>
        <v>9.8765872992270694E-3</v>
      </c>
      <c r="F151" s="3">
        <v>0</v>
      </c>
      <c r="G151" s="3">
        <f>Data!HI150/Data!K150</f>
        <v>0.10912224500646658</v>
      </c>
      <c r="H151" s="3"/>
      <c r="I151" s="3">
        <f t="shared" si="10"/>
        <v>0.10287667029134315</v>
      </c>
      <c r="J151" s="3"/>
      <c r="K151" s="3"/>
      <c r="L151" s="3"/>
      <c r="M151" s="3"/>
      <c r="N151" s="3"/>
      <c r="O151" s="3">
        <f t="shared" si="11"/>
        <v>0.17250721592797988</v>
      </c>
      <c r="P151" s="3"/>
      <c r="Q151" s="3"/>
      <c r="R151" s="3"/>
      <c r="S151" s="3">
        <f>(Data!K150-Data!AN150)/Data!K150</f>
        <v>8.97711233277044E-2</v>
      </c>
      <c r="V151" s="3"/>
      <c r="W151" s="3">
        <f>Data!HU150/Data!K150</f>
        <v>0.1207550511495859</v>
      </c>
      <c r="Y151" s="3">
        <f>Data!IE150/Data!K150</f>
        <v>0.27538388621932303</v>
      </c>
      <c r="AA151" s="5">
        <f t="shared" si="12"/>
        <v>0.99999999999999989</v>
      </c>
      <c r="AB151" s="14">
        <f t="shared" si="13"/>
        <v>0.21303328476529765</v>
      </c>
      <c r="AC151" s="5">
        <f t="shared" si="8"/>
        <v>0.30254356159969192</v>
      </c>
      <c r="AE151" s="15"/>
      <c r="AG151" s="5">
        <f t="shared" si="9"/>
        <v>1.0271596753803687</v>
      </c>
    </row>
    <row r="152" spans="1:33" x14ac:dyDescent="0.25">
      <c r="A152" s="1" t="s">
        <v>556</v>
      </c>
      <c r="B152">
        <v>1943</v>
      </c>
      <c r="C152" s="3">
        <f>Data!CT151/Data!K151</f>
        <v>0.10428065764985324</v>
      </c>
      <c r="D152" s="3">
        <f>Data!HK151/Data!K151</f>
        <v>0.5126609646296244</v>
      </c>
      <c r="E152" s="3">
        <f>Data!IC151/Data!K151</f>
        <v>1.020048895276178E-2</v>
      </c>
      <c r="F152" s="3">
        <v>0</v>
      </c>
      <c r="G152" s="3">
        <f>Data!HI151/Data!K151</f>
        <v>0.10641342742117126</v>
      </c>
      <c r="H152" s="3"/>
      <c r="I152" s="3">
        <f t="shared" si="10"/>
        <v>0.10885119780142793</v>
      </c>
      <c r="J152" s="3"/>
      <c r="K152" s="3"/>
      <c r="L152" s="3"/>
      <c r="M152" s="3"/>
      <c r="N152" s="3"/>
      <c r="O152" s="3">
        <f t="shared" si="11"/>
        <v>0.16768046177155843</v>
      </c>
      <c r="P152" s="3"/>
      <c r="Q152" s="3"/>
      <c r="R152" s="3"/>
      <c r="S152" s="3">
        <f>(Data!K151-Data!AN151)/Data!K151</f>
        <v>9.3431052557298264E-2</v>
      </c>
      <c r="V152" s="3"/>
      <c r="W152" s="3">
        <f>Data!HU151/Data!K151</f>
        <v>0.1173763232400909</v>
      </c>
      <c r="Y152" s="3">
        <f>Data!IE151/Data!K151</f>
        <v>0.27653165957298637</v>
      </c>
      <c r="AA152" s="5">
        <f t="shared" si="12"/>
        <v>0.99999999999999989</v>
      </c>
      <c r="AB152" s="14">
        <f t="shared" si="13"/>
        <v>0.2146996336785727</v>
      </c>
      <c r="AC152" s="5">
        <f t="shared" si="8"/>
        <v>0.30503102974466717</v>
      </c>
      <c r="AE152" s="15"/>
      <c r="AG152" s="5">
        <f t="shared" si="9"/>
        <v>1.0284993701716807</v>
      </c>
    </row>
    <row r="153" spans="1:33" x14ac:dyDescent="0.25">
      <c r="A153" s="1" t="s">
        <v>556</v>
      </c>
      <c r="B153">
        <v>1944</v>
      </c>
      <c r="C153" s="3">
        <f>Data!CT152/Data!K152</f>
        <v>0.10491899390643959</v>
      </c>
      <c r="D153" s="3">
        <f>Data!HK152/Data!K152</f>
        <v>0.51213460520543119</v>
      </c>
      <c r="E153" s="3">
        <f>Data!IC152/Data!K152</f>
        <v>1.0448631778476932E-2</v>
      </c>
      <c r="F153" s="3">
        <v>0</v>
      </c>
      <c r="G153" s="3">
        <f>Data!HI152/Data!K152</f>
        <v>0.10097281773652295</v>
      </c>
      <c r="H153" s="3"/>
      <c r="I153" s="3">
        <f t="shared" si="10"/>
        <v>0.10690331444064555</v>
      </c>
      <c r="J153" s="3"/>
      <c r="K153" s="3"/>
      <c r="L153" s="3"/>
      <c r="M153" s="3"/>
      <c r="N153" s="3"/>
      <c r="O153" s="3">
        <f t="shared" si="11"/>
        <v>0.16707046375397128</v>
      </c>
      <c r="P153" s="3"/>
      <c r="Q153" s="3"/>
      <c r="R153" s="3"/>
      <c r="S153" s="3">
        <f>(Data!K152-Data!AN152)/Data!K152</f>
        <v>9.6942291972172231E-2</v>
      </c>
      <c r="V153" s="3"/>
      <c r="W153" s="3">
        <f>Data!HU152/Data!K152</f>
        <v>0.11694932462777989</v>
      </c>
      <c r="Y153" s="3">
        <f>Data!IE152/Data!K152</f>
        <v>0.27397377819461682</v>
      </c>
      <c r="AA153" s="5">
        <f t="shared" si="12"/>
        <v>1</v>
      </c>
      <c r="AB153" s="14">
        <f t="shared" si="13"/>
        <v>0.21181128204547389</v>
      </c>
      <c r="AC153" s="5">
        <f t="shared" si="8"/>
        <v>0.30338457416297732</v>
      </c>
      <c r="AE153" s="15"/>
      <c r="AG153" s="5">
        <f t="shared" si="9"/>
        <v>1.0294107959683605</v>
      </c>
    </row>
    <row r="154" spans="1:33" x14ac:dyDescent="0.25">
      <c r="A154" s="1" t="s">
        <v>556</v>
      </c>
      <c r="B154">
        <v>1945</v>
      </c>
      <c r="C154" s="3">
        <f>Data!CT153/Data!K153</f>
        <v>0.10591240744311275</v>
      </c>
      <c r="D154" s="3">
        <f>Data!HK153/Data!K153</f>
        <v>0.53002498881494609</v>
      </c>
      <c r="E154" s="3">
        <f>Data!IC153/Data!K153</f>
        <v>1.0608125895356162E-2</v>
      </c>
      <c r="F154" s="3">
        <v>0</v>
      </c>
      <c r="G154" s="3">
        <f>Data!HI153/Data!K153</f>
        <v>9.0502761111626792E-2</v>
      </c>
      <c r="H154" s="3"/>
      <c r="I154" s="3">
        <f t="shared" si="10"/>
        <v>7.403633718600855E-2</v>
      </c>
      <c r="J154" s="3"/>
      <c r="K154" s="3"/>
      <c r="L154" s="3"/>
      <c r="M154" s="3"/>
      <c r="N154" s="3"/>
      <c r="O154" s="3">
        <f t="shared" si="11"/>
        <v>0.17578595777810693</v>
      </c>
      <c r="P154" s="3"/>
      <c r="Q154" s="3"/>
      <c r="R154" s="3"/>
      <c r="S154" s="3">
        <f>(Data!K153-Data!AN153)/Data!K153</f>
        <v>9.7102545776263524E-2</v>
      </c>
      <c r="V154" s="3"/>
      <c r="W154" s="3">
        <f>Data!HU153/Data!K153</f>
        <v>0.12305017044467485</v>
      </c>
      <c r="Y154" s="3">
        <f>Data!IE153/Data!K153</f>
        <v>0.24982229496411548</v>
      </c>
      <c r="AA154" s="5">
        <f t="shared" si="12"/>
        <v>0.99999999999999989</v>
      </c>
      <c r="AB154" s="14">
        <f t="shared" si="13"/>
        <v>0.18056786397978059</v>
      </c>
      <c r="AC154" s="5">
        <f t="shared" si="8"/>
        <v>0.27668955515983762</v>
      </c>
      <c r="AE154" s="15"/>
      <c r="AG154" s="5">
        <f t="shared" si="9"/>
        <v>1.0268672601957221</v>
      </c>
    </row>
    <row r="155" spans="1:33" x14ac:dyDescent="0.25">
      <c r="A155" s="1" t="s">
        <v>556</v>
      </c>
      <c r="B155">
        <v>1946</v>
      </c>
      <c r="C155" s="3">
        <f>Data!CT154/Data!K154</f>
        <v>9.9129050696594959E-2</v>
      </c>
      <c r="D155" s="3">
        <f>Data!HK154/Data!K154</f>
        <v>0.5163380177466641</v>
      </c>
      <c r="E155" s="3">
        <f>Data!IC154/Data!K154</f>
        <v>9.5433098214884621E-3</v>
      </c>
      <c r="F155" s="3">
        <v>0</v>
      </c>
      <c r="G155" s="3">
        <f>Data!HI154/Data!K154</f>
        <v>7.6752607854431984E-2</v>
      </c>
      <c r="H155" s="3"/>
      <c r="I155" s="3">
        <f t="shared" si="10"/>
        <v>8.4558471560108484E-2</v>
      </c>
      <c r="J155" s="3"/>
      <c r="K155" s="3"/>
      <c r="L155" s="3"/>
      <c r="M155" s="3"/>
      <c r="N155" s="3"/>
      <c r="O155" s="3">
        <f t="shared" si="11"/>
        <v>0.17348151314123289</v>
      </c>
      <c r="P155" s="3"/>
      <c r="Q155" s="3"/>
      <c r="R155" s="3"/>
      <c r="S155" s="3">
        <f>(Data!K154-Data!AN154)/Data!K154</f>
        <v>0.10418493835313138</v>
      </c>
      <c r="V155" s="3"/>
      <c r="W155" s="3">
        <f>Data!HU154/Data!K154</f>
        <v>0.12143705919886301</v>
      </c>
      <c r="Y155" s="3">
        <f>Data!IE154/Data!K154</f>
        <v>0.25803998470134137</v>
      </c>
      <c r="AA155" s="5">
        <f t="shared" si="12"/>
        <v>0.99999999999999989</v>
      </c>
      <c r="AB155" s="14">
        <f t="shared" si="13"/>
        <v>0.19946494832412098</v>
      </c>
      <c r="AC155" s="5">
        <f t="shared" ref="AC155:AC186" si="14">(Y155)/(1-S155)</f>
        <v>0.28805050925015707</v>
      </c>
      <c r="AE155" s="15"/>
      <c r="AG155" s="5">
        <f t="shared" ref="AG155:AG186" si="15">AC155+D155+W155+S155</f>
        <v>1.0300105245488156</v>
      </c>
    </row>
    <row r="156" spans="1:33" x14ac:dyDescent="0.25">
      <c r="A156" s="1" t="s">
        <v>556</v>
      </c>
      <c r="B156">
        <v>1947</v>
      </c>
      <c r="C156" s="3">
        <f>Data!CT155/Data!K155</f>
        <v>9.8239545126265898E-2</v>
      </c>
      <c r="D156" s="3">
        <f>Data!HK155/Data!K155</f>
        <v>0.52843203420527163</v>
      </c>
      <c r="E156" s="3">
        <f>Data!IC155/Data!K155</f>
        <v>9.2380021818501482E-3</v>
      </c>
      <c r="F156" s="3">
        <v>0</v>
      </c>
      <c r="G156" s="3">
        <f>Data!HI155/Data!K155</f>
        <v>8.0210906395279752E-2</v>
      </c>
      <c r="H156" s="3"/>
      <c r="I156" s="3">
        <f t="shared" si="10"/>
        <v>8.5864981691498976E-2</v>
      </c>
      <c r="J156" s="3"/>
      <c r="K156" s="3"/>
      <c r="L156" s="3"/>
      <c r="M156" s="3"/>
      <c r="N156" s="3"/>
      <c r="O156" s="3">
        <f t="shared" si="11"/>
        <v>0.17344167455296444</v>
      </c>
      <c r="P156" s="3"/>
      <c r="Q156" s="3"/>
      <c r="R156" s="3"/>
      <c r="S156" s="3">
        <f>(Data!K155-Data!AN155)/Data!K155</f>
        <v>9.0852137363189783E-2</v>
      </c>
      <c r="V156" s="3"/>
      <c r="W156" s="3">
        <f>Data!HU155/Data!K155</f>
        <v>0.1214091721870751</v>
      </c>
      <c r="Y156" s="3">
        <f>Data!IE155/Data!K155</f>
        <v>0.25930665624446342</v>
      </c>
      <c r="AA156" s="5">
        <f t="shared" si="12"/>
        <v>0.99999999999999989</v>
      </c>
      <c r="AB156" s="14">
        <f t="shared" si="13"/>
        <v>0.19862555068206356</v>
      </c>
      <c r="AC156" s="5">
        <f t="shared" si="14"/>
        <v>0.28521945318376907</v>
      </c>
      <c r="AE156" s="15"/>
      <c r="AG156" s="5">
        <f t="shared" si="15"/>
        <v>1.0259127969393056</v>
      </c>
    </row>
    <row r="157" spans="1:33" x14ac:dyDescent="0.25">
      <c r="A157" s="1" t="s">
        <v>556</v>
      </c>
      <c r="B157">
        <v>1948</v>
      </c>
      <c r="C157" s="3">
        <f>Data!CT156/Data!K156</f>
        <v>9.8024973141962818E-2</v>
      </c>
      <c r="D157" s="3">
        <f>Data!HK156/Data!K156</f>
        <v>0.54377090272139283</v>
      </c>
      <c r="E157" s="3">
        <f>Data!IC156/Data!K156</f>
        <v>8.951256399773547E-3</v>
      </c>
      <c r="F157" s="3">
        <v>0</v>
      </c>
      <c r="G157" s="3">
        <f>Data!HI156/Data!K156</f>
        <v>8.3660722305891153E-2</v>
      </c>
      <c r="H157" s="3"/>
      <c r="I157" s="3">
        <f t="shared" si="10"/>
        <v>8.194587238109749E-2</v>
      </c>
      <c r="J157" s="3"/>
      <c r="K157" s="3"/>
      <c r="L157" s="3"/>
      <c r="M157" s="3"/>
      <c r="N157" s="3"/>
      <c r="O157" s="3">
        <f t="shared" si="11"/>
        <v>0.16729112335421334</v>
      </c>
      <c r="P157" s="3"/>
      <c r="Q157" s="3"/>
      <c r="R157" s="3"/>
      <c r="S157" s="3">
        <f>(Data!K156-Data!AN156)/Data!K156</f>
        <v>8.9888315195346735E-2</v>
      </c>
      <c r="V157" s="3"/>
      <c r="W157" s="3">
        <f>Data!HU156/Data!K156</f>
        <v>0.11710378634794932</v>
      </c>
      <c r="Y157" s="3">
        <f>Data!IE156/Data!K156</f>
        <v>0.24923699573531083</v>
      </c>
      <c r="AA157" s="5">
        <f t="shared" si="12"/>
        <v>0.99999999999999978</v>
      </c>
      <c r="AB157" s="14">
        <f t="shared" si="13"/>
        <v>0.18620181862568841</v>
      </c>
      <c r="AC157" s="5">
        <f t="shared" si="14"/>
        <v>0.27385319834543947</v>
      </c>
      <c r="AE157" s="15"/>
      <c r="AG157" s="5">
        <f t="shared" si="15"/>
        <v>1.0246162026101284</v>
      </c>
    </row>
    <row r="158" spans="1:33" x14ac:dyDescent="0.25">
      <c r="A158" s="1" t="s">
        <v>556</v>
      </c>
      <c r="B158">
        <v>1949</v>
      </c>
      <c r="C158" s="3">
        <f>Data!CT157/Data!K157</f>
        <v>0.10108942996750395</v>
      </c>
      <c r="D158" s="3">
        <f>Data!HK157/Data!K157</f>
        <v>0.55199284255105985</v>
      </c>
      <c r="E158" s="3">
        <f>Data!IC157/Data!K157</f>
        <v>8.9034868839864816E-3</v>
      </c>
      <c r="F158" s="3">
        <v>0</v>
      </c>
      <c r="G158" s="3">
        <f>Data!HI157/Data!K157</f>
        <v>8.398683730402523E-2</v>
      </c>
      <c r="H158" s="3"/>
      <c r="I158" s="3">
        <f t="shared" si="10"/>
        <v>5.6811059738231667E-2</v>
      </c>
      <c r="J158" s="3"/>
      <c r="K158" s="3"/>
      <c r="L158" s="3"/>
      <c r="M158" s="3"/>
      <c r="N158" s="3"/>
      <c r="O158" s="3">
        <f t="shared" si="11"/>
        <v>0.17796964699849302</v>
      </c>
      <c r="P158" s="3"/>
      <c r="Q158" s="3"/>
      <c r="R158" s="3"/>
      <c r="S158" s="3">
        <f>(Data!K157-Data!AN157)/Data!K157</f>
        <v>8.8647697813270337E-2</v>
      </c>
      <c r="V158" s="3"/>
      <c r="W158" s="3">
        <f>Data!HU157/Data!K157</f>
        <v>0.1245787528989451</v>
      </c>
      <c r="Y158" s="3">
        <f>Data!IE157/Data!K157</f>
        <v>0.23478070673672469</v>
      </c>
      <c r="AA158" s="5">
        <f t="shared" si="12"/>
        <v>0.99999999999999989</v>
      </c>
      <c r="AB158" s="14">
        <f t="shared" si="13"/>
        <v>0.16499741176965721</v>
      </c>
      <c r="AC158" s="5">
        <f t="shared" si="14"/>
        <v>0.25761794442542568</v>
      </c>
      <c r="AE158" s="15"/>
      <c r="AG158" s="5">
        <f t="shared" si="15"/>
        <v>1.0228372376887009</v>
      </c>
    </row>
    <row r="159" spans="1:33" x14ac:dyDescent="0.25">
      <c r="A159" s="1" t="s">
        <v>556</v>
      </c>
      <c r="B159">
        <v>1950</v>
      </c>
      <c r="C159" s="3">
        <f>Data!CT158/Data!K158</f>
        <v>9.972876617193617E-2</v>
      </c>
      <c r="D159" s="3">
        <f>Data!HK158/Data!K158</f>
        <v>0.52531774791040098</v>
      </c>
      <c r="E159" s="3">
        <f>Data!IC158/Data!K158</f>
        <v>8.6576532939862567E-3</v>
      </c>
      <c r="F159" s="3">
        <v>0</v>
      </c>
      <c r="G159" s="3">
        <f>Data!HI158/Data!K158</f>
        <v>8.0155773288413973E-2</v>
      </c>
      <c r="H159" s="3"/>
      <c r="I159" s="3">
        <f t="shared" si="10"/>
        <v>9.9575954355653862E-2</v>
      </c>
      <c r="J159" s="3"/>
      <c r="K159" s="3"/>
      <c r="L159" s="3"/>
      <c r="M159" s="3"/>
      <c r="N159" s="3"/>
      <c r="O159" s="3">
        <f t="shared" si="11"/>
        <v>0.16952079842506357</v>
      </c>
      <c r="P159" s="3"/>
      <c r="Q159" s="3"/>
      <c r="R159" s="3"/>
      <c r="S159" s="3">
        <f>(Data!K158-Data!AN158)/Data!K158</f>
        <v>8.6920940411336897E-2</v>
      </c>
      <c r="V159" s="3"/>
      <c r="W159" s="3">
        <f>Data!HU158/Data!K158</f>
        <v>0.11866455889754449</v>
      </c>
      <c r="Y159" s="3">
        <f>Data!IE158/Data!K158</f>
        <v>0.26909675278071743</v>
      </c>
      <c r="AA159" s="5">
        <f t="shared" si="12"/>
        <v>0.99999999999999978</v>
      </c>
      <c r="AB159" s="14">
        <f t="shared" si="13"/>
        <v>0.20823498556482864</v>
      </c>
      <c r="AC159" s="5">
        <f t="shared" si="14"/>
        <v>0.29471352995647931</v>
      </c>
      <c r="AE159" s="15"/>
      <c r="AG159" s="5">
        <f t="shared" si="15"/>
        <v>1.0256167771757616</v>
      </c>
    </row>
    <row r="160" spans="1:33" x14ac:dyDescent="0.25">
      <c r="A160" s="1" t="s">
        <v>556</v>
      </c>
      <c r="B160">
        <v>1951</v>
      </c>
      <c r="C160" s="3">
        <f>Data!CT159/Data!K159</f>
        <v>0.10404845652539894</v>
      </c>
      <c r="D160" s="3">
        <f>Data!HK159/Data!K159</f>
        <v>0.51275648120663586</v>
      </c>
      <c r="E160" s="3">
        <f>Data!IC159/Data!K159</f>
        <v>8.9143400737442743E-3</v>
      </c>
      <c r="F160" s="3">
        <v>0</v>
      </c>
      <c r="G160" s="3">
        <f>Data!HI159/Data!K159</f>
        <v>7.8718129841795437E-2</v>
      </c>
      <c r="H160" s="3"/>
      <c r="I160" s="3">
        <f t="shared" si="10"/>
        <v>0.14521603771642133</v>
      </c>
      <c r="J160" s="3"/>
      <c r="K160" s="3"/>
      <c r="L160" s="3"/>
      <c r="M160" s="3"/>
      <c r="N160" s="3"/>
      <c r="O160" s="3">
        <f t="shared" si="11"/>
        <v>0.15270028356417442</v>
      </c>
      <c r="P160" s="3"/>
      <c r="Q160" s="3"/>
      <c r="R160" s="3"/>
      <c r="S160" s="3">
        <f>(Data!K159-Data!AN159)/Data!K159</f>
        <v>8.2436999017846291E-2</v>
      </c>
      <c r="V160" s="3"/>
      <c r="W160" s="3">
        <f>Data!HU159/Data!K159</f>
        <v>0.1068901984949221</v>
      </c>
      <c r="Y160" s="3">
        <f>Data!IE159/Data!K159</f>
        <v>0.29791632128059575</v>
      </c>
      <c r="AA160" s="5">
        <f t="shared" si="12"/>
        <v>1</v>
      </c>
      <c r="AB160" s="14">
        <f t="shared" si="13"/>
        <v>0.23830903341089868</v>
      </c>
      <c r="AC160" s="5">
        <f t="shared" si="14"/>
        <v>0.32468214276481067</v>
      </c>
      <c r="AE160" s="15"/>
      <c r="AG160" s="5">
        <f t="shared" si="15"/>
        <v>1.026765821484215</v>
      </c>
    </row>
    <row r="161" spans="1:33" x14ac:dyDescent="0.25">
      <c r="A161" s="1" t="s">
        <v>556</v>
      </c>
      <c r="B161">
        <v>1952</v>
      </c>
      <c r="C161" s="3">
        <f>Data!CT160/Data!K160</f>
        <v>0.11386512575135492</v>
      </c>
      <c r="D161" s="3">
        <f>Data!HK160/Data!K160</f>
        <v>0.55529573798621501</v>
      </c>
      <c r="E161" s="3">
        <f>Data!IC160/Data!K160</f>
        <v>9.695787017816055E-3</v>
      </c>
      <c r="F161" s="3">
        <v>0</v>
      </c>
      <c r="G161" s="3">
        <f>Data!HI160/Data!K160</f>
        <v>8.9437980111077869E-2</v>
      </c>
      <c r="H161" s="3"/>
      <c r="I161" s="3">
        <f t="shared" si="10"/>
        <v>9.9450430970364989E-2</v>
      </c>
      <c r="J161" s="3"/>
      <c r="K161" s="3"/>
      <c r="L161" s="3"/>
      <c r="M161" s="3"/>
      <c r="N161" s="3"/>
      <c r="O161" s="3">
        <f t="shared" si="11"/>
        <v>0.16597587053785195</v>
      </c>
      <c r="P161" s="3"/>
      <c r="Q161" s="3"/>
      <c r="R161" s="3"/>
      <c r="S161" s="3">
        <f>(Data!K160-Data!AN160)/Data!K160</f>
        <v>6.3094851129071816E-2</v>
      </c>
      <c r="V161" s="3"/>
      <c r="W161" s="3">
        <f>Data!HU160/Data!K160</f>
        <v>0.11618310937649637</v>
      </c>
      <c r="Y161" s="3">
        <f>Data!IE160/Data!K160</f>
        <v>0.26542630150821694</v>
      </c>
      <c r="AA161" s="5">
        <f t="shared" si="12"/>
        <v>1</v>
      </c>
      <c r="AB161" s="14">
        <f t="shared" si="13"/>
        <v>0.18414800191903041</v>
      </c>
      <c r="AC161" s="5">
        <f t="shared" si="14"/>
        <v>0.283301145081852</v>
      </c>
      <c r="AE161" s="15"/>
      <c r="AG161" s="5">
        <f t="shared" si="15"/>
        <v>1.0178748435736351</v>
      </c>
    </row>
    <row r="162" spans="1:33" x14ac:dyDescent="0.25">
      <c r="A162" s="1" t="s">
        <v>556</v>
      </c>
      <c r="B162">
        <v>1953</v>
      </c>
      <c r="C162" s="3">
        <f>Data!CT161/Data!K161</f>
        <v>0.11440363375659562</v>
      </c>
      <c r="D162" s="3">
        <f>Data!HK161/Data!K161</f>
        <v>0.55664480073189671</v>
      </c>
      <c r="E162" s="3">
        <f>Data!IC161/Data!K161</f>
        <v>1.0027263404265175E-2</v>
      </c>
      <c r="F162" s="3">
        <v>0</v>
      </c>
      <c r="G162" s="3">
        <f>Data!HI161/Data!K161</f>
        <v>9.2350319573779913E-2</v>
      </c>
      <c r="H162" s="3"/>
      <c r="I162" s="3">
        <f t="shared" si="10"/>
        <v>7.7096980356006956E-2</v>
      </c>
      <c r="J162" s="3"/>
      <c r="K162" s="3"/>
      <c r="L162" s="3"/>
      <c r="M162" s="3"/>
      <c r="N162" s="3"/>
      <c r="O162" s="3">
        <f t="shared" si="11"/>
        <v>0.1656640185450739</v>
      </c>
      <c r="P162" s="3"/>
      <c r="Q162" s="3"/>
      <c r="R162" s="3"/>
      <c r="S162" s="3">
        <f>(Data!K161-Data!AN161)/Data!K161</f>
        <v>8.4629387385470739E-2</v>
      </c>
      <c r="V162" s="3"/>
      <c r="W162" s="3">
        <f>Data!HU161/Data!K161</f>
        <v>0.11596481298155173</v>
      </c>
      <c r="Y162" s="3">
        <f>Data!IE161/Data!K161</f>
        <v>0.24276099890108085</v>
      </c>
      <c r="AA162" s="5">
        <f t="shared" si="12"/>
        <v>1</v>
      </c>
      <c r="AB162" s="14">
        <f t="shared" si="13"/>
        <v>0.16025300484609839</v>
      </c>
      <c r="AC162" s="5">
        <f t="shared" si="14"/>
        <v>0.26520514811775991</v>
      </c>
      <c r="AE162" s="15"/>
      <c r="AG162" s="5">
        <f t="shared" si="15"/>
        <v>1.0224441492166791</v>
      </c>
    </row>
    <row r="163" spans="1:33" x14ac:dyDescent="0.25">
      <c r="A163" s="1" t="s">
        <v>556</v>
      </c>
      <c r="B163">
        <v>1954</v>
      </c>
      <c r="C163" s="3">
        <f>Data!CT162/Data!K162</f>
        <v>0.10969389437791853</v>
      </c>
      <c r="D163" s="3">
        <f>Data!HK162/Data!K162</f>
        <v>0.553825230786548</v>
      </c>
      <c r="E163" s="3">
        <f>Data!IC162/Data!K162</f>
        <v>1.002534407337121E-2</v>
      </c>
      <c r="F163" s="3">
        <v>0</v>
      </c>
      <c r="G163" s="3">
        <f>Data!HI162/Data!K162</f>
        <v>9.0363351751886214E-2</v>
      </c>
      <c r="H163" s="3"/>
      <c r="I163" s="3">
        <f t="shared" si="10"/>
        <v>8.6739671236426397E-2</v>
      </c>
      <c r="J163" s="3"/>
      <c r="K163" s="3"/>
      <c r="L163" s="3"/>
      <c r="M163" s="3"/>
      <c r="N163" s="3"/>
      <c r="O163" s="3">
        <f t="shared" si="11"/>
        <v>0.16002808886528819</v>
      </c>
      <c r="P163" s="3"/>
      <c r="Q163" s="3"/>
      <c r="R163" s="3"/>
      <c r="S163" s="3">
        <f>(Data!K162-Data!AN162)/Data!K162</f>
        <v>8.7387346906035737E-2</v>
      </c>
      <c r="V163" s="3"/>
      <c r="W163" s="3">
        <f>Data!HU162/Data!K162</f>
        <v>0.11201966220570173</v>
      </c>
      <c r="Y163" s="3">
        <f>Data!IE162/Data!K162</f>
        <v>0.24676776010171458</v>
      </c>
      <c r="AA163" s="5">
        <f t="shared" si="12"/>
        <v>1</v>
      </c>
      <c r="AB163" s="14">
        <f t="shared" si="13"/>
        <v>0.17071947097486181</v>
      </c>
      <c r="AC163" s="5">
        <f t="shared" si="14"/>
        <v>0.27039704004225212</v>
      </c>
      <c r="AE163" s="15"/>
      <c r="AG163" s="5">
        <f t="shared" si="15"/>
        <v>1.0236292799405375</v>
      </c>
    </row>
    <row r="164" spans="1:33" x14ac:dyDescent="0.25">
      <c r="A164" s="1" t="s">
        <v>556</v>
      </c>
      <c r="B164">
        <v>1955</v>
      </c>
      <c r="C164" s="3">
        <f>Data!CT163/Data!K163</f>
        <v>0.11085974496040187</v>
      </c>
      <c r="D164" s="3">
        <f>Data!HK163/Data!K163</f>
        <v>0.56531364652518801</v>
      </c>
      <c r="E164" s="3">
        <f>Data!IC163/Data!K163</f>
        <v>1.0332133990628571E-2</v>
      </c>
      <c r="F164" s="3">
        <v>0</v>
      </c>
      <c r="G164" s="3">
        <f>Data!HI163/Data!K163</f>
        <v>9.2692669770047309E-2</v>
      </c>
      <c r="H164" s="3"/>
      <c r="I164" s="3">
        <f t="shared" si="10"/>
        <v>6.7879171610561395E-2</v>
      </c>
      <c r="J164" s="3"/>
      <c r="K164" s="3"/>
      <c r="L164" s="3"/>
      <c r="M164" s="3"/>
      <c r="N164" s="3"/>
      <c r="O164" s="3">
        <f t="shared" si="11"/>
        <v>0.16135290519502316</v>
      </c>
      <c r="P164" s="3"/>
      <c r="Q164" s="3"/>
      <c r="R164" s="3"/>
      <c r="S164" s="3">
        <f>(Data!K163-Data!AN163)/Data!K163</f>
        <v>9.2507243032711461E-2</v>
      </c>
      <c r="V164" s="3"/>
      <c r="W164" s="3">
        <f>Data!HU163/Data!K163</f>
        <v>0.1129470336365162</v>
      </c>
      <c r="Y164" s="3">
        <f>Data!IE163/Data!K163</f>
        <v>0.22923207680558455</v>
      </c>
      <c r="AA164" s="5">
        <f t="shared" si="12"/>
        <v>1.0000000000000002</v>
      </c>
      <c r="AB164" s="14">
        <f t="shared" si="13"/>
        <v>0.1485907940809254</v>
      </c>
      <c r="AC164" s="5">
        <f t="shared" si="14"/>
        <v>0.25259934588529992</v>
      </c>
      <c r="AE164" s="15"/>
      <c r="AG164" s="5">
        <f t="shared" si="15"/>
        <v>1.0233672690797155</v>
      </c>
    </row>
    <row r="165" spans="1:33" x14ac:dyDescent="0.25">
      <c r="A165" s="1" t="s">
        <v>556</v>
      </c>
      <c r="B165">
        <v>1956</v>
      </c>
      <c r="C165" s="3">
        <f>Data!CT164/Data!K164</f>
        <v>0.11286793031502933</v>
      </c>
      <c r="D165" s="3">
        <f>Data!HK164/Data!K164</f>
        <v>0.56098387731839638</v>
      </c>
      <c r="E165" s="3">
        <f>Data!IC164/Data!K164</f>
        <v>1.0565563403108857E-2</v>
      </c>
      <c r="F165" s="3">
        <v>0</v>
      </c>
      <c r="G165" s="3">
        <f>Data!HI164/Data!K164</f>
        <v>9.2545992733234342E-2</v>
      </c>
      <c r="H165" s="3"/>
      <c r="I165" s="3">
        <f t="shared" si="10"/>
        <v>8.7659237908643189E-2</v>
      </c>
      <c r="J165" s="3"/>
      <c r="K165" s="3"/>
      <c r="L165" s="3"/>
      <c r="M165" s="3"/>
      <c r="N165" s="3"/>
      <c r="O165" s="3">
        <f t="shared" si="11"/>
        <v>0.15606523352129337</v>
      </c>
      <c r="P165" s="3"/>
      <c r="Q165" s="3"/>
      <c r="R165" s="3"/>
      <c r="S165" s="3">
        <f>(Data!K164-Data!AN164)/Data!K164</f>
        <v>8.6045987786761563E-2</v>
      </c>
      <c r="V165" s="3"/>
      <c r="W165" s="3">
        <f>Data!HU164/Data!K164</f>
        <v>0.10924566346490534</v>
      </c>
      <c r="Y165" s="3">
        <f>Data!IE164/Data!K164</f>
        <v>0.24372447142993656</v>
      </c>
      <c r="AA165" s="5">
        <f t="shared" si="12"/>
        <v>0.99999999999999989</v>
      </c>
      <c r="AB165" s="14">
        <f t="shared" si="13"/>
        <v>0.16334891352104985</v>
      </c>
      <c r="AC165" s="5">
        <f t="shared" si="14"/>
        <v>0.26667038841454549</v>
      </c>
      <c r="AE165" s="15"/>
      <c r="AG165" s="5">
        <f t="shared" si="15"/>
        <v>1.0229459169846089</v>
      </c>
    </row>
    <row r="166" spans="1:33" x14ac:dyDescent="0.25">
      <c r="A166" s="1" t="s">
        <v>556</v>
      </c>
      <c r="B166">
        <v>1957</v>
      </c>
      <c r="C166" s="3">
        <f>Data!CT165/Data!K165</f>
        <v>0.11505762306384958</v>
      </c>
      <c r="D166" s="3">
        <f>Data!HK165/Data!K165</f>
        <v>0.56662662107004824</v>
      </c>
      <c r="E166" s="3">
        <f>Data!IC165/Data!K165</f>
        <v>1.1059561799558531E-2</v>
      </c>
      <c r="F166" s="3">
        <v>0</v>
      </c>
      <c r="G166" s="3">
        <f>Data!HI165/Data!K165</f>
        <v>9.7442399370676613E-2</v>
      </c>
      <c r="H166" s="3"/>
      <c r="I166" s="3">
        <f t="shared" si="10"/>
        <v>8.3632790183336497E-2</v>
      </c>
      <c r="J166" s="3"/>
      <c r="K166" s="3"/>
      <c r="L166" s="3"/>
      <c r="M166" s="3"/>
      <c r="N166" s="3"/>
      <c r="O166" s="3">
        <f t="shared" si="11"/>
        <v>0.15707315517589102</v>
      </c>
      <c r="P166" s="3"/>
      <c r="Q166" s="3"/>
      <c r="R166" s="3"/>
      <c r="S166" s="3">
        <f>(Data!K165-Data!AN165)/Data!K165</f>
        <v>8.2716224947600364E-2</v>
      </c>
      <c r="V166" s="3"/>
      <c r="W166" s="3">
        <f>Data!HU165/Data!K165</f>
        <v>0.1099512086231237</v>
      </c>
      <c r="Y166" s="3">
        <f>Data!IE165/Data!K165</f>
        <v>0.24070594535922751</v>
      </c>
      <c r="AA166" s="5">
        <f t="shared" si="12"/>
        <v>0.99999999999999978</v>
      </c>
      <c r="AB166" s="14">
        <f t="shared" si="13"/>
        <v>0.15662456525996085</v>
      </c>
      <c r="AC166" s="5">
        <f t="shared" si="14"/>
        <v>0.26241164610752787</v>
      </c>
      <c r="AE166" s="15"/>
      <c r="AG166" s="5">
        <f t="shared" si="15"/>
        <v>1.0217057007483001</v>
      </c>
    </row>
    <row r="167" spans="1:33" x14ac:dyDescent="0.25">
      <c r="A167" s="1" t="s">
        <v>556</v>
      </c>
      <c r="B167">
        <v>1958</v>
      </c>
      <c r="C167" s="3">
        <f>Data!CT166/Data!K166</f>
        <v>0.11489252468300191</v>
      </c>
      <c r="D167" s="3">
        <f>Data!HK166/Data!K166</f>
        <v>0.56426466179881618</v>
      </c>
      <c r="E167" s="3">
        <f>Data!IC166/Data!K166</f>
        <v>1.1287832374364679E-2</v>
      </c>
      <c r="F167" s="3">
        <v>0</v>
      </c>
      <c r="G167" s="3">
        <f>Data!HI166/Data!K166</f>
        <v>9.9586180958529502E-2</v>
      </c>
      <c r="H167" s="3"/>
      <c r="I167" s="3">
        <f t="shared" si="10"/>
        <v>7.7616665750541852E-2</v>
      </c>
      <c r="J167" s="3"/>
      <c r="K167" s="3"/>
      <c r="L167" s="3"/>
      <c r="M167" s="3"/>
      <c r="N167" s="3"/>
      <c r="O167" s="3">
        <f t="shared" si="11"/>
        <v>0.15435139830006894</v>
      </c>
      <c r="P167" s="3"/>
      <c r="Q167" s="3"/>
      <c r="R167" s="3"/>
      <c r="S167" s="3">
        <f>(Data!K166-Data!AN166)/Data!K166</f>
        <v>9.5721295340524787E-2</v>
      </c>
      <c r="V167" s="3"/>
      <c r="W167" s="3">
        <f>Data!HU166/Data!K166</f>
        <v>0.10804597881004825</v>
      </c>
      <c r="Y167" s="3">
        <f>Data!IE166/Data!K166</f>
        <v>0.23196806405061079</v>
      </c>
      <c r="AA167" s="5">
        <f t="shared" si="12"/>
        <v>1</v>
      </c>
      <c r="AB167" s="14">
        <f t="shared" si="13"/>
        <v>0.14831212192123527</v>
      </c>
      <c r="AC167" s="5">
        <f t="shared" si="14"/>
        <v>0.25652275438462652</v>
      </c>
      <c r="AE167" s="15"/>
      <c r="AG167" s="5">
        <f t="shared" si="15"/>
        <v>1.0245546903340159</v>
      </c>
    </row>
    <row r="168" spans="1:33" x14ac:dyDescent="0.25">
      <c r="A168" s="1" t="s">
        <v>556</v>
      </c>
      <c r="B168">
        <v>1959</v>
      </c>
      <c r="C168" s="3">
        <f>Data!CT167/Data!K167</f>
        <v>0.11330603362453562</v>
      </c>
      <c r="D168" s="3">
        <f>Data!HK167/Data!K167</f>
        <v>0.55513885870449342</v>
      </c>
      <c r="E168" s="3">
        <f>Data!IC167/Data!K167</f>
        <v>1.1559943699186587E-2</v>
      </c>
      <c r="F168" s="3">
        <v>0</v>
      </c>
      <c r="G168" s="3">
        <f>Data!HI167/Data!K167</f>
        <v>0.10033568682786344</v>
      </c>
      <c r="H168" s="3"/>
      <c r="I168" s="3">
        <f t="shared" si="10"/>
        <v>0.10249732207595932</v>
      </c>
      <c r="J168" s="3"/>
      <c r="K168" s="3"/>
      <c r="L168" s="3"/>
      <c r="M168" s="3"/>
      <c r="N168" s="3"/>
      <c r="O168" s="3">
        <f t="shared" si="11"/>
        <v>0.13936557917590919</v>
      </c>
      <c r="P168" s="3"/>
      <c r="Q168" s="3"/>
      <c r="R168" s="3"/>
      <c r="S168" s="3">
        <f>(Data!K167-Data!AN167)/Data!K167</f>
        <v>0.10544233462050144</v>
      </c>
      <c r="V168" s="3"/>
      <c r="W168" s="3">
        <f>Data!HU167/Data!K167</f>
        <v>9.7555905423136427E-2</v>
      </c>
      <c r="Y168" s="3">
        <f>Data!IE167/Data!K167</f>
        <v>0.24186290125186852</v>
      </c>
      <c r="AA168" s="5">
        <f t="shared" si="12"/>
        <v>0.99999999999999978</v>
      </c>
      <c r="AB168" s="14">
        <f t="shared" si="13"/>
        <v>0.16455244687111814</v>
      </c>
      <c r="AC168" s="5">
        <f t="shared" si="14"/>
        <v>0.27037150383062553</v>
      </c>
      <c r="AE168" s="15"/>
      <c r="AG168" s="5">
        <f t="shared" si="15"/>
        <v>1.0285086025787569</v>
      </c>
    </row>
    <row r="169" spans="1:33" x14ac:dyDescent="0.25">
      <c r="A169" s="1" t="s">
        <v>556</v>
      </c>
      <c r="B169">
        <v>1960</v>
      </c>
      <c r="C169" s="3">
        <f>Data!CT168/Data!K168</f>
        <v>0.11568771070251239</v>
      </c>
      <c r="D169" s="3">
        <f>Data!HK168/Data!K168</f>
        <v>0.56354687988133711</v>
      </c>
      <c r="E169" s="3">
        <f>Data!IC168/Data!K168</f>
        <v>1.1862206702733155E-2</v>
      </c>
      <c r="F169" s="3">
        <v>0</v>
      </c>
      <c r="G169" s="3">
        <f>Data!HI168/Data!K168</f>
        <v>9.9500884222703159E-2</v>
      </c>
      <c r="H169" s="3"/>
      <c r="I169" s="3">
        <f t="shared" si="10"/>
        <v>8.9165156702039144E-2</v>
      </c>
      <c r="J169" s="3"/>
      <c r="K169" s="3"/>
      <c r="L169" s="3"/>
      <c r="M169" s="3"/>
      <c r="N169" s="3"/>
      <c r="O169" s="3">
        <f t="shared" si="11"/>
        <v>0.14059411327843743</v>
      </c>
      <c r="P169" s="3"/>
      <c r="Q169" s="3"/>
      <c r="R169" s="3"/>
      <c r="S169" s="3">
        <f>(Data!K168-Data!AN168)/Data!K168</f>
        <v>0.10827797084327995</v>
      </c>
      <c r="V169" s="3"/>
      <c r="W169" s="3">
        <f>Data!HU168/Data!K168</f>
        <v>9.8415879294906194E-2</v>
      </c>
      <c r="Y169" s="3">
        <f>Data!IE168/Data!K168</f>
        <v>0.22975926998047658</v>
      </c>
      <c r="AA169" s="5">
        <f t="shared" si="12"/>
        <v>0.99999999999999978</v>
      </c>
      <c r="AB169" s="14">
        <f t="shared" si="13"/>
        <v>0.14699293132446092</v>
      </c>
      <c r="AC169" s="5">
        <f t="shared" si="14"/>
        <v>0.25765794997545854</v>
      </c>
      <c r="AE169" s="15"/>
      <c r="AG169" s="5">
        <f t="shared" si="15"/>
        <v>1.0278986799949819</v>
      </c>
    </row>
    <row r="170" spans="1:33" x14ac:dyDescent="0.25">
      <c r="A170" s="1" t="s">
        <v>556</v>
      </c>
      <c r="B170">
        <v>1961</v>
      </c>
      <c r="C170" s="3">
        <f>Data!CT169/Data!K169</f>
        <v>0.11580722693439488</v>
      </c>
      <c r="D170" s="3">
        <f>Data!HK169/Data!K169</f>
        <v>0.57276608081981073</v>
      </c>
      <c r="E170" s="3">
        <f>Data!IC169/Data!K169</f>
        <v>1.1787058757637973E-2</v>
      </c>
      <c r="F170" s="3">
        <v>0</v>
      </c>
      <c r="G170" s="3">
        <f>Data!HI169/Data!K169</f>
        <v>0.10159707592552117</v>
      </c>
      <c r="H170" s="3"/>
      <c r="I170" s="3">
        <f t="shared" si="10"/>
        <v>8.8992993615264804E-2</v>
      </c>
      <c r="J170" s="3"/>
      <c r="K170" s="3"/>
      <c r="L170" s="3"/>
      <c r="M170" s="3"/>
      <c r="N170" s="3"/>
      <c r="O170" s="3">
        <f t="shared" si="11"/>
        <v>0.13824470326433008</v>
      </c>
      <c r="P170" s="3"/>
      <c r="Q170" s="3"/>
      <c r="R170" s="3"/>
      <c r="S170" s="3">
        <f>(Data!K169-Data!AN169)/Data!K169</f>
        <v>0.10322493001556329</v>
      </c>
      <c r="V170" s="3"/>
      <c r="W170" s="3">
        <f>Data!HU169/Data!K169</f>
        <v>9.6771292285031049E-2</v>
      </c>
      <c r="Y170" s="3">
        <f>Data!IE169/Data!K169</f>
        <v>0.22723769687959489</v>
      </c>
      <c r="AA170" s="5">
        <f t="shared" si="12"/>
        <v>0.99999999999999989</v>
      </c>
      <c r="AB170" s="14">
        <f t="shared" si="13"/>
        <v>0.14268253288126734</v>
      </c>
      <c r="AC170" s="5">
        <f t="shared" si="14"/>
        <v>0.25339430642684851</v>
      </c>
      <c r="AE170" s="15"/>
      <c r="AG170" s="5">
        <f t="shared" si="15"/>
        <v>1.0261566095472534</v>
      </c>
    </row>
    <row r="171" spans="1:33" x14ac:dyDescent="0.25">
      <c r="A171" s="1" t="s">
        <v>556</v>
      </c>
      <c r="B171">
        <v>1962</v>
      </c>
      <c r="C171" s="3">
        <f>Data!CT170/Data!K170</f>
        <v>0.11701551184982575</v>
      </c>
      <c r="D171" s="3">
        <f>Data!HK170/Data!K170</f>
        <v>0.59141238450217792</v>
      </c>
      <c r="E171" s="3">
        <f>Data!IC170/Data!K170</f>
        <v>1.2004536283292028E-2</v>
      </c>
      <c r="F171" s="3">
        <v>0</v>
      </c>
      <c r="G171" s="3">
        <f>Data!HI170/Data!K170</f>
        <v>0.10667228653057734</v>
      </c>
      <c r="H171" s="3"/>
      <c r="I171" s="3">
        <f t="shared" si="10"/>
        <v>7.4000079445218303E-2</v>
      </c>
      <c r="J171" s="3"/>
      <c r="K171" s="3"/>
      <c r="L171" s="3"/>
      <c r="M171" s="3"/>
      <c r="N171" s="3"/>
      <c r="O171" s="3">
        <f t="shared" si="11"/>
        <v>0.13423064155777012</v>
      </c>
      <c r="P171" s="3"/>
      <c r="Q171" s="3"/>
      <c r="R171" s="3"/>
      <c r="S171" s="3">
        <f>(Data!K170-Data!AN170)/Data!K170</f>
        <v>0.10639544540439455</v>
      </c>
      <c r="V171" s="3"/>
      <c r="W171" s="3">
        <f>Data!HU170/Data!K170</f>
        <v>9.3961449090439075E-2</v>
      </c>
      <c r="Y171" s="3">
        <f>Data!IE170/Data!K170</f>
        <v>0.20823072100298842</v>
      </c>
      <c r="AA171" s="5">
        <f t="shared" si="12"/>
        <v>1</v>
      </c>
      <c r="AB171" s="14">
        <f t="shared" si="13"/>
        <v>0.11745621446145282</v>
      </c>
      <c r="AC171" s="5">
        <f t="shared" si="14"/>
        <v>0.23302334341527811</v>
      </c>
      <c r="AE171" s="15"/>
      <c r="AG171" s="5">
        <f t="shared" si="15"/>
        <v>1.0247926224122896</v>
      </c>
    </row>
    <row r="172" spans="1:33" x14ac:dyDescent="0.25">
      <c r="A172" s="1" t="s">
        <v>556</v>
      </c>
      <c r="B172">
        <v>1963</v>
      </c>
      <c r="C172" s="3">
        <f>Data!CT171/Data!K171</f>
        <v>0.11754303610477324</v>
      </c>
      <c r="D172" s="3">
        <f>Data!HK171/Data!K171</f>
        <v>0.60026538476521618</v>
      </c>
      <c r="E172" s="3">
        <f>Data!IC171/Data!K171</f>
        <v>1.2366028274592114E-2</v>
      </c>
      <c r="F172" s="3">
        <v>0</v>
      </c>
      <c r="G172" s="3">
        <f>Data!HI171/Data!K171</f>
        <v>0.1120259622134238</v>
      </c>
      <c r="H172" s="3"/>
      <c r="I172" s="3">
        <f t="shared" si="10"/>
        <v>7.5290322214478358E-2</v>
      </c>
      <c r="J172" s="3"/>
      <c r="K172" s="3"/>
      <c r="L172" s="3"/>
      <c r="M172" s="3"/>
      <c r="N172" s="3"/>
      <c r="O172" s="3">
        <f t="shared" si="11"/>
        <v>0.12168716356627073</v>
      </c>
      <c r="P172" s="3"/>
      <c r="Q172" s="3"/>
      <c r="R172" s="3"/>
      <c r="S172" s="3">
        <f>(Data!K171-Data!AN171)/Data!K171</f>
        <v>0.11757611495764518</v>
      </c>
      <c r="V172" s="3"/>
      <c r="W172" s="3">
        <f>Data!HU171/Data!K171</f>
        <v>8.5181014496389498E-2</v>
      </c>
      <c r="Y172" s="3">
        <f>Data!IE171/Data!K171</f>
        <v>0.19697748578074908</v>
      </c>
      <c r="AA172" s="5">
        <f t="shared" si="12"/>
        <v>1</v>
      </c>
      <c r="AB172" s="14">
        <f t="shared" si="13"/>
        <v>0.10385205720121009</v>
      </c>
      <c r="AC172" s="5">
        <f t="shared" si="14"/>
        <v>0.2232232027256317</v>
      </c>
      <c r="AE172" s="15"/>
      <c r="AG172" s="5">
        <f t="shared" si="15"/>
        <v>1.0262457169448824</v>
      </c>
    </row>
    <row r="173" spans="1:33" x14ac:dyDescent="0.25">
      <c r="A173" s="1" t="s">
        <v>556</v>
      </c>
      <c r="B173">
        <v>1964</v>
      </c>
      <c r="C173" s="3">
        <f>Data!CT172/Data!K172</f>
        <v>0.11643266804154037</v>
      </c>
      <c r="D173" s="3">
        <f>Data!HK172/Data!K172</f>
        <v>0.59234740834489052</v>
      </c>
      <c r="E173" s="3">
        <f>Data!IC172/Data!K172</f>
        <v>1.2447167256147532E-2</v>
      </c>
      <c r="F173" s="3">
        <v>0</v>
      </c>
      <c r="G173" s="3">
        <f>Data!HI172/Data!K172</f>
        <v>0.11202346768132165</v>
      </c>
      <c r="H173" s="3"/>
      <c r="I173" s="3">
        <f t="shared" si="10"/>
        <v>8.6412578087586317E-2</v>
      </c>
      <c r="J173" s="3"/>
      <c r="K173" s="3"/>
      <c r="L173" s="3"/>
      <c r="M173" s="3"/>
      <c r="N173" s="3"/>
      <c r="O173" s="3">
        <f t="shared" si="11"/>
        <v>0.12272865599227489</v>
      </c>
      <c r="P173" s="3"/>
      <c r="Q173" s="3"/>
      <c r="R173" s="3"/>
      <c r="S173" s="3">
        <f>(Data!K172-Data!AN172)/Data!K172</f>
        <v>0.11260129838065583</v>
      </c>
      <c r="V173" s="3"/>
      <c r="W173" s="3">
        <f>Data!HU172/Data!K172</f>
        <v>8.5910059194592422E-2</v>
      </c>
      <c r="Y173" s="3">
        <f>Data!IE172/Data!K172</f>
        <v>0.20914123407986121</v>
      </c>
      <c r="AA173" s="5">
        <f t="shared" si="12"/>
        <v>0.99999999999999989</v>
      </c>
      <c r="AB173" s="14">
        <f t="shared" si="13"/>
        <v>0.1202498709419018</v>
      </c>
      <c r="AC173" s="5">
        <f t="shared" si="14"/>
        <v>0.23567899490749286</v>
      </c>
      <c r="AE173" s="15"/>
      <c r="AG173" s="5">
        <f t="shared" si="15"/>
        <v>1.0265377608276316</v>
      </c>
    </row>
    <row r="174" spans="1:33" x14ac:dyDescent="0.25">
      <c r="A174" s="1" t="s">
        <v>556</v>
      </c>
      <c r="B174">
        <v>1965</v>
      </c>
      <c r="C174" s="3">
        <f>Data!CT173/Data!K173</f>
        <v>0.11794271030868264</v>
      </c>
      <c r="D174" s="3">
        <f>Data!HK173/Data!K173</f>
        <v>0.5962987610051288</v>
      </c>
      <c r="E174" s="3">
        <f>Data!IC173/Data!K173</f>
        <v>1.2910130752626783E-2</v>
      </c>
      <c r="F174" s="3">
        <v>0</v>
      </c>
      <c r="G174" s="3">
        <f>Data!HI173/Data!K173</f>
        <v>0.11599088490753817</v>
      </c>
      <c r="H174" s="3"/>
      <c r="I174" s="3">
        <f t="shared" si="10"/>
        <v>9.3153967418123235E-2</v>
      </c>
      <c r="J174" s="3"/>
      <c r="K174" s="3"/>
      <c r="L174" s="3"/>
      <c r="M174" s="3"/>
      <c r="N174" s="3"/>
      <c r="O174" s="3">
        <f t="shared" si="11"/>
        <v>0.11970627740397349</v>
      </c>
      <c r="P174" s="3"/>
      <c r="Q174" s="3"/>
      <c r="R174" s="3"/>
      <c r="S174" s="3">
        <f>(Data!K173-Data!AN173)/Data!K173</f>
        <v>0.10704659998999311</v>
      </c>
      <c r="V174" s="3"/>
      <c r="W174" s="3">
        <f>Data!HU173/Data!K173</f>
        <v>8.3794394182781437E-2</v>
      </c>
      <c r="Y174" s="3">
        <f>Data!IE173/Data!K173</f>
        <v>0.21286024482209673</v>
      </c>
      <c r="AA174" s="5">
        <f t="shared" si="12"/>
        <v>1</v>
      </c>
      <c r="AB174" s="14">
        <f t="shared" si="13"/>
        <v>0.12247254879799616</v>
      </c>
      <c r="AC174" s="5">
        <f t="shared" si="14"/>
        <v>0.23837777516689146</v>
      </c>
      <c r="AE174" s="15"/>
      <c r="AG174" s="5">
        <f t="shared" si="15"/>
        <v>1.025517530344795</v>
      </c>
    </row>
    <row r="175" spans="1:33" x14ac:dyDescent="0.25">
      <c r="A175" s="1" t="s">
        <v>556</v>
      </c>
      <c r="B175">
        <v>1966</v>
      </c>
      <c r="C175" s="3">
        <f>Data!CT174/Data!K174</f>
        <v>0.11968893195387395</v>
      </c>
      <c r="D175" s="3">
        <f>Data!HK174/Data!K174</f>
        <v>0.60723400145876028</v>
      </c>
      <c r="E175" s="3">
        <f>Data!IC174/Data!K174</f>
        <v>1.3472255805277255E-2</v>
      </c>
      <c r="F175" s="3">
        <v>0</v>
      </c>
      <c r="G175" s="3">
        <f>Data!HI174/Data!K174</f>
        <v>0.12408574111272096</v>
      </c>
      <c r="H175" s="3"/>
      <c r="I175" s="3">
        <f t="shared" si="10"/>
        <v>9.2139307243674196E-2</v>
      </c>
      <c r="J175" s="3"/>
      <c r="K175" s="3"/>
      <c r="L175" s="3"/>
      <c r="M175" s="3"/>
      <c r="N175" s="3"/>
      <c r="O175" s="3">
        <f t="shared" si="11"/>
        <v>0.10992848353457982</v>
      </c>
      <c r="P175" s="3"/>
      <c r="Q175" s="3"/>
      <c r="R175" s="3"/>
      <c r="S175" s="3">
        <f>(Data!K174-Data!AN174)/Data!K174</f>
        <v>0.11374826928877985</v>
      </c>
      <c r="V175" s="3"/>
      <c r="W175" s="3">
        <f>Data!HU174/Data!K174</f>
        <v>7.6949938474205865E-2</v>
      </c>
      <c r="Y175" s="3">
        <f>Data!IE174/Data!K174</f>
        <v>0.20206779077825401</v>
      </c>
      <c r="AA175" s="5">
        <f t="shared" si="12"/>
        <v>1</v>
      </c>
      <c r="AB175" s="14">
        <f t="shared" si="13"/>
        <v>0.10746524480175945</v>
      </c>
      <c r="AC175" s="5">
        <f t="shared" si="14"/>
        <v>0.22800270371951084</v>
      </c>
      <c r="AE175" s="15"/>
      <c r="AG175" s="5">
        <f t="shared" si="15"/>
        <v>1.0259349129412567</v>
      </c>
    </row>
    <row r="176" spans="1:33" x14ac:dyDescent="0.25">
      <c r="A176" s="1" t="s">
        <v>556</v>
      </c>
      <c r="B176">
        <v>1967</v>
      </c>
      <c r="C176" s="3">
        <f>Data!CT175/Data!K175</f>
        <v>0.12006623930339858</v>
      </c>
      <c r="D176" s="3">
        <f>Data!HK175/Data!K175</f>
        <v>0.60806918729074177</v>
      </c>
      <c r="E176" s="3">
        <f>Data!IC175/Data!K175</f>
        <v>1.3786633890978424E-2</v>
      </c>
      <c r="F176" s="3">
        <v>0</v>
      </c>
      <c r="G176" s="3">
        <f>Data!HI175/Data!K175</f>
        <v>0.13195224824051796</v>
      </c>
      <c r="H176" s="3"/>
      <c r="I176" s="3">
        <f t="shared" si="10"/>
        <v>9.9885705081603673E-2</v>
      </c>
      <c r="J176" s="3"/>
      <c r="K176" s="3"/>
      <c r="L176" s="3"/>
      <c r="M176" s="3"/>
      <c r="N176" s="3"/>
      <c r="O176" s="3">
        <f t="shared" si="11"/>
        <v>0.10591065032110135</v>
      </c>
      <c r="P176" s="3"/>
      <c r="Q176" s="3"/>
      <c r="R176" s="3"/>
      <c r="S176" s="3">
        <f>(Data!K175-Data!AN175)/Data!K175</f>
        <v>0.11199700208178237</v>
      </c>
      <c r="V176" s="3"/>
      <c r="W176" s="3">
        <f>Data!HU175/Data!K175</f>
        <v>7.4137455224770943E-2</v>
      </c>
      <c r="Y176" s="3">
        <f>Data!IE175/Data!K175</f>
        <v>0.20579635540270502</v>
      </c>
      <c r="AA176" s="5">
        <f t="shared" si="12"/>
        <v>1.0000000000000002</v>
      </c>
      <c r="AB176" s="14">
        <f t="shared" si="13"/>
        <v>0.11163694814393808</v>
      </c>
      <c r="AC176" s="5">
        <f t="shared" si="14"/>
        <v>0.23175187007832404</v>
      </c>
      <c r="AE176" s="15"/>
      <c r="AG176" s="5">
        <f t="shared" si="15"/>
        <v>1.0259555146756192</v>
      </c>
    </row>
    <row r="177" spans="1:33" x14ac:dyDescent="0.25">
      <c r="A177" s="1" t="s">
        <v>556</v>
      </c>
      <c r="B177">
        <v>1968</v>
      </c>
      <c r="C177" s="3">
        <f>Data!CT176/Data!K176</f>
        <v>0.12046232192284202</v>
      </c>
      <c r="D177" s="3">
        <f>Data!HK176/Data!K176</f>
        <v>0.61606156106884757</v>
      </c>
      <c r="E177" s="3">
        <f>Data!IC176/Data!K176</f>
        <v>1.4317751360125083E-2</v>
      </c>
      <c r="F177" s="3">
        <v>0</v>
      </c>
      <c r="G177" s="3">
        <f>Data!HI176/Data!K176</f>
        <v>0.1399495827450713</v>
      </c>
      <c r="H177" s="3"/>
      <c r="I177" s="3">
        <f t="shared" si="10"/>
        <v>0.10751700153546179</v>
      </c>
      <c r="J177" s="3"/>
      <c r="K177" s="3"/>
      <c r="L177" s="3"/>
      <c r="M177" s="3"/>
      <c r="N177" s="3"/>
      <c r="O177" s="3">
        <f t="shared" si="11"/>
        <v>9.8652524637630468E-2</v>
      </c>
      <c r="P177" s="3"/>
      <c r="Q177" s="3"/>
      <c r="R177" s="3"/>
      <c r="S177" s="3">
        <f>(Data!K176-Data!AN176)/Data!K176</f>
        <v>0.10871214551171876</v>
      </c>
      <c r="V177" s="3"/>
      <c r="W177" s="3">
        <f>Data!HU176/Data!K176</f>
        <v>6.9056767246341327E-2</v>
      </c>
      <c r="Y177" s="3">
        <f>Data!IE176/Data!K176</f>
        <v>0.20616952617309225</v>
      </c>
      <c r="AA177" s="5">
        <f t="shared" si="12"/>
        <v>1</v>
      </c>
      <c r="AB177" s="14">
        <f t="shared" si="13"/>
        <v>0.11118884965447628</v>
      </c>
      <c r="AC177" s="5">
        <f t="shared" si="14"/>
        <v>0.23131643176206101</v>
      </c>
      <c r="AE177" s="15"/>
      <c r="AG177" s="5">
        <f t="shared" si="15"/>
        <v>1.0251469055889688</v>
      </c>
    </row>
    <row r="178" spans="1:33" x14ac:dyDescent="0.25">
      <c r="A178" s="1" t="s">
        <v>556</v>
      </c>
      <c r="B178">
        <v>1969</v>
      </c>
      <c r="C178" s="3">
        <f>Data!CT177/Data!K177</f>
        <v>0.11687780496506703</v>
      </c>
      <c r="D178" s="3">
        <f>Data!HK177/Data!K177</f>
        <v>0.61186724931300929</v>
      </c>
      <c r="E178" s="3">
        <f>Data!IC177/Data!K177</f>
        <v>1.4605432315272671E-2</v>
      </c>
      <c r="F178" s="3">
        <v>0</v>
      </c>
      <c r="G178" s="3">
        <f>Data!HI177/Data!K177</f>
        <v>0.14175318786693064</v>
      </c>
      <c r="H178" s="3"/>
      <c r="I178" s="3">
        <f t="shared" si="10"/>
        <v>0.11653458365142898</v>
      </c>
      <c r="J178" s="3"/>
      <c r="K178" s="3"/>
      <c r="L178" s="3"/>
      <c r="M178" s="3"/>
      <c r="N178" s="3"/>
      <c r="O178" s="3">
        <f t="shared" si="11"/>
        <v>9.219116545130078E-2</v>
      </c>
      <c r="P178" s="3"/>
      <c r="Q178" s="3"/>
      <c r="R178" s="3"/>
      <c r="S178" s="3">
        <f>(Data!K177-Data!AN177)/Data!K177</f>
        <v>0.11487318576835041</v>
      </c>
      <c r="V178" s="3"/>
      <c r="W178" s="3">
        <f>Data!HU177/Data!K177</f>
        <v>6.4533815815910542E-2</v>
      </c>
      <c r="Y178" s="3">
        <f>Data!IE177/Data!K177</f>
        <v>0.20872574910272976</v>
      </c>
      <c r="AA178" s="5">
        <f t="shared" si="12"/>
        <v>1</v>
      </c>
      <c r="AB178" s="14">
        <f t="shared" si="13"/>
        <v>0.11955491387531549</v>
      </c>
      <c r="AC178" s="5">
        <f t="shared" si="14"/>
        <v>0.23581451352133981</v>
      </c>
      <c r="AE178" s="15"/>
      <c r="AG178" s="5">
        <f t="shared" si="15"/>
        <v>1.0270887644186102</v>
      </c>
    </row>
    <row r="179" spans="1:33" x14ac:dyDescent="0.25">
      <c r="A179" s="1" t="s">
        <v>556</v>
      </c>
      <c r="B179">
        <v>1970</v>
      </c>
      <c r="C179" s="3">
        <f>Data!CT178/Data!K178</f>
        <v>0.11488686406064524</v>
      </c>
      <c r="D179" s="3">
        <f>Data!HK178/Data!K178</f>
        <v>0.60750790690583178</v>
      </c>
      <c r="E179" s="3">
        <f>Data!IC178/Data!K178</f>
        <v>1.4922557338507886E-2</v>
      </c>
      <c r="F179" s="3">
        <v>0</v>
      </c>
      <c r="G179" s="3">
        <f>Data!HI178/Data!K178</f>
        <v>0.14541916775498145</v>
      </c>
      <c r="H179" s="3"/>
      <c r="I179" s="3">
        <f t="shared" si="10"/>
        <v>0.11255775024920173</v>
      </c>
      <c r="J179" s="3"/>
      <c r="K179" s="3"/>
      <c r="L179" s="3"/>
      <c r="M179" s="3"/>
      <c r="N179" s="3"/>
      <c r="O179" s="3">
        <f t="shared" si="11"/>
        <v>8.9981266136435062E-2</v>
      </c>
      <c r="P179" s="3"/>
      <c r="Q179" s="3"/>
      <c r="R179" s="3"/>
      <c r="S179" s="3">
        <f>(Data!K178-Data!AN178)/Data!K178</f>
        <v>0.12696619041302698</v>
      </c>
      <c r="V179" s="3"/>
      <c r="W179" s="3">
        <f>Data!HU178/Data!K178</f>
        <v>6.2986886295504543E-2</v>
      </c>
      <c r="Y179" s="3">
        <f>Data!IE178/Data!K178</f>
        <v>0.20253901638563679</v>
      </c>
      <c r="AA179" s="5">
        <f t="shared" si="12"/>
        <v>1</v>
      </c>
      <c r="AB179" s="14">
        <f t="shared" si="13"/>
        <v>0.11561367204894675</v>
      </c>
      <c r="AC179" s="5">
        <f t="shared" si="14"/>
        <v>0.23199447050218683</v>
      </c>
      <c r="AE179" s="15"/>
      <c r="AG179" s="5">
        <f t="shared" si="15"/>
        <v>1.0294554541165502</v>
      </c>
    </row>
    <row r="180" spans="1:33" x14ac:dyDescent="0.25">
      <c r="A180" s="1" t="s">
        <v>556</v>
      </c>
      <c r="B180">
        <v>1971</v>
      </c>
      <c r="C180" s="3">
        <f>Data!CT179/Data!K179</f>
        <v>0.11946512040384995</v>
      </c>
      <c r="D180" s="3">
        <f>Data!HK179/Data!K179</f>
        <v>0.61580427713293207</v>
      </c>
      <c r="E180" s="3">
        <f>Data!IC179/Data!K179</f>
        <v>1.5674419218600306E-2</v>
      </c>
      <c r="F180" s="3">
        <v>0</v>
      </c>
      <c r="G180" s="3">
        <f>Data!HI179/Data!K179</f>
        <v>0.154719325414065</v>
      </c>
      <c r="H180" s="3"/>
      <c r="I180" s="3">
        <f t="shared" si="10"/>
        <v>0.10935593625437709</v>
      </c>
      <c r="J180" s="3"/>
      <c r="K180" s="3"/>
      <c r="L180" s="3"/>
      <c r="M180" s="3"/>
      <c r="N180" s="3"/>
      <c r="O180" s="3">
        <f t="shared" si="11"/>
        <v>9.3737066374008943E-2</v>
      </c>
      <c r="P180" s="3"/>
      <c r="Q180" s="3"/>
      <c r="R180" s="3"/>
      <c r="S180" s="3">
        <f>(Data!K179-Data!AN179)/Data!K179</f>
        <v>0.1154867737768757</v>
      </c>
      <c r="V180" s="3"/>
      <c r="W180" s="3">
        <f>Data!HU179/Data!K179</f>
        <v>6.5615946461806254E-2</v>
      </c>
      <c r="Y180" s="3">
        <f>Data!IE179/Data!K179</f>
        <v>0.20309300262838603</v>
      </c>
      <c r="AA180" s="5">
        <f t="shared" si="12"/>
        <v>1</v>
      </c>
      <c r="AB180" s="14">
        <f t="shared" si="13"/>
        <v>0.10931061927796121</v>
      </c>
      <c r="AC180" s="5">
        <f t="shared" si="14"/>
        <v>0.2296099104086822</v>
      </c>
      <c r="AE180" s="15"/>
      <c r="AG180" s="5">
        <f t="shared" si="15"/>
        <v>1.0265169077802963</v>
      </c>
    </row>
    <row r="181" spans="1:33" x14ac:dyDescent="0.25">
      <c r="A181" s="1" t="s">
        <v>556</v>
      </c>
      <c r="B181">
        <v>1972</v>
      </c>
      <c r="C181" s="3">
        <f>Data!CT180/Data!K180</f>
        <v>0.12063546452283802</v>
      </c>
      <c r="D181" s="3">
        <f>Data!HK180/Data!K180</f>
        <v>0.61361410086119461</v>
      </c>
      <c r="E181" s="3">
        <f>Data!IC180/Data!K180</f>
        <v>1.5812544826048349E-2</v>
      </c>
      <c r="F181" s="3">
        <v>0</v>
      </c>
      <c r="G181" s="3">
        <f>Data!HI180/Data!K180</f>
        <v>0.15771716646567521</v>
      </c>
      <c r="H181" s="3"/>
      <c r="I181" s="3">
        <f t="shared" si="10"/>
        <v>0.10775905407517426</v>
      </c>
      <c r="J181" s="3"/>
      <c r="K181" s="3"/>
      <c r="L181" s="3"/>
      <c r="M181" s="3"/>
      <c r="N181" s="3"/>
      <c r="O181" s="3">
        <f t="shared" si="11"/>
        <v>8.581870819260963E-2</v>
      </c>
      <c r="P181" s="3"/>
      <c r="Q181" s="3"/>
      <c r="R181" s="3"/>
      <c r="S181" s="3">
        <f>(Data!K180-Data!AN180)/Data!K180</f>
        <v>0.13273504113619478</v>
      </c>
      <c r="V181" s="3"/>
      <c r="W181" s="3">
        <f>Data!HU180/Data!K180</f>
        <v>6.0073095734826734E-2</v>
      </c>
      <c r="Y181" s="3">
        <f>Data!IE180/Data!K180</f>
        <v>0.19357776226778389</v>
      </c>
      <c r="AA181" s="5">
        <f t="shared" si="12"/>
        <v>1</v>
      </c>
      <c r="AB181" s="14">
        <f t="shared" si="13"/>
        <v>9.7695441042454881E-2</v>
      </c>
      <c r="AC181" s="5">
        <f t="shared" si="14"/>
        <v>0.22320486984898835</v>
      </c>
      <c r="AE181" s="15"/>
      <c r="AG181" s="5">
        <f t="shared" si="15"/>
        <v>1.0296271075812045</v>
      </c>
    </row>
    <row r="182" spans="1:33" x14ac:dyDescent="0.25">
      <c r="A182" s="1" t="s">
        <v>556</v>
      </c>
      <c r="B182">
        <v>1973</v>
      </c>
      <c r="C182" s="3">
        <f>Data!CT181/Data!K181</f>
        <v>0.12082665026173657</v>
      </c>
      <c r="D182" s="3">
        <f>Data!HK181/Data!K181</f>
        <v>0.59567971782175289</v>
      </c>
      <c r="E182" s="3">
        <f>Data!IC181/Data!K181</f>
        <v>1.5771578283002241E-2</v>
      </c>
      <c r="F182" s="3">
        <v>0</v>
      </c>
      <c r="G182" s="3">
        <f>Data!HI181/Data!K181</f>
        <v>0.15562145172991809</v>
      </c>
      <c r="H182" s="3"/>
      <c r="I182" s="3">
        <f t="shared" si="10"/>
        <v>0.13256473025945767</v>
      </c>
      <c r="J182" s="3"/>
      <c r="K182" s="3"/>
      <c r="L182" s="3"/>
      <c r="M182" s="3"/>
      <c r="N182" s="3"/>
      <c r="O182" s="3">
        <f t="shared" si="11"/>
        <v>8.4499202495310483E-2</v>
      </c>
      <c r="P182" s="3"/>
      <c r="Q182" s="3"/>
      <c r="R182" s="3"/>
      <c r="S182" s="3">
        <f>(Data!K181-Data!AN181)/Data!K181</f>
        <v>0.12810690767676156</v>
      </c>
      <c r="V182" s="3"/>
      <c r="W182" s="3">
        <f>Data!HU181/Data!K181</f>
        <v>5.9149441746717338E-2</v>
      </c>
      <c r="Y182" s="3">
        <f>Data!IE181/Data!K181</f>
        <v>0.21706393275476815</v>
      </c>
      <c r="AA182" s="5">
        <f t="shared" si="12"/>
        <v>1</v>
      </c>
      <c r="AB182" s="14">
        <f t="shared" si="13"/>
        <v>0.12813417975230357</v>
      </c>
      <c r="AC182" s="5">
        <f t="shared" si="14"/>
        <v>0.24895705065902238</v>
      </c>
      <c r="AE182" s="15"/>
      <c r="AG182" s="5">
        <f t="shared" si="15"/>
        <v>1.0318931179042541</v>
      </c>
    </row>
    <row r="183" spans="1:33" x14ac:dyDescent="0.25">
      <c r="A183" s="1" t="s">
        <v>556</v>
      </c>
      <c r="B183">
        <v>1974</v>
      </c>
      <c r="C183" s="3">
        <f>Data!CT182/Data!K182</f>
        <v>0.12641969409813131</v>
      </c>
      <c r="D183" s="3">
        <f>Data!HK182/Data!K182</f>
        <v>0.60496154649211875</v>
      </c>
      <c r="E183" s="3">
        <f>Data!IC182/Data!K182</f>
        <v>1.6203937271112877E-2</v>
      </c>
      <c r="F183" s="3">
        <v>0</v>
      </c>
      <c r="G183" s="3">
        <f>Data!HI182/Data!K182</f>
        <v>0.15732017541049836</v>
      </c>
      <c r="H183" s="3"/>
      <c r="I183" s="3">
        <f t="shared" si="10"/>
        <v>0.13462810020461602</v>
      </c>
      <c r="J183" s="3"/>
      <c r="K183" s="3"/>
      <c r="L183" s="3"/>
      <c r="M183" s="3"/>
      <c r="N183" s="3"/>
      <c r="O183" s="3">
        <f t="shared" si="11"/>
        <v>9.7270076474743547E-2</v>
      </c>
      <c r="P183" s="3"/>
      <c r="Q183" s="3"/>
      <c r="R183" s="3"/>
      <c r="S183" s="3">
        <f>(Data!K182-Data!AN182)/Data!K182</f>
        <v>9.5051223296201151E-2</v>
      </c>
      <c r="V183" s="3"/>
      <c r="W183" s="3">
        <f>Data!HU182/Data!K182</f>
        <v>6.8089053532320476E-2</v>
      </c>
      <c r="Y183" s="3">
        <f>Data!IE182/Data!K182</f>
        <v>0.23189817667935955</v>
      </c>
      <c r="AA183" s="5">
        <f t="shared" si="12"/>
        <v>0.99999999999999989</v>
      </c>
      <c r="AB183" s="14">
        <f t="shared" si="13"/>
        <v>0.13548431900347405</v>
      </c>
      <c r="AC183" s="5">
        <f t="shared" si="14"/>
        <v>0.25625558335360099</v>
      </c>
      <c r="AE183" s="15"/>
      <c r="AG183" s="5">
        <f t="shared" si="15"/>
        <v>1.0243574066742414</v>
      </c>
    </row>
    <row r="184" spans="1:33" x14ac:dyDescent="0.25">
      <c r="A184" s="1" t="s">
        <v>556</v>
      </c>
      <c r="B184">
        <v>1975</v>
      </c>
      <c r="C184" s="3">
        <f>Data!CT183/Data!K183</f>
        <v>0.1259244318316366</v>
      </c>
      <c r="D184" s="3">
        <f>Data!HK183/Data!K183</f>
        <v>0.62128680199239084</v>
      </c>
      <c r="E184" s="3">
        <f>Data!IC183/Data!K183</f>
        <v>1.5915984785424383E-2</v>
      </c>
      <c r="F184" s="3">
        <v>0</v>
      </c>
      <c r="G184" s="3">
        <f>Data!HI183/Data!K183</f>
        <v>0.16460348094143282</v>
      </c>
      <c r="H184" s="3"/>
      <c r="I184" s="3">
        <f t="shared" si="10"/>
        <v>0.12425258267686745</v>
      </c>
      <c r="J184" s="3"/>
      <c r="K184" s="3"/>
      <c r="L184" s="3"/>
      <c r="M184" s="3"/>
      <c r="N184" s="3"/>
      <c r="O184" s="3">
        <f t="shared" si="11"/>
        <v>9.3286595436675862E-2</v>
      </c>
      <c r="P184" s="3"/>
      <c r="Q184" s="3"/>
      <c r="R184" s="3"/>
      <c r="S184" s="3">
        <f>(Data!K183-Data!AN183)/Data!K183</f>
        <v>9.5873403088392706E-2</v>
      </c>
      <c r="V184" s="3"/>
      <c r="W184" s="3">
        <f>Data!HU183/Data!K183</f>
        <v>6.5300616805673103E-2</v>
      </c>
      <c r="Y184" s="3">
        <f>Data!IE183/Data!K183</f>
        <v>0.21753917811354331</v>
      </c>
      <c r="AA184" s="5">
        <f t="shared" si="12"/>
        <v>1</v>
      </c>
      <c r="AB184" s="14">
        <f t="shared" si="13"/>
        <v>0.11772615188302911</v>
      </c>
      <c r="AC184" s="5">
        <f t="shared" si="14"/>
        <v>0.24060698895114047</v>
      </c>
      <c r="AE184" s="15"/>
      <c r="AG184" s="5">
        <f t="shared" si="15"/>
        <v>1.0230678108375972</v>
      </c>
    </row>
    <row r="185" spans="1:33" x14ac:dyDescent="0.25">
      <c r="A185" s="1" t="s">
        <v>556</v>
      </c>
      <c r="B185">
        <v>1976</v>
      </c>
      <c r="C185" s="3">
        <f>Data!CT184/Data!K184</f>
        <v>0.1308494317343798</v>
      </c>
      <c r="D185" s="3">
        <f>Data!HK184/Data!K184</f>
        <v>0.6555999128202864</v>
      </c>
      <c r="E185" s="3">
        <f>Data!IC184/Data!K184</f>
        <v>1.6342990380048741E-2</v>
      </c>
      <c r="F185" s="3">
        <v>0</v>
      </c>
      <c r="G185" s="3">
        <f>Data!HI184/Data!K184</f>
        <v>0.17463394650426495</v>
      </c>
      <c r="H185" s="3"/>
      <c r="I185" s="3">
        <f t="shared" si="10"/>
        <v>9.2801042842805673E-2</v>
      </c>
      <c r="J185" s="3"/>
      <c r="K185" s="3"/>
      <c r="L185" s="3"/>
      <c r="M185" s="3"/>
      <c r="N185" s="3"/>
      <c r="O185" s="3">
        <f t="shared" si="11"/>
        <v>9.4612841603185074E-2</v>
      </c>
      <c r="P185" s="3"/>
      <c r="Q185" s="3"/>
      <c r="R185" s="3"/>
      <c r="S185" s="3">
        <f>(Data!K184-Data!AN184)/Data!K184</f>
        <v>9.0757213611493318E-2</v>
      </c>
      <c r="V185" s="3"/>
      <c r="W185" s="3">
        <f>Data!HU184/Data!K184</f>
        <v>6.6228989122229548E-2</v>
      </c>
      <c r="Y185" s="3">
        <f>Data!IE184/Data!K184</f>
        <v>0.18741388444599075</v>
      </c>
      <c r="AA185" s="5">
        <f t="shared" si="12"/>
        <v>1</v>
      </c>
      <c r="AB185" s="14">
        <f t="shared" si="13"/>
        <v>7.2668211224317214E-2</v>
      </c>
      <c r="AC185" s="5">
        <f t="shared" si="14"/>
        <v>0.20612083730726619</v>
      </c>
      <c r="AE185" s="15"/>
      <c r="AG185" s="5">
        <f t="shared" si="15"/>
        <v>1.0187069528612753</v>
      </c>
    </row>
    <row r="186" spans="1:33" x14ac:dyDescent="0.25">
      <c r="A186" s="1" t="s">
        <v>556</v>
      </c>
      <c r="B186">
        <v>1977</v>
      </c>
      <c r="C186" s="3">
        <f>Data!CT185/Data!K185</f>
        <v>0.13686318937578254</v>
      </c>
      <c r="D186" s="3">
        <f>Data!HK185/Data!K185</f>
        <v>0.67561720798787928</v>
      </c>
      <c r="E186" s="3">
        <f>Data!IC185/Data!K185</f>
        <v>1.7295425119492197E-2</v>
      </c>
      <c r="F186" s="3">
        <v>0</v>
      </c>
      <c r="G186" s="3">
        <f>Data!HI185/Data!K185</f>
        <v>0.1940594869766728</v>
      </c>
      <c r="H186" s="3"/>
      <c r="I186" s="3">
        <f t="shared" si="10"/>
        <v>7.8818320937485475E-2</v>
      </c>
      <c r="J186" s="3"/>
      <c r="K186" s="3"/>
      <c r="L186" s="3"/>
      <c r="M186" s="3"/>
      <c r="N186" s="3"/>
      <c r="O186" s="3">
        <f t="shared" si="11"/>
        <v>8.6664731111333743E-2</v>
      </c>
      <c r="P186" s="3"/>
      <c r="Q186" s="3"/>
      <c r="R186" s="3"/>
      <c r="S186" s="3">
        <f>(Data!K185-Data!AN185)/Data!K185</f>
        <v>9.8234428185367803E-2</v>
      </c>
      <c r="V186" s="3"/>
      <c r="W186" s="3">
        <f>Data!HU185/Data!K185</f>
        <v>6.0665311777933613E-2</v>
      </c>
      <c r="Y186" s="3">
        <f>Data!IE185/Data!K185</f>
        <v>0.16548305204881922</v>
      </c>
      <c r="AA186" s="5">
        <f t="shared" si="12"/>
        <v>0.99999999999999989</v>
      </c>
      <c r="AB186" s="14">
        <f t="shared" si="13"/>
        <v>3.741635969518594E-2</v>
      </c>
      <c r="AC186" s="5">
        <f t="shared" si="14"/>
        <v>0.18351005762597031</v>
      </c>
      <c r="AE186" s="15"/>
      <c r="AG186" s="5">
        <f t="shared" si="15"/>
        <v>1.018027005577151</v>
      </c>
    </row>
    <row r="187" spans="1:33" x14ac:dyDescent="0.25">
      <c r="A187" s="1" t="s">
        <v>556</v>
      </c>
      <c r="B187">
        <v>1978</v>
      </c>
      <c r="C187" s="3">
        <f>Data!CT186/Data!K186</f>
        <v>0.13975389981441916</v>
      </c>
      <c r="D187" s="3">
        <f>Data!HK186/Data!K186</f>
        <v>0.67199973127231605</v>
      </c>
      <c r="E187" s="3">
        <f>Data!IC186/Data!K186</f>
        <v>1.7449771014968821E-2</v>
      </c>
      <c r="F187" s="3">
        <v>0</v>
      </c>
      <c r="G187" s="3">
        <f>Data!HI186/Data!K186</f>
        <v>0.20131875227447849</v>
      </c>
      <c r="H187" s="3"/>
      <c r="I187" s="3">
        <f t="shared" si="10"/>
        <v>7.7616212924851796E-2</v>
      </c>
      <c r="J187" s="3"/>
      <c r="K187" s="3"/>
      <c r="L187" s="3"/>
      <c r="M187" s="3"/>
      <c r="N187" s="3"/>
      <c r="O187" s="3">
        <f t="shared" si="11"/>
        <v>8.450519385746133E-2</v>
      </c>
      <c r="P187" s="3"/>
      <c r="Q187" s="3"/>
      <c r="R187" s="3"/>
      <c r="S187" s="3">
        <f>(Data!K186-Data!AN186)/Data!K186</f>
        <v>0.10672522624514784</v>
      </c>
      <c r="V187" s="3"/>
      <c r="W187" s="3">
        <f>Data!HU186/Data!K186</f>
        <v>5.9153635700222931E-2</v>
      </c>
      <c r="Y187" s="3">
        <f>Data!IE186/Data!K186</f>
        <v>0.16212140678231313</v>
      </c>
      <c r="AA187" s="5">
        <f t="shared" si="12"/>
        <v>0.99999999999999989</v>
      </c>
      <c r="AB187" s="14">
        <f t="shared" si="13"/>
        <v>2.9683991169250811E-2</v>
      </c>
      <c r="AC187" s="5">
        <f t="shared" ref="AC187:AC209" si="16">(Y187)/(1-S187)</f>
        <v>0.18149108375784634</v>
      </c>
      <c r="AE187" s="15"/>
      <c r="AG187" s="5">
        <f t="shared" ref="AG187:AG209" si="17">AC187+D187+W187+S187</f>
        <v>1.0193696769755332</v>
      </c>
    </row>
    <row r="188" spans="1:33" x14ac:dyDescent="0.25">
      <c r="A188" s="1" t="s">
        <v>556</v>
      </c>
      <c r="B188">
        <v>1979</v>
      </c>
      <c r="C188" s="3">
        <f>Data!CT187/Data!K187</f>
        <v>0.13596940669006974</v>
      </c>
      <c r="D188" s="3">
        <f>Data!HK187/Data!K187</f>
        <v>0.65858535779528726</v>
      </c>
      <c r="E188" s="3">
        <f>Data!IC187/Data!K187</f>
        <v>1.7647658492832043E-2</v>
      </c>
      <c r="F188" s="3">
        <v>0</v>
      </c>
      <c r="G188" s="3">
        <f>Data!HI187/Data!K187</f>
        <v>0.20337560390230006</v>
      </c>
      <c r="H188" s="3"/>
      <c r="I188" s="3">
        <f t="shared" ref="I188:I209" si="18">Y188-O188</f>
        <v>0.10199921867827993</v>
      </c>
      <c r="J188" s="3"/>
      <c r="K188" s="3"/>
      <c r="L188" s="3"/>
      <c r="M188" s="3"/>
      <c r="N188" s="3"/>
      <c r="O188" s="3">
        <f t="shared" ref="O188:O209" si="19">W188/0.7</f>
        <v>8.0399964765497933E-2</v>
      </c>
      <c r="P188" s="3"/>
      <c r="Q188" s="3"/>
      <c r="R188" s="3"/>
      <c r="S188" s="3">
        <f>(Data!K187-Data!AN187)/Data!K187</f>
        <v>0.1027354834250864</v>
      </c>
      <c r="V188" s="3"/>
      <c r="W188" s="3">
        <f>Data!HU187/Data!K187</f>
        <v>5.6279975335848546E-2</v>
      </c>
      <c r="Y188" s="3">
        <f>Data!IE187/Data!K187</f>
        <v>0.18239918344377787</v>
      </c>
      <c r="AA188" s="5">
        <f t="shared" ref="AA188:AA209" si="20">D188+Y188+W188+S188</f>
        <v>1</v>
      </c>
      <c r="AB188" s="14">
        <f t="shared" ref="AB188:AB209" si="21">(Y188-C188)/(1-S188-C188)</f>
        <v>6.0987882558094009E-2</v>
      </c>
      <c r="AC188" s="5">
        <f t="shared" si="16"/>
        <v>0.20328362492260571</v>
      </c>
      <c r="AE188" s="15"/>
      <c r="AG188" s="5">
        <f t="shared" si="17"/>
        <v>1.0208844414788278</v>
      </c>
    </row>
    <row r="189" spans="1:33" x14ac:dyDescent="0.25">
      <c r="A189" s="1" t="s">
        <v>556</v>
      </c>
      <c r="B189">
        <v>1980</v>
      </c>
      <c r="C189" s="3">
        <f>Data!CT188/Data!K188</f>
        <v>0.13617371347570928</v>
      </c>
      <c r="D189" s="3">
        <f>Data!HK188/Data!K188</f>
        <v>0.65171300084860606</v>
      </c>
      <c r="E189" s="3">
        <f>Data!IC188/Data!K188</f>
        <v>1.8073363532913264E-2</v>
      </c>
      <c r="F189" s="3">
        <v>0</v>
      </c>
      <c r="G189" s="3">
        <f>Data!HI188/Data!K188</f>
        <v>0.20715966315819379</v>
      </c>
      <c r="H189" s="3"/>
      <c r="I189" s="3">
        <f t="shared" si="18"/>
        <v>0.10459439917950171</v>
      </c>
      <c r="J189" s="3"/>
      <c r="K189" s="3"/>
      <c r="L189" s="3"/>
      <c r="M189" s="3"/>
      <c r="N189" s="3"/>
      <c r="O189" s="3">
        <f t="shared" si="19"/>
        <v>8.0481667108022362E-2</v>
      </c>
      <c r="P189" s="3"/>
      <c r="Q189" s="3"/>
      <c r="R189" s="3"/>
      <c r="S189" s="3">
        <f>(Data!K188-Data!AN188)/Data!K188</f>
        <v>0.1068737658882542</v>
      </c>
      <c r="V189" s="3"/>
      <c r="W189" s="3">
        <f>Data!HU188/Data!K188</f>
        <v>5.6337166975615645E-2</v>
      </c>
      <c r="Y189" s="3">
        <f>Data!IE188/Data!K188</f>
        <v>0.18507606628752407</v>
      </c>
      <c r="AA189" s="5">
        <f t="shared" si="20"/>
        <v>1</v>
      </c>
      <c r="AB189" s="14">
        <f t="shared" si="21"/>
        <v>6.4604253871463596E-2</v>
      </c>
      <c r="AC189" s="5">
        <f t="shared" si="16"/>
        <v>0.20722274099538743</v>
      </c>
      <c r="AE189" s="15"/>
      <c r="AG189" s="5">
        <f t="shared" si="17"/>
        <v>1.0221466747078634</v>
      </c>
    </row>
    <row r="190" spans="1:33" x14ac:dyDescent="0.25">
      <c r="A190" s="1" t="s">
        <v>556</v>
      </c>
      <c r="B190">
        <v>1981</v>
      </c>
      <c r="C190" s="3">
        <f>Data!CT189/Data!K189</f>
        <v>0.13814965653105638</v>
      </c>
      <c r="D190" s="3">
        <f>Data!HK189/Data!K189</f>
        <v>0.64671955790279922</v>
      </c>
      <c r="E190" s="3">
        <f>Data!IC189/Data!K189</f>
        <v>1.8679736687866797E-2</v>
      </c>
      <c r="F190" s="3">
        <v>0</v>
      </c>
      <c r="G190" s="3">
        <f>Data!HI189/Data!K189</f>
        <v>0.20626519791873671</v>
      </c>
      <c r="H190" s="3"/>
      <c r="I190" s="3">
        <f t="shared" si="18"/>
        <v>0.1017192456968051</v>
      </c>
      <c r="J190" s="3"/>
      <c r="K190" s="3"/>
      <c r="L190" s="3"/>
      <c r="M190" s="3"/>
      <c r="N190" s="3"/>
      <c r="O190" s="3">
        <f t="shared" si="19"/>
        <v>8.1125956359878293E-2</v>
      </c>
      <c r="P190" s="3"/>
      <c r="Q190" s="3"/>
      <c r="R190" s="3"/>
      <c r="S190" s="3">
        <f>(Data!K189-Data!AN189)/Data!K189</f>
        <v>0.11364707058860274</v>
      </c>
      <c r="V190" s="3"/>
      <c r="W190" s="3">
        <f>Data!HU189/Data!K189</f>
        <v>5.6788169451914804E-2</v>
      </c>
      <c r="Y190" s="3">
        <f>Data!IE189/Data!K189</f>
        <v>0.18284520205668339</v>
      </c>
      <c r="AA190" s="5">
        <f>D190+Y190+W190+S190</f>
        <v>1.0000000000000002</v>
      </c>
      <c r="AB190" s="14">
        <f t="shared" si="21"/>
        <v>5.9737169223496721E-2</v>
      </c>
      <c r="AC190" s="5">
        <f t="shared" si="16"/>
        <v>0.20628938652925297</v>
      </c>
      <c r="AE190" s="15"/>
      <c r="AG190" s="5">
        <f t="shared" si="17"/>
        <v>1.0234441844725697</v>
      </c>
    </row>
    <row r="191" spans="1:33" x14ac:dyDescent="0.25">
      <c r="A191" s="1" t="s">
        <v>556</v>
      </c>
      <c r="B191">
        <v>1982</v>
      </c>
      <c r="C191" s="3">
        <f>Data!CT190/Data!K190</f>
        <v>0.13995532029520308</v>
      </c>
      <c r="D191" s="3">
        <f>Data!HK190/Data!K190</f>
        <v>0.62688161364253903</v>
      </c>
      <c r="E191" s="3">
        <f>Data!IC190/Data!K190</f>
        <v>1.8868546501310229E-2</v>
      </c>
      <c r="F191" s="3">
        <v>0</v>
      </c>
      <c r="G191" s="3">
        <f>Data!HI190/Data!K190</f>
        <v>0.2052052180069355</v>
      </c>
      <c r="H191" s="3"/>
      <c r="I191" s="3">
        <f t="shared" si="18"/>
        <v>0.12496396081203628</v>
      </c>
      <c r="J191" s="3"/>
      <c r="K191" s="3"/>
      <c r="L191" s="3"/>
      <c r="M191" s="3"/>
      <c r="N191" s="3"/>
      <c r="O191" s="3">
        <f t="shared" si="19"/>
        <v>8.3729977882742695E-2</v>
      </c>
      <c r="P191" s="3"/>
      <c r="Q191" s="3"/>
      <c r="R191" s="3"/>
      <c r="S191" s="3">
        <f>(Data!K190-Data!AN190)/Data!K190</f>
        <v>0.10581346314476216</v>
      </c>
      <c r="V191" s="3"/>
      <c r="W191" s="3">
        <f>Data!HU190/Data!K190</f>
        <v>5.8610984517919879E-2</v>
      </c>
      <c r="Y191" s="3">
        <f>Data!IE190/Data!K190</f>
        <v>0.20869393869477898</v>
      </c>
      <c r="AA191" s="5">
        <f t="shared" si="20"/>
        <v>1.0000000000000002</v>
      </c>
      <c r="AB191" s="14">
        <f t="shared" si="21"/>
        <v>9.1137328832775102E-2</v>
      </c>
      <c r="AC191" s="5">
        <f t="shared" si="16"/>
        <v>0.23338971242928139</v>
      </c>
      <c r="AE191" s="15"/>
      <c r="AG191" s="5">
        <f t="shared" si="17"/>
        <v>1.0246957737345026</v>
      </c>
    </row>
    <row r="192" spans="1:33" x14ac:dyDescent="0.25">
      <c r="A192" s="1" t="s">
        <v>556</v>
      </c>
      <c r="B192">
        <v>1983</v>
      </c>
      <c r="C192" s="3">
        <f>Data!CT191/Data!K191</f>
        <v>0.14016786425751743</v>
      </c>
      <c r="D192" s="3">
        <f>Data!HK191/Data!K191</f>
        <v>0.60484628067144219</v>
      </c>
      <c r="E192" s="3">
        <f>Data!IC191/Data!K191</f>
        <v>1.8892543413660517E-2</v>
      </c>
      <c r="F192" s="3">
        <v>0</v>
      </c>
      <c r="G192" s="3">
        <f>Data!HI191/Data!K191</f>
        <v>0.19830527198391062</v>
      </c>
      <c r="H192" s="3"/>
      <c r="I192" s="3">
        <f t="shared" si="18"/>
        <v>0.14537136292703115</v>
      </c>
      <c r="J192" s="3"/>
      <c r="K192" s="3"/>
      <c r="L192" s="3"/>
      <c r="M192" s="3"/>
      <c r="N192" s="3"/>
      <c r="O192" s="3">
        <f t="shared" si="19"/>
        <v>8.1704540618599802E-2</v>
      </c>
      <c r="P192" s="3"/>
      <c r="Q192" s="3"/>
      <c r="R192" s="3"/>
      <c r="S192" s="3">
        <f>(Data!K191-Data!AN191)/Data!K191</f>
        <v>0.1108846373499071</v>
      </c>
      <c r="V192" s="3"/>
      <c r="W192" s="3">
        <f>Data!HU191/Data!K191</f>
        <v>5.7193178433019853E-2</v>
      </c>
      <c r="Y192" s="3">
        <f>Data!IE191/Data!K191</f>
        <v>0.22707590354563095</v>
      </c>
      <c r="AA192" s="5">
        <f t="shared" si="20"/>
        <v>1.0000000000000002</v>
      </c>
      <c r="AB192" s="14">
        <f t="shared" si="21"/>
        <v>0.11604022908767228</v>
      </c>
      <c r="AC192" s="5">
        <f t="shared" si="16"/>
        <v>0.25539532110749907</v>
      </c>
      <c r="AE192" s="15"/>
      <c r="AG192" s="5">
        <f t="shared" si="17"/>
        <v>1.0283194175618682</v>
      </c>
    </row>
    <row r="193" spans="1:33" x14ac:dyDescent="0.25">
      <c r="A193" s="1" t="s">
        <v>556</v>
      </c>
      <c r="B193">
        <v>1984</v>
      </c>
      <c r="C193" s="3">
        <f>Data!CT192/Data!K192</f>
        <v>0.13443176738493123</v>
      </c>
      <c r="D193" s="3">
        <f>Data!HK192/Data!K192</f>
        <v>0.59658254811123457</v>
      </c>
      <c r="E193" s="3">
        <f>Data!IC192/Data!K192</f>
        <v>1.8262445943562283E-2</v>
      </c>
      <c r="F193" s="3">
        <v>0</v>
      </c>
      <c r="G193" s="3">
        <f>Data!HI192/Data!K192</f>
        <v>0.19200884078557839</v>
      </c>
      <c r="H193" s="3"/>
      <c r="I193" s="3">
        <f t="shared" si="18"/>
        <v>0.15447410052955818</v>
      </c>
      <c r="J193" s="3"/>
      <c r="K193" s="3"/>
      <c r="L193" s="3"/>
      <c r="M193" s="3"/>
      <c r="N193" s="3"/>
      <c r="O193" s="3">
        <f t="shared" si="19"/>
        <v>7.9665196889667375E-2</v>
      </c>
      <c r="P193" s="3"/>
      <c r="Q193" s="3"/>
      <c r="R193" s="3"/>
      <c r="S193" s="3">
        <f>(Data!K192-Data!AN192)/Data!K192</f>
        <v>0.1135125166467727</v>
      </c>
      <c r="V193" s="3"/>
      <c r="W193" s="3">
        <f>Data!HU192/Data!K192</f>
        <v>5.576563782276716E-2</v>
      </c>
      <c r="Y193" s="3">
        <f>Data!IE192/Data!K192</f>
        <v>0.23413929741922557</v>
      </c>
      <c r="AA193" s="5">
        <f t="shared" si="20"/>
        <v>1</v>
      </c>
      <c r="AB193" s="14">
        <f t="shared" si="21"/>
        <v>0.13257997767614554</v>
      </c>
      <c r="AC193" s="5">
        <f t="shared" si="16"/>
        <v>0.26412025191102567</v>
      </c>
      <c r="AE193" s="15"/>
      <c r="AG193" s="5">
        <f t="shared" si="17"/>
        <v>1.0299809544918002</v>
      </c>
    </row>
    <row r="194" spans="1:33" x14ac:dyDescent="0.25">
      <c r="A194" s="1" t="s">
        <v>556</v>
      </c>
      <c r="B194">
        <v>1985</v>
      </c>
      <c r="C194" s="3">
        <f>Data!CT193/Data!K193</f>
        <v>0.13470345585498711</v>
      </c>
      <c r="D194" s="3">
        <f>Data!HK193/Data!K193</f>
        <v>0.59966759925053648</v>
      </c>
      <c r="E194" s="3">
        <f>Data!IC193/Data!K193</f>
        <v>1.8225191253564452E-2</v>
      </c>
      <c r="F194" s="3">
        <v>0</v>
      </c>
      <c r="G194" s="3">
        <f>Data!HI193/Data!K193</f>
        <v>0.18825163483419252</v>
      </c>
      <c r="H194" s="3"/>
      <c r="I194" s="3">
        <f t="shared" si="18"/>
        <v>0.14925711198204961</v>
      </c>
      <c r="J194" s="3"/>
      <c r="K194" s="3"/>
      <c r="L194" s="3"/>
      <c r="M194" s="3"/>
      <c r="N194" s="3"/>
      <c r="O194" s="3">
        <f t="shared" si="19"/>
        <v>7.6439194150444686E-2</v>
      </c>
      <c r="P194" s="3"/>
      <c r="Q194" s="3"/>
      <c r="R194" s="3"/>
      <c r="S194" s="3">
        <f>(Data!K193-Data!AN193)/Data!K193</f>
        <v>0.12112865871165804</v>
      </c>
      <c r="V194" s="3"/>
      <c r="W194" s="3">
        <f>Data!HU193/Data!K193</f>
        <v>5.3507435905311276E-2</v>
      </c>
      <c r="Y194" s="3">
        <f>Data!IE193/Data!K193</f>
        <v>0.22569630613249431</v>
      </c>
      <c r="AA194" s="5">
        <f t="shared" si="20"/>
        <v>1.0000000000000002</v>
      </c>
      <c r="AB194" s="14">
        <f t="shared" si="21"/>
        <v>0.12227462654414184</v>
      </c>
      <c r="AC194" s="5">
        <f t="shared" si="16"/>
        <v>0.25680244141496861</v>
      </c>
      <c r="AE194" s="15"/>
      <c r="AG194" s="5">
        <f t="shared" si="17"/>
        <v>1.0311061352824744</v>
      </c>
    </row>
    <row r="195" spans="1:33" x14ac:dyDescent="0.25">
      <c r="A195" s="1" t="s">
        <v>556</v>
      </c>
      <c r="B195">
        <v>1986</v>
      </c>
      <c r="C195" s="3">
        <f>Data!CT194/Data!K194</f>
        <v>0.13216173899138783</v>
      </c>
      <c r="D195" s="3">
        <f>Data!HK194/Data!K194</f>
        <v>0.59536114027565357</v>
      </c>
      <c r="E195" s="3">
        <f>Data!IC194/Data!K194</f>
        <v>1.7732390564072366E-2</v>
      </c>
      <c r="F195" s="3">
        <v>0</v>
      </c>
      <c r="G195" s="3">
        <f>Data!HI194/Data!K194</f>
        <v>0.18645760722642948</v>
      </c>
      <c r="H195" s="3"/>
      <c r="I195" s="3">
        <f t="shared" si="18"/>
        <v>0.15874005823584092</v>
      </c>
      <c r="J195" s="3"/>
      <c r="K195" s="3"/>
      <c r="L195" s="3"/>
      <c r="M195" s="3"/>
      <c r="N195" s="3"/>
      <c r="O195" s="3">
        <f t="shared" si="19"/>
        <v>7.573422221362848E-2</v>
      </c>
      <c r="P195" s="3"/>
      <c r="Q195" s="3"/>
      <c r="R195" s="3"/>
      <c r="S195" s="3">
        <f>(Data!K194-Data!AN194)/Data!K194</f>
        <v>0.11715062372533706</v>
      </c>
      <c r="V195" s="3"/>
      <c r="W195" s="3">
        <f>Data!HU194/Data!K194</f>
        <v>5.3013955549539929E-2</v>
      </c>
      <c r="Y195" s="3">
        <f>Data!IE194/Data!K194</f>
        <v>0.23447428044946939</v>
      </c>
      <c r="AA195" s="5">
        <f t="shared" si="20"/>
        <v>0.99999999999999989</v>
      </c>
      <c r="AB195" s="14">
        <f t="shared" si="21"/>
        <v>0.13629176288069533</v>
      </c>
      <c r="AC195" s="5">
        <f t="shared" si="16"/>
        <v>0.26558809095938257</v>
      </c>
      <c r="AE195" s="15"/>
      <c r="AG195" s="5">
        <f t="shared" si="17"/>
        <v>1.0311138105099131</v>
      </c>
    </row>
    <row r="196" spans="1:33" x14ac:dyDescent="0.25">
      <c r="A196" s="1" t="s">
        <v>556</v>
      </c>
      <c r="B196">
        <v>1987</v>
      </c>
      <c r="C196" s="3">
        <f>Data!CT195/Data!K195</f>
        <v>0.13237086484301178</v>
      </c>
      <c r="D196" s="3">
        <f>Data!HK195/Data!K195</f>
        <v>0.59665436235843083</v>
      </c>
      <c r="E196" s="3">
        <f>Data!IC195/Data!K195</f>
        <v>1.7628418390001434E-2</v>
      </c>
      <c r="F196" s="3">
        <v>0</v>
      </c>
      <c r="G196" s="3">
        <f>Data!HI195/Data!K195</f>
        <v>0.18003808292233464</v>
      </c>
      <c r="H196" s="3"/>
      <c r="I196" s="3">
        <f t="shared" si="18"/>
        <v>0.15329125988698344</v>
      </c>
      <c r="J196" s="3"/>
      <c r="K196" s="3"/>
      <c r="L196" s="3"/>
      <c r="M196" s="3"/>
      <c r="N196" s="3"/>
      <c r="O196" s="3">
        <f t="shared" si="19"/>
        <v>7.6478483171776399E-2</v>
      </c>
      <c r="P196" s="3"/>
      <c r="Q196" s="3"/>
      <c r="R196" s="3"/>
      <c r="S196" s="3">
        <f>(Data!K195-Data!AN195)/Data!K195</f>
        <v>0.12004095636256594</v>
      </c>
      <c r="V196" s="3"/>
      <c r="W196" s="3">
        <f>Data!HU195/Data!K195</f>
        <v>5.353493822024348E-2</v>
      </c>
      <c r="Y196" s="3">
        <f>Data!IE195/Data!K195</f>
        <v>0.22976974305875983</v>
      </c>
      <c r="AA196" s="5">
        <f t="shared" si="20"/>
        <v>1</v>
      </c>
      <c r="AB196" s="14">
        <f t="shared" si="21"/>
        <v>0.13028413366944311</v>
      </c>
      <c r="AC196" s="5">
        <f t="shared" si="16"/>
        <v>0.26111413334531386</v>
      </c>
      <c r="AE196" s="15"/>
      <c r="AG196" s="5">
        <f t="shared" si="17"/>
        <v>1.031344390286554</v>
      </c>
    </row>
    <row r="197" spans="1:33" x14ac:dyDescent="0.25">
      <c r="A197" s="1" t="s">
        <v>556</v>
      </c>
      <c r="B197">
        <v>1988</v>
      </c>
      <c r="C197" s="3">
        <f>Data!CT196/Data!K196</f>
        <v>0.13526096681949432</v>
      </c>
      <c r="D197" s="3">
        <f>Data!HK196/Data!K196</f>
        <v>0.59843198649995</v>
      </c>
      <c r="E197" s="3">
        <f>Data!IC196/Data!K196</f>
        <v>1.7843250608087353E-2</v>
      </c>
      <c r="F197" s="3">
        <v>0</v>
      </c>
      <c r="G197" s="3">
        <f>Data!HI196/Data!K196</f>
        <v>0.17670482286673411</v>
      </c>
      <c r="H197" s="3"/>
      <c r="I197" s="3">
        <f t="shared" si="18"/>
        <v>0.15528245206033156</v>
      </c>
      <c r="J197" s="3"/>
      <c r="K197" s="3"/>
      <c r="L197" s="3"/>
      <c r="M197" s="3"/>
      <c r="N197" s="3"/>
      <c r="O197" s="3">
        <f t="shared" si="19"/>
        <v>7.5676435254088542E-2</v>
      </c>
      <c r="P197" s="3"/>
      <c r="Q197" s="3"/>
      <c r="R197" s="3"/>
      <c r="S197" s="3">
        <f>(Data!K196-Data!AN196)/Data!K196</f>
        <v>0.11763562150776792</v>
      </c>
      <c r="V197" s="3"/>
      <c r="W197" s="3">
        <f>Data!HU196/Data!K196</f>
        <v>5.2973504677861973E-2</v>
      </c>
      <c r="Y197" s="3">
        <f>Data!IE196/Data!K196</f>
        <v>0.2309588873144201</v>
      </c>
      <c r="AA197" s="5">
        <f t="shared" si="20"/>
        <v>1</v>
      </c>
      <c r="AB197" s="14">
        <f t="shared" si="21"/>
        <v>0.12809193345893252</v>
      </c>
      <c r="AC197" s="5">
        <f t="shared" si="16"/>
        <v>0.26175001274312365</v>
      </c>
      <c r="AE197" s="15"/>
      <c r="AG197" s="5">
        <f t="shared" si="17"/>
        <v>1.0307911254287037</v>
      </c>
    </row>
    <row r="198" spans="1:33" x14ac:dyDescent="0.25">
      <c r="A198" s="1" t="s">
        <v>556</v>
      </c>
      <c r="B198">
        <v>1989</v>
      </c>
      <c r="C198" s="3">
        <f>Data!CT197/Data!K197</f>
        <v>0.13787391360366735</v>
      </c>
      <c r="D198" s="3">
        <f>Data!HK197/Data!K197</f>
        <v>0.60662342258127255</v>
      </c>
      <c r="E198" s="3">
        <f>Data!IC197/Data!K197</f>
        <v>1.7937808967577039E-2</v>
      </c>
      <c r="F198" s="3">
        <v>0</v>
      </c>
      <c r="G198" s="3">
        <f>Data!HI197/Data!K197</f>
        <v>0.17814486390569459</v>
      </c>
      <c r="H198" s="3"/>
      <c r="I198" s="3">
        <f t="shared" si="18"/>
        <v>0.14377019165078331</v>
      </c>
      <c r="J198" s="3"/>
      <c r="K198" s="3"/>
      <c r="L198" s="3"/>
      <c r="M198" s="3"/>
      <c r="N198" s="3"/>
      <c r="O198" s="3">
        <f t="shared" si="19"/>
        <v>7.9283286398410979E-2</v>
      </c>
      <c r="P198" s="3"/>
      <c r="Q198" s="3"/>
      <c r="R198" s="3"/>
      <c r="S198" s="3">
        <f>(Data!K197-Data!AN197)/Data!K197</f>
        <v>0.11482479889064542</v>
      </c>
      <c r="V198" s="3"/>
      <c r="W198" s="3">
        <f>Data!HU197/Data!K197</f>
        <v>5.549830047888768E-2</v>
      </c>
      <c r="Y198" s="3">
        <f>Data!IE197/Data!K197</f>
        <v>0.22305347804919429</v>
      </c>
      <c r="AA198" s="5">
        <f t="shared" si="20"/>
        <v>1</v>
      </c>
      <c r="AB198" s="14">
        <f t="shared" si="21"/>
        <v>0.11398289534577938</v>
      </c>
      <c r="AC198" s="5">
        <f t="shared" si="16"/>
        <v>0.25198794291757193</v>
      </c>
      <c r="AE198" s="15"/>
      <c r="AG198" s="5">
        <f t="shared" si="17"/>
        <v>1.0289344648683776</v>
      </c>
    </row>
    <row r="199" spans="1:33" x14ac:dyDescent="0.25">
      <c r="A199" s="1" t="s">
        <v>556</v>
      </c>
      <c r="B199">
        <v>1990</v>
      </c>
      <c r="C199" s="3">
        <f>Data!CT198/Data!K198</f>
        <v>0.13918814433728691</v>
      </c>
      <c r="D199" s="3">
        <f>Data!HK198/Data!K198</f>
        <v>0.61651400049399896</v>
      </c>
      <c r="E199" s="3">
        <f>Data!IC198/Data!K198</f>
        <v>1.7981788429649453E-2</v>
      </c>
      <c r="F199" s="3">
        <v>0</v>
      </c>
      <c r="G199" s="3">
        <f>Data!HI198/Data!K198</f>
        <v>0.18701182669060448</v>
      </c>
      <c r="H199" s="3"/>
      <c r="I199" s="3">
        <f t="shared" si="18"/>
        <v>0.13131125687722023</v>
      </c>
      <c r="J199" s="3"/>
      <c r="K199" s="3"/>
      <c r="L199" s="3"/>
      <c r="M199" s="3"/>
      <c r="N199" s="3"/>
      <c r="O199" s="3">
        <f t="shared" si="19"/>
        <v>7.5282665500866874E-2</v>
      </c>
      <c r="P199" s="3"/>
      <c r="Q199" s="3"/>
      <c r="R199" s="3"/>
      <c r="S199" s="3">
        <f>(Data!K198-Data!AN198)/Data!K198</f>
        <v>0.12419421127730701</v>
      </c>
      <c r="V199" s="3"/>
      <c r="W199" s="3">
        <f>Data!HU198/Data!K198</f>
        <v>5.2697865850606811E-2</v>
      </c>
      <c r="Y199" s="3">
        <f>Data!IE198/Data!K198</f>
        <v>0.2065939223780871</v>
      </c>
      <c r="AA199" s="5">
        <f t="shared" si="20"/>
        <v>0.99999999999999989</v>
      </c>
      <c r="AB199" s="14">
        <f t="shared" si="21"/>
        <v>9.1507145606103318E-2</v>
      </c>
      <c r="AC199" s="5">
        <f t="shared" si="16"/>
        <v>0.2358901083302854</v>
      </c>
      <c r="AE199" s="15"/>
      <c r="AG199" s="5">
        <f t="shared" si="17"/>
        <v>1.0292961859521981</v>
      </c>
    </row>
    <row r="200" spans="1:33" x14ac:dyDescent="0.25">
      <c r="A200" s="1" t="s">
        <v>556</v>
      </c>
      <c r="B200">
        <v>1991</v>
      </c>
      <c r="C200" s="3">
        <f>Data!CT199/Data!K199</f>
        <v>0.1393679189027926</v>
      </c>
      <c r="D200" s="3">
        <f>Data!HK199/Data!K199</f>
        <v>0.6104320673788769</v>
      </c>
      <c r="E200" s="3">
        <f>Data!IC199/Data!K199</f>
        <v>1.6216109951425344E-2</v>
      </c>
      <c r="F200" s="3">
        <v>0</v>
      </c>
      <c r="G200" s="3">
        <f>Data!HI199/Data!K199</f>
        <v>0.1886907634553168</v>
      </c>
      <c r="H200" s="3"/>
      <c r="I200" s="3">
        <f t="shared" si="18"/>
        <v>0.13708790401687831</v>
      </c>
      <c r="J200" s="3"/>
      <c r="K200" s="3"/>
      <c r="L200" s="3"/>
      <c r="M200" s="3"/>
      <c r="N200" s="3"/>
      <c r="O200" s="3">
        <f t="shared" si="19"/>
        <v>6.8401224015935541E-2</v>
      </c>
      <c r="P200" s="3"/>
      <c r="Q200" s="3"/>
      <c r="R200" s="3"/>
      <c r="S200" s="3">
        <f>(Data!K199-Data!AN199)/Data!K199</f>
        <v>0.13619794777715422</v>
      </c>
      <c r="V200" s="3"/>
      <c r="W200" s="3">
        <f>Data!HU199/Data!K199</f>
        <v>4.7880856811154879E-2</v>
      </c>
      <c r="Y200" s="3">
        <f>Data!IE199/Data!K199</f>
        <v>0.20548912803281386</v>
      </c>
      <c r="AA200" s="5">
        <f t="shared" si="20"/>
        <v>0.99999999999999978</v>
      </c>
      <c r="AB200" s="14">
        <f t="shared" si="21"/>
        <v>9.1272906795529282E-2</v>
      </c>
      <c r="AC200" s="5">
        <f t="shared" si="16"/>
        <v>0.23788914080954424</v>
      </c>
      <c r="AE200" s="15"/>
      <c r="AG200" s="5">
        <f t="shared" si="17"/>
        <v>1.0324000127767303</v>
      </c>
    </row>
    <row r="201" spans="1:33" x14ac:dyDescent="0.25">
      <c r="A201" s="1" t="s">
        <v>556</v>
      </c>
      <c r="B201">
        <v>1992</v>
      </c>
      <c r="C201" s="3">
        <f>Data!CT200/Data!K200</f>
        <v>0.13901921286152313</v>
      </c>
      <c r="D201" s="3">
        <f>Data!HK200/Data!K200</f>
        <v>0.60383475799257058</v>
      </c>
      <c r="E201" s="3">
        <f>Data!IC200/Data!K200</f>
        <v>1.6090024251804974E-2</v>
      </c>
      <c r="F201" s="3">
        <v>0</v>
      </c>
      <c r="G201" s="3">
        <f>Data!HI200/Data!K200</f>
        <v>0.19283844521514559</v>
      </c>
      <c r="H201" s="3"/>
      <c r="I201" s="3">
        <f t="shared" si="18"/>
        <v>0.1550244889645746</v>
      </c>
      <c r="J201" s="3"/>
      <c r="K201" s="3"/>
      <c r="L201" s="3"/>
      <c r="M201" s="3"/>
      <c r="N201" s="3"/>
      <c r="O201" s="3">
        <f t="shared" si="19"/>
        <v>6.9250035202784679E-2</v>
      </c>
      <c r="P201" s="3"/>
      <c r="Q201" s="3"/>
      <c r="R201" s="3"/>
      <c r="S201" s="3">
        <f>(Data!K200-Data!AN200)/Data!K200</f>
        <v>0.12341569319812082</v>
      </c>
      <c r="V201" s="3"/>
      <c r="W201" s="3">
        <f>Data!HU200/Data!K200</f>
        <v>4.8475024641949277E-2</v>
      </c>
      <c r="Y201" s="3">
        <f>Data!IE200/Data!K200</f>
        <v>0.22427452416735927</v>
      </c>
      <c r="AA201" s="5">
        <f t="shared" si="20"/>
        <v>1</v>
      </c>
      <c r="AB201" s="14">
        <f t="shared" si="21"/>
        <v>0.11559021977351114</v>
      </c>
      <c r="AC201" s="5">
        <f t="shared" si="16"/>
        <v>0.25585048970999724</v>
      </c>
      <c r="AE201" s="15"/>
      <c r="AG201" s="5">
        <f t="shared" si="17"/>
        <v>1.031575965542638</v>
      </c>
    </row>
    <row r="202" spans="1:33" x14ac:dyDescent="0.25">
      <c r="A202" s="1" t="s">
        <v>556</v>
      </c>
      <c r="B202">
        <v>1993</v>
      </c>
      <c r="C202" s="3">
        <f>Data!CT201/Data!K201</f>
        <v>0.14168681685423626</v>
      </c>
      <c r="D202" s="3">
        <f>Data!HK201/Data!K201</f>
        <v>0.58629883258520465</v>
      </c>
      <c r="E202" s="3">
        <f>Data!IC201/Data!K201</f>
        <v>1.6549134885439805E-2</v>
      </c>
      <c r="F202" s="3">
        <v>0</v>
      </c>
      <c r="G202" s="3">
        <f>Data!HI201/Data!K201</f>
        <v>0.19097123222242307</v>
      </c>
      <c r="H202" s="3"/>
      <c r="I202" s="3">
        <f t="shared" si="18"/>
        <v>0.1748940435934227</v>
      </c>
      <c r="J202" s="3"/>
      <c r="K202" s="3"/>
      <c r="L202" s="3"/>
      <c r="M202" s="3"/>
      <c r="N202" s="3"/>
      <c r="O202" s="3">
        <f t="shared" si="19"/>
        <v>6.9304915087557858E-2</v>
      </c>
      <c r="P202" s="3"/>
      <c r="Q202" s="3"/>
      <c r="R202" s="3"/>
      <c r="S202" s="3">
        <f>(Data!K201-Data!AN201)/Data!K201</f>
        <v>0.12098876817252434</v>
      </c>
      <c r="V202" s="3"/>
      <c r="W202" s="3">
        <f>Data!HU201/Data!K201</f>
        <v>4.8513440561290498E-2</v>
      </c>
      <c r="Y202" s="3">
        <f>Data!IE201/Data!K201</f>
        <v>0.24419895868098054</v>
      </c>
      <c r="AA202" s="5">
        <f t="shared" si="20"/>
        <v>1</v>
      </c>
      <c r="AB202" s="14">
        <f t="shared" si="21"/>
        <v>0.13903261541999104</v>
      </c>
      <c r="AC202" s="5">
        <f t="shared" si="16"/>
        <v>0.27781096513782627</v>
      </c>
      <c r="AE202" s="15"/>
      <c r="AG202" s="5">
        <f t="shared" si="17"/>
        <v>1.0336120064568457</v>
      </c>
    </row>
    <row r="203" spans="1:33" x14ac:dyDescent="0.25">
      <c r="A203" s="1" t="s">
        <v>556</v>
      </c>
      <c r="B203">
        <v>1994</v>
      </c>
      <c r="C203" s="3">
        <f>Data!CT202/Data!K202</f>
        <v>0.13409048991797717</v>
      </c>
      <c r="D203" s="3">
        <f>Data!HK202/Data!K202</f>
        <v>0.57804728204065436</v>
      </c>
      <c r="E203" s="3">
        <f>Data!IC202/Data!K202</f>
        <v>1.5962670863174301E-2</v>
      </c>
      <c r="F203" s="3">
        <v>0</v>
      </c>
      <c r="G203" s="3">
        <f>Data!HI202/Data!K202</f>
        <v>0.18293703991604235</v>
      </c>
      <c r="H203" s="3"/>
      <c r="I203" s="3">
        <f t="shared" si="18"/>
        <v>0.18412643501328407</v>
      </c>
      <c r="J203" s="3"/>
      <c r="K203" s="3"/>
      <c r="L203" s="3"/>
      <c r="M203" s="3"/>
      <c r="N203" s="3"/>
      <c r="O203" s="3">
        <f t="shared" si="19"/>
        <v>7.108370082621869E-2</v>
      </c>
      <c r="P203" s="3"/>
      <c r="Q203" s="3"/>
      <c r="R203" s="3"/>
      <c r="S203" s="3">
        <f>(Data!K202-Data!AN202)/Data!K202</f>
        <v>0.11698399154148979</v>
      </c>
      <c r="V203" s="3"/>
      <c r="W203" s="3">
        <f>Data!HU202/Data!K202</f>
        <v>4.9758590578353079E-2</v>
      </c>
      <c r="Y203" s="3">
        <f>Data!IE202/Data!K202</f>
        <v>0.25521013583950275</v>
      </c>
      <c r="AA203" s="5">
        <f t="shared" si="20"/>
        <v>0.99999999999999989</v>
      </c>
      <c r="AB203" s="14">
        <f t="shared" si="21"/>
        <v>0.16172455460932514</v>
      </c>
      <c r="AC203" s="5">
        <f t="shared" si="16"/>
        <v>0.28902096156220952</v>
      </c>
      <c r="AE203" s="15"/>
      <c r="AG203" s="5">
        <f t="shared" si="17"/>
        <v>1.0338108257227068</v>
      </c>
    </row>
    <row r="204" spans="1:33" x14ac:dyDescent="0.25">
      <c r="A204" s="1" t="s">
        <v>556</v>
      </c>
      <c r="B204">
        <v>1995</v>
      </c>
      <c r="C204" s="3">
        <f>Data!CT203/Data!K203</f>
        <v>0.12781624800310962</v>
      </c>
      <c r="D204" s="3">
        <f>Data!HK203/Data!K203</f>
        <v>0.56188113886230173</v>
      </c>
      <c r="E204" s="3">
        <f>Data!IC203/Data!K203</f>
        <v>1.5497976601596094E-2</v>
      </c>
      <c r="F204" s="3">
        <v>0</v>
      </c>
      <c r="G204" s="3">
        <f>Data!HI203/Data!K203</f>
        <v>0.17280658600192558</v>
      </c>
      <c r="H204" s="3"/>
      <c r="I204" s="3">
        <f t="shared" si="18"/>
        <v>0.20141318968872235</v>
      </c>
      <c r="J204" s="3"/>
      <c r="K204" s="3"/>
      <c r="L204" s="3"/>
      <c r="M204" s="3"/>
      <c r="N204" s="3"/>
      <c r="O204" s="3">
        <f t="shared" si="19"/>
        <v>7.3544405214203537E-2</v>
      </c>
      <c r="P204" s="3"/>
      <c r="Q204" s="3"/>
      <c r="R204" s="3"/>
      <c r="S204" s="3">
        <f>(Data!K203-Data!AN203)/Data!K203</f>
        <v>0.11168018258483006</v>
      </c>
      <c r="V204" s="3"/>
      <c r="W204" s="3">
        <f>Data!HU203/Data!K203</f>
        <v>5.1481083649942472E-2</v>
      </c>
      <c r="Y204" s="3">
        <f>Data!IE203/Data!K203</f>
        <v>0.27495759490292587</v>
      </c>
      <c r="AA204" s="5">
        <f t="shared" si="20"/>
        <v>1.0000000000000002</v>
      </c>
      <c r="AB204" s="14">
        <f t="shared" si="21"/>
        <v>0.1934788379935812</v>
      </c>
      <c r="AC204" s="5">
        <f t="shared" si="16"/>
        <v>0.30952545413542226</v>
      </c>
      <c r="AE204" s="15"/>
      <c r="AG204" s="5">
        <f t="shared" si="17"/>
        <v>1.0345678592324965</v>
      </c>
    </row>
    <row r="205" spans="1:33" x14ac:dyDescent="0.25">
      <c r="A205" s="1" t="s">
        <v>556</v>
      </c>
      <c r="B205">
        <v>1996</v>
      </c>
      <c r="C205" s="3">
        <f>Data!CT204/Data!K204</f>
        <v>0.12597565862057722</v>
      </c>
      <c r="D205" s="3">
        <f>Data!HK204/Data!K204</f>
        <v>0.58270706996039634</v>
      </c>
      <c r="E205" s="3">
        <f>Data!IC204/Data!K204</f>
        <v>1.5308342635986827E-2</v>
      </c>
      <c r="F205" s="3">
        <v>0</v>
      </c>
      <c r="G205" s="3">
        <f>Data!HI204/Data!K204</f>
        <v>0.17750098177485765</v>
      </c>
      <c r="H205" s="3"/>
      <c r="I205" s="3">
        <f t="shared" si="18"/>
        <v>0.18749506376894015</v>
      </c>
      <c r="J205" s="3"/>
      <c r="K205" s="3"/>
      <c r="L205" s="3"/>
      <c r="M205" s="3"/>
      <c r="N205" s="3"/>
      <c r="O205" s="3">
        <f t="shared" si="19"/>
        <v>7.2230717751943438E-2</v>
      </c>
      <c r="P205" s="3"/>
      <c r="Q205" s="3"/>
      <c r="R205" s="3"/>
      <c r="S205" s="3">
        <f>(Data!K204-Data!AN204)/Data!K204</f>
        <v>0.10700564609235953</v>
      </c>
      <c r="V205" s="3"/>
      <c r="W205" s="3">
        <f>Data!HU204/Data!K204</f>
        <v>5.0561502426360407E-2</v>
      </c>
      <c r="Y205" s="3">
        <f>Data!IE204/Data!K204</f>
        <v>0.2597257815208836</v>
      </c>
      <c r="AA205" s="5">
        <f t="shared" si="20"/>
        <v>0.99999999999999989</v>
      </c>
      <c r="AB205" s="14">
        <f t="shared" si="21"/>
        <v>0.17437661392366618</v>
      </c>
      <c r="AC205" s="5">
        <f t="shared" si="16"/>
        <v>0.29084817880914193</v>
      </c>
      <c r="AE205" s="15"/>
      <c r="AG205" s="5">
        <f t="shared" si="17"/>
        <v>1.0311223972882582</v>
      </c>
    </row>
    <row r="206" spans="1:33" x14ac:dyDescent="0.25">
      <c r="A206" s="1" t="s">
        <v>556</v>
      </c>
      <c r="B206">
        <v>1997</v>
      </c>
      <c r="C206" s="3">
        <f>Data!CT205/Data!K205</f>
        <v>0.12545915657781412</v>
      </c>
      <c r="D206" s="3">
        <f>Data!HK205/Data!K205</f>
        <v>0.57795859607128808</v>
      </c>
      <c r="E206" s="3">
        <f>Data!IC205/Data!K205</f>
        <v>1.5165613013269184E-2</v>
      </c>
      <c r="F206" s="3">
        <v>0</v>
      </c>
      <c r="G206" s="3">
        <f>Data!HI205/Data!K205</f>
        <v>0.17408986529489262</v>
      </c>
      <c r="H206" s="3"/>
      <c r="I206" s="3">
        <f t="shared" si="18"/>
        <v>0.19405376086169629</v>
      </c>
      <c r="J206" s="3"/>
      <c r="K206" s="3"/>
      <c r="L206" s="3"/>
      <c r="M206" s="3"/>
      <c r="N206" s="3"/>
      <c r="O206" s="3">
        <f t="shared" si="19"/>
        <v>7.216577343226778E-2</v>
      </c>
      <c r="P206" s="3"/>
      <c r="Q206" s="3"/>
      <c r="R206" s="3"/>
      <c r="S206" s="3">
        <f>(Data!K205-Data!AN205)/Data!K205</f>
        <v>0.10530582823216042</v>
      </c>
      <c r="V206" s="3"/>
      <c r="W206" s="3">
        <f>Data!HU205/Data!K205</f>
        <v>5.051604140258744E-2</v>
      </c>
      <c r="Y206" s="3">
        <f>Data!IE205/Data!K205</f>
        <v>0.26621953429396406</v>
      </c>
      <c r="AA206" s="5">
        <f t="shared" si="20"/>
        <v>1</v>
      </c>
      <c r="AB206" s="14">
        <f t="shared" si="21"/>
        <v>0.18298748098638964</v>
      </c>
      <c r="AC206" s="5">
        <f t="shared" si="16"/>
        <v>0.2975536699517522</v>
      </c>
      <c r="AE206" s="15"/>
      <c r="AG206" s="5">
        <f t="shared" si="17"/>
        <v>1.0313341356577883</v>
      </c>
    </row>
    <row r="207" spans="1:33" x14ac:dyDescent="0.25">
      <c r="A207" s="1" t="s">
        <v>556</v>
      </c>
      <c r="B207">
        <v>1998</v>
      </c>
      <c r="C207" s="3">
        <f>Data!CT206/Data!K206</f>
        <v>0.12535076006873425</v>
      </c>
      <c r="D207" s="3">
        <f>Data!HK206/Data!K206</f>
        <v>0.57942169281490696</v>
      </c>
      <c r="E207" s="3">
        <f>Data!IC206/Data!K206</f>
        <v>1.4994716172582072E-2</v>
      </c>
      <c r="F207" s="3">
        <v>0</v>
      </c>
      <c r="G207" s="3">
        <f>Data!HI206/Data!K206</f>
        <v>0.16908488673997357</v>
      </c>
      <c r="H207" s="3"/>
      <c r="I207" s="3">
        <f t="shared" si="18"/>
        <v>0.19540958580039147</v>
      </c>
      <c r="J207" s="3"/>
      <c r="K207" s="3"/>
      <c r="L207" s="3"/>
      <c r="M207" s="3"/>
      <c r="N207" s="3"/>
      <c r="O207" s="3">
        <f t="shared" si="19"/>
        <v>7.0140786709583111E-2</v>
      </c>
      <c r="P207" s="3"/>
      <c r="Q207" s="3"/>
      <c r="R207" s="3"/>
      <c r="S207" s="3">
        <f>(Data!K206-Data!AN206)/Data!K206</f>
        <v>0.10592938397841034</v>
      </c>
      <c r="V207" s="3"/>
      <c r="W207" s="3">
        <f>Data!HU206/Data!K206</f>
        <v>4.9098550696708175E-2</v>
      </c>
      <c r="Y207" s="3">
        <f>Data!IE206/Data!K206</f>
        <v>0.2655503725099746</v>
      </c>
      <c r="AA207" s="5">
        <f t="shared" si="20"/>
        <v>1</v>
      </c>
      <c r="AB207" s="14">
        <f t="shared" si="21"/>
        <v>0.18238063106547181</v>
      </c>
      <c r="AC207" s="5">
        <f t="shared" si="16"/>
        <v>0.29701275016912332</v>
      </c>
      <c r="AE207" s="15"/>
      <c r="AG207" s="5">
        <f t="shared" si="17"/>
        <v>1.0314623776591487</v>
      </c>
    </row>
    <row r="208" spans="1:33" x14ac:dyDescent="0.25">
      <c r="A208" s="1" t="s">
        <v>556</v>
      </c>
      <c r="B208">
        <v>1999</v>
      </c>
      <c r="C208" s="3">
        <f>Data!CT207/Data!K207</f>
        <v>0.12493234692061644</v>
      </c>
      <c r="D208" s="3">
        <f>Data!HK207/Data!K207</f>
        <v>0.57366149155849966</v>
      </c>
      <c r="E208" s="3">
        <f>Data!IC207/Data!K207</f>
        <v>1.4838700208559834E-2</v>
      </c>
      <c r="F208" s="3">
        <v>0</v>
      </c>
      <c r="G208" s="3">
        <f>Data!HI207/Data!K207</f>
        <v>0.16665318389880818</v>
      </c>
      <c r="H208" s="3"/>
      <c r="I208" s="3">
        <f t="shared" si="18"/>
        <v>0.20402832077018035</v>
      </c>
      <c r="J208" s="3"/>
      <c r="K208" s="3"/>
      <c r="L208" s="3"/>
      <c r="M208" s="3"/>
      <c r="N208" s="3"/>
      <c r="O208" s="3">
        <f t="shared" si="19"/>
        <v>6.7193672651262817E-2</v>
      </c>
      <c r="P208" s="3"/>
      <c r="Q208" s="3"/>
      <c r="R208" s="3"/>
      <c r="S208" s="3">
        <f>(Data!K207-Data!AN207)/Data!K207</f>
        <v>0.10808094416417323</v>
      </c>
      <c r="V208" s="3"/>
      <c r="W208" s="3">
        <f>Data!HU207/Data!K207</f>
        <v>4.7035570855883967E-2</v>
      </c>
      <c r="Y208" s="3">
        <f>Data!IE207/Data!K207</f>
        <v>0.27122199342144315</v>
      </c>
      <c r="AA208" s="5">
        <f t="shared" si="20"/>
        <v>1</v>
      </c>
      <c r="AB208" s="14">
        <f t="shared" si="21"/>
        <v>0.19073296160207504</v>
      </c>
      <c r="AC208" s="5">
        <f t="shared" si="16"/>
        <v>0.30408812509031791</v>
      </c>
      <c r="AE208" s="15"/>
      <c r="AG208" s="5">
        <f t="shared" si="17"/>
        <v>1.0328661316688748</v>
      </c>
    </row>
    <row r="209" spans="1:33" ht="13.8" thickBot="1" x14ac:dyDescent="0.3">
      <c r="A209" s="1" t="s">
        <v>556</v>
      </c>
      <c r="B209">
        <v>2000</v>
      </c>
      <c r="C209" s="3">
        <f>Data!CT208/Data!K208</f>
        <v>0.12519402861215753</v>
      </c>
      <c r="D209" s="3">
        <f>Data!HK208/Data!K208</f>
        <v>0.59609197216935028</v>
      </c>
      <c r="E209" s="3">
        <f>Data!IC208/Data!K208</f>
        <v>1.4657594467432917E-2</v>
      </c>
      <c r="F209" s="3">
        <v>0</v>
      </c>
      <c r="G209" s="3">
        <f>Data!HI208/Data!K208</f>
        <v>0.1690501938418979</v>
      </c>
      <c r="H209" s="3"/>
      <c r="I209" s="3">
        <f t="shared" si="18"/>
        <v>0.19137398894131907</v>
      </c>
      <c r="J209" s="3"/>
      <c r="K209" s="3"/>
      <c r="L209" s="3"/>
      <c r="M209" s="3"/>
      <c r="N209" s="3"/>
      <c r="O209" s="3">
        <f t="shared" si="19"/>
        <v>6.6757698837660862E-2</v>
      </c>
      <c r="P209" s="3"/>
      <c r="Q209" s="3"/>
      <c r="R209" s="3"/>
      <c r="S209" s="3">
        <f>(Data!K208-Data!AN208)/Data!K208</f>
        <v>9.9045950865307195E-2</v>
      </c>
      <c r="V209" s="3"/>
      <c r="W209" s="3">
        <f>Data!HU208/Data!K208</f>
        <v>4.6730389186362596E-2</v>
      </c>
      <c r="Y209" s="3">
        <f>Data!IE208/Data!K208</f>
        <v>0.25813168777897993</v>
      </c>
      <c r="AA209" s="5">
        <f t="shared" si="20"/>
        <v>1</v>
      </c>
      <c r="AB209" s="16">
        <f t="shared" si="21"/>
        <v>0.17136441122253046</v>
      </c>
      <c r="AC209" s="17">
        <f t="shared" si="16"/>
        <v>0.28650927095216283</v>
      </c>
      <c r="AD209" s="25"/>
      <c r="AE209" s="18"/>
      <c r="AG209" s="5">
        <f t="shared" si="17"/>
        <v>1.028377583173183</v>
      </c>
    </row>
    <row r="210" spans="1:33" x14ac:dyDescent="0.25">
      <c r="A210" s="1"/>
      <c r="C210" s="3"/>
      <c r="D210" s="3"/>
      <c r="E210" s="3"/>
      <c r="F210" s="3"/>
      <c r="G210" s="3"/>
      <c r="H210" s="3"/>
      <c r="I210" s="3"/>
      <c r="J210" s="3"/>
      <c r="K210" s="3"/>
      <c r="L210" s="3"/>
      <c r="M210" s="3"/>
      <c r="N210" s="3"/>
      <c r="O210" s="3"/>
      <c r="P210" s="3"/>
      <c r="Q210" s="3"/>
      <c r="R210" s="3"/>
      <c r="S210" s="3"/>
      <c r="AE210" s="6"/>
    </row>
    <row r="211" spans="1:33" x14ac:dyDescent="0.25">
      <c r="AE211" s="6"/>
    </row>
    <row r="212" spans="1:33" x14ac:dyDescent="0.25">
      <c r="AE212" s="6"/>
    </row>
    <row r="213" spans="1:33" x14ac:dyDescent="0.25">
      <c r="AE213" s="6"/>
    </row>
    <row r="214" spans="1:33" x14ac:dyDescent="0.25">
      <c r="AE214" s="6"/>
    </row>
    <row r="215" spans="1:33" x14ac:dyDescent="0.25">
      <c r="AE215" s="6"/>
    </row>
    <row r="216" spans="1:33" x14ac:dyDescent="0.25">
      <c r="AE216" s="6"/>
    </row>
    <row r="217" spans="1:33" x14ac:dyDescent="0.25">
      <c r="AE217" s="6"/>
    </row>
    <row r="218" spans="1:33" x14ac:dyDescent="0.25">
      <c r="AE218" s="6"/>
    </row>
    <row r="219" spans="1:33" x14ac:dyDescent="0.25">
      <c r="AE219" s="6"/>
    </row>
    <row r="220" spans="1:33" x14ac:dyDescent="0.25">
      <c r="AE220" s="6"/>
    </row>
    <row r="221" spans="1:33" x14ac:dyDescent="0.25">
      <c r="AE221" s="6"/>
    </row>
    <row r="222" spans="1:33" x14ac:dyDescent="0.25">
      <c r="AE222" s="6"/>
    </row>
  </sheetData>
  <mergeCells count="3">
    <mergeCell ref="AB5:AE5"/>
    <mergeCell ref="AB6:AC6"/>
    <mergeCell ref="AD6:AE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SE</vt:lpstr>
      <vt:lpstr>Data</vt:lpstr>
      <vt:lpstr>Explanations</vt:lpstr>
      <vt:lpstr>About file</vt:lpstr>
      <vt:lpstr>Sweden</vt:lpstr>
      <vt:lpstr>Explanations!OLE_LINK1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Therese Nordlund</dc:creator>
  <cp:lastModifiedBy>Jonas Dietrich</cp:lastModifiedBy>
  <dcterms:created xsi:type="dcterms:W3CDTF">2005-01-29T16:46:18Z</dcterms:created>
  <dcterms:modified xsi:type="dcterms:W3CDTF">2025-04-21T08:39:02Z</dcterms:modified>
</cp:coreProperties>
</file>